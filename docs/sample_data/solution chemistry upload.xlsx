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ristanRans\Documents\Lab\Results\"/>
    </mc:Choice>
  </mc:AlternateContent>
  <xr:revisionPtr revIDLastSave="0" documentId="13_ncr:1_{FC72D047-B636-4C2E-A0EB-00A30627FC8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_READ_FIRST" sheetId="1" r:id="rId1"/>
    <sheet name="Solution Chemist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</calcChain>
</file>

<file path=xl/sharedStrings.xml><?xml version="1.0" encoding="utf-8"?>
<sst xmlns="http://schemas.openxmlformats.org/spreadsheetml/2006/main" count="76" uniqueCount="66">
  <si>
    <t>Topic</t>
  </si>
  <si>
    <t>Description</t>
  </si>
  <si>
    <t>Example/Value</t>
  </si>
  <si>
    <t>Required Fields</t>
  </si>
  <si>
    <t>Columns marked with asterisk (*) in the data sheet are required</t>
  </si>
  <si>
    <t>experiment_id, description</t>
  </si>
  <si>
    <t>Overwrite Behavior</t>
  </si>
  <si>
    <t>Controls how existing data is updated when you upload results for experiments that already have data</t>
  </si>
  <si>
    <t>Use 'overwrite' column or checkbox</t>
  </si>
  <si>
    <t>PARTIAL UPDATE (overwrite = False, default):</t>
  </si>
  <si>
    <t>False (or leave blank)</t>
  </si>
  <si>
    <t xml:space="preserve">  • Only columns you provide are updated</t>
  </si>
  <si>
    <t xml:space="preserve">  • Empty cells leave existing database values unchanged</t>
  </si>
  <si>
    <t xml:space="preserve">  • Best for adding new measurements or correcting specific values</t>
  </si>
  <si>
    <t>Examples</t>
  </si>
  <si>
    <t>COMPLETE REPLACEMENT (overwrite = True):</t>
  </si>
  <si>
    <t>True</t>
  </si>
  <si>
    <t xml:space="preserve">  • ALL fields are replaced with your uploaded values</t>
  </si>
  <si>
    <t xml:space="preserve">  • Empty cells will set database fields to blank/null</t>
  </si>
  <si>
    <t>Important Notes</t>
  </si>
  <si>
    <t xml:space="preserve">  • Use when you want to completely replace an entire result entry</t>
  </si>
  <si>
    <t>You can mix modes in one upload</t>
  </si>
  <si>
    <t>Per-row 'overwrite' column takes precedence over global checkbox in UI</t>
  </si>
  <si>
    <t>Date</t>
  </si>
  <si>
    <t>Experiment ID*</t>
  </si>
  <si>
    <t>Time (days)*</t>
  </si>
  <si>
    <t>Description*</t>
  </si>
  <si>
    <t>Gross Ammonium (mM)</t>
  </si>
  <si>
    <t>Sampling Vol (mL)</t>
  </si>
  <si>
    <t>Bkg Ammonium (mM)</t>
  </si>
  <si>
    <t>Bkg Exp ID</t>
  </si>
  <si>
    <t>H2 Conc (ppm)</t>
  </si>
  <si>
    <t>Gas Sample Vol (mL)</t>
  </si>
  <si>
    <t>Gas Pressure (MPa)</t>
  </si>
  <si>
    <t>Final pH</t>
  </si>
  <si>
    <t>Fe2+ Yield (%)</t>
  </si>
  <si>
    <t>Final Nitrate (mM)</t>
  </si>
  <si>
    <t>Final DO (mg/L)</t>
  </si>
  <si>
    <t>CO2 Pressure (MPa)</t>
  </si>
  <si>
    <t>Conductivity (mS/cm)</t>
  </si>
  <si>
    <t>Alkalinity (mg/L)</t>
  </si>
  <si>
    <t>Overwrite</t>
  </si>
  <si>
    <t>HPHT_070</t>
  </si>
  <si>
    <t>HPHT_079</t>
  </si>
  <si>
    <t>HPHT_087</t>
  </si>
  <si>
    <t>HPHT_090</t>
  </si>
  <si>
    <t>HPHT_096</t>
  </si>
  <si>
    <t>CF-014</t>
  </si>
  <si>
    <t>HPHT_095</t>
  </si>
  <si>
    <t>HPHT_071-2_Desorption</t>
  </si>
  <si>
    <t>Desorption t=0</t>
  </si>
  <si>
    <t>Desorption t=4d</t>
  </si>
  <si>
    <t>Cao, continued 24 days</t>
  </si>
  <si>
    <t>CaO, continued 25 days (H2)</t>
  </si>
  <si>
    <t>MgCl2, Mg(OH)2 continued 35 days (H2)</t>
  </si>
  <si>
    <t>MgCl2, Mg(OH)2 continued 36 days (H2)</t>
  </si>
  <si>
    <t>Flow through 300C +3 days</t>
  </si>
  <si>
    <t>Flow throughfinal sampling</t>
  </si>
  <si>
    <t>Tamarack W:R 5:1, low fluid level (H2)</t>
  </si>
  <si>
    <t>Tamarack W:R 5:1, low fluid level</t>
  </si>
  <si>
    <t>Pre-rxn brine check</t>
  </si>
  <si>
    <t>Tamarack W:R 1:1, low fluid level</t>
  </si>
  <si>
    <t>PdC, 4 Promoter, W:R 2.5, Fayalite, MgCl2, Mg(OH)2</t>
  </si>
  <si>
    <t>Flow at 0.001mL/min for 1 day+[@Description]</t>
  </si>
  <si>
    <t>Core flood background</t>
  </si>
  <si>
    <t>t=3d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</si>
</sst>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4" spans="1:3" x14ac:dyDescent="0.25">
      <c r="A4" t="s">
        <v>6</v>
      </c>
      <c r="B4" t="s">
        <v>7</v>
      </c>
      <c r="C4" t="s">
        <v>8</v>
      </c>
    </row>
    <row r="6" spans="1:3" x14ac:dyDescent="0.25">
      <c r="B6" t="s">
        <v>9</v>
      </c>
      <c r="C6" t="s">
        <v>10</v>
      </c>
    </row>
    <row r="7" spans="1:3" x14ac:dyDescent="0.25">
      <c r="B7" t="s">
        <v>11</v>
      </c>
    </row>
    <row r="8" spans="1:3" x14ac:dyDescent="0.25">
      <c r="B8" t="s">
        <v>12</v>
      </c>
    </row>
    <row r="9" spans="1:3" x14ac:dyDescent="0.25">
      <c r="B9" t="s">
        <v>13</v>
      </c>
    </row>
    <row r="10" spans="1:3" x14ac:dyDescent="0.25">
      <c r="A10" t="s">
        <v>14</v>
      </c>
    </row>
    <row r="11" spans="1:3" x14ac:dyDescent="0.25">
      <c r="B11" t="s">
        <v>15</v>
      </c>
      <c r="C11" t="s">
        <v>16</v>
      </c>
    </row>
    <row r="12" spans="1:3" x14ac:dyDescent="0.25">
      <c r="B12" t="s">
        <v>17</v>
      </c>
    </row>
    <row r="13" spans="1:3" x14ac:dyDescent="0.25">
      <c r="B13" t="s">
        <v>18</v>
      </c>
    </row>
    <row r="14" spans="1:3" x14ac:dyDescent="0.25">
      <c r="A14" t="s">
        <v>19</v>
      </c>
      <c r="B14" t="s">
        <v>20</v>
      </c>
    </row>
    <row r="15" spans="1:3" x14ac:dyDescent="0.25">
      <c r="C15" t="s">
        <v>21</v>
      </c>
    </row>
    <row r="16" spans="1:3" x14ac:dyDescent="0.25">
      <c r="B16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"/>
  <sheetViews>
    <sheetView tabSelected="1" workbookViewId="0">
      <selection activeCell="Q12" sqref="Q12"/>
    </sheetView>
  </sheetViews>
  <sheetFormatPr defaultRowHeight="15" x14ac:dyDescent="0.25"/>
  <cols>
    <col min="1" max="1" width="10.42578125" bestFit="1" customWidth="1"/>
    <col min="2" max="2" width="14.7109375" bestFit="1" customWidth="1"/>
    <col min="3" max="3" width="12.28515625" bestFit="1" customWidth="1"/>
    <col min="4" max="4" width="44.140625" bestFit="1" customWidth="1"/>
    <col min="5" max="5" width="22.42578125" bestFit="1" customWidth="1"/>
    <col min="6" max="6" width="17.28515625" bestFit="1" customWidth="1"/>
    <col min="7" max="7" width="20.5703125" bestFit="1" customWidth="1"/>
    <col min="8" max="8" width="10" bestFit="1" customWidth="1"/>
    <col min="9" max="9" width="14" bestFit="1" customWidth="1"/>
    <col min="10" max="10" width="19.28515625" bestFit="1" customWidth="1"/>
    <col min="11" max="11" width="18.28515625" bestFit="1" customWidth="1"/>
    <col min="12" max="12" width="8.140625" bestFit="1" customWidth="1"/>
    <col min="13" max="13" width="13.5703125" bestFit="1" customWidth="1"/>
    <col min="14" max="14" width="17.5703125" bestFit="1" customWidth="1"/>
    <col min="15" max="15" width="14.85546875" bestFit="1" customWidth="1"/>
    <col min="16" max="16" width="18.7109375" bestFit="1" customWidth="1"/>
    <col min="17" max="17" width="20.42578125" bestFit="1" customWidth="1"/>
    <col min="18" max="18" width="15.85546875" bestFit="1" customWidth="1"/>
    <col min="19" max="19" width="10" bestFit="1" customWidth="1"/>
  </cols>
  <sheetData>
    <row r="1" spans="1:19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s="7" t="s">
        <v>38</v>
      </c>
      <c r="Q1" t="s">
        <v>39</v>
      </c>
      <c r="R1" t="s">
        <v>40</v>
      </c>
      <c r="S1" t="s">
        <v>41</v>
      </c>
    </row>
    <row r="2" spans="1:19" x14ac:dyDescent="0.25">
      <c r="A2" s="5">
        <v>46090</v>
      </c>
      <c r="B2" t="s">
        <v>42</v>
      </c>
      <c r="C2">
        <v>35</v>
      </c>
      <c r="D2" t="s">
        <v>54</v>
      </c>
      <c r="E2" s="2"/>
      <c r="I2">
        <v>410</v>
      </c>
      <c r="J2">
        <v>3785</v>
      </c>
      <c r="K2">
        <v>0.3</v>
      </c>
      <c r="S2" s="7" t="b">
        <v>1</v>
      </c>
    </row>
    <row r="3" spans="1:19" x14ac:dyDescent="0.25">
      <c r="A3" s="6">
        <v>46092</v>
      </c>
      <c r="B3" t="s">
        <v>42</v>
      </c>
      <c r="C3">
        <v>36</v>
      </c>
      <c r="D3" t="s">
        <v>55</v>
      </c>
      <c r="I3">
        <v>66</v>
      </c>
      <c r="J3">
        <v>3785</v>
      </c>
      <c r="K3">
        <v>0.2</v>
      </c>
      <c r="S3" s="7" t="b">
        <v>1</v>
      </c>
    </row>
    <row r="4" spans="1:19" x14ac:dyDescent="0.25">
      <c r="A4" s="6">
        <v>46087</v>
      </c>
      <c r="B4" t="s">
        <v>49</v>
      </c>
      <c r="C4">
        <v>0</v>
      </c>
      <c r="D4" t="s">
        <v>50</v>
      </c>
      <c r="E4">
        <v>0.1</v>
      </c>
      <c r="L4">
        <v>6.02</v>
      </c>
      <c r="Q4">
        <v>78.400000000000006</v>
      </c>
      <c r="S4" s="7" t="b">
        <v>1</v>
      </c>
    </row>
    <row r="5" spans="1:19" x14ac:dyDescent="0.25">
      <c r="A5" s="6">
        <v>46091</v>
      </c>
      <c r="B5" t="s">
        <v>49</v>
      </c>
      <c r="C5">
        <v>4</v>
      </c>
      <c r="D5" t="s">
        <v>51</v>
      </c>
      <c r="E5">
        <v>0.15</v>
      </c>
      <c r="L5">
        <v>5.6</v>
      </c>
      <c r="Q5">
        <v>73.3</v>
      </c>
      <c r="S5" s="7" t="b">
        <v>1</v>
      </c>
    </row>
    <row r="6" spans="1:19" x14ac:dyDescent="0.25">
      <c r="A6" s="5">
        <v>46090</v>
      </c>
      <c r="B6" t="s">
        <v>43</v>
      </c>
      <c r="C6">
        <v>24</v>
      </c>
      <c r="D6" t="s">
        <v>52</v>
      </c>
      <c r="E6">
        <v>0.17</v>
      </c>
      <c r="I6">
        <v>904</v>
      </c>
      <c r="J6">
        <v>3785</v>
      </c>
      <c r="K6">
        <v>0.3</v>
      </c>
      <c r="L6">
        <v>8.83</v>
      </c>
      <c r="Q6">
        <v>46.9</v>
      </c>
      <c r="S6" s="7" t="b">
        <v>1</v>
      </c>
    </row>
    <row r="7" spans="1:19" x14ac:dyDescent="0.25">
      <c r="A7" s="5">
        <v>46092</v>
      </c>
      <c r="B7" t="s">
        <v>43</v>
      </c>
      <c r="C7">
        <v>25</v>
      </c>
      <c r="D7" t="s">
        <v>53</v>
      </c>
      <c r="I7">
        <v>170</v>
      </c>
      <c r="J7">
        <v>3785</v>
      </c>
      <c r="K7">
        <v>0.45</v>
      </c>
      <c r="S7" s="7" t="b">
        <v>1</v>
      </c>
    </row>
    <row r="8" spans="1:19" x14ac:dyDescent="0.25">
      <c r="A8" s="6">
        <v>46087</v>
      </c>
      <c r="B8" t="s">
        <v>44</v>
      </c>
      <c r="C8">
        <v>10</v>
      </c>
      <c r="D8" t="s">
        <v>56</v>
      </c>
      <c r="E8">
        <v>0.19</v>
      </c>
      <c r="I8">
        <v>44</v>
      </c>
      <c r="L8">
        <v>2.2599999999999998</v>
      </c>
      <c r="Q8">
        <v>21</v>
      </c>
      <c r="S8" s="7" t="b">
        <v>1</v>
      </c>
    </row>
    <row r="9" spans="1:19" x14ac:dyDescent="0.25">
      <c r="A9" s="5">
        <v>46091</v>
      </c>
      <c r="B9" t="s">
        <v>44</v>
      </c>
      <c r="C9">
        <v>15</v>
      </c>
      <c r="D9" t="s">
        <v>57</v>
      </c>
      <c r="E9">
        <v>0.19</v>
      </c>
      <c r="I9">
        <v>282</v>
      </c>
      <c r="J9">
        <v>3785</v>
      </c>
      <c r="L9">
        <v>2.74</v>
      </c>
      <c r="Q9">
        <v>21</v>
      </c>
      <c r="S9" s="7" t="b">
        <v>1</v>
      </c>
    </row>
    <row r="10" spans="1:19" x14ac:dyDescent="0.25">
      <c r="A10" s="6">
        <v>46087</v>
      </c>
      <c r="B10" t="s">
        <v>45</v>
      </c>
      <c r="C10">
        <v>12</v>
      </c>
      <c r="D10" s="4" t="s">
        <v>58</v>
      </c>
      <c r="I10">
        <v>18</v>
      </c>
      <c r="J10">
        <f>3785+450</f>
        <v>4235</v>
      </c>
      <c r="K10">
        <v>1.17</v>
      </c>
      <c r="L10">
        <v>6.1</v>
      </c>
      <c r="Q10">
        <v>6.8</v>
      </c>
      <c r="S10" s="7" t="b">
        <v>1</v>
      </c>
    </row>
    <row r="11" spans="1:19" s="7" customFormat="1" x14ac:dyDescent="0.25">
      <c r="A11" s="6">
        <v>46091</v>
      </c>
      <c r="B11" s="7" t="s">
        <v>45</v>
      </c>
      <c r="C11" s="7">
        <v>15</v>
      </c>
      <c r="D11" s="7" t="s">
        <v>59</v>
      </c>
      <c r="E11" s="7">
        <v>0.27</v>
      </c>
      <c r="I11" s="7">
        <v>0</v>
      </c>
      <c r="J11" s="7">
        <v>4235</v>
      </c>
      <c r="K11" s="7">
        <v>1.48</v>
      </c>
      <c r="Q11" s="7">
        <v>1.79</v>
      </c>
      <c r="S11" s="7" t="b">
        <v>1</v>
      </c>
    </row>
    <row r="12" spans="1:19" x14ac:dyDescent="0.25">
      <c r="A12" s="5">
        <v>46086</v>
      </c>
      <c r="B12" t="s">
        <v>48</v>
      </c>
      <c r="C12">
        <v>0</v>
      </c>
      <c r="D12" t="s">
        <v>60</v>
      </c>
      <c r="E12" s="2">
        <v>0.13</v>
      </c>
      <c r="S12" s="7" t="b">
        <v>1</v>
      </c>
    </row>
    <row r="13" spans="1:19" s="7" customFormat="1" x14ac:dyDescent="0.25">
      <c r="A13" s="6">
        <v>46091</v>
      </c>
      <c r="B13" s="7" t="s">
        <v>48</v>
      </c>
      <c r="C13" s="7">
        <v>4</v>
      </c>
      <c r="D13" s="7" t="s">
        <v>61</v>
      </c>
      <c r="E13" s="7">
        <v>0.11</v>
      </c>
      <c r="I13" s="7">
        <v>0</v>
      </c>
      <c r="L13" s="7">
        <v>6.85</v>
      </c>
      <c r="Q13" s="7">
        <v>0.37</v>
      </c>
      <c r="S13" s="7" t="b">
        <v>1</v>
      </c>
    </row>
    <row r="14" spans="1:19" s="7" customFormat="1" x14ac:dyDescent="0.25">
      <c r="A14" s="5">
        <v>46087</v>
      </c>
      <c r="B14" s="7" t="s">
        <v>46</v>
      </c>
      <c r="C14" s="7">
        <v>0</v>
      </c>
      <c r="D14" s="7" t="s">
        <v>62</v>
      </c>
      <c r="E14" s="7">
        <v>0.09</v>
      </c>
      <c r="L14" s="7">
        <v>6.52</v>
      </c>
      <c r="Q14" s="7">
        <v>14.71</v>
      </c>
      <c r="S14" s="7" t="b">
        <v>1</v>
      </c>
    </row>
    <row r="15" spans="1:19" x14ac:dyDescent="0.25">
      <c r="A15" s="5">
        <v>46091</v>
      </c>
      <c r="B15" t="s">
        <v>46</v>
      </c>
      <c r="C15">
        <v>4</v>
      </c>
      <c r="D15" t="s">
        <v>62</v>
      </c>
      <c r="E15" s="7">
        <v>1.23</v>
      </c>
      <c r="I15">
        <v>554</v>
      </c>
      <c r="J15">
        <v>3785</v>
      </c>
      <c r="K15">
        <v>0.25</v>
      </c>
      <c r="L15">
        <v>5.6</v>
      </c>
      <c r="Q15">
        <v>34</v>
      </c>
      <c r="S15" s="7" t="b">
        <v>1</v>
      </c>
    </row>
    <row r="16" spans="1:19" x14ac:dyDescent="0.25">
      <c r="A16" s="1">
        <v>46086</v>
      </c>
      <c r="B16" t="s">
        <v>47</v>
      </c>
      <c r="C16">
        <v>1</v>
      </c>
      <c r="D16" t="s">
        <v>63</v>
      </c>
      <c r="E16">
        <v>0.2</v>
      </c>
      <c r="S16" s="7" t="b">
        <v>1</v>
      </c>
    </row>
    <row r="17" spans="1:19" x14ac:dyDescent="0.25">
      <c r="A17" s="6">
        <v>46092</v>
      </c>
      <c r="B17" t="s">
        <v>47</v>
      </c>
      <c r="C17">
        <v>7</v>
      </c>
      <c r="D17" t="s">
        <v>64</v>
      </c>
      <c r="E17" s="7">
        <v>0.26</v>
      </c>
      <c r="F17" s="3"/>
      <c r="I17">
        <v>125</v>
      </c>
      <c r="L17">
        <v>7.9</v>
      </c>
      <c r="Q17">
        <v>6.34</v>
      </c>
      <c r="S17" s="7" t="b">
        <v>1</v>
      </c>
    </row>
    <row r="18" spans="1:19" x14ac:dyDescent="0.25">
      <c r="A18" s="6">
        <v>46092</v>
      </c>
      <c r="B18" t="s">
        <v>47</v>
      </c>
      <c r="C18">
        <v>3</v>
      </c>
      <c r="D18" t="s">
        <v>65</v>
      </c>
      <c r="E18" s="7">
        <v>0.2</v>
      </c>
      <c r="L18">
        <v>1.35</v>
      </c>
      <c r="Q18">
        <v>16.97</v>
      </c>
      <c r="S18" s="7" t="b">
        <v>1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3BA3DB58DEC478049C673A7220E0E" ma:contentTypeVersion="15" ma:contentTypeDescription="Create a new document." ma:contentTypeScope="" ma:versionID="f3b66ce18d65b04b0c459e2b382a46d3">
  <xsd:schema xmlns:xsd="http://www.w3.org/2001/XMLSchema" xmlns:xs="http://www.w3.org/2001/XMLSchema" xmlns:p="http://schemas.microsoft.com/office/2006/metadata/properties" xmlns:ns2="92c925b4-dc37-447f-b6fa-1c76e536da50" xmlns:ns3="5391d9e9-6328-485e-a60c-74110e34d1b4" targetNamespace="http://schemas.microsoft.com/office/2006/metadata/properties" ma:root="true" ma:fieldsID="9e22a7814077ab2812664aa6a1eebe89" ns2:_="" ns3:_="">
    <xsd:import namespace="92c925b4-dc37-447f-b6fa-1c76e536da50"/>
    <xsd:import namespace="5391d9e9-6328-485e-a60c-74110e34d1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925b4-dc37-447f-b6fa-1c76e536da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ae64e0-0e4d-41f3-876d-8ff77f6130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1d9e9-6328-485e-a60c-74110e34d1b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9a1c0f5-e38c-41eb-a762-cb30e575646d}" ma:internalName="TaxCatchAll" ma:showField="CatchAllData" ma:web="5391d9e9-6328-485e-a60c-74110e34d1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1d9e9-6328-485e-a60c-74110e34d1b4" xsi:nil="true"/>
    <lcf76f155ced4ddcb4097134ff3c332f xmlns="92c925b4-dc37-447f-b6fa-1c76e536da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370FA6-1681-4D31-8C33-2C76F30F70D3}"/>
</file>

<file path=customXml/itemProps2.xml><?xml version="1.0" encoding="utf-8"?>
<ds:datastoreItem xmlns:ds="http://schemas.openxmlformats.org/officeDocument/2006/customXml" ds:itemID="{4259A77C-70BA-4089-A00A-1B546BA435CE}"/>
</file>

<file path=customXml/itemProps3.xml><?xml version="1.0" encoding="utf-8"?>
<ds:datastoreItem xmlns:ds="http://schemas.openxmlformats.org/officeDocument/2006/customXml" ds:itemID="{2872FF9C-9C86-41E4-A530-ED3B48F34E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INSTRUCTIONS_READ_FIRST</vt:lpstr>
      <vt:lpstr>Solution Chemistry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Tristan Rans</cp:lastModifiedBy>
  <dcterms:created xsi:type="dcterms:W3CDTF">2026-02-24T14:29:29Z</dcterms:created>
  <dcterms:modified xsi:type="dcterms:W3CDTF">2026-03-12T17:59:19Z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0x01010007E3BA3DB58DEC478049C673A7220E0E</vt:lpwstr>
  </property>
</Properties>
</file>