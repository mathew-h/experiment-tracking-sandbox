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namedSheetViews/namedSheetView2.xml" ContentType="application/vnd.ms-excel.namedsheetviews+xml"/>
  <Override PartName="/xl/tables/table4.xml" ContentType="application/vnd.openxmlformats-officedocument.spreadsheetml.table+xml"/>
  <Override PartName="/xl/namedSheetViews/namedSheetView3.xml" ContentType="application/vnd.ms-excel.namedsheetviews+xml"/>
  <Override PartName="/xl/tables/table5.xml" ContentType="application/vnd.openxmlformats-officedocument.spreadsheetml.table+xml"/>
  <Override PartName="/xl/namedSheetViews/namedSheetView4.xml" ContentType="application/vnd.ms-excel.namedsheetviews+xml"/>
  <Override PartName="/xl/tables/table6.xml" ContentType="application/vnd.openxmlformats-officedocument.spreadsheetml.table+xml"/>
  <Override PartName="/xl/namedSheetViews/namedSheetView5.xml" ContentType="application/vnd.ms-excel.namedsheetviews+xml"/>
  <Override PartName="/xl/tables/table7.xml" ContentType="application/vnd.openxmlformats-officedocument.spreadsheetml.table+xml"/>
  <Override PartName="/xl/namedSheetViews/namedSheetView6.xml" ContentType="application/vnd.ms-excel.namedsheetviews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ddisenergy.sharepoint.com/sites/allcompany/Shared Documents/Addis Energy/01_R&amp;D/02_Results/"/>
    </mc:Choice>
  </mc:AlternateContent>
  <xr:revisionPtr revIDLastSave="205" documentId="13_ncr:1_{C7B5D029-9F27-4D75-9634-3AFC5532D328}" xr6:coauthVersionLast="47" xr6:coauthVersionMax="47" xr10:uidLastSave="{A86BB701-CA79-480E-98EA-911C40C877F2}"/>
  <bookViews>
    <workbookView xWindow="-110" yWindow="-110" windowWidth="19420" windowHeight="11500" tabRatio="734" activeTab="3" xr2:uid="{00000000-000D-0000-FFFF-FFFF00000000}"/>
  </bookViews>
  <sheets>
    <sheet name="Sampling" sheetId="8" r:id="rId1"/>
    <sheet name="NMR Prep" sheetId="1" r:id="rId2"/>
    <sheet name="NMR Results" sheetId="2" r:id="rId3"/>
    <sheet name="GC Results" sheetId="3" r:id="rId4"/>
    <sheet name="ICP List" sheetId="9" r:id="rId5"/>
    <sheet name="pH Conductivity Mod " sheetId="4" r:id="rId6"/>
    <sheet name="XRD" sheetId="10" r:id="rId7"/>
    <sheet name="Dashboard" sheetId="7" r:id="rId8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2" i="7"/>
  <c r="B999" i="4" l="1"/>
  <c r="B1000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B1000" i="3"/>
  <c r="B999" i="3"/>
  <c r="A1000" i="3" a="1"/>
  <c r="A1000" i="3" s="1"/>
  <c r="A999" i="3" a="1"/>
  <c r="A999" i="3" s="1"/>
  <c r="A45" i="3" a="1"/>
  <c r="A45" i="3" s="1"/>
  <c r="A44" i="3" a="1"/>
  <c r="A44" i="3" s="1"/>
  <c r="A43" i="3" a="1"/>
  <c r="A43" i="3" s="1"/>
  <c r="A15" i="3" a="1"/>
  <c r="A15" i="3" s="1"/>
  <c r="A14" i="3" a="1"/>
  <c r="A14" i="3" s="1"/>
  <c r="A13" i="3" a="1"/>
  <c r="A13" i="3" s="1"/>
  <c r="A3" i="3" a="1"/>
  <c r="A3" i="3" s="1"/>
  <c r="D43" i="2"/>
  <c r="D44" i="2"/>
  <c r="D45" i="2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53" i="3" a="1"/>
  <c r="A53" i="3" s="1"/>
  <c r="A54" i="3" a="1"/>
  <c r="A54" i="3" s="1"/>
  <c r="A55" i="3" a="1"/>
  <c r="A55" i="3" s="1"/>
  <c r="A56" i="3" a="1"/>
  <c r="A56" i="3" s="1"/>
  <c r="A57" i="3" a="1"/>
  <c r="A57" i="3" s="1"/>
  <c r="A58" i="3" a="1"/>
  <c r="A58" i="3" s="1"/>
  <c r="A59" i="3" a="1"/>
  <c r="A59" i="3" s="1"/>
  <c r="A60" i="3" a="1"/>
  <c r="A60" i="3" s="1"/>
  <c r="A61" i="3" a="1"/>
  <c r="A61" i="3" s="1"/>
  <c r="A62" i="3" a="1"/>
  <c r="A62" i="3" s="1"/>
  <c r="A63" i="3" a="1"/>
  <c r="A63" i="3" s="1"/>
  <c r="A64" i="3" a="1"/>
  <c r="A64" i="3" s="1"/>
  <c r="A65" i="3" a="1"/>
  <c r="A65" i="3" s="1"/>
  <c r="A66" i="3" a="1"/>
  <c r="A66" i="3" s="1"/>
  <c r="A67" i="3" a="1"/>
  <c r="A67" i="3" s="1"/>
  <c r="A68" i="3" a="1"/>
  <c r="A68" i="3" s="1"/>
  <c r="A69" i="3" a="1"/>
  <c r="A69" i="3" s="1"/>
  <c r="A70" i="3" a="1"/>
  <c r="A70" i="3" s="1"/>
  <c r="A71" i="3" a="1"/>
  <c r="A71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G45" i="3"/>
  <c r="G43" i="3"/>
  <c r="I45" i="3"/>
  <c r="I44" i="3"/>
  <c r="I4" i="3"/>
  <c r="I5" i="3"/>
  <c r="I6" i="3"/>
  <c r="I7" i="3"/>
  <c r="I8" i="3"/>
  <c r="I9" i="3"/>
  <c r="I10" i="3"/>
  <c r="I11" i="3"/>
  <c r="I1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6" i="3"/>
  <c r="I47" i="3"/>
  <c r="I48" i="3"/>
  <c r="I53" i="3"/>
  <c r="I54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B11" i="4" l="1"/>
  <c r="B11" i="3"/>
  <c r="B11" i="9"/>
  <c r="C11" i="2"/>
  <c r="C15" i="2"/>
  <c r="B15" i="3"/>
  <c r="B15" i="9"/>
  <c r="B15" i="4"/>
  <c r="B37" i="4"/>
  <c r="B37" i="3"/>
  <c r="C37" i="2"/>
  <c r="B25" i="3"/>
  <c r="B25" i="4"/>
  <c r="C25" i="2"/>
  <c r="B13" i="9"/>
  <c r="B13" i="3"/>
  <c r="C13" i="2"/>
  <c r="B13" i="4"/>
  <c r="B36" i="4"/>
  <c r="C36" i="2"/>
  <c r="B36" i="9"/>
  <c r="B36" i="3"/>
  <c r="B24" i="4"/>
  <c r="C24" i="2"/>
  <c r="B24" i="9"/>
  <c r="B24" i="3"/>
  <c r="B12" i="3"/>
  <c r="C12" i="2"/>
  <c r="B12" i="4"/>
  <c r="B35" i="3"/>
  <c r="C35" i="2"/>
  <c r="B35" i="4"/>
  <c r="B23" i="4"/>
  <c r="B23" i="3"/>
  <c r="C23" i="2"/>
  <c r="C34" i="2"/>
  <c r="B34" i="9"/>
  <c r="B34" i="4"/>
  <c r="B34" i="3"/>
  <c r="B22" i="4"/>
  <c r="B22" i="3"/>
  <c r="C22" i="2"/>
  <c r="C10" i="2"/>
  <c r="B10" i="3"/>
  <c r="B10" i="4"/>
  <c r="C45" i="2"/>
  <c r="B45" i="4"/>
  <c r="B45" i="3"/>
  <c r="B33" i="4"/>
  <c r="B33" i="3"/>
  <c r="C33" i="2"/>
  <c r="B21" i="4"/>
  <c r="B21" i="3"/>
  <c r="C21" i="2"/>
  <c r="B9" i="4"/>
  <c r="B9" i="3"/>
  <c r="B9" i="9"/>
  <c r="C9" i="2"/>
  <c r="B44" i="3"/>
  <c r="B44" i="4"/>
  <c r="C44" i="2"/>
  <c r="B32" i="4"/>
  <c r="B32" i="3"/>
  <c r="C32" i="2"/>
  <c r="B20" i="4"/>
  <c r="B20" i="3"/>
  <c r="C20" i="2"/>
  <c r="B8" i="9"/>
  <c r="B8" i="4"/>
  <c r="B8" i="3"/>
  <c r="C8" i="2"/>
  <c r="B43" i="3"/>
  <c r="B43" i="4"/>
  <c r="C43" i="2"/>
  <c r="B31" i="4"/>
  <c r="B31" i="3"/>
  <c r="C31" i="2"/>
  <c r="B19" i="4"/>
  <c r="B19" i="3"/>
  <c r="C19" i="2"/>
  <c r="B7" i="3"/>
  <c r="B7" i="4"/>
  <c r="C7" i="2"/>
  <c r="C42" i="2"/>
  <c r="B42" i="3"/>
  <c r="B42" i="4"/>
  <c r="B30" i="4"/>
  <c r="C30" i="2"/>
  <c r="B30" i="3"/>
  <c r="B18" i="4"/>
  <c r="C18" i="2"/>
  <c r="B18" i="3"/>
  <c r="B6" i="3"/>
  <c r="B6" i="4"/>
  <c r="C6" i="2"/>
  <c r="B41" i="3"/>
  <c r="C41" i="2"/>
  <c r="B41" i="4"/>
  <c r="B29" i="3"/>
  <c r="C29" i="2"/>
  <c r="B29" i="4"/>
  <c r="B17" i="3"/>
  <c r="B17" i="9"/>
  <c r="C17" i="2"/>
  <c r="B17" i="4"/>
  <c r="B5" i="4"/>
  <c r="B5" i="3"/>
  <c r="C5" i="2"/>
  <c r="B40" i="4"/>
  <c r="C40" i="2"/>
  <c r="B40" i="3"/>
  <c r="B28" i="3"/>
  <c r="B28" i="4"/>
  <c r="C28" i="2"/>
  <c r="C16" i="2"/>
  <c r="B16" i="3"/>
  <c r="B16" i="4"/>
  <c r="C4" i="2"/>
  <c r="B4" i="3"/>
  <c r="B4" i="9"/>
  <c r="B4" i="4"/>
  <c r="C39" i="2"/>
  <c r="B39" i="4"/>
  <c r="B39" i="3"/>
  <c r="B27" i="3"/>
  <c r="B27" i="4"/>
  <c r="C27" i="2"/>
  <c r="B3" i="3"/>
  <c r="C3" i="2"/>
  <c r="B3" i="9"/>
  <c r="B3" i="4"/>
  <c r="C38" i="2"/>
  <c r="B38" i="3"/>
  <c r="B38" i="4"/>
  <c r="B26" i="3"/>
  <c r="B26" i="4"/>
  <c r="C26" i="2"/>
  <c r="B14" i="3"/>
  <c r="C14" i="2"/>
  <c r="B14" i="4"/>
  <c r="C18" i="1"/>
  <c r="F38" i="9"/>
  <c r="F39" i="9"/>
  <c r="F40" i="9"/>
  <c r="F41" i="9"/>
  <c r="F42" i="9"/>
  <c r="F43" i="9"/>
  <c r="F44" i="9"/>
  <c r="F45" i="9"/>
  <c r="G46" i="4"/>
  <c r="G47" i="4"/>
  <c r="G48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A34" i="9" a="1"/>
  <c r="A34" i="9" s="1"/>
  <c r="E34" i="9" s="1"/>
  <c r="C999" i="1"/>
  <c r="C1000" i="1"/>
  <c r="G5" i="9"/>
  <c r="G6" i="9"/>
  <c r="G7" i="9"/>
  <c r="G10" i="9"/>
  <c r="G12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H23" i="7"/>
  <c r="H24" i="7"/>
  <c r="H25" i="7"/>
  <c r="H26" i="7"/>
  <c r="H27" i="7"/>
  <c r="H28" i="7"/>
  <c r="H29" i="7"/>
  <c r="H30" i="7"/>
  <c r="H31" i="7"/>
  <c r="H3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B1000" i="10" a="1"/>
  <c r="B1000" i="10" s="1"/>
  <c r="B999" i="10" a="1"/>
  <c r="B999" i="10" s="1"/>
  <c r="B998" i="10" a="1"/>
  <c r="B998" i="10" s="1"/>
  <c r="B997" i="10" a="1"/>
  <c r="B997" i="10" s="1"/>
  <c r="B996" i="10" a="1"/>
  <c r="B996" i="10" s="1"/>
  <c r="B995" i="10" a="1"/>
  <c r="B995" i="10" s="1"/>
  <c r="B994" i="10" a="1"/>
  <c r="B994" i="10" s="1"/>
  <c r="B993" i="10" a="1"/>
  <c r="B993" i="10" s="1"/>
  <c r="B992" i="10" a="1"/>
  <c r="B992" i="10" s="1"/>
  <c r="B991" i="10" a="1"/>
  <c r="B991" i="10" s="1"/>
  <c r="B990" i="10" a="1"/>
  <c r="B990" i="10" s="1"/>
  <c r="B989" i="10" a="1"/>
  <c r="B989" i="10" s="1"/>
  <c r="B988" i="10" a="1"/>
  <c r="B988" i="10" s="1"/>
  <c r="B987" i="10" a="1"/>
  <c r="B987" i="10" s="1"/>
  <c r="B986" i="10" a="1"/>
  <c r="B986" i="10" s="1"/>
  <c r="B985" i="10" a="1"/>
  <c r="B985" i="10" s="1"/>
  <c r="B984" i="10" a="1"/>
  <c r="B984" i="10" s="1"/>
  <c r="B983" i="10" a="1"/>
  <c r="B983" i="10" s="1"/>
  <c r="B982" i="10" a="1"/>
  <c r="B982" i="10" s="1"/>
  <c r="B981" i="10" a="1"/>
  <c r="B981" i="10" s="1"/>
  <c r="B980" i="10" a="1"/>
  <c r="B980" i="10" s="1"/>
  <c r="B979" i="10" a="1"/>
  <c r="B979" i="10" s="1"/>
  <c r="B978" i="10" a="1"/>
  <c r="B978" i="10" s="1"/>
  <c r="B977" i="10" a="1"/>
  <c r="B977" i="10" s="1"/>
  <c r="B976" i="10" a="1"/>
  <c r="B976" i="10" s="1"/>
  <c r="B975" i="10" a="1"/>
  <c r="B975" i="10" s="1"/>
  <c r="B974" i="10" a="1"/>
  <c r="B974" i="10" s="1"/>
  <c r="B973" i="10" a="1"/>
  <c r="B973" i="10" s="1"/>
  <c r="B972" i="10" a="1"/>
  <c r="B972" i="10" s="1"/>
  <c r="B971" i="10" a="1"/>
  <c r="B971" i="10" s="1"/>
  <c r="B970" i="10" a="1"/>
  <c r="B970" i="10" s="1"/>
  <c r="B969" i="10" a="1"/>
  <c r="B969" i="10" s="1"/>
  <c r="B968" i="10" a="1"/>
  <c r="B968" i="10" s="1"/>
  <c r="B967" i="10" a="1"/>
  <c r="B967" i="10" s="1"/>
  <c r="B966" i="10" a="1"/>
  <c r="B966" i="10" s="1"/>
  <c r="B965" i="10" a="1"/>
  <c r="B965" i="10" s="1"/>
  <c r="B964" i="10" a="1"/>
  <c r="B964" i="10" s="1"/>
  <c r="B963" i="10" a="1"/>
  <c r="B963" i="10" s="1"/>
  <c r="B962" i="10" a="1"/>
  <c r="B962" i="10" s="1"/>
  <c r="B961" i="10" a="1"/>
  <c r="B961" i="10" s="1"/>
  <c r="B960" i="10" a="1"/>
  <c r="B960" i="10" s="1"/>
  <c r="B959" i="10" a="1"/>
  <c r="B959" i="10" s="1"/>
  <c r="B958" i="10" a="1"/>
  <c r="B958" i="10" s="1"/>
  <c r="B957" i="10" a="1"/>
  <c r="B957" i="10" s="1"/>
  <c r="B956" i="10" a="1"/>
  <c r="B956" i="10" s="1"/>
  <c r="B955" i="10" a="1"/>
  <c r="B955" i="10" s="1"/>
  <c r="B954" i="10" a="1"/>
  <c r="B954" i="10" s="1"/>
  <c r="B953" i="10" a="1"/>
  <c r="B953" i="10" s="1"/>
  <c r="B952" i="10" a="1"/>
  <c r="B952" i="10" s="1"/>
  <c r="B951" i="10" a="1"/>
  <c r="B951" i="10" s="1"/>
  <c r="B950" i="10" a="1"/>
  <c r="B950" i="10" s="1"/>
  <c r="B949" i="10" a="1"/>
  <c r="B949" i="10" s="1"/>
  <c r="B948" i="10" a="1"/>
  <c r="B948" i="10" s="1"/>
  <c r="B947" i="10" a="1"/>
  <c r="B947" i="10" s="1"/>
  <c r="B946" i="10" a="1"/>
  <c r="B946" i="10" s="1"/>
  <c r="B945" i="10" a="1"/>
  <c r="B945" i="10" s="1"/>
  <c r="B944" i="10" a="1"/>
  <c r="B944" i="10" s="1"/>
  <c r="B943" i="10" a="1"/>
  <c r="B943" i="10" s="1"/>
  <c r="B942" i="10" a="1"/>
  <c r="B942" i="10" s="1"/>
  <c r="B941" i="10" a="1"/>
  <c r="B941" i="10" s="1"/>
  <c r="B940" i="10" a="1"/>
  <c r="B940" i="10" s="1"/>
  <c r="B939" i="10" a="1"/>
  <c r="B939" i="10" s="1"/>
  <c r="B938" i="10" a="1"/>
  <c r="B938" i="10" s="1"/>
  <c r="B937" i="10" a="1"/>
  <c r="B937" i="10" s="1"/>
  <c r="B936" i="10" a="1"/>
  <c r="B936" i="10" s="1"/>
  <c r="B935" i="10" a="1"/>
  <c r="B935" i="10" s="1"/>
  <c r="B934" i="10" a="1"/>
  <c r="B934" i="10" s="1"/>
  <c r="B933" i="10" a="1"/>
  <c r="B933" i="10" s="1"/>
  <c r="B932" i="10" a="1"/>
  <c r="B932" i="10" s="1"/>
  <c r="B931" i="10" a="1"/>
  <c r="B931" i="10" s="1"/>
  <c r="B930" i="10" a="1"/>
  <c r="B930" i="10" s="1"/>
  <c r="B929" i="10" a="1"/>
  <c r="B929" i="10" s="1"/>
  <c r="B928" i="10" a="1"/>
  <c r="B928" i="10" s="1"/>
  <c r="B927" i="10" a="1"/>
  <c r="B927" i="10" s="1"/>
  <c r="B926" i="10" a="1"/>
  <c r="B926" i="10" s="1"/>
  <c r="B925" i="10" a="1"/>
  <c r="B925" i="10" s="1"/>
  <c r="B924" i="10" a="1"/>
  <c r="B924" i="10" s="1"/>
  <c r="B923" i="10" a="1"/>
  <c r="B923" i="10" s="1"/>
  <c r="B922" i="10" a="1"/>
  <c r="B922" i="10" s="1"/>
  <c r="B921" i="10" a="1"/>
  <c r="B921" i="10" s="1"/>
  <c r="B920" i="10" a="1"/>
  <c r="B920" i="10" s="1"/>
  <c r="B919" i="10" a="1"/>
  <c r="B919" i="10" s="1"/>
  <c r="B918" i="10" a="1"/>
  <c r="B918" i="10" s="1"/>
  <c r="B917" i="10" a="1"/>
  <c r="B917" i="10" s="1"/>
  <c r="B916" i="10" a="1"/>
  <c r="B916" i="10" s="1"/>
  <c r="B915" i="10" a="1"/>
  <c r="B915" i="10" s="1"/>
  <c r="B914" i="10" a="1"/>
  <c r="B914" i="10" s="1"/>
  <c r="B913" i="10" a="1"/>
  <c r="B913" i="10" s="1"/>
  <c r="B912" i="10" a="1"/>
  <c r="B912" i="10" s="1"/>
  <c r="B911" i="10" a="1"/>
  <c r="B911" i="10" s="1"/>
  <c r="B910" i="10" a="1"/>
  <c r="B910" i="10" s="1"/>
  <c r="B909" i="10" a="1"/>
  <c r="B909" i="10" s="1"/>
  <c r="B908" i="10" a="1"/>
  <c r="B908" i="10" s="1"/>
  <c r="B907" i="10" a="1"/>
  <c r="B907" i="10" s="1"/>
  <c r="B906" i="10" a="1"/>
  <c r="B906" i="10" s="1"/>
  <c r="B905" i="10" a="1"/>
  <c r="B905" i="10" s="1"/>
  <c r="B904" i="10" a="1"/>
  <c r="B904" i="10" s="1"/>
  <c r="B903" i="10" a="1"/>
  <c r="B903" i="10" s="1"/>
  <c r="B902" i="10" a="1"/>
  <c r="B902" i="10" s="1"/>
  <c r="B901" i="10" a="1"/>
  <c r="B901" i="10" s="1"/>
  <c r="B900" i="10" a="1"/>
  <c r="B900" i="10" s="1"/>
  <c r="B899" i="10" a="1"/>
  <c r="B899" i="10" s="1"/>
  <c r="B898" i="10" a="1"/>
  <c r="B898" i="10" s="1"/>
  <c r="B897" i="10" a="1"/>
  <c r="B897" i="10" s="1"/>
  <c r="B896" i="10" a="1"/>
  <c r="B896" i="10" s="1"/>
  <c r="B895" i="10" a="1"/>
  <c r="B895" i="10" s="1"/>
  <c r="B894" i="10" a="1"/>
  <c r="B894" i="10" s="1"/>
  <c r="B893" i="10" a="1"/>
  <c r="B893" i="10" s="1"/>
  <c r="B892" i="10" a="1"/>
  <c r="B892" i="10" s="1"/>
  <c r="B891" i="10" a="1"/>
  <c r="B891" i="10" s="1"/>
  <c r="B890" i="10" a="1"/>
  <c r="B890" i="10" s="1"/>
  <c r="B889" i="10" a="1"/>
  <c r="B889" i="10" s="1"/>
  <c r="B888" i="10" a="1"/>
  <c r="B888" i="10" s="1"/>
  <c r="B887" i="10" a="1"/>
  <c r="B887" i="10" s="1"/>
  <c r="B886" i="10" a="1"/>
  <c r="B886" i="10" s="1"/>
  <c r="B885" i="10" a="1"/>
  <c r="B885" i="10" s="1"/>
  <c r="B884" i="10" a="1"/>
  <c r="B884" i="10" s="1"/>
  <c r="B883" i="10" a="1"/>
  <c r="B883" i="10" s="1"/>
  <c r="B882" i="10" a="1"/>
  <c r="B882" i="10" s="1"/>
  <c r="B881" i="10" a="1"/>
  <c r="B881" i="10" s="1"/>
  <c r="B880" i="10" a="1"/>
  <c r="B880" i="10" s="1"/>
  <c r="B879" i="10" a="1"/>
  <c r="B879" i="10" s="1"/>
  <c r="B878" i="10" a="1"/>
  <c r="B878" i="10" s="1"/>
  <c r="B877" i="10" a="1"/>
  <c r="B877" i="10" s="1"/>
  <c r="B876" i="10" a="1"/>
  <c r="B876" i="10" s="1"/>
  <c r="B875" i="10" a="1"/>
  <c r="B875" i="10" s="1"/>
  <c r="B874" i="10" a="1"/>
  <c r="B874" i="10" s="1"/>
  <c r="B873" i="10" a="1"/>
  <c r="B873" i="10" s="1"/>
  <c r="B872" i="10" a="1"/>
  <c r="B872" i="10" s="1"/>
  <c r="B871" i="10" a="1"/>
  <c r="B871" i="10" s="1"/>
  <c r="B870" i="10" a="1"/>
  <c r="B870" i="10" s="1"/>
  <c r="B869" i="10" a="1"/>
  <c r="B869" i="10" s="1"/>
  <c r="B868" i="10" a="1"/>
  <c r="B868" i="10" s="1"/>
  <c r="B867" i="10" a="1"/>
  <c r="B867" i="10" s="1"/>
  <c r="B866" i="10" a="1"/>
  <c r="B866" i="10" s="1"/>
  <c r="B865" i="10" a="1"/>
  <c r="B865" i="10" s="1"/>
  <c r="B864" i="10" a="1"/>
  <c r="B864" i="10" s="1"/>
  <c r="B863" i="10" a="1"/>
  <c r="B863" i="10" s="1"/>
  <c r="B862" i="10" a="1"/>
  <c r="B862" i="10" s="1"/>
  <c r="B861" i="10" a="1"/>
  <c r="B861" i="10" s="1"/>
  <c r="B860" i="10" a="1"/>
  <c r="B860" i="10" s="1"/>
  <c r="B859" i="10" a="1"/>
  <c r="B859" i="10" s="1"/>
  <c r="B858" i="10" a="1"/>
  <c r="B858" i="10" s="1"/>
  <c r="B857" i="10" a="1"/>
  <c r="B857" i="10" s="1"/>
  <c r="B856" i="10" a="1"/>
  <c r="B856" i="10" s="1"/>
  <c r="B855" i="10" a="1"/>
  <c r="B855" i="10" s="1"/>
  <c r="B854" i="10" a="1"/>
  <c r="B854" i="10" s="1"/>
  <c r="B853" i="10" a="1"/>
  <c r="B853" i="10" s="1"/>
  <c r="B852" i="10" a="1"/>
  <c r="B852" i="10" s="1"/>
  <c r="B851" i="10" a="1"/>
  <c r="B851" i="10" s="1"/>
  <c r="B850" i="10" a="1"/>
  <c r="B850" i="10" s="1"/>
  <c r="B849" i="10" a="1"/>
  <c r="B849" i="10" s="1"/>
  <c r="B848" i="10" a="1"/>
  <c r="B848" i="10" s="1"/>
  <c r="B847" i="10" a="1"/>
  <c r="B847" i="10" s="1"/>
  <c r="B846" i="10" a="1"/>
  <c r="B846" i="10" s="1"/>
  <c r="B845" i="10" a="1"/>
  <c r="B845" i="10" s="1"/>
  <c r="B844" i="10" a="1"/>
  <c r="B844" i="10" s="1"/>
  <c r="B843" i="10" a="1"/>
  <c r="B843" i="10" s="1"/>
  <c r="B842" i="10" a="1"/>
  <c r="B842" i="10" s="1"/>
  <c r="B841" i="10" a="1"/>
  <c r="B841" i="10" s="1"/>
  <c r="B840" i="10" a="1"/>
  <c r="B840" i="10" s="1"/>
  <c r="B839" i="10" a="1"/>
  <c r="B839" i="10" s="1"/>
  <c r="B838" i="10" a="1"/>
  <c r="B838" i="10" s="1"/>
  <c r="B837" i="10" a="1"/>
  <c r="B837" i="10" s="1"/>
  <c r="B836" i="10" a="1"/>
  <c r="B836" i="10" s="1"/>
  <c r="B835" i="10" a="1"/>
  <c r="B835" i="10" s="1"/>
  <c r="B834" i="10" a="1"/>
  <c r="B834" i="10" s="1"/>
  <c r="B833" i="10" a="1"/>
  <c r="B833" i="10" s="1"/>
  <c r="B832" i="10" a="1"/>
  <c r="B832" i="10" s="1"/>
  <c r="B831" i="10" a="1"/>
  <c r="B831" i="10" s="1"/>
  <c r="B830" i="10" a="1"/>
  <c r="B830" i="10" s="1"/>
  <c r="B829" i="10" a="1"/>
  <c r="B829" i="10" s="1"/>
  <c r="B828" i="10" a="1"/>
  <c r="B828" i="10" s="1"/>
  <c r="B827" i="10" a="1"/>
  <c r="B827" i="10" s="1"/>
  <c r="B826" i="10" a="1"/>
  <c r="B826" i="10" s="1"/>
  <c r="B825" i="10" a="1"/>
  <c r="B825" i="10" s="1"/>
  <c r="B824" i="10" a="1"/>
  <c r="B824" i="10" s="1"/>
  <c r="B823" i="10" a="1"/>
  <c r="B823" i="10" s="1"/>
  <c r="B822" i="10" a="1"/>
  <c r="B822" i="10" s="1"/>
  <c r="B821" i="10" a="1"/>
  <c r="B821" i="10" s="1"/>
  <c r="B820" i="10" a="1"/>
  <c r="B820" i="10" s="1"/>
  <c r="B819" i="10" a="1"/>
  <c r="B819" i="10" s="1"/>
  <c r="B818" i="10" a="1"/>
  <c r="B818" i="10" s="1"/>
  <c r="B817" i="10" a="1"/>
  <c r="B817" i="10" s="1"/>
  <c r="B816" i="10" a="1"/>
  <c r="B816" i="10" s="1"/>
  <c r="B815" i="10" a="1"/>
  <c r="B815" i="10" s="1"/>
  <c r="B814" i="10" a="1"/>
  <c r="B814" i="10" s="1"/>
  <c r="B813" i="10" a="1"/>
  <c r="B813" i="10" s="1"/>
  <c r="B812" i="10" a="1"/>
  <c r="B812" i="10" s="1"/>
  <c r="B811" i="10" a="1"/>
  <c r="B811" i="10" s="1"/>
  <c r="B810" i="10" a="1"/>
  <c r="B810" i="10" s="1"/>
  <c r="B809" i="10" a="1"/>
  <c r="B809" i="10" s="1"/>
  <c r="B808" i="10" a="1"/>
  <c r="B808" i="10" s="1"/>
  <c r="B807" i="10" a="1"/>
  <c r="B807" i="10" s="1"/>
  <c r="B806" i="10" a="1"/>
  <c r="B806" i="10" s="1"/>
  <c r="B805" i="10" a="1"/>
  <c r="B805" i="10" s="1"/>
  <c r="B804" i="10" a="1"/>
  <c r="B804" i="10" s="1"/>
  <c r="B803" i="10" a="1"/>
  <c r="B803" i="10" s="1"/>
  <c r="B802" i="10" a="1"/>
  <c r="B802" i="10" s="1"/>
  <c r="B801" i="10" a="1"/>
  <c r="B801" i="10" s="1"/>
  <c r="B800" i="10" a="1"/>
  <c r="B800" i="10" s="1"/>
  <c r="B799" i="10" a="1"/>
  <c r="B799" i="10" s="1"/>
  <c r="B798" i="10" a="1"/>
  <c r="B798" i="10" s="1"/>
  <c r="B797" i="10" a="1"/>
  <c r="B797" i="10" s="1"/>
  <c r="B796" i="10" a="1"/>
  <c r="B796" i="10" s="1"/>
  <c r="B795" i="10" a="1"/>
  <c r="B795" i="10" s="1"/>
  <c r="B794" i="10" a="1"/>
  <c r="B794" i="10" s="1"/>
  <c r="B793" i="10" a="1"/>
  <c r="B793" i="10" s="1"/>
  <c r="B792" i="10" a="1"/>
  <c r="B792" i="10" s="1"/>
  <c r="B791" i="10" a="1"/>
  <c r="B791" i="10" s="1"/>
  <c r="B790" i="10" a="1"/>
  <c r="B790" i="10" s="1"/>
  <c r="B789" i="10" a="1"/>
  <c r="B789" i="10" s="1"/>
  <c r="B788" i="10" a="1"/>
  <c r="B788" i="10" s="1"/>
  <c r="B787" i="10" a="1"/>
  <c r="B787" i="10" s="1"/>
  <c r="B786" i="10" a="1"/>
  <c r="B786" i="10" s="1"/>
  <c r="B785" i="10" a="1"/>
  <c r="B785" i="10" s="1"/>
  <c r="B784" i="10" a="1"/>
  <c r="B784" i="10" s="1"/>
  <c r="B783" i="10" a="1"/>
  <c r="B783" i="10" s="1"/>
  <c r="B782" i="10" a="1"/>
  <c r="B782" i="10" s="1"/>
  <c r="B781" i="10" a="1"/>
  <c r="B781" i="10" s="1"/>
  <c r="B780" i="10" a="1"/>
  <c r="B780" i="10" s="1"/>
  <c r="B779" i="10" a="1"/>
  <c r="B779" i="10" s="1"/>
  <c r="B778" i="10" a="1"/>
  <c r="B778" i="10" s="1"/>
  <c r="B777" i="10" a="1"/>
  <c r="B777" i="10" s="1"/>
  <c r="B776" i="10" a="1"/>
  <c r="B776" i="10" s="1"/>
  <c r="B775" i="10" a="1"/>
  <c r="B775" i="10" s="1"/>
  <c r="B774" i="10" a="1"/>
  <c r="B774" i="10" s="1"/>
  <c r="B773" i="10" a="1"/>
  <c r="B773" i="10" s="1"/>
  <c r="B772" i="10" a="1"/>
  <c r="B772" i="10" s="1"/>
  <c r="B771" i="10" a="1"/>
  <c r="B771" i="10" s="1"/>
  <c r="B770" i="10" a="1"/>
  <c r="B770" i="10" s="1"/>
  <c r="B769" i="10" a="1"/>
  <c r="B769" i="10" s="1"/>
  <c r="B768" i="10" a="1"/>
  <c r="B768" i="10" s="1"/>
  <c r="B767" i="10" a="1"/>
  <c r="B767" i="10" s="1"/>
  <c r="B766" i="10" a="1"/>
  <c r="B766" i="10" s="1"/>
  <c r="B765" i="10" a="1"/>
  <c r="B765" i="10" s="1"/>
  <c r="B764" i="10" a="1"/>
  <c r="B764" i="10" s="1"/>
  <c r="B763" i="10" a="1"/>
  <c r="B763" i="10" s="1"/>
  <c r="B762" i="10" a="1"/>
  <c r="B762" i="10" s="1"/>
  <c r="B761" i="10" a="1"/>
  <c r="B761" i="10" s="1"/>
  <c r="B760" i="10" a="1"/>
  <c r="B760" i="10" s="1"/>
  <c r="B759" i="10" a="1"/>
  <c r="B759" i="10" s="1"/>
  <c r="B758" i="10" a="1"/>
  <c r="B758" i="10" s="1"/>
  <c r="B757" i="10" a="1"/>
  <c r="B757" i="10" s="1"/>
  <c r="B756" i="10" a="1"/>
  <c r="B756" i="10" s="1"/>
  <c r="B755" i="10" a="1"/>
  <c r="B755" i="10" s="1"/>
  <c r="B754" i="10" a="1"/>
  <c r="B754" i="10" s="1"/>
  <c r="B753" i="10" a="1"/>
  <c r="B753" i="10" s="1"/>
  <c r="B752" i="10" a="1"/>
  <c r="B752" i="10" s="1"/>
  <c r="B751" i="10" a="1"/>
  <c r="B751" i="10" s="1"/>
  <c r="B750" i="10" a="1"/>
  <c r="B750" i="10" s="1"/>
  <c r="B749" i="10" a="1"/>
  <c r="B749" i="10" s="1"/>
  <c r="B748" i="10" a="1"/>
  <c r="B748" i="10" s="1"/>
  <c r="B747" i="10" a="1"/>
  <c r="B747" i="10" s="1"/>
  <c r="B746" i="10" a="1"/>
  <c r="B746" i="10" s="1"/>
  <c r="B745" i="10" a="1"/>
  <c r="B745" i="10" s="1"/>
  <c r="B744" i="10" a="1"/>
  <c r="B744" i="10" s="1"/>
  <c r="B743" i="10" a="1"/>
  <c r="B743" i="10" s="1"/>
  <c r="B742" i="10" a="1"/>
  <c r="B742" i="10" s="1"/>
  <c r="B741" i="10" a="1"/>
  <c r="B741" i="10" s="1"/>
  <c r="B740" i="10" a="1"/>
  <c r="B740" i="10" s="1"/>
  <c r="B739" i="10" a="1"/>
  <c r="B739" i="10" s="1"/>
  <c r="B738" i="10" a="1"/>
  <c r="B738" i="10" s="1"/>
  <c r="B737" i="10" a="1"/>
  <c r="B737" i="10" s="1"/>
  <c r="B736" i="10" a="1"/>
  <c r="B736" i="10" s="1"/>
  <c r="B735" i="10" a="1"/>
  <c r="B735" i="10" s="1"/>
  <c r="B734" i="10" a="1"/>
  <c r="B734" i="10" s="1"/>
  <c r="B733" i="10" a="1"/>
  <c r="B733" i="10" s="1"/>
  <c r="B732" i="10" a="1"/>
  <c r="B732" i="10" s="1"/>
  <c r="B731" i="10" a="1"/>
  <c r="B731" i="10" s="1"/>
  <c r="B730" i="10" a="1"/>
  <c r="B730" i="10" s="1"/>
  <c r="B729" i="10" a="1"/>
  <c r="B729" i="10" s="1"/>
  <c r="B728" i="10" a="1"/>
  <c r="B728" i="10" s="1"/>
  <c r="B727" i="10" a="1"/>
  <c r="B727" i="10" s="1"/>
  <c r="B726" i="10" a="1"/>
  <c r="B726" i="10" s="1"/>
  <c r="B725" i="10" a="1"/>
  <c r="B725" i="10" s="1"/>
  <c r="B724" i="10" a="1"/>
  <c r="B724" i="10" s="1"/>
  <c r="B723" i="10" a="1"/>
  <c r="B723" i="10" s="1"/>
  <c r="B722" i="10" a="1"/>
  <c r="B722" i="10" s="1"/>
  <c r="B721" i="10" a="1"/>
  <c r="B721" i="10" s="1"/>
  <c r="B720" i="10" a="1"/>
  <c r="B720" i="10" s="1"/>
  <c r="B719" i="10" a="1"/>
  <c r="B719" i="10" s="1"/>
  <c r="B718" i="10" a="1"/>
  <c r="B718" i="10" s="1"/>
  <c r="B717" i="10" a="1"/>
  <c r="B717" i="10" s="1"/>
  <c r="B716" i="10" a="1"/>
  <c r="B716" i="10" s="1"/>
  <c r="B715" i="10" a="1"/>
  <c r="B715" i="10" s="1"/>
  <c r="B714" i="10" a="1"/>
  <c r="B714" i="10" s="1"/>
  <c r="B713" i="10" a="1"/>
  <c r="B713" i="10" s="1"/>
  <c r="B712" i="10" a="1"/>
  <c r="B712" i="10" s="1"/>
  <c r="B711" i="10" a="1"/>
  <c r="B711" i="10" s="1"/>
  <c r="B710" i="10" a="1"/>
  <c r="B710" i="10" s="1"/>
  <c r="B709" i="10" a="1"/>
  <c r="B709" i="10" s="1"/>
  <c r="B708" i="10" a="1"/>
  <c r="B708" i="10" s="1"/>
  <c r="B707" i="10" a="1"/>
  <c r="B707" i="10" s="1"/>
  <c r="B706" i="10" a="1"/>
  <c r="B706" i="10" s="1"/>
  <c r="B705" i="10" a="1"/>
  <c r="B705" i="10" s="1"/>
  <c r="B704" i="10" a="1"/>
  <c r="B704" i="10" s="1"/>
  <c r="B703" i="10" a="1"/>
  <c r="B703" i="10" s="1"/>
  <c r="B702" i="10" a="1"/>
  <c r="B702" i="10" s="1"/>
  <c r="B701" i="10" a="1"/>
  <c r="B701" i="10" s="1"/>
  <c r="B700" i="10" a="1"/>
  <c r="B700" i="10" s="1"/>
  <c r="B699" i="10" a="1"/>
  <c r="B699" i="10" s="1"/>
  <c r="B698" i="10" a="1"/>
  <c r="B698" i="10" s="1"/>
  <c r="B697" i="10" a="1"/>
  <c r="B697" i="10" s="1"/>
  <c r="B696" i="10" a="1"/>
  <c r="B696" i="10" s="1"/>
  <c r="B695" i="10" a="1"/>
  <c r="B695" i="10" s="1"/>
  <c r="B694" i="10" a="1"/>
  <c r="B694" i="10" s="1"/>
  <c r="B693" i="10" a="1"/>
  <c r="B693" i="10" s="1"/>
  <c r="B692" i="10" a="1"/>
  <c r="B692" i="10" s="1"/>
  <c r="B691" i="10" a="1"/>
  <c r="B691" i="10" s="1"/>
  <c r="B690" i="10" a="1"/>
  <c r="B690" i="10" s="1"/>
  <c r="B689" i="10" a="1"/>
  <c r="B689" i="10" s="1"/>
  <c r="B688" i="10" a="1"/>
  <c r="B688" i="10" s="1"/>
  <c r="B687" i="10" a="1"/>
  <c r="B687" i="10" s="1"/>
  <c r="B686" i="10" a="1"/>
  <c r="B686" i="10" s="1"/>
  <c r="B685" i="10" a="1"/>
  <c r="B685" i="10" s="1"/>
  <c r="B684" i="10" a="1"/>
  <c r="B684" i="10" s="1"/>
  <c r="B683" i="10" a="1"/>
  <c r="B683" i="10" s="1"/>
  <c r="B682" i="10" a="1"/>
  <c r="B682" i="10" s="1"/>
  <c r="B681" i="10" a="1"/>
  <c r="B681" i="10" s="1"/>
  <c r="B680" i="10" a="1"/>
  <c r="B680" i="10" s="1"/>
  <c r="B679" i="10" a="1"/>
  <c r="B679" i="10" s="1"/>
  <c r="B678" i="10" a="1"/>
  <c r="B678" i="10" s="1"/>
  <c r="B677" i="10" a="1"/>
  <c r="B677" i="10" s="1"/>
  <c r="B676" i="10" a="1"/>
  <c r="B676" i="10" s="1"/>
  <c r="B675" i="10" a="1"/>
  <c r="B675" i="10" s="1"/>
  <c r="B674" i="10" a="1"/>
  <c r="B674" i="10" s="1"/>
  <c r="B673" i="10" a="1"/>
  <c r="B673" i="10" s="1"/>
  <c r="B672" i="10" a="1"/>
  <c r="B672" i="10" s="1"/>
  <c r="B671" i="10" a="1"/>
  <c r="B671" i="10" s="1"/>
  <c r="B670" i="10" a="1"/>
  <c r="B670" i="10" s="1"/>
  <c r="B669" i="10" a="1"/>
  <c r="B669" i="10" s="1"/>
  <c r="B668" i="10" a="1"/>
  <c r="B668" i="10" s="1"/>
  <c r="B667" i="10" a="1"/>
  <c r="B667" i="10" s="1"/>
  <c r="B666" i="10" a="1"/>
  <c r="B666" i="10" s="1"/>
  <c r="B665" i="10" a="1"/>
  <c r="B665" i="10" s="1"/>
  <c r="B664" i="10" a="1"/>
  <c r="B664" i="10" s="1"/>
  <c r="B663" i="10" a="1"/>
  <c r="B663" i="10" s="1"/>
  <c r="B662" i="10" a="1"/>
  <c r="B662" i="10" s="1"/>
  <c r="B661" i="10" a="1"/>
  <c r="B661" i="10" s="1"/>
  <c r="B660" i="10" a="1"/>
  <c r="B660" i="10" s="1"/>
  <c r="B659" i="10" a="1"/>
  <c r="B659" i="10" s="1"/>
  <c r="B658" i="10" a="1"/>
  <c r="B658" i="10" s="1"/>
  <c r="B657" i="10" a="1"/>
  <c r="B657" i="10" s="1"/>
  <c r="B656" i="10" a="1"/>
  <c r="B656" i="10" s="1"/>
  <c r="B655" i="10" a="1"/>
  <c r="B655" i="10" s="1"/>
  <c r="B654" i="10" a="1"/>
  <c r="B654" i="10" s="1"/>
  <c r="B653" i="10" a="1"/>
  <c r="B653" i="10" s="1"/>
  <c r="B652" i="10" a="1"/>
  <c r="B652" i="10" s="1"/>
  <c r="B651" i="10" a="1"/>
  <c r="B651" i="10" s="1"/>
  <c r="B650" i="10" a="1"/>
  <c r="B650" i="10" s="1"/>
  <c r="B649" i="10" a="1"/>
  <c r="B649" i="10" s="1"/>
  <c r="B648" i="10" a="1"/>
  <c r="B648" i="10" s="1"/>
  <c r="B647" i="10" a="1"/>
  <c r="B647" i="10" s="1"/>
  <c r="B646" i="10" a="1"/>
  <c r="B646" i="10" s="1"/>
  <c r="B645" i="10" a="1"/>
  <c r="B645" i="10" s="1"/>
  <c r="B644" i="10" a="1"/>
  <c r="B644" i="10" s="1"/>
  <c r="B643" i="10" a="1"/>
  <c r="B643" i="10" s="1"/>
  <c r="B642" i="10" a="1"/>
  <c r="B642" i="10" s="1"/>
  <c r="B641" i="10" a="1"/>
  <c r="B641" i="10" s="1"/>
  <c r="B640" i="10" a="1"/>
  <c r="B640" i="10" s="1"/>
  <c r="B639" i="10" a="1"/>
  <c r="B639" i="10" s="1"/>
  <c r="B638" i="10" a="1"/>
  <c r="B638" i="10" s="1"/>
  <c r="B637" i="10" a="1"/>
  <c r="B637" i="10" s="1"/>
  <c r="B636" i="10" a="1"/>
  <c r="B636" i="10" s="1"/>
  <c r="B635" i="10" a="1"/>
  <c r="B635" i="10" s="1"/>
  <c r="B634" i="10" a="1"/>
  <c r="B634" i="10" s="1"/>
  <c r="B633" i="10" a="1"/>
  <c r="B633" i="10" s="1"/>
  <c r="B632" i="10" a="1"/>
  <c r="B632" i="10" s="1"/>
  <c r="B631" i="10" a="1"/>
  <c r="B631" i="10" s="1"/>
  <c r="B630" i="10" a="1"/>
  <c r="B630" i="10" s="1"/>
  <c r="B629" i="10" a="1"/>
  <c r="B629" i="10" s="1"/>
  <c r="B628" i="10" a="1"/>
  <c r="B628" i="10" s="1"/>
  <c r="B627" i="10" a="1"/>
  <c r="B627" i="10" s="1"/>
  <c r="B626" i="10" a="1"/>
  <c r="B626" i="10" s="1"/>
  <c r="B625" i="10" a="1"/>
  <c r="B625" i="10" s="1"/>
  <c r="B624" i="10" a="1"/>
  <c r="B624" i="10" s="1"/>
  <c r="B623" i="10" a="1"/>
  <c r="B623" i="10" s="1"/>
  <c r="B622" i="10" a="1"/>
  <c r="B622" i="10" s="1"/>
  <c r="B621" i="10" a="1"/>
  <c r="B621" i="10" s="1"/>
  <c r="B620" i="10" a="1"/>
  <c r="B620" i="10" s="1"/>
  <c r="B619" i="10" a="1"/>
  <c r="B619" i="10" s="1"/>
  <c r="B618" i="10" a="1"/>
  <c r="B618" i="10" s="1"/>
  <c r="B617" i="10" a="1"/>
  <c r="B617" i="10" s="1"/>
  <c r="B616" i="10" a="1"/>
  <c r="B616" i="10" s="1"/>
  <c r="B615" i="10" a="1"/>
  <c r="B615" i="10" s="1"/>
  <c r="B614" i="10" a="1"/>
  <c r="B614" i="10" s="1"/>
  <c r="B613" i="10" a="1"/>
  <c r="B613" i="10" s="1"/>
  <c r="B612" i="10" a="1"/>
  <c r="B612" i="10" s="1"/>
  <c r="B611" i="10" a="1"/>
  <c r="B611" i="10" s="1"/>
  <c r="B610" i="10" a="1"/>
  <c r="B610" i="10" s="1"/>
  <c r="B609" i="10" a="1"/>
  <c r="B609" i="10" s="1"/>
  <c r="B608" i="10" a="1"/>
  <c r="B608" i="10" s="1"/>
  <c r="B607" i="10" a="1"/>
  <c r="B607" i="10" s="1"/>
  <c r="B606" i="10" a="1"/>
  <c r="B606" i="10" s="1"/>
  <c r="B605" i="10" a="1"/>
  <c r="B605" i="10" s="1"/>
  <c r="B604" i="10" a="1"/>
  <c r="B604" i="10" s="1"/>
  <c r="B603" i="10" a="1"/>
  <c r="B603" i="10" s="1"/>
  <c r="B602" i="10" a="1"/>
  <c r="B602" i="10" s="1"/>
  <c r="B601" i="10" a="1"/>
  <c r="B601" i="10" s="1"/>
  <c r="B600" i="10" a="1"/>
  <c r="B600" i="10" s="1"/>
  <c r="B599" i="10" a="1"/>
  <c r="B599" i="10" s="1"/>
  <c r="B598" i="10" a="1"/>
  <c r="B598" i="10" s="1"/>
  <c r="B597" i="10" a="1"/>
  <c r="B597" i="10" s="1"/>
  <c r="B596" i="10" a="1"/>
  <c r="B596" i="10" s="1"/>
  <c r="B595" i="10" a="1"/>
  <c r="B595" i="10" s="1"/>
  <c r="B594" i="10" a="1"/>
  <c r="B594" i="10" s="1"/>
  <c r="B593" i="10" a="1"/>
  <c r="B593" i="10" s="1"/>
  <c r="B592" i="10" a="1"/>
  <c r="B592" i="10" s="1"/>
  <c r="B591" i="10" a="1"/>
  <c r="B591" i="10" s="1"/>
  <c r="B590" i="10" a="1"/>
  <c r="B590" i="10" s="1"/>
  <c r="B589" i="10" a="1"/>
  <c r="B589" i="10" s="1"/>
  <c r="B588" i="10" a="1"/>
  <c r="B588" i="10" s="1"/>
  <c r="B587" i="10" a="1"/>
  <c r="B587" i="10" s="1"/>
  <c r="B586" i="10" a="1"/>
  <c r="B586" i="10" s="1"/>
  <c r="B585" i="10" a="1"/>
  <c r="B585" i="10" s="1"/>
  <c r="B584" i="10" a="1"/>
  <c r="B584" i="10" s="1"/>
  <c r="B583" i="10" a="1"/>
  <c r="B583" i="10" s="1"/>
  <c r="B582" i="10" a="1"/>
  <c r="B582" i="10" s="1"/>
  <c r="B581" i="10" a="1"/>
  <c r="B581" i="10" s="1"/>
  <c r="B580" i="10" a="1"/>
  <c r="B580" i="10" s="1"/>
  <c r="B579" i="10" a="1"/>
  <c r="B579" i="10" s="1"/>
  <c r="B578" i="10" a="1"/>
  <c r="B578" i="10" s="1"/>
  <c r="B577" i="10" a="1"/>
  <c r="B577" i="10" s="1"/>
  <c r="B576" i="10" a="1"/>
  <c r="B576" i="10" s="1"/>
  <c r="B575" i="10" a="1"/>
  <c r="B575" i="10" s="1"/>
  <c r="B574" i="10" a="1"/>
  <c r="B574" i="10" s="1"/>
  <c r="B573" i="10" a="1"/>
  <c r="B573" i="10" s="1"/>
  <c r="B572" i="10" a="1"/>
  <c r="B572" i="10" s="1"/>
  <c r="B571" i="10" a="1"/>
  <c r="B571" i="10" s="1"/>
  <c r="B570" i="10" a="1"/>
  <c r="B570" i="10" s="1"/>
  <c r="B569" i="10" a="1"/>
  <c r="B569" i="10" s="1"/>
  <c r="B568" i="10" a="1"/>
  <c r="B568" i="10" s="1"/>
  <c r="B567" i="10" a="1"/>
  <c r="B567" i="10" s="1"/>
  <c r="B566" i="10" a="1"/>
  <c r="B566" i="10" s="1"/>
  <c r="B565" i="10" a="1"/>
  <c r="B565" i="10" s="1"/>
  <c r="B564" i="10" a="1"/>
  <c r="B564" i="10" s="1"/>
  <c r="B563" i="10" a="1"/>
  <c r="B563" i="10" s="1"/>
  <c r="B562" i="10" a="1"/>
  <c r="B562" i="10" s="1"/>
  <c r="B561" i="10" a="1"/>
  <c r="B561" i="10" s="1"/>
  <c r="B560" i="10" a="1"/>
  <c r="B560" i="10" s="1"/>
  <c r="B559" i="10" a="1"/>
  <c r="B559" i="10" s="1"/>
  <c r="B558" i="10" a="1"/>
  <c r="B558" i="10" s="1"/>
  <c r="B557" i="10" a="1"/>
  <c r="B557" i="10" s="1"/>
  <c r="B556" i="10" a="1"/>
  <c r="B556" i="10" s="1"/>
  <c r="B555" i="10" a="1"/>
  <c r="B555" i="10" s="1"/>
  <c r="B554" i="10" a="1"/>
  <c r="B554" i="10" s="1"/>
  <c r="B553" i="10" a="1"/>
  <c r="B553" i="10" s="1"/>
  <c r="B552" i="10" a="1"/>
  <c r="B552" i="10" s="1"/>
  <c r="B551" i="10" a="1"/>
  <c r="B551" i="10" s="1"/>
  <c r="B550" i="10" a="1"/>
  <c r="B550" i="10" s="1"/>
  <c r="B549" i="10" a="1"/>
  <c r="B549" i="10" s="1"/>
  <c r="B548" i="10" a="1"/>
  <c r="B548" i="10" s="1"/>
  <c r="B547" i="10" a="1"/>
  <c r="B547" i="10" s="1"/>
  <c r="B546" i="10" a="1"/>
  <c r="B546" i="10" s="1"/>
  <c r="B545" i="10" a="1"/>
  <c r="B545" i="10" s="1"/>
  <c r="B544" i="10" a="1"/>
  <c r="B544" i="10" s="1"/>
  <c r="B543" i="10" a="1"/>
  <c r="B543" i="10" s="1"/>
  <c r="B542" i="10" a="1"/>
  <c r="B542" i="10" s="1"/>
  <c r="B541" i="10" a="1"/>
  <c r="B541" i="10" s="1"/>
  <c r="B540" i="10" a="1"/>
  <c r="B540" i="10" s="1"/>
  <c r="B539" i="10" a="1"/>
  <c r="B539" i="10" s="1"/>
  <c r="B538" i="10" a="1"/>
  <c r="B538" i="10" s="1"/>
  <c r="B537" i="10" a="1"/>
  <c r="B537" i="10" s="1"/>
  <c r="B536" i="10" a="1"/>
  <c r="B536" i="10" s="1"/>
  <c r="B535" i="10" a="1"/>
  <c r="B535" i="10" s="1"/>
  <c r="B534" i="10" a="1"/>
  <c r="B534" i="10" s="1"/>
  <c r="B533" i="10" a="1"/>
  <c r="B533" i="10" s="1"/>
  <c r="B532" i="10" a="1"/>
  <c r="B532" i="10" s="1"/>
  <c r="B531" i="10" a="1"/>
  <c r="B531" i="10" s="1"/>
  <c r="B530" i="10" a="1"/>
  <c r="B530" i="10" s="1"/>
  <c r="B529" i="10" a="1"/>
  <c r="B529" i="10" s="1"/>
  <c r="B528" i="10" a="1"/>
  <c r="B528" i="10" s="1"/>
  <c r="B527" i="10" a="1"/>
  <c r="B527" i="10" s="1"/>
  <c r="B526" i="10" a="1"/>
  <c r="B526" i="10" s="1"/>
  <c r="B525" i="10" a="1"/>
  <c r="B525" i="10" s="1"/>
  <c r="B524" i="10" a="1"/>
  <c r="B524" i="10" s="1"/>
  <c r="B523" i="10" a="1"/>
  <c r="B523" i="10" s="1"/>
  <c r="B522" i="10" a="1"/>
  <c r="B522" i="10" s="1"/>
  <c r="B521" i="10" a="1"/>
  <c r="B521" i="10" s="1"/>
  <c r="B520" i="10" a="1"/>
  <c r="B520" i="10" s="1"/>
  <c r="B519" i="10" a="1"/>
  <c r="B519" i="10" s="1"/>
  <c r="B518" i="10" a="1"/>
  <c r="B518" i="10" s="1"/>
  <c r="B517" i="10" a="1"/>
  <c r="B517" i="10" s="1"/>
  <c r="B516" i="10" a="1"/>
  <c r="B516" i="10" s="1"/>
  <c r="B515" i="10" a="1"/>
  <c r="B515" i="10" s="1"/>
  <c r="B514" i="10" a="1"/>
  <c r="B514" i="10" s="1"/>
  <c r="B513" i="10" a="1"/>
  <c r="B513" i="10" s="1"/>
  <c r="B512" i="10" a="1"/>
  <c r="B512" i="10" s="1"/>
  <c r="B511" i="10" a="1"/>
  <c r="B511" i="10" s="1"/>
  <c r="B510" i="10" a="1"/>
  <c r="B510" i="10" s="1"/>
  <c r="B509" i="10" a="1"/>
  <c r="B509" i="10" s="1"/>
  <c r="B508" i="10" a="1"/>
  <c r="B508" i="10" s="1"/>
  <c r="B507" i="10" a="1"/>
  <c r="B507" i="10" s="1"/>
  <c r="B506" i="10" a="1"/>
  <c r="B506" i="10" s="1"/>
  <c r="B505" i="10" a="1"/>
  <c r="B505" i="10" s="1"/>
  <c r="B504" i="10" a="1"/>
  <c r="B504" i="10" s="1"/>
  <c r="B503" i="10" a="1"/>
  <c r="B503" i="10" s="1"/>
  <c r="B502" i="10" a="1"/>
  <c r="B502" i="10" s="1"/>
  <c r="B501" i="10" a="1"/>
  <c r="B501" i="10" s="1"/>
  <c r="B500" i="10" a="1"/>
  <c r="B500" i="10" s="1"/>
  <c r="B499" i="10" a="1"/>
  <c r="B499" i="10" s="1"/>
  <c r="B498" i="10" a="1"/>
  <c r="B498" i="10" s="1"/>
  <c r="B497" i="10" a="1"/>
  <c r="B497" i="10" s="1"/>
  <c r="B496" i="10" a="1"/>
  <c r="B496" i="10" s="1"/>
  <c r="B495" i="10" a="1"/>
  <c r="B495" i="10" s="1"/>
  <c r="B494" i="10" a="1"/>
  <c r="B494" i="10" s="1"/>
  <c r="B493" i="10" a="1"/>
  <c r="B493" i="10" s="1"/>
  <c r="B492" i="10" a="1"/>
  <c r="B492" i="10" s="1"/>
  <c r="B491" i="10" a="1"/>
  <c r="B491" i="10" s="1"/>
  <c r="B490" i="10" a="1"/>
  <c r="B490" i="10" s="1"/>
  <c r="B489" i="10" a="1"/>
  <c r="B489" i="10" s="1"/>
  <c r="B488" i="10" a="1"/>
  <c r="B488" i="10" s="1"/>
  <c r="B487" i="10" a="1"/>
  <c r="B487" i="10" s="1"/>
  <c r="B486" i="10" a="1"/>
  <c r="B486" i="10" s="1"/>
  <c r="B485" i="10" a="1"/>
  <c r="B485" i="10" s="1"/>
  <c r="B484" i="10" a="1"/>
  <c r="B484" i="10" s="1"/>
  <c r="B483" i="10" a="1"/>
  <c r="B483" i="10" s="1"/>
  <c r="B482" i="10" a="1"/>
  <c r="B482" i="10" s="1"/>
  <c r="B481" i="10" a="1"/>
  <c r="B481" i="10" s="1"/>
  <c r="B480" i="10" a="1"/>
  <c r="B480" i="10" s="1"/>
  <c r="B479" i="10" a="1"/>
  <c r="B479" i="10" s="1"/>
  <c r="B478" i="10" a="1"/>
  <c r="B478" i="10" s="1"/>
  <c r="B477" i="10" a="1"/>
  <c r="B477" i="10" s="1"/>
  <c r="B476" i="10" a="1"/>
  <c r="B476" i="10" s="1"/>
  <c r="B475" i="10" a="1"/>
  <c r="B475" i="10" s="1"/>
  <c r="B474" i="10" a="1"/>
  <c r="B474" i="10" s="1"/>
  <c r="B473" i="10" a="1"/>
  <c r="B473" i="10" s="1"/>
  <c r="B472" i="10" a="1"/>
  <c r="B472" i="10" s="1"/>
  <c r="B471" i="10" a="1"/>
  <c r="B471" i="10" s="1"/>
  <c r="B470" i="10" a="1"/>
  <c r="B470" i="10" s="1"/>
  <c r="B469" i="10" a="1"/>
  <c r="B469" i="10" s="1"/>
  <c r="B468" i="10" a="1"/>
  <c r="B468" i="10" s="1"/>
  <c r="B467" i="10" a="1"/>
  <c r="B467" i="10" s="1"/>
  <c r="B466" i="10" a="1"/>
  <c r="B466" i="10" s="1"/>
  <c r="B465" i="10" a="1"/>
  <c r="B465" i="10" s="1"/>
  <c r="B464" i="10" a="1"/>
  <c r="B464" i="10" s="1"/>
  <c r="B463" i="10" a="1"/>
  <c r="B463" i="10" s="1"/>
  <c r="B462" i="10" a="1"/>
  <c r="B462" i="10" s="1"/>
  <c r="B461" i="10" a="1"/>
  <c r="B461" i="10" s="1"/>
  <c r="B460" i="10" a="1"/>
  <c r="B460" i="10" s="1"/>
  <c r="B459" i="10" a="1"/>
  <c r="B459" i="10" s="1"/>
  <c r="B458" i="10" a="1"/>
  <c r="B458" i="10" s="1"/>
  <c r="B457" i="10" a="1"/>
  <c r="B457" i="10" s="1"/>
  <c r="B456" i="10" a="1"/>
  <c r="B456" i="10" s="1"/>
  <c r="B455" i="10" a="1"/>
  <c r="B455" i="10" s="1"/>
  <c r="B454" i="10" a="1"/>
  <c r="B454" i="10" s="1"/>
  <c r="B453" i="10" a="1"/>
  <c r="B453" i="10" s="1"/>
  <c r="B452" i="10" a="1"/>
  <c r="B452" i="10" s="1"/>
  <c r="B451" i="10" a="1"/>
  <c r="B451" i="10" s="1"/>
  <c r="B450" i="10" a="1"/>
  <c r="B450" i="10" s="1"/>
  <c r="B449" i="10" a="1"/>
  <c r="B449" i="10" s="1"/>
  <c r="B448" i="10" a="1"/>
  <c r="B448" i="10" s="1"/>
  <c r="B447" i="10" a="1"/>
  <c r="B447" i="10" s="1"/>
  <c r="B446" i="10" a="1"/>
  <c r="B446" i="10" s="1"/>
  <c r="B445" i="10" a="1"/>
  <c r="B445" i="10" s="1"/>
  <c r="B444" i="10" a="1"/>
  <c r="B444" i="10" s="1"/>
  <c r="B443" i="10" a="1"/>
  <c r="B443" i="10" s="1"/>
  <c r="B442" i="10" a="1"/>
  <c r="B442" i="10" s="1"/>
  <c r="B441" i="10" a="1"/>
  <c r="B441" i="10" s="1"/>
  <c r="B440" i="10" a="1"/>
  <c r="B440" i="10" s="1"/>
  <c r="B439" i="10" a="1"/>
  <c r="B439" i="10" s="1"/>
  <c r="B438" i="10" a="1"/>
  <c r="B438" i="10" s="1"/>
  <c r="B437" i="10" a="1"/>
  <c r="B437" i="10" s="1"/>
  <c r="B436" i="10" a="1"/>
  <c r="B436" i="10" s="1"/>
  <c r="B435" i="10" a="1"/>
  <c r="B435" i="10" s="1"/>
  <c r="B434" i="10" a="1"/>
  <c r="B434" i="10" s="1"/>
  <c r="B433" i="10" a="1"/>
  <c r="B433" i="10" s="1"/>
  <c r="B432" i="10" a="1"/>
  <c r="B432" i="10" s="1"/>
  <c r="B431" i="10" a="1"/>
  <c r="B431" i="10" s="1"/>
  <c r="B430" i="10" a="1"/>
  <c r="B430" i="10" s="1"/>
  <c r="B429" i="10" a="1"/>
  <c r="B429" i="10" s="1"/>
  <c r="B428" i="10" a="1"/>
  <c r="B428" i="10" s="1"/>
  <c r="B427" i="10" a="1"/>
  <c r="B427" i="10" s="1"/>
  <c r="B426" i="10" a="1"/>
  <c r="B426" i="10" s="1"/>
  <c r="B425" i="10" a="1"/>
  <c r="B425" i="10" s="1"/>
  <c r="B424" i="10" a="1"/>
  <c r="B424" i="10" s="1"/>
  <c r="B423" i="10" a="1"/>
  <c r="B423" i="10" s="1"/>
  <c r="B422" i="10" a="1"/>
  <c r="B422" i="10" s="1"/>
  <c r="B421" i="10" a="1"/>
  <c r="B421" i="10" s="1"/>
  <c r="B420" i="10" a="1"/>
  <c r="B420" i="10" s="1"/>
  <c r="B419" i="10" a="1"/>
  <c r="B419" i="10" s="1"/>
  <c r="B418" i="10" a="1"/>
  <c r="B418" i="10" s="1"/>
  <c r="B417" i="10" a="1"/>
  <c r="B417" i="10" s="1"/>
  <c r="B416" i="10" a="1"/>
  <c r="B416" i="10" s="1"/>
  <c r="B415" i="10" a="1"/>
  <c r="B415" i="10" s="1"/>
  <c r="B414" i="10" a="1"/>
  <c r="B414" i="10" s="1"/>
  <c r="B413" i="10" a="1"/>
  <c r="B413" i="10" s="1"/>
  <c r="B412" i="10" a="1"/>
  <c r="B412" i="10" s="1"/>
  <c r="B411" i="10" a="1"/>
  <c r="B411" i="10" s="1"/>
  <c r="B410" i="10" a="1"/>
  <c r="B410" i="10" s="1"/>
  <c r="B409" i="10" a="1"/>
  <c r="B409" i="10" s="1"/>
  <c r="B408" i="10" a="1"/>
  <c r="B408" i="10" s="1"/>
  <c r="B407" i="10" a="1"/>
  <c r="B407" i="10" s="1"/>
  <c r="B406" i="10" a="1"/>
  <c r="B406" i="10" s="1"/>
  <c r="B405" i="10" a="1"/>
  <c r="B405" i="10" s="1"/>
  <c r="B404" i="10" a="1"/>
  <c r="B404" i="10" s="1"/>
  <c r="B403" i="10" a="1"/>
  <c r="B403" i="10" s="1"/>
  <c r="B402" i="10" a="1"/>
  <c r="B402" i="10" s="1"/>
  <c r="B401" i="10" a="1"/>
  <c r="B401" i="10" s="1"/>
  <c r="B400" i="10" a="1"/>
  <c r="B400" i="10" s="1"/>
  <c r="B399" i="10" a="1"/>
  <c r="B399" i="10" s="1"/>
  <c r="B398" i="10" a="1"/>
  <c r="B398" i="10" s="1"/>
  <c r="B397" i="10" a="1"/>
  <c r="B397" i="10" s="1"/>
  <c r="B396" i="10" a="1"/>
  <c r="B396" i="10" s="1"/>
  <c r="B395" i="10" a="1"/>
  <c r="B395" i="10" s="1"/>
  <c r="B394" i="10" a="1"/>
  <c r="B394" i="10" s="1"/>
  <c r="B393" i="10" a="1"/>
  <c r="B393" i="10" s="1"/>
  <c r="B392" i="10" a="1"/>
  <c r="B392" i="10" s="1"/>
  <c r="B391" i="10" a="1"/>
  <c r="B391" i="10" s="1"/>
  <c r="B390" i="10" a="1"/>
  <c r="B390" i="10" s="1"/>
  <c r="B389" i="10" a="1"/>
  <c r="B389" i="10" s="1"/>
  <c r="B388" i="10" a="1"/>
  <c r="B388" i="10" s="1"/>
  <c r="B387" i="10" a="1"/>
  <c r="B387" i="10" s="1"/>
  <c r="B386" i="10" a="1"/>
  <c r="B386" i="10" s="1"/>
  <c r="B385" i="10" a="1"/>
  <c r="B385" i="10" s="1"/>
  <c r="B384" i="10" a="1"/>
  <c r="B384" i="10" s="1"/>
  <c r="B383" i="10" a="1"/>
  <c r="B383" i="10" s="1"/>
  <c r="B382" i="10" a="1"/>
  <c r="B382" i="10" s="1"/>
  <c r="B381" i="10" a="1"/>
  <c r="B381" i="10" s="1"/>
  <c r="B380" i="10" a="1"/>
  <c r="B380" i="10" s="1"/>
  <c r="B379" i="10" a="1"/>
  <c r="B379" i="10" s="1"/>
  <c r="B378" i="10" a="1"/>
  <c r="B378" i="10" s="1"/>
  <c r="B377" i="10" a="1"/>
  <c r="B377" i="10" s="1"/>
  <c r="B376" i="10" a="1"/>
  <c r="B376" i="10" s="1"/>
  <c r="B375" i="10" a="1"/>
  <c r="B375" i="10" s="1"/>
  <c r="B374" i="10" a="1"/>
  <c r="B374" i="10" s="1"/>
  <c r="B373" i="10" a="1"/>
  <c r="B373" i="10" s="1"/>
  <c r="B372" i="10" a="1"/>
  <c r="B372" i="10" s="1"/>
  <c r="B371" i="10" a="1"/>
  <c r="B371" i="10" s="1"/>
  <c r="B370" i="10" a="1"/>
  <c r="B370" i="10" s="1"/>
  <c r="B369" i="10" a="1"/>
  <c r="B369" i="10" s="1"/>
  <c r="B368" i="10" a="1"/>
  <c r="B368" i="10" s="1"/>
  <c r="B367" i="10" a="1"/>
  <c r="B367" i="10" s="1"/>
  <c r="B366" i="10" a="1"/>
  <c r="B366" i="10" s="1"/>
  <c r="B365" i="10" a="1"/>
  <c r="B365" i="10" s="1"/>
  <c r="B364" i="10" a="1"/>
  <c r="B364" i="10" s="1"/>
  <c r="B363" i="10" a="1"/>
  <c r="B363" i="10" s="1"/>
  <c r="B362" i="10" a="1"/>
  <c r="B362" i="10" s="1"/>
  <c r="B361" i="10" a="1"/>
  <c r="B361" i="10" s="1"/>
  <c r="B360" i="10" a="1"/>
  <c r="B360" i="10" s="1"/>
  <c r="B359" i="10" a="1"/>
  <c r="B359" i="10" s="1"/>
  <c r="B358" i="10" a="1"/>
  <c r="B358" i="10" s="1"/>
  <c r="B357" i="10" a="1"/>
  <c r="B357" i="10" s="1"/>
  <c r="B356" i="10" a="1"/>
  <c r="B356" i="10" s="1"/>
  <c r="B355" i="10" a="1"/>
  <c r="B355" i="10" s="1"/>
  <c r="B354" i="10" a="1"/>
  <c r="B354" i="10" s="1"/>
  <c r="B353" i="10" a="1"/>
  <c r="B353" i="10" s="1"/>
  <c r="B352" i="10" a="1"/>
  <c r="B352" i="10" s="1"/>
  <c r="B351" i="10" a="1"/>
  <c r="B351" i="10" s="1"/>
  <c r="B350" i="10" a="1"/>
  <c r="B350" i="10" s="1"/>
  <c r="B349" i="10" a="1"/>
  <c r="B349" i="10" s="1"/>
  <c r="B348" i="10" a="1"/>
  <c r="B348" i="10" s="1"/>
  <c r="B347" i="10" a="1"/>
  <c r="B347" i="10" s="1"/>
  <c r="B346" i="10" a="1"/>
  <c r="B346" i="10" s="1"/>
  <c r="B345" i="10" a="1"/>
  <c r="B345" i="10" s="1"/>
  <c r="B344" i="10" a="1"/>
  <c r="B344" i="10" s="1"/>
  <c r="B343" i="10" a="1"/>
  <c r="B343" i="10" s="1"/>
  <c r="B342" i="10" a="1"/>
  <c r="B342" i="10" s="1"/>
  <c r="B341" i="10" a="1"/>
  <c r="B341" i="10" s="1"/>
  <c r="B340" i="10" a="1"/>
  <c r="B340" i="10" s="1"/>
  <c r="B339" i="10" a="1"/>
  <c r="B339" i="10" s="1"/>
  <c r="B338" i="10" a="1"/>
  <c r="B338" i="10" s="1"/>
  <c r="B337" i="10" a="1"/>
  <c r="B337" i="10" s="1"/>
  <c r="B336" i="10" a="1"/>
  <c r="B336" i="10" s="1"/>
  <c r="B335" i="10" a="1"/>
  <c r="B335" i="10" s="1"/>
  <c r="B334" i="10" a="1"/>
  <c r="B334" i="10" s="1"/>
  <c r="B333" i="10" a="1"/>
  <c r="B333" i="10" s="1"/>
  <c r="B332" i="10" a="1"/>
  <c r="B332" i="10" s="1"/>
  <c r="B331" i="10" a="1"/>
  <c r="B331" i="10" s="1"/>
  <c r="B330" i="10" a="1"/>
  <c r="B330" i="10" s="1"/>
  <c r="B329" i="10" a="1"/>
  <c r="B329" i="10" s="1"/>
  <c r="B328" i="10" a="1"/>
  <c r="B328" i="10" s="1"/>
  <c r="B327" i="10" a="1"/>
  <c r="B327" i="10" s="1"/>
  <c r="B326" i="10" a="1"/>
  <c r="B326" i="10" s="1"/>
  <c r="B325" i="10" a="1"/>
  <c r="B325" i="10" s="1"/>
  <c r="B324" i="10" a="1"/>
  <c r="B324" i="10" s="1"/>
  <c r="B323" i="10" a="1"/>
  <c r="B323" i="10" s="1"/>
  <c r="B322" i="10" a="1"/>
  <c r="B322" i="10" s="1"/>
  <c r="B321" i="10" a="1"/>
  <c r="B321" i="10" s="1"/>
  <c r="B320" i="10" a="1"/>
  <c r="B320" i="10" s="1"/>
  <c r="B319" i="10" a="1"/>
  <c r="B319" i="10" s="1"/>
  <c r="B318" i="10" a="1"/>
  <c r="B318" i="10" s="1"/>
  <c r="B317" i="10" a="1"/>
  <c r="B317" i="10" s="1"/>
  <c r="B316" i="10" a="1"/>
  <c r="B316" i="10" s="1"/>
  <c r="B315" i="10" a="1"/>
  <c r="B315" i="10" s="1"/>
  <c r="B314" i="10" a="1"/>
  <c r="B314" i="10" s="1"/>
  <c r="B313" i="10" a="1"/>
  <c r="B313" i="10" s="1"/>
  <c r="B312" i="10" a="1"/>
  <c r="B312" i="10" s="1"/>
  <c r="B311" i="10" a="1"/>
  <c r="B311" i="10" s="1"/>
  <c r="B310" i="10" a="1"/>
  <c r="B310" i="10" s="1"/>
  <c r="B309" i="10" a="1"/>
  <c r="B309" i="10" s="1"/>
  <c r="B308" i="10" a="1"/>
  <c r="B308" i="10" s="1"/>
  <c r="B307" i="10" a="1"/>
  <c r="B307" i="10" s="1"/>
  <c r="B306" i="10" a="1"/>
  <c r="B306" i="10" s="1"/>
  <c r="B305" i="10" a="1"/>
  <c r="B305" i="10" s="1"/>
  <c r="B304" i="10" a="1"/>
  <c r="B304" i="10" s="1"/>
  <c r="B303" i="10" a="1"/>
  <c r="B303" i="10" s="1"/>
  <c r="B302" i="10" a="1"/>
  <c r="B302" i="10" s="1"/>
  <c r="B301" i="10" a="1"/>
  <c r="B301" i="10" s="1"/>
  <c r="B300" i="10" a="1"/>
  <c r="B300" i="10" s="1"/>
  <c r="B299" i="10" a="1"/>
  <c r="B299" i="10" s="1"/>
  <c r="B298" i="10" a="1"/>
  <c r="B298" i="10" s="1"/>
  <c r="B297" i="10" a="1"/>
  <c r="B297" i="10" s="1"/>
  <c r="B296" i="10" a="1"/>
  <c r="B296" i="10" s="1"/>
  <c r="B295" i="10" a="1"/>
  <c r="B295" i="10" s="1"/>
  <c r="B294" i="10" a="1"/>
  <c r="B294" i="10" s="1"/>
  <c r="B293" i="10" a="1"/>
  <c r="B293" i="10" s="1"/>
  <c r="B292" i="10" a="1"/>
  <c r="B292" i="10" s="1"/>
  <c r="B291" i="10" a="1"/>
  <c r="B291" i="10" s="1"/>
  <c r="B290" i="10" a="1"/>
  <c r="B290" i="10" s="1"/>
  <c r="B289" i="10" a="1"/>
  <c r="B289" i="10" s="1"/>
  <c r="B288" i="10" a="1"/>
  <c r="B288" i="10" s="1"/>
  <c r="B287" i="10" a="1"/>
  <c r="B287" i="10" s="1"/>
  <c r="B286" i="10" a="1"/>
  <c r="B286" i="10" s="1"/>
  <c r="B285" i="10" a="1"/>
  <c r="B285" i="10" s="1"/>
  <c r="B284" i="10" a="1"/>
  <c r="B284" i="10" s="1"/>
  <c r="B283" i="10" a="1"/>
  <c r="B283" i="10" s="1"/>
  <c r="B282" i="10" a="1"/>
  <c r="B282" i="10" s="1"/>
  <c r="B281" i="10" a="1"/>
  <c r="B281" i="10" s="1"/>
  <c r="B280" i="10" a="1"/>
  <c r="B280" i="10" s="1"/>
  <c r="B279" i="10" a="1"/>
  <c r="B279" i="10" s="1"/>
  <c r="B278" i="10" a="1"/>
  <c r="B278" i="10" s="1"/>
  <c r="B277" i="10" a="1"/>
  <c r="B277" i="10" s="1"/>
  <c r="B276" i="10" a="1"/>
  <c r="B276" i="10" s="1"/>
  <c r="B275" i="10" a="1"/>
  <c r="B275" i="10" s="1"/>
  <c r="B274" i="10" a="1"/>
  <c r="B274" i="10" s="1"/>
  <c r="B273" i="10" a="1"/>
  <c r="B273" i="10" s="1"/>
  <c r="B272" i="10" a="1"/>
  <c r="B272" i="10" s="1"/>
  <c r="B271" i="10" a="1"/>
  <c r="B271" i="10" s="1"/>
  <c r="B270" i="10" a="1"/>
  <c r="B270" i="10" s="1"/>
  <c r="B269" i="10" a="1"/>
  <c r="B269" i="10" s="1"/>
  <c r="B268" i="10" a="1"/>
  <c r="B268" i="10" s="1"/>
  <c r="B267" i="10" a="1"/>
  <c r="B267" i="10" s="1"/>
  <c r="B266" i="10" a="1"/>
  <c r="B266" i="10" s="1"/>
  <c r="B265" i="10" a="1"/>
  <c r="B265" i="10" s="1"/>
  <c r="B264" i="10" a="1"/>
  <c r="B264" i="10" s="1"/>
  <c r="B263" i="10" a="1"/>
  <c r="B263" i="10" s="1"/>
  <c r="B262" i="10" a="1"/>
  <c r="B262" i="10" s="1"/>
  <c r="B261" i="10" a="1"/>
  <c r="B261" i="10" s="1"/>
  <c r="B260" i="10" a="1"/>
  <c r="B260" i="10" s="1"/>
  <c r="B259" i="10" a="1"/>
  <c r="B259" i="10" s="1"/>
  <c r="B258" i="10" a="1"/>
  <c r="B258" i="10" s="1"/>
  <c r="B257" i="10" a="1"/>
  <c r="B257" i="10" s="1"/>
  <c r="B256" i="10" a="1"/>
  <c r="B256" i="10" s="1"/>
  <c r="B255" i="10" a="1"/>
  <c r="B255" i="10" s="1"/>
  <c r="B254" i="10" a="1"/>
  <c r="B254" i="10" s="1"/>
  <c r="B253" i="10" a="1"/>
  <c r="B253" i="10" s="1"/>
  <c r="B252" i="10" a="1"/>
  <c r="B252" i="10" s="1"/>
  <c r="B251" i="10" a="1"/>
  <c r="B251" i="10" s="1"/>
  <c r="B250" i="10" a="1"/>
  <c r="B250" i="10" s="1"/>
  <c r="B249" i="10" a="1"/>
  <c r="B249" i="10" s="1"/>
  <c r="B248" i="10" a="1"/>
  <c r="B248" i="10" s="1"/>
  <c r="B247" i="10" a="1"/>
  <c r="B247" i="10" s="1"/>
  <c r="B246" i="10" a="1"/>
  <c r="B246" i="10" s="1"/>
  <c r="B245" i="10" a="1"/>
  <c r="B245" i="10" s="1"/>
  <c r="B244" i="10" a="1"/>
  <c r="B244" i="10" s="1"/>
  <c r="B243" i="10" a="1"/>
  <c r="B243" i="10" s="1"/>
  <c r="B242" i="10" a="1"/>
  <c r="B242" i="10" s="1"/>
  <c r="B241" i="10" a="1"/>
  <c r="B241" i="10" s="1"/>
  <c r="B240" i="10" a="1"/>
  <c r="B240" i="10" s="1"/>
  <c r="B239" i="10" a="1"/>
  <c r="B239" i="10" s="1"/>
  <c r="B238" i="10" a="1"/>
  <c r="B238" i="10" s="1"/>
  <c r="B237" i="10" a="1"/>
  <c r="B237" i="10" s="1"/>
  <c r="B236" i="10" a="1"/>
  <c r="B236" i="10" s="1"/>
  <c r="B235" i="10" a="1"/>
  <c r="B235" i="10" s="1"/>
  <c r="B234" i="10" a="1"/>
  <c r="B234" i="10" s="1"/>
  <c r="B233" i="10" a="1"/>
  <c r="B233" i="10" s="1"/>
  <c r="B232" i="10" a="1"/>
  <c r="B232" i="10" s="1"/>
  <c r="B231" i="10" a="1"/>
  <c r="B231" i="10" s="1"/>
  <c r="B230" i="10" a="1"/>
  <c r="B230" i="10" s="1"/>
  <c r="B229" i="10" a="1"/>
  <c r="B229" i="10" s="1"/>
  <c r="B228" i="10" a="1"/>
  <c r="B228" i="10" s="1"/>
  <c r="B227" i="10" a="1"/>
  <c r="B227" i="10" s="1"/>
  <c r="B226" i="10" a="1"/>
  <c r="B226" i="10" s="1"/>
  <c r="B225" i="10" a="1"/>
  <c r="B225" i="10" s="1"/>
  <c r="B224" i="10" a="1"/>
  <c r="B224" i="10" s="1"/>
  <c r="B223" i="10" a="1"/>
  <c r="B223" i="10" s="1"/>
  <c r="B222" i="10" a="1"/>
  <c r="B222" i="10" s="1"/>
  <c r="B221" i="10" a="1"/>
  <c r="B221" i="10" s="1"/>
  <c r="B220" i="10" a="1"/>
  <c r="B220" i="10" s="1"/>
  <c r="B219" i="10" a="1"/>
  <c r="B219" i="10" s="1"/>
  <c r="B218" i="10" a="1"/>
  <c r="B218" i="10" s="1"/>
  <c r="B217" i="10" a="1"/>
  <c r="B217" i="10" s="1"/>
  <c r="B216" i="10" a="1"/>
  <c r="B216" i="10" s="1"/>
  <c r="B215" i="10" a="1"/>
  <c r="B215" i="10" s="1"/>
  <c r="B214" i="10" a="1"/>
  <c r="B214" i="10" s="1"/>
  <c r="B213" i="10" a="1"/>
  <c r="B213" i="10" s="1"/>
  <c r="B212" i="10" a="1"/>
  <c r="B212" i="10" s="1"/>
  <c r="B211" i="10" a="1"/>
  <c r="B211" i="10" s="1"/>
  <c r="B210" i="10" a="1"/>
  <c r="B210" i="10" s="1"/>
  <c r="B209" i="10" a="1"/>
  <c r="B209" i="10" s="1"/>
  <c r="B208" i="10" a="1"/>
  <c r="B208" i="10" s="1"/>
  <c r="B207" i="10" a="1"/>
  <c r="B207" i="10" s="1"/>
  <c r="B206" i="10" a="1"/>
  <c r="B206" i="10" s="1"/>
  <c r="B205" i="10" a="1"/>
  <c r="B205" i="10" s="1"/>
  <c r="B204" i="10" a="1"/>
  <c r="B204" i="10" s="1"/>
  <c r="B203" i="10" a="1"/>
  <c r="B203" i="10" s="1"/>
  <c r="B202" i="10" a="1"/>
  <c r="B202" i="10" s="1"/>
  <c r="B201" i="10" a="1"/>
  <c r="B201" i="10" s="1"/>
  <c r="B200" i="10" a="1"/>
  <c r="B200" i="10" s="1"/>
  <c r="B199" i="10" a="1"/>
  <c r="B199" i="10" s="1"/>
  <c r="B198" i="10" a="1"/>
  <c r="B198" i="10" s="1"/>
  <c r="B197" i="10" a="1"/>
  <c r="B197" i="10" s="1"/>
  <c r="B196" i="10" a="1"/>
  <c r="B196" i="10" s="1"/>
  <c r="B195" i="10" a="1"/>
  <c r="B195" i="10" s="1"/>
  <c r="B194" i="10" a="1"/>
  <c r="B194" i="10" s="1"/>
  <c r="B193" i="10" a="1"/>
  <c r="B193" i="10" s="1"/>
  <c r="B192" i="10" a="1"/>
  <c r="B192" i="10" s="1"/>
  <c r="B191" i="10" a="1"/>
  <c r="B191" i="10" s="1"/>
  <c r="B190" i="10" a="1"/>
  <c r="B190" i="10" s="1"/>
  <c r="B189" i="10" a="1"/>
  <c r="B189" i="10" s="1"/>
  <c r="B188" i="10" a="1"/>
  <c r="B188" i="10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 a="1"/>
  <c r="B175" i="10" s="1"/>
  <c r="B174" i="10" a="1"/>
  <c r="B174" i="10" s="1"/>
  <c r="B173" i="10" a="1"/>
  <c r="B173" i="10" s="1"/>
  <c r="B172" i="10" a="1"/>
  <c r="B172" i="10" s="1"/>
  <c r="B171" i="10" a="1"/>
  <c r="B171" i="10" s="1"/>
  <c r="B170" i="10" a="1"/>
  <c r="B170" i="10" s="1"/>
  <c r="B169" i="10" a="1"/>
  <c r="B169" i="10" s="1"/>
  <c r="B168" i="10" a="1"/>
  <c r="B168" i="10" s="1"/>
  <c r="B167" i="10" a="1"/>
  <c r="B167" i="10" s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 a="1"/>
  <c r="B159" i="10" s="1"/>
  <c r="B158" i="10" a="1"/>
  <c r="B158" i="10" s="1"/>
  <c r="B157" i="10" a="1"/>
  <c r="B157" i="10" s="1"/>
  <c r="B156" i="10" a="1"/>
  <c r="B156" i="10" s="1"/>
  <c r="B155" i="10" a="1"/>
  <c r="B155" i="10" s="1"/>
  <c r="B154" i="10" a="1"/>
  <c r="B154" i="10" s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 a="1"/>
  <c r="B143" i="10" s="1"/>
  <c r="B142" i="10" a="1"/>
  <c r="B142" i="10" s="1"/>
  <c r="B141" i="10" a="1"/>
  <c r="B141" i="10" s="1"/>
  <c r="B140" i="10" a="1"/>
  <c r="B140" i="10" s="1"/>
  <c r="B139" i="10" a="1"/>
  <c r="B139" i="10" s="1"/>
  <c r="B138" i="10" a="1"/>
  <c r="B138" i="10" s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 a="1"/>
  <c r="B127" i="10" s="1"/>
  <c r="B126" i="10" a="1"/>
  <c r="B126" i="10" s="1"/>
  <c r="B125" i="10" a="1"/>
  <c r="B125" i="10" s="1"/>
  <c r="B124" i="10" a="1"/>
  <c r="B124" i="10" s="1"/>
  <c r="B123" i="10" a="1"/>
  <c r="B123" i="10" s="1"/>
  <c r="B122" i="10" a="1"/>
  <c r="B122" i="10" s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 a="1"/>
  <c r="B111" i="10" s="1"/>
  <c r="B110" i="10" a="1"/>
  <c r="B110" i="10" s="1"/>
  <c r="B109" i="10" a="1"/>
  <c r="B109" i="10" s="1"/>
  <c r="B108" i="10" a="1"/>
  <c r="B108" i="10" s="1"/>
  <c r="B107" i="10" a="1"/>
  <c r="B107" i="10" s="1"/>
  <c r="B106" i="10" a="1"/>
  <c r="B106" i="10" s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 a="1"/>
  <c r="B26" i="10" s="1"/>
  <c r="B25" i="10" a="1"/>
  <c r="B25" i="10" s="1"/>
  <c r="B24" i="10" a="1"/>
  <c r="B24" i="10" s="1"/>
  <c r="B23" i="10" a="1"/>
  <c r="B23" i="10" s="1"/>
  <c r="E161" i="8"/>
  <c r="E162" i="8"/>
  <c r="E163" i="8"/>
  <c r="E164" i="8"/>
  <c r="E165" i="8"/>
  <c r="E166" i="8"/>
  <c r="E167" i="8"/>
  <c r="E168" i="8"/>
  <c r="E169" i="8"/>
  <c r="E170" i="8"/>
  <c r="E171" i="8"/>
  <c r="E172" i="8"/>
  <c r="B174" i="9" s="1"/>
  <c r="E173" i="8"/>
  <c r="B175" i="9" s="1"/>
  <c r="E174" i="8"/>
  <c r="B176" i="9" s="1"/>
  <c r="E175" i="8"/>
  <c r="E176" i="8"/>
  <c r="E177" i="8"/>
  <c r="E178" i="8"/>
  <c r="E179" i="8"/>
  <c r="B181" i="9" s="1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B197" i="3" s="1"/>
  <c r="E196" i="8"/>
  <c r="B198" i="3" s="1"/>
  <c r="E197" i="8"/>
  <c r="B199" i="9" s="1"/>
  <c r="E198" i="8"/>
  <c r="E199" i="8"/>
  <c r="B201" i="3" s="1"/>
  <c r="E200" i="8"/>
  <c r="B202" i="3" s="1"/>
  <c r="E201" i="8"/>
  <c r="E202" i="8"/>
  <c r="E203" i="8"/>
  <c r="B205" i="3" s="1"/>
  <c r="E204" i="8"/>
  <c r="E205" i="8"/>
  <c r="E206" i="8"/>
  <c r="E207" i="8"/>
  <c r="E208" i="8"/>
  <c r="E209" i="8"/>
  <c r="E210" i="8"/>
  <c r="B212" i="3" s="1"/>
  <c r="E211" i="8"/>
  <c r="E212" i="8"/>
  <c r="B214" i="9" s="1"/>
  <c r="E213" i="8"/>
  <c r="B215" i="9" s="1"/>
  <c r="E214" i="8"/>
  <c r="E215" i="8"/>
  <c r="E216" i="8"/>
  <c r="E217" i="8"/>
  <c r="E218" i="8"/>
  <c r="E219" i="8"/>
  <c r="B221" i="3" s="1"/>
  <c r="E220" i="8"/>
  <c r="B222" i="3" s="1"/>
  <c r="E221" i="8"/>
  <c r="E222" i="8"/>
  <c r="E223" i="8"/>
  <c r="E224" i="8"/>
  <c r="B226" i="3" s="1"/>
  <c r="E225" i="8"/>
  <c r="E226" i="8"/>
  <c r="E227" i="8"/>
  <c r="E228" i="8"/>
  <c r="B230" i="3" s="1"/>
  <c r="E229" i="8"/>
  <c r="E230" i="8"/>
  <c r="E231" i="8"/>
  <c r="E232" i="8"/>
  <c r="E233" i="8"/>
  <c r="B235" i="9" s="1"/>
  <c r="E234" i="8"/>
  <c r="B236" i="9" s="1"/>
  <c r="E235" i="8"/>
  <c r="E236" i="8"/>
  <c r="B238" i="3" s="1"/>
  <c r="E237" i="8"/>
  <c r="E238" i="8"/>
  <c r="B238" i="4" s="1"/>
  <c r="E239" i="8"/>
  <c r="B239" i="4" s="1"/>
  <c r="E240" i="8"/>
  <c r="B240" i="4" s="1"/>
  <c r="E241" i="8"/>
  <c r="B241" i="4" s="1"/>
  <c r="E242" i="8"/>
  <c r="B242" i="4" s="1"/>
  <c r="E243" i="8"/>
  <c r="B245" i="3" s="1"/>
  <c r="E244" i="8"/>
  <c r="B244" i="4" s="1"/>
  <c r="E245" i="8"/>
  <c r="B245" i="4" s="1"/>
  <c r="E246" i="8"/>
  <c r="B246" i="4" s="1"/>
  <c r="E247" i="8"/>
  <c r="E248" i="8"/>
  <c r="E249" i="8"/>
  <c r="E250" i="8"/>
  <c r="E251" i="8"/>
  <c r="B251" i="4" s="1"/>
  <c r="E252" i="8"/>
  <c r="E253" i="8"/>
  <c r="E254" i="8"/>
  <c r="E255" i="8"/>
  <c r="E256" i="8"/>
  <c r="B258" i="3" s="1"/>
  <c r="E257" i="8"/>
  <c r="E258" i="8"/>
  <c r="E259" i="8"/>
  <c r="E260" i="8"/>
  <c r="B260" i="4" s="1"/>
  <c r="E261" i="8"/>
  <c r="E262" i="8"/>
  <c r="B262" i="4" s="1"/>
  <c r="E263" i="8"/>
  <c r="E264" i="8"/>
  <c r="E265" i="8"/>
  <c r="E266" i="8"/>
  <c r="B266" i="4" s="1"/>
  <c r="E267" i="8"/>
  <c r="B269" i="3" s="1"/>
  <c r="E268" i="8"/>
  <c r="B268" i="4" s="1"/>
  <c r="E269" i="8"/>
  <c r="E270" i="8"/>
  <c r="E271" i="8"/>
  <c r="B271" i="4" s="1"/>
  <c r="E272" i="8"/>
  <c r="C274" i="2" s="1"/>
  <c r="E273" i="8"/>
  <c r="E274" i="8"/>
  <c r="E275" i="8"/>
  <c r="B275" i="4" s="1"/>
  <c r="E276" i="8"/>
  <c r="B276" i="4" s="1"/>
  <c r="E277" i="8"/>
  <c r="E278" i="8"/>
  <c r="B278" i="4" s="1"/>
  <c r="E279" i="8"/>
  <c r="C281" i="2" s="1"/>
  <c r="E280" i="8"/>
  <c r="B280" i="4" s="1"/>
  <c r="E281" i="8"/>
  <c r="B283" i="9" s="1"/>
  <c r="E282" i="8"/>
  <c r="E283" i="8"/>
  <c r="B283" i="4" s="1"/>
  <c r="E284" i="8"/>
  <c r="E285" i="8"/>
  <c r="B287" i="9" s="1"/>
  <c r="E286" i="8"/>
  <c r="E287" i="8"/>
  <c r="E288" i="8"/>
  <c r="B288" i="4" s="1"/>
  <c r="E289" i="8"/>
  <c r="E290" i="8"/>
  <c r="E291" i="8"/>
  <c r="B293" i="3" s="1"/>
  <c r="E292" i="8"/>
  <c r="B294" i="3" s="1"/>
  <c r="E293" i="8"/>
  <c r="B293" i="4" s="1"/>
  <c r="E294" i="8"/>
  <c r="E295" i="8"/>
  <c r="E296" i="8"/>
  <c r="B296" i="4" s="1"/>
  <c r="E297" i="8"/>
  <c r="B297" i="4" s="1"/>
  <c r="E298" i="8"/>
  <c r="B300" i="9" s="1"/>
  <c r="E299" i="8"/>
  <c r="B301" i="9" s="1"/>
  <c r="E300" i="8"/>
  <c r="E301" i="8"/>
  <c r="B301" i="4" s="1"/>
  <c r="E302" i="8"/>
  <c r="E303" i="8"/>
  <c r="B305" i="3" s="1"/>
  <c r="E304" i="8"/>
  <c r="B304" i="4" s="1"/>
  <c r="E305" i="8"/>
  <c r="E306" i="8"/>
  <c r="B306" i="4" s="1"/>
  <c r="E307" i="8"/>
  <c r="B307" i="4" s="1"/>
  <c r="E308" i="8"/>
  <c r="B308" i="4" s="1"/>
  <c r="E309" i="8"/>
  <c r="B309" i="4" s="1"/>
  <c r="E310" i="8"/>
  <c r="B310" i="4" s="1"/>
  <c r="E311" i="8"/>
  <c r="B311" i="4" s="1"/>
  <c r="E312" i="8"/>
  <c r="B314" i="3" s="1"/>
  <c r="E313" i="8"/>
  <c r="E314" i="8"/>
  <c r="E315" i="8"/>
  <c r="C317" i="2" s="1"/>
  <c r="E316" i="8"/>
  <c r="B316" i="4" s="1"/>
  <c r="E317" i="8"/>
  <c r="B319" i="9" s="1"/>
  <c r="E318" i="8"/>
  <c r="E319" i="8"/>
  <c r="B319" i="4" s="1"/>
  <c r="E320" i="8"/>
  <c r="B320" i="4" s="1"/>
  <c r="E321" i="8"/>
  <c r="B321" i="4" s="1"/>
  <c r="E322" i="8"/>
  <c r="E323" i="8"/>
  <c r="B323" i="4" s="1"/>
  <c r="E324" i="8"/>
  <c r="B324" i="4" s="1"/>
  <c r="E325" i="8"/>
  <c r="E326" i="8"/>
  <c r="B326" i="4" s="1"/>
  <c r="E327" i="8"/>
  <c r="B327" i="4" s="1"/>
  <c r="E328" i="8"/>
  <c r="B330" i="3" s="1"/>
  <c r="E329" i="8"/>
  <c r="B329" i="4" s="1"/>
  <c r="E330" i="8"/>
  <c r="B330" i="4" s="1"/>
  <c r="E331" i="8"/>
  <c r="E332" i="8"/>
  <c r="E333" i="8"/>
  <c r="B333" i="4" s="1"/>
  <c r="E334" i="8"/>
  <c r="E335" i="8"/>
  <c r="B335" i="4" s="1"/>
  <c r="E336" i="8"/>
  <c r="E337" i="8"/>
  <c r="E338" i="8"/>
  <c r="B338" i="4" s="1"/>
  <c r="E339" i="8"/>
  <c r="B339" i="4" s="1"/>
  <c r="E340" i="8"/>
  <c r="B340" i="4" s="1"/>
  <c r="E341" i="8"/>
  <c r="E342" i="8"/>
  <c r="E343" i="8"/>
  <c r="B343" i="4" s="1"/>
  <c r="E344" i="8"/>
  <c r="B344" i="4" s="1"/>
  <c r="E345" i="8"/>
  <c r="E346" i="8"/>
  <c r="B346" i="4" s="1"/>
  <c r="E347" i="8"/>
  <c r="B347" i="4" s="1"/>
  <c r="E348" i="8"/>
  <c r="B348" i="4" s="1"/>
  <c r="E349" i="8"/>
  <c r="B349" i="4" s="1"/>
  <c r="E350" i="8"/>
  <c r="E351" i="8"/>
  <c r="B351" i="4" s="1"/>
  <c r="E352" i="8"/>
  <c r="B352" i="4" s="1"/>
  <c r="E353" i="8"/>
  <c r="E354" i="8"/>
  <c r="B354" i="4" s="1"/>
  <c r="E355" i="8"/>
  <c r="B355" i="4" s="1"/>
  <c r="E356" i="8"/>
  <c r="E357" i="8"/>
  <c r="E358" i="8"/>
  <c r="B358" i="4" s="1"/>
  <c r="E359" i="8"/>
  <c r="E360" i="8"/>
  <c r="B360" i="4" s="1"/>
  <c r="E361" i="8"/>
  <c r="E362" i="8"/>
  <c r="E363" i="8"/>
  <c r="E364" i="8"/>
  <c r="C366" i="2" s="1"/>
  <c r="E365" i="8"/>
  <c r="B367" i="9" s="1"/>
  <c r="E366" i="8"/>
  <c r="E367" i="8"/>
  <c r="B367" i="4" s="1"/>
  <c r="E368" i="8"/>
  <c r="B368" i="4" s="1"/>
  <c r="E369" i="8"/>
  <c r="B369" i="4" s="1"/>
  <c r="E370" i="8"/>
  <c r="E371" i="8"/>
  <c r="B371" i="4" s="1"/>
  <c r="E372" i="8"/>
  <c r="B372" i="4" s="1"/>
  <c r="E373" i="8"/>
  <c r="B373" i="4" s="1"/>
  <c r="E374" i="8"/>
  <c r="B374" i="4" s="1"/>
  <c r="E375" i="8"/>
  <c r="B377" i="3" s="1"/>
  <c r="E376" i="8"/>
  <c r="B376" i="4" s="1"/>
  <c r="E377" i="8"/>
  <c r="B379" i="9" s="1"/>
  <c r="E378" i="8"/>
  <c r="E379" i="8"/>
  <c r="B381" i="9" s="1"/>
  <c r="E380" i="8"/>
  <c r="E381" i="8"/>
  <c r="B381" i="4" s="1"/>
  <c r="E382" i="8"/>
  <c r="B384" i="9" s="1"/>
  <c r="E383" i="8"/>
  <c r="B385" i="9" s="1"/>
  <c r="E384" i="8"/>
  <c r="E385" i="8"/>
  <c r="E386" i="8"/>
  <c r="E387" i="8"/>
  <c r="B389" i="3" s="1"/>
  <c r="E388" i="8"/>
  <c r="B388" i="4" s="1"/>
  <c r="E389" i="8"/>
  <c r="B391" i="3" s="1"/>
  <c r="E390" i="8"/>
  <c r="E391" i="8"/>
  <c r="E392" i="8"/>
  <c r="E393" i="8"/>
  <c r="B395" i="9" s="1"/>
  <c r="E394" i="8"/>
  <c r="B396" i="9" s="1"/>
  <c r="E395" i="8"/>
  <c r="B397" i="9" s="1"/>
  <c r="E396" i="8"/>
  <c r="E397" i="8"/>
  <c r="E398" i="8"/>
  <c r="E399" i="8"/>
  <c r="E400" i="8"/>
  <c r="E401" i="8"/>
  <c r="E402" i="8"/>
  <c r="B402" i="4" s="1"/>
  <c r="E403" i="8"/>
  <c r="E404" i="8"/>
  <c r="E405" i="8"/>
  <c r="E406" i="8"/>
  <c r="B406" i="4" s="1"/>
  <c r="E407" i="8"/>
  <c r="B407" i="4" s="1"/>
  <c r="E408" i="8"/>
  <c r="B408" i="4" s="1"/>
  <c r="E409" i="8"/>
  <c r="B409" i="4" s="1"/>
  <c r="E410" i="8"/>
  <c r="B410" i="4" s="1"/>
  <c r="E411" i="8"/>
  <c r="B413" i="3" s="1"/>
  <c r="E412" i="8"/>
  <c r="B412" i="4" s="1"/>
  <c r="E413" i="8"/>
  <c r="E414" i="8"/>
  <c r="E415" i="8"/>
  <c r="B415" i="4" s="1"/>
  <c r="E416" i="8"/>
  <c r="B416" i="4" s="1"/>
  <c r="E417" i="8"/>
  <c r="B417" i="4" s="1"/>
  <c r="E418" i="8"/>
  <c r="B418" i="4" s="1"/>
  <c r="E419" i="8"/>
  <c r="E420" i="8"/>
  <c r="B420" i="4" s="1"/>
  <c r="E421" i="8"/>
  <c r="E422" i="8"/>
  <c r="B422" i="4" s="1"/>
  <c r="E423" i="8"/>
  <c r="C425" i="2" s="1"/>
  <c r="E424" i="8"/>
  <c r="B424" i="4" s="1"/>
  <c r="E425" i="8"/>
  <c r="B425" i="4" s="1"/>
  <c r="E426" i="8"/>
  <c r="E427" i="8"/>
  <c r="B427" i="4" s="1"/>
  <c r="E428" i="8"/>
  <c r="B428" i="4" s="1"/>
  <c r="E429" i="8"/>
  <c r="B429" i="4" s="1"/>
  <c r="E430" i="8"/>
  <c r="E431" i="8"/>
  <c r="E432" i="8"/>
  <c r="B432" i="4" s="1"/>
  <c r="E433" i="8"/>
  <c r="E434" i="8"/>
  <c r="E435" i="8"/>
  <c r="B437" i="9" s="1"/>
  <c r="E436" i="8"/>
  <c r="B438" i="9" s="1"/>
  <c r="E437" i="8"/>
  <c r="E438" i="8"/>
  <c r="E439" i="8"/>
  <c r="B439" i="4" s="1"/>
  <c r="E440" i="8"/>
  <c r="E441" i="8"/>
  <c r="E442" i="8"/>
  <c r="B442" i="4" s="1"/>
  <c r="E443" i="8"/>
  <c r="E444" i="8"/>
  <c r="B446" i="9" s="1"/>
  <c r="E445" i="8"/>
  <c r="B445" i="4" s="1"/>
  <c r="E446" i="8"/>
  <c r="E447" i="8"/>
  <c r="C449" i="2" s="1"/>
  <c r="E448" i="8"/>
  <c r="B448" i="4" s="1"/>
  <c r="E449" i="8"/>
  <c r="E450" i="8"/>
  <c r="B450" i="4" s="1"/>
  <c r="E451" i="8"/>
  <c r="E452" i="8"/>
  <c r="B452" i="4" s="1"/>
  <c r="E453" i="8"/>
  <c r="B455" i="9" s="1"/>
  <c r="E454" i="8"/>
  <c r="B454" i="4" s="1"/>
  <c r="E455" i="8"/>
  <c r="E456" i="8"/>
  <c r="E457" i="8"/>
  <c r="E458" i="8"/>
  <c r="E459" i="8"/>
  <c r="C461" i="2" s="1"/>
  <c r="E460" i="8"/>
  <c r="B462" i="9" s="1"/>
  <c r="E461" i="8"/>
  <c r="B461" i="4" s="1"/>
  <c r="E462" i="8"/>
  <c r="E463" i="8"/>
  <c r="E464" i="8"/>
  <c r="E465" i="8"/>
  <c r="B467" i="9" s="1"/>
  <c r="E466" i="8"/>
  <c r="B466" i="4" s="1"/>
  <c r="E467" i="8"/>
  <c r="E468" i="8"/>
  <c r="B470" i="9" s="1"/>
  <c r="E469" i="8"/>
  <c r="B469" i="4" s="1"/>
  <c r="E470" i="8"/>
  <c r="B470" i="4" s="1"/>
  <c r="E471" i="8"/>
  <c r="B473" i="3" s="1"/>
  <c r="E472" i="8"/>
  <c r="B472" i="4" s="1"/>
  <c r="E473" i="8"/>
  <c r="B473" i="4" s="1"/>
  <c r="E474" i="8"/>
  <c r="B474" i="4" s="1"/>
  <c r="E475" i="8"/>
  <c r="B475" i="4" s="1"/>
  <c r="E476" i="8"/>
  <c r="E477" i="8"/>
  <c r="E478" i="8"/>
  <c r="B478" i="4" s="1"/>
  <c r="E479" i="8"/>
  <c r="B479" i="4" s="1"/>
  <c r="E480" i="8"/>
  <c r="B480" i="4" s="1"/>
  <c r="E481" i="8"/>
  <c r="E482" i="8"/>
  <c r="B482" i="4" s="1"/>
  <c r="E483" i="8"/>
  <c r="B485" i="9" s="1"/>
  <c r="E484" i="8"/>
  <c r="B484" i="4" s="1"/>
  <c r="E485" i="8"/>
  <c r="B485" i="4" s="1"/>
  <c r="E486" i="8"/>
  <c r="E487" i="8"/>
  <c r="B487" i="4" s="1"/>
  <c r="E488" i="8"/>
  <c r="B488" i="4" s="1"/>
  <c r="E489" i="8"/>
  <c r="E490" i="8"/>
  <c r="E491" i="8"/>
  <c r="B491" i="4" s="1"/>
  <c r="E492" i="8"/>
  <c r="E493" i="8"/>
  <c r="B493" i="4" s="1"/>
  <c r="E494" i="8"/>
  <c r="E495" i="8"/>
  <c r="B497" i="3" s="1"/>
  <c r="E496" i="8"/>
  <c r="B498" i="9" s="1"/>
  <c r="E497" i="8"/>
  <c r="E498" i="8"/>
  <c r="E499" i="8"/>
  <c r="E500" i="8"/>
  <c r="E501" i="8"/>
  <c r="B501" i="4" s="1"/>
  <c r="E502" i="8"/>
  <c r="B502" i="4" s="1"/>
  <c r="E503" i="8"/>
  <c r="B503" i="4" s="1"/>
  <c r="E504" i="8"/>
  <c r="B504" i="4" s="1"/>
  <c r="E505" i="8"/>
  <c r="E506" i="8"/>
  <c r="E507" i="8"/>
  <c r="B509" i="9" s="1"/>
  <c r="E508" i="8"/>
  <c r="E509" i="8"/>
  <c r="E510" i="8"/>
  <c r="E511" i="8"/>
  <c r="B511" i="4" s="1"/>
  <c r="E512" i="8"/>
  <c r="E513" i="8"/>
  <c r="E514" i="8"/>
  <c r="B514" i="4" s="1"/>
  <c r="E515" i="8"/>
  <c r="E516" i="8"/>
  <c r="B518" i="9" s="1"/>
  <c r="E517" i="8"/>
  <c r="B517" i="4" s="1"/>
  <c r="E518" i="8"/>
  <c r="B518" i="4" s="1"/>
  <c r="E519" i="8"/>
  <c r="B521" i="3" s="1"/>
  <c r="E520" i="8"/>
  <c r="B522" i="9" s="1"/>
  <c r="E521" i="8"/>
  <c r="B521" i="4" s="1"/>
  <c r="E522" i="8"/>
  <c r="E523" i="8"/>
  <c r="B523" i="4" s="1"/>
  <c r="E524" i="8"/>
  <c r="B524" i="4" s="1"/>
  <c r="E525" i="8"/>
  <c r="E526" i="8"/>
  <c r="B526" i="4" s="1"/>
  <c r="E527" i="8"/>
  <c r="B527" i="4" s="1"/>
  <c r="E528" i="8"/>
  <c r="B530" i="3" s="1"/>
  <c r="E529" i="8"/>
  <c r="B529" i="4" s="1"/>
  <c r="E530" i="8"/>
  <c r="B530" i="4" s="1"/>
  <c r="E531" i="8"/>
  <c r="E532" i="8"/>
  <c r="B532" i="4" s="1"/>
  <c r="E533" i="8"/>
  <c r="E534" i="8"/>
  <c r="E535" i="8"/>
  <c r="B535" i="4" s="1"/>
  <c r="E536" i="8"/>
  <c r="E537" i="8"/>
  <c r="B537" i="4" s="1"/>
  <c r="E538" i="8"/>
  <c r="B540" i="9" s="1"/>
  <c r="E539" i="8"/>
  <c r="E540" i="8"/>
  <c r="B540" i="4" s="1"/>
  <c r="E541" i="8"/>
  <c r="B541" i="4" s="1"/>
  <c r="E542" i="8"/>
  <c r="E543" i="8"/>
  <c r="B545" i="3" s="1"/>
  <c r="E544" i="8"/>
  <c r="B546" i="3" s="1"/>
  <c r="E545" i="8"/>
  <c r="B545" i="4" s="1"/>
  <c r="E546" i="8"/>
  <c r="E547" i="8"/>
  <c r="E548" i="8"/>
  <c r="E549" i="8"/>
  <c r="E550" i="8"/>
  <c r="B550" i="4" s="1"/>
  <c r="E551" i="8"/>
  <c r="B551" i="4" s="1"/>
  <c r="E552" i="8"/>
  <c r="B552" i="4" s="1"/>
  <c r="E553" i="8"/>
  <c r="B553" i="4" s="1"/>
  <c r="E554" i="8"/>
  <c r="E555" i="8"/>
  <c r="C557" i="2" s="1"/>
  <c r="E556" i="8"/>
  <c r="B556" i="4" s="1"/>
  <c r="E557" i="8"/>
  <c r="B557" i="4" s="1"/>
  <c r="E558" i="8"/>
  <c r="B558" i="4" s="1"/>
  <c r="E559" i="8"/>
  <c r="B559" i="4" s="1"/>
  <c r="E560" i="8"/>
  <c r="B560" i="4" s="1"/>
  <c r="E561" i="8"/>
  <c r="E562" i="8"/>
  <c r="E563" i="8"/>
  <c r="E564" i="8"/>
  <c r="B564" i="4" s="1"/>
  <c r="E565" i="8"/>
  <c r="B565" i="4" s="1"/>
  <c r="E566" i="8"/>
  <c r="E567" i="8"/>
  <c r="E568" i="8"/>
  <c r="B570" i="9" s="1"/>
  <c r="E569" i="8"/>
  <c r="E570" i="8"/>
  <c r="E571" i="8"/>
  <c r="B571" i="4" s="1"/>
  <c r="E572" i="8"/>
  <c r="B572" i="4" s="1"/>
  <c r="E573" i="8"/>
  <c r="E574" i="8"/>
  <c r="E575" i="8"/>
  <c r="E576" i="8"/>
  <c r="B578" i="9" s="1"/>
  <c r="E577" i="8"/>
  <c r="E578" i="8"/>
  <c r="B578" i="4" s="1"/>
  <c r="E579" i="8"/>
  <c r="B581" i="3" s="1"/>
  <c r="E580" i="8"/>
  <c r="B580" i="4" s="1"/>
  <c r="E581" i="8"/>
  <c r="B581" i="4" s="1"/>
  <c r="E582" i="8"/>
  <c r="E583" i="8"/>
  <c r="B583" i="4" s="1"/>
  <c r="E584" i="8"/>
  <c r="B586" i="3" s="1"/>
  <c r="E585" i="8"/>
  <c r="B585" i="4" s="1"/>
  <c r="E586" i="8"/>
  <c r="E587" i="8"/>
  <c r="B587" i="4" s="1"/>
  <c r="E588" i="8"/>
  <c r="B590" i="3" s="1"/>
  <c r="E589" i="8"/>
  <c r="B589" i="4" s="1"/>
  <c r="E590" i="8"/>
  <c r="B590" i="4" s="1"/>
  <c r="E591" i="8"/>
  <c r="C593" i="2" s="1"/>
  <c r="E592" i="8"/>
  <c r="B592" i="4" s="1"/>
  <c r="E593" i="8"/>
  <c r="B593" i="4" s="1"/>
  <c r="E594" i="8"/>
  <c r="E595" i="8"/>
  <c r="E596" i="8"/>
  <c r="B596" i="4" s="1"/>
  <c r="E597" i="8"/>
  <c r="B597" i="4" s="1"/>
  <c r="E598" i="8"/>
  <c r="B598" i="4" s="1"/>
  <c r="E599" i="8"/>
  <c r="B599" i="4" s="1"/>
  <c r="E600" i="8"/>
  <c r="B600" i="4" s="1"/>
  <c r="E601" i="8"/>
  <c r="E602" i="8"/>
  <c r="B602" i="4" s="1"/>
  <c r="E603" i="8"/>
  <c r="B605" i="3" s="1"/>
  <c r="E604" i="8"/>
  <c r="B606" i="3" s="1"/>
  <c r="E605" i="8"/>
  <c r="B605" i="4" s="1"/>
  <c r="E606" i="8"/>
  <c r="B606" i="4" s="1"/>
  <c r="E607" i="8"/>
  <c r="B607" i="4" s="1"/>
  <c r="E608" i="8"/>
  <c r="E609" i="8"/>
  <c r="B609" i="4" s="1"/>
  <c r="E610" i="8"/>
  <c r="E611" i="8"/>
  <c r="E612" i="8"/>
  <c r="B614" i="3" s="1"/>
  <c r="E613" i="8"/>
  <c r="E614" i="8"/>
  <c r="E615" i="8"/>
  <c r="B615" i="4" s="1"/>
  <c r="E616" i="8"/>
  <c r="B616" i="4" s="1"/>
  <c r="E617" i="8"/>
  <c r="E618" i="8"/>
  <c r="E619" i="8"/>
  <c r="B619" i="4" s="1"/>
  <c r="E620" i="8"/>
  <c r="B620" i="4" s="1"/>
  <c r="E621" i="8"/>
  <c r="B623" i="9" s="1"/>
  <c r="E622" i="8"/>
  <c r="E623" i="8"/>
  <c r="E624" i="8"/>
  <c r="B624" i="4" s="1"/>
  <c r="E625" i="8"/>
  <c r="B625" i="4" s="1"/>
  <c r="E626" i="8"/>
  <c r="B626" i="4" s="1"/>
  <c r="E627" i="8"/>
  <c r="B627" i="4" s="1"/>
  <c r="E628" i="8"/>
  <c r="B628" i="4" s="1"/>
  <c r="E629" i="8"/>
  <c r="B629" i="4" s="1"/>
  <c r="E630" i="8"/>
  <c r="B630" i="4" s="1"/>
  <c r="E631" i="8"/>
  <c r="B631" i="4" s="1"/>
  <c r="E632" i="8"/>
  <c r="E633" i="8"/>
  <c r="B635" i="9" s="1"/>
  <c r="E634" i="8"/>
  <c r="B636" i="9" s="1"/>
  <c r="E635" i="8"/>
  <c r="C637" i="2" s="1"/>
  <c r="E636" i="8"/>
  <c r="E637" i="8"/>
  <c r="B637" i="4" s="1"/>
  <c r="E638" i="8"/>
  <c r="B638" i="4" s="1"/>
  <c r="E639" i="8"/>
  <c r="B641" i="9" s="1"/>
  <c r="E640" i="8"/>
  <c r="E641" i="8"/>
  <c r="B641" i="4" s="1"/>
  <c r="E642" i="8"/>
  <c r="B642" i="4" s="1"/>
  <c r="E643" i="8"/>
  <c r="B645" i="3" s="1"/>
  <c r="E644" i="8"/>
  <c r="B646" i="3" s="1"/>
  <c r="E645" i="8"/>
  <c r="E646" i="8"/>
  <c r="E647" i="8"/>
  <c r="B647" i="4" s="1"/>
  <c r="E648" i="8"/>
  <c r="B650" i="9" s="1"/>
  <c r="E649" i="8"/>
  <c r="E650" i="8"/>
  <c r="B650" i="4" s="1"/>
  <c r="E651" i="8"/>
  <c r="E652" i="8"/>
  <c r="B652" i="4" s="1"/>
  <c r="E653" i="8"/>
  <c r="E654" i="8"/>
  <c r="E655" i="8"/>
  <c r="B655" i="4" s="1"/>
  <c r="E656" i="8"/>
  <c r="B656" i="4" s="1"/>
  <c r="E657" i="8"/>
  <c r="E658" i="8"/>
  <c r="E659" i="8"/>
  <c r="B659" i="4" s="1"/>
  <c r="E660" i="8"/>
  <c r="B660" i="4" s="1"/>
  <c r="E661" i="8"/>
  <c r="B661" i="4" s="1"/>
  <c r="E662" i="8"/>
  <c r="E663" i="8"/>
  <c r="B665" i="9" s="1"/>
  <c r="E664" i="8"/>
  <c r="B664" i="4" s="1"/>
  <c r="E665" i="8"/>
  <c r="B665" i="4" s="1"/>
  <c r="E666" i="8"/>
  <c r="E667" i="8"/>
  <c r="B667" i="4" s="1"/>
  <c r="E668" i="8"/>
  <c r="B668" i="4" s="1"/>
  <c r="E669" i="8"/>
  <c r="E670" i="8"/>
  <c r="E671" i="8"/>
  <c r="E672" i="8"/>
  <c r="E673" i="8"/>
  <c r="E674" i="8"/>
  <c r="B674" i="4" s="1"/>
  <c r="E675" i="8"/>
  <c r="C677" i="2" s="1"/>
  <c r="E676" i="8"/>
  <c r="B678" i="9" s="1"/>
  <c r="E677" i="8"/>
  <c r="B677" i="4" s="1"/>
  <c r="E678" i="8"/>
  <c r="B678" i="4" s="1"/>
  <c r="E679" i="8"/>
  <c r="B679" i="4" s="1"/>
  <c r="E680" i="8"/>
  <c r="E681" i="8"/>
  <c r="B681" i="4" s="1"/>
  <c r="E682" i="8"/>
  <c r="B682" i="4" s="1"/>
  <c r="E683" i="8"/>
  <c r="B683" i="4" s="1"/>
  <c r="E684" i="8"/>
  <c r="E685" i="8"/>
  <c r="E686" i="8"/>
  <c r="E687" i="8"/>
  <c r="B689" i="3" s="1"/>
  <c r="E688" i="8"/>
  <c r="C690" i="2" s="1"/>
  <c r="E689" i="8"/>
  <c r="E690" i="8"/>
  <c r="E691" i="8"/>
  <c r="B691" i="4" s="1"/>
  <c r="E692" i="8"/>
  <c r="B692" i="4" s="1"/>
  <c r="E693" i="8"/>
  <c r="C695" i="2" s="1"/>
  <c r="E694" i="8"/>
  <c r="B694" i="4" s="1"/>
  <c r="E695" i="8"/>
  <c r="B695" i="4" s="1"/>
  <c r="E696" i="8"/>
  <c r="B696" i="4" s="1"/>
  <c r="E697" i="8"/>
  <c r="E698" i="8"/>
  <c r="E699" i="8"/>
  <c r="B699" i="4" s="1"/>
  <c r="E700" i="8"/>
  <c r="B702" i="9" s="1"/>
  <c r="E701" i="8"/>
  <c r="E702" i="8"/>
  <c r="E703" i="8"/>
  <c r="B703" i="4" s="1"/>
  <c r="E704" i="8"/>
  <c r="E705" i="8"/>
  <c r="B705" i="4" s="1"/>
  <c r="E706" i="8"/>
  <c r="E707" i="8"/>
  <c r="B707" i="4" s="1"/>
  <c r="E708" i="8"/>
  <c r="B710" i="3" s="1"/>
  <c r="E709" i="8"/>
  <c r="B709" i="4" s="1"/>
  <c r="E710" i="8"/>
  <c r="E711" i="8"/>
  <c r="B713" i="3" s="1"/>
  <c r="E712" i="8"/>
  <c r="B712" i="4" s="1"/>
  <c r="E713" i="8"/>
  <c r="E714" i="8"/>
  <c r="B714" i="4" s="1"/>
  <c r="E715" i="8"/>
  <c r="E716" i="8"/>
  <c r="E717" i="8"/>
  <c r="E718" i="8"/>
  <c r="E719" i="8"/>
  <c r="B719" i="4" s="1"/>
  <c r="E720" i="8"/>
  <c r="E721" i="8"/>
  <c r="E722" i="8"/>
  <c r="B722" i="4" s="1"/>
  <c r="E723" i="8"/>
  <c r="B725" i="3" s="1"/>
  <c r="E724" i="8"/>
  <c r="E725" i="8"/>
  <c r="C725" i="1" s="1"/>
  <c r="E726" i="8"/>
  <c r="B726" i="4" s="1"/>
  <c r="E727" i="8"/>
  <c r="B727" i="4" s="1"/>
  <c r="E728" i="8"/>
  <c r="E729" i="8"/>
  <c r="E730" i="8"/>
  <c r="E731" i="8"/>
  <c r="B731" i="4" s="1"/>
  <c r="E732" i="8"/>
  <c r="B732" i="4" s="1"/>
  <c r="E733" i="8"/>
  <c r="E734" i="8"/>
  <c r="E735" i="8"/>
  <c r="B737" i="9" s="1"/>
  <c r="E736" i="8"/>
  <c r="B736" i="4" s="1"/>
  <c r="E737" i="8"/>
  <c r="B737" i="4" s="1"/>
  <c r="E738" i="8"/>
  <c r="E739" i="8"/>
  <c r="E740" i="8"/>
  <c r="E741" i="8"/>
  <c r="B741" i="4" s="1"/>
  <c r="E742" i="8"/>
  <c r="E743" i="8"/>
  <c r="E744" i="8"/>
  <c r="E745" i="8"/>
  <c r="E746" i="8"/>
  <c r="E747" i="8"/>
  <c r="B749" i="3" s="1"/>
  <c r="E748" i="8"/>
  <c r="B750" i="3" s="1"/>
  <c r="E749" i="8"/>
  <c r="E750" i="8"/>
  <c r="B750" i="4" s="1"/>
  <c r="E751" i="8"/>
  <c r="B753" i="9" s="1"/>
  <c r="E752" i="8"/>
  <c r="E753" i="8"/>
  <c r="B755" i="9" s="1"/>
  <c r="E754" i="8"/>
  <c r="B756" i="9" s="1"/>
  <c r="E755" i="8"/>
  <c r="B757" i="9" s="1"/>
  <c r="E756" i="8"/>
  <c r="B756" i="4" s="1"/>
  <c r="E757" i="8"/>
  <c r="B757" i="4" s="1"/>
  <c r="E758" i="8"/>
  <c r="E759" i="8"/>
  <c r="B759" i="4" s="1"/>
  <c r="E760" i="8"/>
  <c r="B762" i="9" s="1"/>
  <c r="E761" i="8"/>
  <c r="E762" i="8"/>
  <c r="E763" i="8"/>
  <c r="E764" i="8"/>
  <c r="E765" i="8"/>
  <c r="B765" i="4" s="1"/>
  <c r="E766" i="8"/>
  <c r="E767" i="8"/>
  <c r="B767" i="4" s="1"/>
  <c r="E768" i="8"/>
  <c r="E769" i="8"/>
  <c r="E770" i="8"/>
  <c r="B770" i="4" s="1"/>
  <c r="E771" i="8"/>
  <c r="C773" i="2" s="1"/>
  <c r="E772" i="8"/>
  <c r="B772" i="4" s="1"/>
  <c r="E773" i="8"/>
  <c r="B773" i="4" s="1"/>
  <c r="E774" i="8"/>
  <c r="E775" i="8"/>
  <c r="E776" i="8"/>
  <c r="E777" i="8"/>
  <c r="E778" i="8"/>
  <c r="E779" i="8"/>
  <c r="E780" i="8"/>
  <c r="E781" i="8"/>
  <c r="B781" i="4" s="1"/>
  <c r="E782" i="8"/>
  <c r="E783" i="8"/>
  <c r="C785" i="2" s="1"/>
  <c r="E784" i="8"/>
  <c r="B784" i="4" s="1"/>
  <c r="E785" i="8"/>
  <c r="E786" i="8"/>
  <c r="E787" i="8"/>
  <c r="E788" i="8"/>
  <c r="E789" i="8"/>
  <c r="E790" i="8"/>
  <c r="E791" i="8"/>
  <c r="B791" i="4" s="1"/>
  <c r="E792" i="8"/>
  <c r="B794" i="9" s="1"/>
  <c r="E793" i="8"/>
  <c r="E794" i="8"/>
  <c r="E795" i="8"/>
  <c r="B797" i="3" s="1"/>
  <c r="E796" i="8"/>
  <c r="B796" i="4" s="1"/>
  <c r="E797" i="8"/>
  <c r="B797" i="4" s="1"/>
  <c r="E798" i="8"/>
  <c r="B798" i="4" s="1"/>
  <c r="E799" i="8"/>
  <c r="B799" i="4" s="1"/>
  <c r="E800" i="8"/>
  <c r="B800" i="4" s="1"/>
  <c r="E801" i="8"/>
  <c r="B801" i="4" s="1"/>
  <c r="E802" i="8"/>
  <c r="B802" i="4" s="1"/>
  <c r="E803" i="8"/>
  <c r="B803" i="4" s="1"/>
  <c r="E804" i="8"/>
  <c r="E805" i="8"/>
  <c r="B805" i="4" s="1"/>
  <c r="E806" i="8"/>
  <c r="B806" i="4" s="1"/>
  <c r="E807" i="8"/>
  <c r="B809" i="9" s="1"/>
  <c r="E808" i="8"/>
  <c r="B808" i="4" s="1"/>
  <c r="E809" i="8"/>
  <c r="B809" i="4" s="1"/>
  <c r="E810" i="8"/>
  <c r="E811" i="8"/>
  <c r="B811" i="4" s="1"/>
  <c r="E812" i="8"/>
  <c r="E813" i="8"/>
  <c r="E814" i="8"/>
  <c r="B814" i="4" s="1"/>
  <c r="E815" i="8"/>
  <c r="B815" i="4" s="1"/>
  <c r="E816" i="8"/>
  <c r="E817" i="8"/>
  <c r="B817" i="4" s="1"/>
  <c r="E818" i="8"/>
  <c r="E819" i="8"/>
  <c r="E820" i="8"/>
  <c r="B822" i="9" s="1"/>
  <c r="E821" i="8"/>
  <c r="E822" i="8"/>
  <c r="E823" i="8"/>
  <c r="E824" i="8"/>
  <c r="B824" i="4" s="1"/>
  <c r="E825" i="8"/>
  <c r="B827" i="9" s="1"/>
  <c r="E826" i="8"/>
  <c r="B826" i="4" s="1"/>
  <c r="E827" i="8"/>
  <c r="E828" i="8"/>
  <c r="E829" i="8"/>
  <c r="B829" i="4" s="1"/>
  <c r="E830" i="8"/>
  <c r="B830" i="4" s="1"/>
  <c r="E831" i="8"/>
  <c r="B833" i="3" s="1"/>
  <c r="E832" i="8"/>
  <c r="B832" i="4" s="1"/>
  <c r="E833" i="8"/>
  <c r="E834" i="8"/>
  <c r="B834" i="4" s="1"/>
  <c r="E835" i="8"/>
  <c r="B835" i="4" s="1"/>
  <c r="E836" i="8"/>
  <c r="B836" i="4" s="1"/>
  <c r="E837" i="8"/>
  <c r="B839" i="9" s="1"/>
  <c r="E838" i="8"/>
  <c r="E839" i="8"/>
  <c r="E840" i="8"/>
  <c r="E841" i="8"/>
  <c r="E842" i="8"/>
  <c r="E843" i="8"/>
  <c r="B843" i="4" s="1"/>
  <c r="E844" i="8"/>
  <c r="B844" i="4" s="1"/>
  <c r="E845" i="8"/>
  <c r="B845" i="4" s="1"/>
  <c r="E846" i="8"/>
  <c r="B846" i="4" s="1"/>
  <c r="E847" i="8"/>
  <c r="B847" i="4" s="1"/>
  <c r="E848" i="8"/>
  <c r="B848" i="4" s="1"/>
  <c r="E849" i="8"/>
  <c r="B851" i="9" s="1"/>
  <c r="E850" i="8"/>
  <c r="B852" i="3" s="1"/>
  <c r="E851" i="8"/>
  <c r="B851" i="4" s="1"/>
  <c r="E852" i="8"/>
  <c r="B854" i="9" s="1"/>
  <c r="E853" i="8"/>
  <c r="B853" i="4" s="1"/>
  <c r="E854" i="8"/>
  <c r="E855" i="8"/>
  <c r="B857" i="3" s="1"/>
  <c r="E856" i="8"/>
  <c r="B856" i="4" s="1"/>
  <c r="E857" i="8"/>
  <c r="B859" i="9" s="1"/>
  <c r="E858" i="8"/>
  <c r="E859" i="8"/>
  <c r="E860" i="8"/>
  <c r="E861" i="8"/>
  <c r="E862" i="8"/>
  <c r="B862" i="4" s="1"/>
  <c r="E863" i="8"/>
  <c r="B863" i="4" s="1"/>
  <c r="E864" i="8"/>
  <c r="B864" i="4" s="1"/>
  <c r="E865" i="8"/>
  <c r="E866" i="8"/>
  <c r="E867" i="8"/>
  <c r="C869" i="2" s="1"/>
  <c r="E868" i="8"/>
  <c r="C870" i="2" s="1"/>
  <c r="E869" i="8"/>
  <c r="E870" i="8"/>
  <c r="B870" i="4" s="1"/>
  <c r="E871" i="8"/>
  <c r="B871" i="4" s="1"/>
  <c r="E872" i="8"/>
  <c r="B872" i="4" s="1"/>
  <c r="E873" i="8"/>
  <c r="E874" i="8"/>
  <c r="B874" i="4" s="1"/>
  <c r="E875" i="8"/>
  <c r="B875" i="4" s="1"/>
  <c r="E876" i="8"/>
  <c r="E877" i="8"/>
  <c r="E878" i="8"/>
  <c r="E879" i="8"/>
  <c r="B881" i="3" s="1"/>
  <c r="E880" i="8"/>
  <c r="B880" i="4" s="1"/>
  <c r="E881" i="8"/>
  <c r="E882" i="8"/>
  <c r="B882" i="4" s="1"/>
  <c r="E883" i="8"/>
  <c r="E884" i="8"/>
  <c r="B886" i="3" s="1"/>
  <c r="E885" i="8"/>
  <c r="E886" i="8"/>
  <c r="E887" i="8"/>
  <c r="B887" i="4" s="1"/>
  <c r="E888" i="8"/>
  <c r="E889" i="8"/>
  <c r="E890" i="8"/>
  <c r="E891" i="8"/>
  <c r="B893" i="9" s="1"/>
  <c r="E892" i="8"/>
  <c r="B892" i="4" s="1"/>
  <c r="E893" i="8"/>
  <c r="E894" i="8"/>
  <c r="E895" i="8"/>
  <c r="B895" i="4" s="1"/>
  <c r="E896" i="8"/>
  <c r="E897" i="8"/>
  <c r="B897" i="4" s="1"/>
  <c r="E898" i="8"/>
  <c r="E899" i="8"/>
  <c r="E900" i="8"/>
  <c r="E901" i="8"/>
  <c r="B901" i="4" s="1"/>
  <c r="E902" i="8"/>
  <c r="B902" i="4" s="1"/>
  <c r="E903" i="8"/>
  <c r="B905" i="3" s="1"/>
  <c r="E904" i="8"/>
  <c r="B904" i="4" s="1"/>
  <c r="E905" i="8"/>
  <c r="B905" i="4" s="1"/>
  <c r="E906" i="8"/>
  <c r="E907" i="8"/>
  <c r="B907" i="4" s="1"/>
  <c r="E908" i="8"/>
  <c r="B908" i="4" s="1"/>
  <c r="E909" i="8"/>
  <c r="B909" i="4" s="1"/>
  <c r="E910" i="8"/>
  <c r="B910" i="4" s="1"/>
  <c r="E911" i="8"/>
  <c r="E912" i="8"/>
  <c r="B912" i="4" s="1"/>
  <c r="E913" i="8"/>
  <c r="E914" i="8"/>
  <c r="E915" i="8"/>
  <c r="B917" i="9" s="1"/>
  <c r="E916" i="8"/>
  <c r="B916" i="4" s="1"/>
  <c r="E917" i="8"/>
  <c r="E918" i="8"/>
  <c r="E919" i="8"/>
  <c r="E920" i="8"/>
  <c r="B920" i="4" s="1"/>
  <c r="E921" i="8"/>
  <c r="E922" i="8"/>
  <c r="E923" i="8"/>
  <c r="E924" i="8"/>
  <c r="B926" i="9" s="1"/>
  <c r="E925" i="8"/>
  <c r="B925" i="4" s="1"/>
  <c r="E926" i="8"/>
  <c r="B926" i="4" s="1"/>
  <c r="E927" i="8"/>
  <c r="C929" i="2" s="1"/>
  <c r="E928" i="8"/>
  <c r="B928" i="4" s="1"/>
  <c r="E929" i="8"/>
  <c r="B929" i="4" s="1"/>
  <c r="E930" i="8"/>
  <c r="B930" i="4" s="1"/>
  <c r="E931" i="8"/>
  <c r="B933" i="3" s="1"/>
  <c r="E932" i="8"/>
  <c r="E933" i="8"/>
  <c r="B933" i="4" s="1"/>
  <c r="E934" i="8"/>
  <c r="E935" i="8"/>
  <c r="B935" i="4" s="1"/>
  <c r="E936" i="8"/>
  <c r="B936" i="4" s="1"/>
  <c r="E937" i="8"/>
  <c r="E938" i="8"/>
  <c r="E939" i="8"/>
  <c r="C941" i="2" s="1"/>
  <c r="E940" i="8"/>
  <c r="B940" i="4" s="1"/>
  <c r="E941" i="8"/>
  <c r="E942" i="8"/>
  <c r="E943" i="8"/>
  <c r="B943" i="4" s="1"/>
  <c r="E944" i="8"/>
  <c r="B944" i="4" s="1"/>
  <c r="E945" i="8"/>
  <c r="E946" i="8"/>
  <c r="B946" i="4" s="1"/>
  <c r="E947" i="8"/>
  <c r="B947" i="4" s="1"/>
  <c r="E948" i="8"/>
  <c r="B950" i="3" s="1"/>
  <c r="E949" i="8"/>
  <c r="B949" i="4" s="1"/>
  <c r="E950" i="8"/>
  <c r="E951" i="8"/>
  <c r="E952" i="8"/>
  <c r="B952" i="4" s="1"/>
  <c r="E953" i="8"/>
  <c r="B953" i="4" s="1"/>
  <c r="E954" i="8"/>
  <c r="B954" i="4" s="1"/>
  <c r="E955" i="8"/>
  <c r="B955" i="4" s="1"/>
  <c r="E956" i="8"/>
  <c r="B956" i="4" s="1"/>
  <c r="E957" i="8"/>
  <c r="E958" i="8"/>
  <c r="B958" i="4" s="1"/>
  <c r="E959" i="8"/>
  <c r="E960" i="8"/>
  <c r="E961" i="8"/>
  <c r="E962" i="8"/>
  <c r="E963" i="8"/>
  <c r="B963" i="4" s="1"/>
  <c r="E964" i="8"/>
  <c r="B964" i="4" s="1"/>
  <c r="E965" i="8"/>
  <c r="B965" i="4" s="1"/>
  <c r="E966" i="8"/>
  <c r="E967" i="8"/>
  <c r="E968" i="8"/>
  <c r="B968" i="4" s="1"/>
  <c r="E969" i="8"/>
  <c r="E970" i="8"/>
  <c r="B970" i="4" s="1"/>
  <c r="E971" i="8"/>
  <c r="E972" i="8"/>
  <c r="B974" i="3" s="1"/>
  <c r="E973" i="8"/>
  <c r="E974" i="8"/>
  <c r="E975" i="8"/>
  <c r="B975" i="4" s="1"/>
  <c r="E976" i="8"/>
  <c r="B976" i="4" s="1"/>
  <c r="E977" i="8"/>
  <c r="B979" i="9" s="1"/>
  <c r="E978" i="8"/>
  <c r="E979" i="8"/>
  <c r="E980" i="8"/>
  <c r="B980" i="4" s="1"/>
  <c r="E981" i="8"/>
  <c r="B981" i="4" s="1"/>
  <c r="E982" i="8"/>
  <c r="E983" i="8"/>
  <c r="B983" i="4" s="1"/>
  <c r="E984" i="8"/>
  <c r="E985" i="8"/>
  <c r="E986" i="8"/>
  <c r="E987" i="8"/>
  <c r="B989" i="3" s="1"/>
  <c r="E988" i="8"/>
  <c r="B988" i="4" s="1"/>
  <c r="E989" i="8"/>
  <c r="B989" i="4" s="1"/>
  <c r="E990" i="8"/>
  <c r="B990" i="4" s="1"/>
  <c r="E991" i="8"/>
  <c r="B991" i="4" s="1"/>
  <c r="E992" i="8"/>
  <c r="B992" i="4" s="1"/>
  <c r="E993" i="8"/>
  <c r="B993" i="4" s="1"/>
  <c r="E994" i="8"/>
  <c r="B996" i="9" s="1"/>
  <c r="E995" i="8"/>
  <c r="B995" i="4" s="1"/>
  <c r="E996" i="8"/>
  <c r="B998" i="3" s="1"/>
  <c r="E997" i="8"/>
  <c r="B997" i="4" s="1"/>
  <c r="E998" i="8"/>
  <c r="R785" i="1"/>
  <c r="R786" i="1"/>
  <c r="R788" i="1"/>
  <c r="R787" i="1"/>
  <c r="R789" i="1"/>
  <c r="R790" i="1"/>
  <c r="R791" i="1"/>
  <c r="R792" i="1"/>
  <c r="R793" i="1"/>
  <c r="R794" i="1"/>
  <c r="R795" i="1"/>
  <c r="R100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7" i="1"/>
  <c r="R778" i="1"/>
  <c r="R779" i="1"/>
  <c r="R776" i="1"/>
  <c r="R780" i="1"/>
  <c r="R781" i="1"/>
  <c r="R782" i="1"/>
  <c r="R796" i="1"/>
  <c r="R797" i="1"/>
  <c r="R999" i="1"/>
  <c r="R798" i="1"/>
  <c r="R799" i="1"/>
  <c r="R800" i="1"/>
  <c r="R801" i="1"/>
  <c r="R823" i="1"/>
  <c r="R802" i="1"/>
  <c r="R825" i="1"/>
  <c r="R824" i="1"/>
  <c r="R826" i="1"/>
  <c r="R827" i="1"/>
  <c r="R828" i="1"/>
  <c r="R829" i="1"/>
  <c r="R830" i="1"/>
  <c r="R822" i="1"/>
  <c r="R834" i="1"/>
  <c r="R835" i="1"/>
  <c r="R859" i="1"/>
  <c r="R860" i="1"/>
  <c r="R817" i="1"/>
  <c r="R818" i="1"/>
  <c r="R819" i="1"/>
  <c r="R833" i="1"/>
  <c r="R810" i="1"/>
  <c r="R811" i="1"/>
  <c r="R812" i="1"/>
  <c r="R814" i="1"/>
  <c r="R815" i="1"/>
  <c r="R816" i="1"/>
  <c r="R813" i="1"/>
  <c r="R803" i="1"/>
  <c r="R804" i="1"/>
  <c r="R805" i="1"/>
  <c r="R809" i="1"/>
  <c r="R806" i="1"/>
  <c r="R807" i="1"/>
  <c r="R808" i="1"/>
  <c r="R831" i="1"/>
  <c r="R832" i="1"/>
  <c r="R836" i="1"/>
  <c r="R861" i="1"/>
  <c r="R862" i="1"/>
  <c r="R864" i="1"/>
  <c r="R863" i="1"/>
  <c r="R865" i="1"/>
  <c r="R866" i="1"/>
  <c r="R867" i="1"/>
  <c r="R868" i="1"/>
  <c r="R869" i="1"/>
  <c r="R870" i="1"/>
  <c r="R871" i="1"/>
  <c r="R875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3" i="1"/>
  <c r="R854" i="1"/>
  <c r="R855" i="1"/>
  <c r="R852" i="1"/>
  <c r="R856" i="1"/>
  <c r="R857" i="1"/>
  <c r="R858" i="1"/>
  <c r="R872" i="1"/>
  <c r="R873" i="1"/>
  <c r="R874" i="1"/>
  <c r="R898" i="1"/>
  <c r="R899" i="1"/>
  <c r="R900" i="1"/>
  <c r="R901" i="1"/>
  <c r="R903" i="1"/>
  <c r="R902" i="1"/>
  <c r="R904" i="1"/>
  <c r="R905" i="1"/>
  <c r="R906" i="1"/>
  <c r="R907" i="1"/>
  <c r="R908" i="1"/>
  <c r="R909" i="1"/>
  <c r="R910" i="1"/>
  <c r="R912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2" i="1"/>
  <c r="R893" i="1"/>
  <c r="R894" i="1"/>
  <c r="R891" i="1"/>
  <c r="R895" i="1"/>
  <c r="R896" i="1"/>
  <c r="R897" i="1"/>
  <c r="R913" i="1"/>
  <c r="R914" i="1"/>
  <c r="R911" i="1"/>
  <c r="R915" i="1"/>
  <c r="R916" i="1"/>
  <c r="R939" i="1"/>
  <c r="R940" i="1"/>
  <c r="R941" i="1"/>
  <c r="R942" i="1"/>
  <c r="R944" i="1"/>
  <c r="R943" i="1"/>
  <c r="R945" i="1"/>
  <c r="R946" i="1"/>
  <c r="R947" i="1"/>
  <c r="R948" i="1"/>
  <c r="R949" i="1"/>
  <c r="R950" i="1"/>
  <c r="R951" i="1"/>
  <c r="R953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3" i="1"/>
  <c r="R934" i="1"/>
  <c r="R935" i="1"/>
  <c r="R932" i="1"/>
  <c r="R936" i="1"/>
  <c r="R937" i="1"/>
  <c r="R938" i="1"/>
  <c r="R954" i="1"/>
  <c r="R955" i="1"/>
  <c r="R952" i="1"/>
  <c r="R956" i="1"/>
  <c r="R957" i="1"/>
  <c r="R980" i="1"/>
  <c r="R981" i="1"/>
  <c r="R982" i="1"/>
  <c r="R983" i="1"/>
  <c r="R985" i="1"/>
  <c r="R984" i="1"/>
  <c r="R986" i="1"/>
  <c r="R987" i="1"/>
  <c r="R988" i="1"/>
  <c r="R989" i="1"/>
  <c r="R990" i="1"/>
  <c r="R991" i="1"/>
  <c r="R992" i="1"/>
  <c r="R994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4" i="1"/>
  <c r="R975" i="1"/>
  <c r="R976" i="1"/>
  <c r="R973" i="1"/>
  <c r="R977" i="1"/>
  <c r="R978" i="1"/>
  <c r="R979" i="1"/>
  <c r="R995" i="1"/>
  <c r="R996" i="1"/>
  <c r="R993" i="1"/>
  <c r="R997" i="1"/>
  <c r="R99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820" i="1"/>
  <c r="R821" i="1"/>
  <c r="O785" i="1"/>
  <c r="O786" i="1"/>
  <c r="O788" i="1"/>
  <c r="O787" i="1"/>
  <c r="O789" i="1"/>
  <c r="O790" i="1"/>
  <c r="O791" i="1"/>
  <c r="O792" i="1"/>
  <c r="O793" i="1"/>
  <c r="O794" i="1"/>
  <c r="O795" i="1"/>
  <c r="O100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7" i="1"/>
  <c r="O778" i="1"/>
  <c r="O779" i="1"/>
  <c r="O776" i="1"/>
  <c r="O780" i="1"/>
  <c r="O781" i="1"/>
  <c r="O782" i="1"/>
  <c r="O796" i="1"/>
  <c r="O797" i="1"/>
  <c r="O999" i="1"/>
  <c r="O798" i="1"/>
  <c r="O799" i="1"/>
  <c r="O800" i="1"/>
  <c r="O801" i="1"/>
  <c r="O823" i="1"/>
  <c r="O802" i="1"/>
  <c r="O825" i="1"/>
  <c r="O824" i="1"/>
  <c r="O826" i="1"/>
  <c r="O827" i="1"/>
  <c r="O828" i="1"/>
  <c r="O829" i="1"/>
  <c r="O830" i="1"/>
  <c r="O822" i="1"/>
  <c r="O834" i="1"/>
  <c r="O835" i="1"/>
  <c r="O859" i="1"/>
  <c r="O860" i="1"/>
  <c r="O817" i="1"/>
  <c r="O818" i="1"/>
  <c r="O819" i="1"/>
  <c r="O833" i="1"/>
  <c r="O810" i="1"/>
  <c r="O811" i="1"/>
  <c r="O812" i="1"/>
  <c r="O814" i="1"/>
  <c r="O815" i="1"/>
  <c r="O816" i="1"/>
  <c r="O813" i="1"/>
  <c r="O803" i="1"/>
  <c r="O804" i="1"/>
  <c r="O805" i="1"/>
  <c r="O809" i="1"/>
  <c r="O806" i="1"/>
  <c r="O807" i="1"/>
  <c r="O808" i="1"/>
  <c r="O831" i="1"/>
  <c r="O832" i="1"/>
  <c r="O836" i="1"/>
  <c r="O861" i="1"/>
  <c r="O862" i="1"/>
  <c r="O864" i="1"/>
  <c r="O863" i="1"/>
  <c r="O865" i="1"/>
  <c r="O866" i="1"/>
  <c r="O867" i="1"/>
  <c r="O868" i="1"/>
  <c r="O869" i="1"/>
  <c r="O870" i="1"/>
  <c r="O871" i="1"/>
  <c r="O875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3" i="1"/>
  <c r="O854" i="1"/>
  <c r="O855" i="1"/>
  <c r="O852" i="1"/>
  <c r="O856" i="1"/>
  <c r="O857" i="1"/>
  <c r="O858" i="1"/>
  <c r="O872" i="1"/>
  <c r="O873" i="1"/>
  <c r="O874" i="1"/>
  <c r="O898" i="1"/>
  <c r="O899" i="1"/>
  <c r="O900" i="1"/>
  <c r="O901" i="1"/>
  <c r="O903" i="1"/>
  <c r="O902" i="1"/>
  <c r="O904" i="1"/>
  <c r="O905" i="1"/>
  <c r="O906" i="1"/>
  <c r="O907" i="1"/>
  <c r="O908" i="1"/>
  <c r="O909" i="1"/>
  <c r="O910" i="1"/>
  <c r="O912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2" i="1"/>
  <c r="O893" i="1"/>
  <c r="O894" i="1"/>
  <c r="O891" i="1"/>
  <c r="O895" i="1"/>
  <c r="O896" i="1"/>
  <c r="O897" i="1"/>
  <c r="O913" i="1"/>
  <c r="O914" i="1"/>
  <c r="O911" i="1"/>
  <c r="O915" i="1"/>
  <c r="O916" i="1"/>
  <c r="O939" i="1"/>
  <c r="O940" i="1"/>
  <c r="O941" i="1"/>
  <c r="O942" i="1"/>
  <c r="O944" i="1"/>
  <c r="O943" i="1"/>
  <c r="O945" i="1"/>
  <c r="O946" i="1"/>
  <c r="O947" i="1"/>
  <c r="O948" i="1"/>
  <c r="O949" i="1"/>
  <c r="O950" i="1"/>
  <c r="O951" i="1"/>
  <c r="O953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3" i="1"/>
  <c r="O934" i="1"/>
  <c r="O935" i="1"/>
  <c r="O932" i="1"/>
  <c r="O936" i="1"/>
  <c r="O937" i="1"/>
  <c r="O938" i="1"/>
  <c r="O954" i="1"/>
  <c r="O955" i="1"/>
  <c r="O952" i="1"/>
  <c r="O956" i="1"/>
  <c r="O957" i="1"/>
  <c r="O980" i="1"/>
  <c r="O981" i="1"/>
  <c r="O982" i="1"/>
  <c r="O983" i="1"/>
  <c r="O985" i="1"/>
  <c r="O984" i="1"/>
  <c r="O986" i="1"/>
  <c r="O987" i="1"/>
  <c r="O988" i="1"/>
  <c r="O989" i="1"/>
  <c r="O990" i="1"/>
  <c r="O991" i="1"/>
  <c r="O992" i="1"/>
  <c r="O994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4" i="1"/>
  <c r="O975" i="1"/>
  <c r="O976" i="1"/>
  <c r="O973" i="1"/>
  <c r="O977" i="1"/>
  <c r="O978" i="1"/>
  <c r="O979" i="1"/>
  <c r="O995" i="1"/>
  <c r="O996" i="1"/>
  <c r="O993" i="1"/>
  <c r="O997" i="1"/>
  <c r="O99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820" i="1"/>
  <c r="O821" i="1"/>
  <c r="N785" i="1"/>
  <c r="N786" i="1"/>
  <c r="N788" i="1"/>
  <c r="N787" i="1"/>
  <c r="N789" i="1"/>
  <c r="N790" i="1"/>
  <c r="N791" i="1"/>
  <c r="N792" i="1"/>
  <c r="N793" i="1"/>
  <c r="N794" i="1"/>
  <c r="N795" i="1"/>
  <c r="N1000" i="1"/>
  <c r="H1000" i="2" s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7" i="1"/>
  <c r="N778" i="1"/>
  <c r="N779" i="1"/>
  <c r="N776" i="1"/>
  <c r="N780" i="1"/>
  <c r="N781" i="1"/>
  <c r="N782" i="1"/>
  <c r="N796" i="1"/>
  <c r="N797" i="1"/>
  <c r="N999" i="1"/>
  <c r="N798" i="1"/>
  <c r="N799" i="1"/>
  <c r="N800" i="1"/>
  <c r="N801" i="1"/>
  <c r="N823" i="1"/>
  <c r="N802" i="1"/>
  <c r="N825" i="1"/>
  <c r="N824" i="1"/>
  <c r="N826" i="1"/>
  <c r="N827" i="1"/>
  <c r="N828" i="1"/>
  <c r="N829" i="1"/>
  <c r="N830" i="1"/>
  <c r="N822" i="1"/>
  <c r="N834" i="1"/>
  <c r="N835" i="1"/>
  <c r="N859" i="1"/>
  <c r="N860" i="1"/>
  <c r="N817" i="1"/>
  <c r="N818" i="1"/>
  <c r="N819" i="1"/>
  <c r="N833" i="1"/>
  <c r="N810" i="1"/>
  <c r="N811" i="1"/>
  <c r="N812" i="1"/>
  <c r="N814" i="1"/>
  <c r="N815" i="1"/>
  <c r="N816" i="1"/>
  <c r="N813" i="1"/>
  <c r="N803" i="1"/>
  <c r="N804" i="1"/>
  <c r="N805" i="1"/>
  <c r="N809" i="1"/>
  <c r="N806" i="1"/>
  <c r="N807" i="1"/>
  <c r="N808" i="1"/>
  <c r="N831" i="1"/>
  <c r="N832" i="1"/>
  <c r="N836" i="1"/>
  <c r="N861" i="1"/>
  <c r="N862" i="1"/>
  <c r="N864" i="1"/>
  <c r="N863" i="1"/>
  <c r="N865" i="1"/>
  <c r="N866" i="1"/>
  <c r="N867" i="1"/>
  <c r="N868" i="1"/>
  <c r="N869" i="1"/>
  <c r="N870" i="1"/>
  <c r="N871" i="1"/>
  <c r="N875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3" i="1"/>
  <c r="N854" i="1"/>
  <c r="N855" i="1"/>
  <c r="N852" i="1"/>
  <c r="N856" i="1"/>
  <c r="N857" i="1"/>
  <c r="N858" i="1"/>
  <c r="N872" i="1"/>
  <c r="N873" i="1"/>
  <c r="N874" i="1"/>
  <c r="N898" i="1"/>
  <c r="N899" i="1"/>
  <c r="N900" i="1"/>
  <c r="N901" i="1"/>
  <c r="N903" i="1"/>
  <c r="N902" i="1"/>
  <c r="N904" i="1"/>
  <c r="N905" i="1"/>
  <c r="N906" i="1"/>
  <c r="N907" i="1"/>
  <c r="N908" i="1"/>
  <c r="N909" i="1"/>
  <c r="N910" i="1"/>
  <c r="N912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2" i="1"/>
  <c r="N893" i="1"/>
  <c r="N894" i="1"/>
  <c r="N891" i="1"/>
  <c r="N895" i="1"/>
  <c r="N896" i="1"/>
  <c r="N897" i="1"/>
  <c r="N913" i="1"/>
  <c r="N914" i="1"/>
  <c r="N911" i="1"/>
  <c r="N915" i="1"/>
  <c r="N916" i="1"/>
  <c r="N939" i="1"/>
  <c r="N940" i="1"/>
  <c r="N941" i="1"/>
  <c r="N942" i="1"/>
  <c r="N944" i="1"/>
  <c r="N943" i="1"/>
  <c r="N945" i="1"/>
  <c r="N946" i="1"/>
  <c r="N947" i="1"/>
  <c r="N948" i="1"/>
  <c r="N949" i="1"/>
  <c r="N950" i="1"/>
  <c r="N951" i="1"/>
  <c r="N953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3" i="1"/>
  <c r="N934" i="1"/>
  <c r="N935" i="1"/>
  <c r="N932" i="1"/>
  <c r="N936" i="1"/>
  <c r="N937" i="1"/>
  <c r="N938" i="1"/>
  <c r="N954" i="1"/>
  <c r="N955" i="1"/>
  <c r="N952" i="1"/>
  <c r="N956" i="1"/>
  <c r="N957" i="1"/>
  <c r="N980" i="1"/>
  <c r="N981" i="1"/>
  <c r="N982" i="1"/>
  <c r="N983" i="1"/>
  <c r="N985" i="1"/>
  <c r="N984" i="1"/>
  <c r="N986" i="1"/>
  <c r="N987" i="1"/>
  <c r="N988" i="1"/>
  <c r="N989" i="1"/>
  <c r="N990" i="1"/>
  <c r="N991" i="1"/>
  <c r="N992" i="1"/>
  <c r="N994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4" i="1"/>
  <c r="N975" i="1"/>
  <c r="N976" i="1"/>
  <c r="N973" i="1"/>
  <c r="N977" i="1"/>
  <c r="N978" i="1"/>
  <c r="N979" i="1"/>
  <c r="N995" i="1"/>
  <c r="N996" i="1"/>
  <c r="N993" i="1"/>
  <c r="N997" i="1"/>
  <c r="N99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820" i="1"/>
  <c r="N821" i="1"/>
  <c r="B821" i="1" a="1"/>
  <c r="B821" i="1" s="1"/>
  <c r="B820" i="1" a="1"/>
  <c r="B820" i="1" s="1"/>
  <c r="B721" i="1" a="1"/>
  <c r="B721" i="1" s="1"/>
  <c r="B720" i="1" a="1"/>
  <c r="B720" i="1" s="1"/>
  <c r="B719" i="1" a="1"/>
  <c r="B719" i="1" s="1"/>
  <c r="B718" i="1" a="1"/>
  <c r="B718" i="1" s="1"/>
  <c r="B717" i="1" a="1"/>
  <c r="B717" i="1" s="1"/>
  <c r="B716" i="1" a="1"/>
  <c r="B716" i="1" s="1"/>
  <c r="B715" i="1" a="1"/>
  <c r="B715" i="1" s="1"/>
  <c r="B714" i="1" a="1"/>
  <c r="B714" i="1" s="1"/>
  <c r="B713" i="1" a="1"/>
  <c r="B713" i="1" s="1"/>
  <c r="B712" i="1" a="1"/>
  <c r="B712" i="1" s="1"/>
  <c r="B711" i="1" a="1"/>
  <c r="B711" i="1" s="1"/>
  <c r="B710" i="1" a="1"/>
  <c r="B710" i="1" s="1"/>
  <c r="B709" i="1" a="1"/>
  <c r="B709" i="1" s="1"/>
  <c r="B708" i="1" a="1"/>
  <c r="B708" i="1" s="1"/>
  <c r="B707" i="1" a="1"/>
  <c r="B707" i="1" s="1"/>
  <c r="B706" i="1" a="1"/>
  <c r="B706" i="1" s="1"/>
  <c r="B705" i="1" a="1"/>
  <c r="B705" i="1" s="1"/>
  <c r="B704" i="1" a="1"/>
  <c r="B704" i="1" s="1"/>
  <c r="B703" i="1" a="1"/>
  <c r="B703" i="1" s="1"/>
  <c r="B702" i="1" a="1"/>
  <c r="B702" i="1" s="1"/>
  <c r="B701" i="1" a="1"/>
  <c r="B701" i="1" s="1"/>
  <c r="B700" i="1" a="1"/>
  <c r="B700" i="1" s="1"/>
  <c r="B699" i="1" a="1"/>
  <c r="B699" i="1" s="1"/>
  <c r="B698" i="1" a="1"/>
  <c r="B698" i="1" s="1"/>
  <c r="B697" i="1" a="1"/>
  <c r="B697" i="1" s="1"/>
  <c r="B696" i="1" a="1"/>
  <c r="B696" i="1" s="1"/>
  <c r="B695" i="1" a="1"/>
  <c r="B695" i="1" s="1"/>
  <c r="B694" i="1" a="1"/>
  <c r="B694" i="1" s="1"/>
  <c r="B693" i="1" a="1"/>
  <c r="B693" i="1" s="1"/>
  <c r="B692" i="1" a="1"/>
  <c r="B692" i="1" s="1"/>
  <c r="B691" i="1" a="1"/>
  <c r="B691" i="1" s="1"/>
  <c r="B690" i="1" a="1"/>
  <c r="B690" i="1" s="1"/>
  <c r="B689" i="1" a="1"/>
  <c r="B689" i="1" s="1"/>
  <c r="B688" i="1" a="1"/>
  <c r="B688" i="1" s="1"/>
  <c r="B687" i="1" a="1"/>
  <c r="B687" i="1" s="1"/>
  <c r="B686" i="1" a="1"/>
  <c r="B686" i="1" s="1"/>
  <c r="B685" i="1" a="1"/>
  <c r="B685" i="1" s="1"/>
  <c r="B684" i="1" a="1"/>
  <c r="B684" i="1" s="1"/>
  <c r="B683" i="1" a="1"/>
  <c r="B683" i="1" s="1"/>
  <c r="B682" i="1" a="1"/>
  <c r="B682" i="1" s="1"/>
  <c r="B681" i="1" a="1"/>
  <c r="B681" i="1" s="1"/>
  <c r="B680" i="1" a="1"/>
  <c r="B680" i="1" s="1"/>
  <c r="B679" i="1" a="1"/>
  <c r="B679" i="1" s="1"/>
  <c r="B678" i="1" a="1"/>
  <c r="B678" i="1" s="1"/>
  <c r="B677" i="1" a="1"/>
  <c r="B677" i="1" s="1"/>
  <c r="B676" i="1" a="1"/>
  <c r="B676" i="1" s="1"/>
  <c r="B675" i="1" a="1"/>
  <c r="B675" i="1" s="1"/>
  <c r="B674" i="1" a="1"/>
  <c r="B674" i="1" s="1"/>
  <c r="B673" i="1" a="1"/>
  <c r="B673" i="1" s="1"/>
  <c r="B672" i="1" a="1"/>
  <c r="B672" i="1" s="1"/>
  <c r="B671" i="1" a="1"/>
  <c r="B671" i="1" s="1"/>
  <c r="B670" i="1" a="1"/>
  <c r="B670" i="1" s="1"/>
  <c r="B669" i="1" a="1"/>
  <c r="B669" i="1" s="1"/>
  <c r="B668" i="1" a="1"/>
  <c r="B668" i="1" s="1"/>
  <c r="B667" i="1" a="1"/>
  <c r="B667" i="1" s="1"/>
  <c r="B666" i="1" a="1"/>
  <c r="B666" i="1" s="1"/>
  <c r="B665" i="1" a="1"/>
  <c r="B665" i="1" s="1"/>
  <c r="B664" i="1" a="1"/>
  <c r="B664" i="1" s="1"/>
  <c r="B663" i="1" a="1"/>
  <c r="B663" i="1" s="1"/>
  <c r="B662" i="1" a="1"/>
  <c r="B662" i="1" s="1"/>
  <c r="B661" i="1" a="1"/>
  <c r="B661" i="1" s="1"/>
  <c r="B660" i="1" a="1"/>
  <c r="B660" i="1" s="1"/>
  <c r="B659" i="1" a="1"/>
  <c r="B659" i="1" s="1"/>
  <c r="B658" i="1" a="1"/>
  <c r="B658" i="1" s="1"/>
  <c r="B657" i="1" a="1"/>
  <c r="B657" i="1" s="1"/>
  <c r="B656" i="1" a="1"/>
  <c r="B656" i="1" s="1"/>
  <c r="B655" i="1" a="1"/>
  <c r="B655" i="1" s="1"/>
  <c r="B654" i="1" a="1"/>
  <c r="B654" i="1" s="1"/>
  <c r="B653" i="1" a="1"/>
  <c r="B653" i="1" s="1"/>
  <c r="B652" i="1" a="1"/>
  <c r="B652" i="1" s="1"/>
  <c r="B651" i="1" a="1"/>
  <c r="B651" i="1" s="1"/>
  <c r="B650" i="1" a="1"/>
  <c r="B650" i="1" s="1"/>
  <c r="B649" i="1" a="1"/>
  <c r="B649" i="1" s="1"/>
  <c r="B648" i="1" a="1"/>
  <c r="B648" i="1" s="1"/>
  <c r="B647" i="1" a="1"/>
  <c r="B647" i="1" s="1"/>
  <c r="B646" i="1" a="1"/>
  <c r="B646" i="1" s="1"/>
  <c r="B645" i="1" a="1"/>
  <c r="B645" i="1" s="1"/>
  <c r="B644" i="1" a="1"/>
  <c r="B644" i="1" s="1"/>
  <c r="B643" i="1" a="1"/>
  <c r="B643" i="1" s="1"/>
  <c r="B642" i="1" a="1"/>
  <c r="B642" i="1" s="1"/>
  <c r="B641" i="1" a="1"/>
  <c r="B641" i="1" s="1"/>
  <c r="B640" i="1" a="1"/>
  <c r="B640" i="1" s="1"/>
  <c r="B639" i="1" a="1"/>
  <c r="B639" i="1" s="1"/>
  <c r="B638" i="1" a="1"/>
  <c r="B638" i="1" s="1"/>
  <c r="B637" i="1" a="1"/>
  <c r="B637" i="1" s="1"/>
  <c r="B636" i="1" a="1"/>
  <c r="B636" i="1" s="1"/>
  <c r="B635" i="1" a="1"/>
  <c r="B635" i="1" s="1"/>
  <c r="B634" i="1" a="1"/>
  <c r="B634" i="1" s="1"/>
  <c r="B633" i="1" a="1"/>
  <c r="B633" i="1" s="1"/>
  <c r="B632" i="1" a="1"/>
  <c r="B632" i="1" s="1"/>
  <c r="B631" i="1" a="1"/>
  <c r="B631" i="1" s="1"/>
  <c r="B630" i="1" a="1"/>
  <c r="B630" i="1" s="1"/>
  <c r="B629" i="1" a="1"/>
  <c r="B629" i="1" s="1"/>
  <c r="B628" i="1" a="1"/>
  <c r="B628" i="1" s="1"/>
  <c r="B627" i="1" a="1"/>
  <c r="B627" i="1" s="1"/>
  <c r="B626" i="1" a="1"/>
  <c r="B626" i="1" s="1"/>
  <c r="B625" i="1" a="1"/>
  <c r="B625" i="1" s="1"/>
  <c r="B624" i="1" a="1"/>
  <c r="B624" i="1" s="1"/>
  <c r="B623" i="1" a="1"/>
  <c r="B623" i="1" s="1"/>
  <c r="B622" i="1" a="1"/>
  <c r="B622" i="1" s="1"/>
  <c r="B621" i="1" a="1"/>
  <c r="B621" i="1" s="1"/>
  <c r="B620" i="1" a="1"/>
  <c r="B620" i="1" s="1"/>
  <c r="B619" i="1" a="1"/>
  <c r="B619" i="1" s="1"/>
  <c r="B618" i="1" a="1"/>
  <c r="B618" i="1" s="1"/>
  <c r="B617" i="1" a="1"/>
  <c r="B617" i="1" s="1"/>
  <c r="B616" i="1" a="1"/>
  <c r="B616" i="1" s="1"/>
  <c r="B615" i="1" a="1"/>
  <c r="B615" i="1" s="1"/>
  <c r="B614" i="1" a="1"/>
  <c r="B614" i="1" s="1"/>
  <c r="B613" i="1" a="1"/>
  <c r="B613" i="1" s="1"/>
  <c r="B612" i="1" a="1"/>
  <c r="B612" i="1" s="1"/>
  <c r="B611" i="1" a="1"/>
  <c r="B611" i="1" s="1"/>
  <c r="B610" i="1" a="1"/>
  <c r="B610" i="1" s="1"/>
  <c r="B609" i="1" a="1"/>
  <c r="B609" i="1" s="1"/>
  <c r="B608" i="1" a="1"/>
  <c r="B608" i="1" s="1"/>
  <c r="B607" i="1" a="1"/>
  <c r="B607" i="1" s="1"/>
  <c r="B606" i="1" a="1"/>
  <c r="B606" i="1" s="1"/>
  <c r="B605" i="1" a="1"/>
  <c r="B605" i="1" s="1"/>
  <c r="B604" i="1" a="1"/>
  <c r="B604" i="1" s="1"/>
  <c r="B603" i="1" a="1"/>
  <c r="B603" i="1" s="1"/>
  <c r="B602" i="1" a="1"/>
  <c r="B602" i="1" s="1"/>
  <c r="B601" i="1" a="1"/>
  <c r="B601" i="1" s="1"/>
  <c r="B600" i="1" a="1"/>
  <c r="B600" i="1" s="1"/>
  <c r="B599" i="1" a="1"/>
  <c r="B599" i="1" s="1"/>
  <c r="B598" i="1" a="1"/>
  <c r="B598" i="1" s="1"/>
  <c r="B597" i="1" a="1"/>
  <c r="B597" i="1" s="1"/>
  <c r="B596" i="1" a="1"/>
  <c r="B596" i="1" s="1"/>
  <c r="B595" i="1" a="1"/>
  <c r="B595" i="1" s="1"/>
  <c r="B594" i="1" a="1"/>
  <c r="B594" i="1" s="1"/>
  <c r="B593" i="1" a="1"/>
  <c r="B593" i="1" s="1"/>
  <c r="B592" i="1" a="1"/>
  <c r="B592" i="1" s="1"/>
  <c r="B591" i="1" a="1"/>
  <c r="B591" i="1" s="1"/>
  <c r="B590" i="1" a="1"/>
  <c r="B590" i="1" s="1"/>
  <c r="B589" i="1" a="1"/>
  <c r="B589" i="1" s="1"/>
  <c r="B588" i="1" a="1"/>
  <c r="B588" i="1" s="1"/>
  <c r="B587" i="1" a="1"/>
  <c r="B587" i="1" s="1"/>
  <c r="B586" i="1" a="1"/>
  <c r="B586" i="1" s="1"/>
  <c r="B585" i="1" a="1"/>
  <c r="B585" i="1" s="1"/>
  <c r="B584" i="1" a="1"/>
  <c r="B584" i="1" s="1"/>
  <c r="B583" i="1" a="1"/>
  <c r="B583" i="1" s="1"/>
  <c r="B582" i="1" a="1"/>
  <c r="B582" i="1" s="1"/>
  <c r="B581" i="1" a="1"/>
  <c r="B581" i="1" s="1"/>
  <c r="B580" i="1" a="1"/>
  <c r="B580" i="1" s="1"/>
  <c r="B579" i="1" a="1"/>
  <c r="B579" i="1" s="1"/>
  <c r="B578" i="1" a="1"/>
  <c r="B578" i="1" s="1"/>
  <c r="B577" i="1" a="1"/>
  <c r="B577" i="1" s="1"/>
  <c r="B576" i="1" a="1"/>
  <c r="B576" i="1" s="1"/>
  <c r="B575" i="1" a="1"/>
  <c r="B575" i="1" s="1"/>
  <c r="B574" i="1" a="1"/>
  <c r="B574" i="1" s="1"/>
  <c r="B573" i="1" a="1"/>
  <c r="B573" i="1" s="1"/>
  <c r="B572" i="1" a="1"/>
  <c r="B572" i="1" s="1"/>
  <c r="B571" i="1" a="1"/>
  <c r="B571" i="1" s="1"/>
  <c r="B570" i="1" a="1"/>
  <c r="B570" i="1" s="1"/>
  <c r="B569" i="1" a="1"/>
  <c r="B569" i="1" s="1"/>
  <c r="B568" i="1" a="1"/>
  <c r="B568" i="1" s="1"/>
  <c r="B567" i="1" a="1"/>
  <c r="B567" i="1" s="1"/>
  <c r="B566" i="1" a="1"/>
  <c r="B566" i="1" s="1"/>
  <c r="B565" i="1" a="1"/>
  <c r="B565" i="1" s="1"/>
  <c r="B564" i="1" a="1"/>
  <c r="B564" i="1" s="1"/>
  <c r="B563" i="1" a="1"/>
  <c r="B563" i="1" s="1"/>
  <c r="B562" i="1" a="1"/>
  <c r="B562" i="1" s="1"/>
  <c r="B561" i="1" a="1"/>
  <c r="B561" i="1" s="1"/>
  <c r="B560" i="1" a="1"/>
  <c r="B560" i="1" s="1"/>
  <c r="B559" i="1" a="1"/>
  <c r="B559" i="1" s="1"/>
  <c r="B558" i="1" a="1"/>
  <c r="B558" i="1" s="1"/>
  <c r="B557" i="1" a="1"/>
  <c r="B557" i="1" s="1"/>
  <c r="B556" i="1" a="1"/>
  <c r="B556" i="1" s="1"/>
  <c r="B555" i="1" a="1"/>
  <c r="B555" i="1" s="1"/>
  <c r="B554" i="1" a="1"/>
  <c r="B554" i="1" s="1"/>
  <c r="B553" i="1" a="1"/>
  <c r="B553" i="1" s="1"/>
  <c r="B552" i="1" a="1"/>
  <c r="B552" i="1" s="1"/>
  <c r="B551" i="1" a="1"/>
  <c r="B551" i="1" s="1"/>
  <c r="B550" i="1" a="1"/>
  <c r="B550" i="1" s="1"/>
  <c r="B549" i="1" a="1"/>
  <c r="B549" i="1" s="1"/>
  <c r="B548" i="1" a="1"/>
  <c r="B548" i="1" s="1"/>
  <c r="B547" i="1" a="1"/>
  <c r="B547" i="1" s="1"/>
  <c r="B546" i="1" a="1"/>
  <c r="B546" i="1" s="1"/>
  <c r="B545" i="1" a="1"/>
  <c r="B545" i="1" s="1"/>
  <c r="B544" i="1" a="1"/>
  <c r="B544" i="1" s="1"/>
  <c r="B543" i="1" a="1"/>
  <c r="B543" i="1" s="1"/>
  <c r="B542" i="1" a="1"/>
  <c r="B542" i="1" s="1"/>
  <c r="B541" i="1" a="1"/>
  <c r="B541" i="1" s="1"/>
  <c r="B540" i="1" a="1"/>
  <c r="B540" i="1" s="1"/>
  <c r="B539" i="1" a="1"/>
  <c r="B539" i="1" s="1"/>
  <c r="B538" i="1" a="1"/>
  <c r="B538" i="1" s="1"/>
  <c r="B537" i="1" a="1"/>
  <c r="B537" i="1" s="1"/>
  <c r="B536" i="1" a="1"/>
  <c r="B536" i="1" s="1"/>
  <c r="B535" i="1" a="1"/>
  <c r="B535" i="1" s="1"/>
  <c r="B534" i="1" a="1"/>
  <c r="B534" i="1" s="1"/>
  <c r="B533" i="1" a="1"/>
  <c r="B533" i="1" s="1"/>
  <c r="B532" i="1" a="1"/>
  <c r="B532" i="1" s="1"/>
  <c r="B531" i="1" a="1"/>
  <c r="B531" i="1" s="1"/>
  <c r="B530" i="1" a="1"/>
  <c r="B530" i="1" s="1"/>
  <c r="B529" i="1" a="1"/>
  <c r="B529" i="1" s="1"/>
  <c r="B528" i="1" a="1"/>
  <c r="B528" i="1" s="1"/>
  <c r="B527" i="1" a="1"/>
  <c r="B527" i="1" s="1"/>
  <c r="B526" i="1" a="1"/>
  <c r="B526" i="1" s="1"/>
  <c r="B525" i="1" a="1"/>
  <c r="B525" i="1" s="1"/>
  <c r="B524" i="1" a="1"/>
  <c r="B524" i="1" s="1"/>
  <c r="B523" i="1" a="1"/>
  <c r="B523" i="1" s="1"/>
  <c r="B522" i="1" a="1"/>
  <c r="B522" i="1" s="1"/>
  <c r="B521" i="1" a="1"/>
  <c r="B521" i="1" s="1"/>
  <c r="B520" i="1" a="1"/>
  <c r="B520" i="1" s="1"/>
  <c r="B519" i="1" a="1"/>
  <c r="B519" i="1" s="1"/>
  <c r="B518" i="1" a="1"/>
  <c r="B518" i="1" s="1"/>
  <c r="B517" i="1" a="1"/>
  <c r="B517" i="1" s="1"/>
  <c r="B516" i="1" a="1"/>
  <c r="B516" i="1" s="1"/>
  <c r="B515" i="1" a="1"/>
  <c r="B515" i="1" s="1"/>
  <c r="B514" i="1" a="1"/>
  <c r="B514" i="1" s="1"/>
  <c r="B513" i="1" a="1"/>
  <c r="B513" i="1" s="1"/>
  <c r="B512" i="1" a="1"/>
  <c r="B512" i="1" s="1"/>
  <c r="B511" i="1" a="1"/>
  <c r="B511" i="1" s="1"/>
  <c r="B510" i="1" a="1"/>
  <c r="B510" i="1" s="1"/>
  <c r="B509" i="1" a="1"/>
  <c r="B509" i="1" s="1"/>
  <c r="B508" i="1" a="1"/>
  <c r="B508" i="1" s="1"/>
  <c r="B507" i="1" a="1"/>
  <c r="B507" i="1" s="1"/>
  <c r="B506" i="1" a="1"/>
  <c r="B506" i="1" s="1"/>
  <c r="B505" i="1" a="1"/>
  <c r="B505" i="1" s="1"/>
  <c r="B504" i="1" a="1"/>
  <c r="B504" i="1" s="1"/>
  <c r="B503" i="1" a="1"/>
  <c r="B503" i="1" s="1"/>
  <c r="B502" i="1" a="1"/>
  <c r="B502" i="1" s="1"/>
  <c r="B501" i="1" a="1"/>
  <c r="B501" i="1" s="1"/>
  <c r="B500" i="1" a="1"/>
  <c r="B500" i="1" s="1"/>
  <c r="B499" i="1" a="1"/>
  <c r="B499" i="1" s="1"/>
  <c r="B498" i="1" a="1"/>
  <c r="B498" i="1" s="1"/>
  <c r="B497" i="1" a="1"/>
  <c r="B497" i="1" s="1"/>
  <c r="B496" i="1" a="1"/>
  <c r="B496" i="1" s="1"/>
  <c r="B495" i="1" a="1"/>
  <c r="B495" i="1" s="1"/>
  <c r="B494" i="1" a="1"/>
  <c r="B494" i="1" s="1"/>
  <c r="B493" i="1" a="1"/>
  <c r="B493" i="1" s="1"/>
  <c r="B492" i="1" a="1"/>
  <c r="B492" i="1" s="1"/>
  <c r="B491" i="1" a="1"/>
  <c r="B491" i="1" s="1"/>
  <c r="B490" i="1" a="1"/>
  <c r="B490" i="1" s="1"/>
  <c r="B489" i="1" a="1"/>
  <c r="B489" i="1" s="1"/>
  <c r="B488" i="1" a="1"/>
  <c r="B488" i="1" s="1"/>
  <c r="B487" i="1" a="1"/>
  <c r="B487" i="1" s="1"/>
  <c r="B486" i="1" a="1"/>
  <c r="B486" i="1" s="1"/>
  <c r="B485" i="1" a="1"/>
  <c r="B485" i="1" s="1"/>
  <c r="B484" i="1" a="1"/>
  <c r="B484" i="1" s="1"/>
  <c r="B483" i="1" a="1"/>
  <c r="B483" i="1" s="1"/>
  <c r="B482" i="1" a="1"/>
  <c r="B482" i="1" s="1"/>
  <c r="B481" i="1" a="1"/>
  <c r="B481" i="1" s="1"/>
  <c r="B480" i="1" a="1"/>
  <c r="B480" i="1" s="1"/>
  <c r="B479" i="1" a="1"/>
  <c r="B479" i="1" s="1"/>
  <c r="B478" i="1" a="1"/>
  <c r="B478" i="1" s="1"/>
  <c r="B477" i="1" a="1"/>
  <c r="B477" i="1" s="1"/>
  <c r="B476" i="1" a="1"/>
  <c r="B476" i="1" s="1"/>
  <c r="B475" i="1" a="1"/>
  <c r="B475" i="1" s="1"/>
  <c r="B474" i="1" a="1"/>
  <c r="B474" i="1" s="1"/>
  <c r="B473" i="1" a="1"/>
  <c r="B473" i="1" s="1"/>
  <c r="B472" i="1" a="1"/>
  <c r="B472" i="1" s="1"/>
  <c r="B471" i="1" a="1"/>
  <c r="B471" i="1" s="1"/>
  <c r="B470" i="1" a="1"/>
  <c r="B470" i="1" s="1"/>
  <c r="B469" i="1" a="1"/>
  <c r="B469" i="1" s="1"/>
  <c r="B468" i="1" a="1"/>
  <c r="B468" i="1" s="1"/>
  <c r="B467" i="1" a="1"/>
  <c r="B467" i="1" s="1"/>
  <c r="B466" i="1" a="1"/>
  <c r="B466" i="1" s="1"/>
  <c r="B465" i="1" a="1"/>
  <c r="B465" i="1" s="1"/>
  <c r="B464" i="1" a="1"/>
  <c r="B464" i="1" s="1"/>
  <c r="B463" i="1" a="1"/>
  <c r="B463" i="1" s="1"/>
  <c r="B462" i="1" a="1"/>
  <c r="B462" i="1" s="1"/>
  <c r="B461" i="1" a="1"/>
  <c r="B461" i="1" s="1"/>
  <c r="B460" i="1" a="1"/>
  <c r="B460" i="1" s="1"/>
  <c r="B459" i="1" a="1"/>
  <c r="B459" i="1" s="1"/>
  <c r="B458" i="1" a="1"/>
  <c r="B458" i="1" s="1"/>
  <c r="B457" i="1" a="1"/>
  <c r="B457" i="1" s="1"/>
  <c r="B456" i="1" a="1"/>
  <c r="B456" i="1" s="1"/>
  <c r="B455" i="1" a="1"/>
  <c r="B455" i="1" s="1"/>
  <c r="B454" i="1" a="1"/>
  <c r="B454" i="1" s="1"/>
  <c r="B453" i="1" a="1"/>
  <c r="B453" i="1" s="1"/>
  <c r="B452" i="1" a="1"/>
  <c r="B452" i="1" s="1"/>
  <c r="B451" i="1" a="1"/>
  <c r="B451" i="1" s="1"/>
  <c r="B450" i="1" a="1"/>
  <c r="B450" i="1" s="1"/>
  <c r="B449" i="1" a="1"/>
  <c r="B449" i="1" s="1"/>
  <c r="B448" i="1" a="1"/>
  <c r="B448" i="1" s="1"/>
  <c r="B447" i="1" a="1"/>
  <c r="B447" i="1" s="1"/>
  <c r="B446" i="1" a="1"/>
  <c r="B446" i="1" s="1"/>
  <c r="B445" i="1" a="1"/>
  <c r="B445" i="1" s="1"/>
  <c r="B444" i="1" a="1"/>
  <c r="B444" i="1" s="1"/>
  <c r="B443" i="1" a="1"/>
  <c r="B443" i="1" s="1"/>
  <c r="B442" i="1" a="1"/>
  <c r="B442" i="1" s="1"/>
  <c r="B441" i="1" a="1"/>
  <c r="B441" i="1" s="1"/>
  <c r="B440" i="1" a="1"/>
  <c r="B440" i="1" s="1"/>
  <c r="B439" i="1" a="1"/>
  <c r="B439" i="1" s="1"/>
  <c r="B438" i="1" a="1"/>
  <c r="B438" i="1" s="1"/>
  <c r="B437" i="1" a="1"/>
  <c r="B437" i="1" s="1"/>
  <c r="B436" i="1" a="1"/>
  <c r="B436" i="1" s="1"/>
  <c r="B435" i="1" a="1"/>
  <c r="B435" i="1" s="1"/>
  <c r="B434" i="1" a="1"/>
  <c r="B434" i="1" s="1"/>
  <c r="B433" i="1" a="1"/>
  <c r="B433" i="1" s="1"/>
  <c r="B432" i="1" a="1"/>
  <c r="B432" i="1" s="1"/>
  <c r="B431" i="1" a="1"/>
  <c r="B431" i="1" s="1"/>
  <c r="B430" i="1" a="1"/>
  <c r="B430" i="1" s="1"/>
  <c r="B429" i="1" a="1"/>
  <c r="B429" i="1" s="1"/>
  <c r="B428" i="1" a="1"/>
  <c r="B428" i="1" s="1"/>
  <c r="B427" i="1" a="1"/>
  <c r="B427" i="1" s="1"/>
  <c r="B426" i="1" a="1"/>
  <c r="B426" i="1" s="1"/>
  <c r="B425" i="1" a="1"/>
  <c r="B425" i="1" s="1"/>
  <c r="B424" i="1" a="1"/>
  <c r="B424" i="1" s="1"/>
  <c r="B423" i="1" a="1"/>
  <c r="B423" i="1" s="1"/>
  <c r="B422" i="1" a="1"/>
  <c r="B422" i="1" s="1"/>
  <c r="B421" i="1" a="1"/>
  <c r="B421" i="1" s="1"/>
  <c r="B420" i="1" a="1"/>
  <c r="B420" i="1" s="1"/>
  <c r="B419" i="1" a="1"/>
  <c r="B419" i="1" s="1"/>
  <c r="B418" i="1" a="1"/>
  <c r="B418" i="1" s="1"/>
  <c r="B417" i="1" a="1"/>
  <c r="B417" i="1" s="1"/>
  <c r="B416" i="1" a="1"/>
  <c r="B416" i="1" s="1"/>
  <c r="B415" i="1" a="1"/>
  <c r="B415" i="1" s="1"/>
  <c r="B414" i="1" a="1"/>
  <c r="B414" i="1" s="1"/>
  <c r="B413" i="1" a="1"/>
  <c r="B413" i="1" s="1"/>
  <c r="B412" i="1" a="1"/>
  <c r="B412" i="1" s="1"/>
  <c r="B411" i="1" a="1"/>
  <c r="B411" i="1" s="1"/>
  <c r="B410" i="1" a="1"/>
  <c r="B410" i="1" s="1"/>
  <c r="B409" i="1" a="1"/>
  <c r="B409" i="1" s="1"/>
  <c r="B408" i="1" a="1"/>
  <c r="B408" i="1" s="1"/>
  <c r="B407" i="1" a="1"/>
  <c r="B407" i="1" s="1"/>
  <c r="B406" i="1" a="1"/>
  <c r="B406" i="1" s="1"/>
  <c r="B405" i="1" a="1"/>
  <c r="B405" i="1" s="1"/>
  <c r="B404" i="1" a="1"/>
  <c r="B404" i="1" s="1"/>
  <c r="B403" i="1" a="1"/>
  <c r="B403" i="1" s="1"/>
  <c r="B402" i="1" a="1"/>
  <c r="B402" i="1" s="1"/>
  <c r="B401" i="1" a="1"/>
  <c r="B401" i="1" s="1"/>
  <c r="B400" i="1" a="1"/>
  <c r="B400" i="1" s="1"/>
  <c r="B399" i="1" a="1"/>
  <c r="B399" i="1" s="1"/>
  <c r="B398" i="1" a="1"/>
  <c r="B398" i="1" s="1"/>
  <c r="B397" i="1" a="1"/>
  <c r="B397" i="1" s="1"/>
  <c r="B396" i="1" a="1"/>
  <c r="B396" i="1" s="1"/>
  <c r="B395" i="1" a="1"/>
  <c r="B395" i="1" s="1"/>
  <c r="B394" i="1" a="1"/>
  <c r="B394" i="1" s="1"/>
  <c r="B393" i="1" a="1"/>
  <c r="B393" i="1" s="1"/>
  <c r="B392" i="1" a="1"/>
  <c r="B392" i="1" s="1"/>
  <c r="B391" i="1" a="1"/>
  <c r="B391" i="1" s="1"/>
  <c r="B390" i="1" a="1"/>
  <c r="B390" i="1" s="1"/>
  <c r="B389" i="1" a="1"/>
  <c r="B389" i="1" s="1"/>
  <c r="B388" i="1" a="1"/>
  <c r="B388" i="1" s="1"/>
  <c r="B387" i="1" a="1"/>
  <c r="B387" i="1" s="1"/>
  <c r="B386" i="1" a="1"/>
  <c r="B386" i="1" s="1"/>
  <c r="B385" i="1" a="1"/>
  <c r="B385" i="1" s="1"/>
  <c r="B384" i="1" a="1"/>
  <c r="B384" i="1" s="1"/>
  <c r="B383" i="1" a="1"/>
  <c r="B383" i="1" s="1"/>
  <c r="B382" i="1" a="1"/>
  <c r="B382" i="1" s="1"/>
  <c r="B381" i="1" a="1"/>
  <c r="B381" i="1" s="1"/>
  <c r="B380" i="1" a="1"/>
  <c r="B380" i="1" s="1"/>
  <c r="B379" i="1" a="1"/>
  <c r="B379" i="1" s="1"/>
  <c r="B378" i="1" a="1"/>
  <c r="B378" i="1" s="1"/>
  <c r="B377" i="1" a="1"/>
  <c r="B377" i="1" s="1"/>
  <c r="B376" i="1" a="1"/>
  <c r="B376" i="1" s="1"/>
  <c r="B375" i="1" a="1"/>
  <c r="B375" i="1" s="1"/>
  <c r="B374" i="1" a="1"/>
  <c r="B374" i="1" s="1"/>
  <c r="B373" i="1" a="1"/>
  <c r="B373" i="1" s="1"/>
  <c r="B372" i="1" a="1"/>
  <c r="B372" i="1" s="1"/>
  <c r="B371" i="1" a="1"/>
  <c r="B371" i="1" s="1"/>
  <c r="B370" i="1" a="1"/>
  <c r="B370" i="1" s="1"/>
  <c r="B369" i="1" a="1"/>
  <c r="B369" i="1" s="1"/>
  <c r="B368" i="1" a="1"/>
  <c r="B368" i="1" s="1"/>
  <c r="B367" i="1" a="1"/>
  <c r="B367" i="1" s="1"/>
  <c r="B366" i="1" a="1"/>
  <c r="B366" i="1" s="1"/>
  <c r="B365" i="1" a="1"/>
  <c r="B365" i="1" s="1"/>
  <c r="B364" i="1" a="1"/>
  <c r="B364" i="1" s="1"/>
  <c r="B363" i="1" a="1"/>
  <c r="B363" i="1" s="1"/>
  <c r="B362" i="1" a="1"/>
  <c r="B362" i="1" s="1"/>
  <c r="B361" i="1" a="1"/>
  <c r="B361" i="1" s="1"/>
  <c r="B360" i="1" a="1"/>
  <c r="B360" i="1" s="1"/>
  <c r="B359" i="1" a="1"/>
  <c r="B359" i="1" s="1"/>
  <c r="B358" i="1" a="1"/>
  <c r="B358" i="1" s="1"/>
  <c r="B357" i="1" a="1"/>
  <c r="B357" i="1" s="1"/>
  <c r="B356" i="1" a="1"/>
  <c r="B356" i="1" s="1"/>
  <c r="B355" i="1" a="1"/>
  <c r="B355" i="1" s="1"/>
  <c r="B354" i="1" a="1"/>
  <c r="B354" i="1" s="1"/>
  <c r="B353" i="1" a="1"/>
  <c r="B353" i="1" s="1"/>
  <c r="B352" i="1" a="1"/>
  <c r="B352" i="1" s="1"/>
  <c r="B351" i="1" a="1"/>
  <c r="B351" i="1" s="1"/>
  <c r="B350" i="1" a="1"/>
  <c r="B350" i="1" s="1"/>
  <c r="B349" i="1" a="1"/>
  <c r="B349" i="1" s="1"/>
  <c r="B348" i="1" a="1"/>
  <c r="B348" i="1" s="1"/>
  <c r="B347" i="1" a="1"/>
  <c r="B347" i="1" s="1"/>
  <c r="B346" i="1" a="1"/>
  <c r="B346" i="1" s="1"/>
  <c r="B345" i="1" a="1"/>
  <c r="B345" i="1" s="1"/>
  <c r="B344" i="1" a="1"/>
  <c r="B344" i="1" s="1"/>
  <c r="B343" i="1" a="1"/>
  <c r="B343" i="1" s="1"/>
  <c r="B342" i="1" a="1"/>
  <c r="B342" i="1" s="1"/>
  <c r="B341" i="1" a="1"/>
  <c r="B341" i="1" s="1"/>
  <c r="B340" i="1" a="1"/>
  <c r="B340" i="1" s="1"/>
  <c r="B339" i="1" a="1"/>
  <c r="B339" i="1" s="1"/>
  <c r="B338" i="1" a="1"/>
  <c r="B338" i="1" s="1"/>
  <c r="B337" i="1" a="1"/>
  <c r="B337" i="1" s="1"/>
  <c r="B336" i="1" a="1"/>
  <c r="B336" i="1" s="1"/>
  <c r="B335" i="1" a="1"/>
  <c r="B335" i="1" s="1"/>
  <c r="B334" i="1" a="1"/>
  <c r="B334" i="1" s="1"/>
  <c r="B333" i="1" a="1"/>
  <c r="B333" i="1" s="1"/>
  <c r="B332" i="1" a="1"/>
  <c r="B332" i="1" s="1"/>
  <c r="B331" i="1" a="1"/>
  <c r="B331" i="1" s="1"/>
  <c r="B330" i="1" a="1"/>
  <c r="B330" i="1" s="1"/>
  <c r="B329" i="1" a="1"/>
  <c r="B329" i="1" s="1"/>
  <c r="B328" i="1" a="1"/>
  <c r="B328" i="1" s="1"/>
  <c r="B327" i="1" a="1"/>
  <c r="B327" i="1" s="1"/>
  <c r="B326" i="1" a="1"/>
  <c r="B326" i="1" s="1"/>
  <c r="B325" i="1" a="1"/>
  <c r="B325" i="1" s="1"/>
  <c r="B324" i="1" a="1"/>
  <c r="B324" i="1" s="1"/>
  <c r="B323" i="1" a="1"/>
  <c r="B323" i="1" s="1"/>
  <c r="B322" i="1" a="1"/>
  <c r="B322" i="1" s="1"/>
  <c r="B321" i="1" a="1"/>
  <c r="B321" i="1" s="1"/>
  <c r="B320" i="1" a="1"/>
  <c r="B320" i="1" s="1"/>
  <c r="B319" i="1" a="1"/>
  <c r="B319" i="1" s="1"/>
  <c r="B318" i="1" a="1"/>
  <c r="B318" i="1" s="1"/>
  <c r="B317" i="1" a="1"/>
  <c r="B317" i="1" s="1"/>
  <c r="B316" i="1" a="1"/>
  <c r="B316" i="1" s="1"/>
  <c r="B315" i="1" a="1"/>
  <c r="B315" i="1" s="1"/>
  <c r="B314" i="1" a="1"/>
  <c r="B314" i="1" s="1"/>
  <c r="B313" i="1" a="1"/>
  <c r="B313" i="1" s="1"/>
  <c r="B312" i="1" a="1"/>
  <c r="B312" i="1" s="1"/>
  <c r="B311" i="1" a="1"/>
  <c r="B311" i="1" s="1"/>
  <c r="B310" i="1" a="1"/>
  <c r="B310" i="1" s="1"/>
  <c r="B309" i="1" a="1"/>
  <c r="B309" i="1" s="1"/>
  <c r="B308" i="1" a="1"/>
  <c r="B308" i="1" s="1"/>
  <c r="B307" i="1" a="1"/>
  <c r="B307" i="1" s="1"/>
  <c r="B306" i="1" a="1"/>
  <c r="B306" i="1" s="1"/>
  <c r="B305" i="1" a="1"/>
  <c r="B305" i="1" s="1"/>
  <c r="B304" i="1" a="1"/>
  <c r="B304" i="1" s="1"/>
  <c r="B303" i="1" a="1"/>
  <c r="B303" i="1" s="1"/>
  <c r="B302" i="1" a="1"/>
  <c r="B302" i="1" s="1"/>
  <c r="B301" i="1" a="1"/>
  <c r="B301" i="1" s="1"/>
  <c r="B300" i="1" a="1"/>
  <c r="B300" i="1" s="1"/>
  <c r="B299" i="1" a="1"/>
  <c r="B299" i="1" s="1"/>
  <c r="B298" i="1" a="1"/>
  <c r="B298" i="1" s="1"/>
  <c r="B297" i="1" a="1"/>
  <c r="B297" i="1" s="1"/>
  <c r="B296" i="1" a="1"/>
  <c r="B296" i="1" s="1"/>
  <c r="B295" i="1" a="1"/>
  <c r="B295" i="1" s="1"/>
  <c r="B294" i="1" a="1"/>
  <c r="B294" i="1" s="1"/>
  <c r="B293" i="1" a="1"/>
  <c r="B293" i="1" s="1"/>
  <c r="B292" i="1" a="1"/>
  <c r="B292" i="1" s="1"/>
  <c r="B291" i="1" a="1"/>
  <c r="B291" i="1" s="1"/>
  <c r="B290" i="1" a="1"/>
  <c r="B290" i="1" s="1"/>
  <c r="B289" i="1" a="1"/>
  <c r="B289" i="1" s="1"/>
  <c r="B288" i="1" a="1"/>
  <c r="B288" i="1" s="1"/>
  <c r="B287" i="1" a="1"/>
  <c r="B287" i="1" s="1"/>
  <c r="B286" i="1" a="1"/>
  <c r="B286" i="1" s="1"/>
  <c r="B285" i="1" a="1"/>
  <c r="B285" i="1" s="1"/>
  <c r="B284" i="1" a="1"/>
  <c r="B284" i="1" s="1"/>
  <c r="B283" i="1" a="1"/>
  <c r="B283" i="1" s="1"/>
  <c r="B282" i="1" a="1"/>
  <c r="B282" i="1" s="1"/>
  <c r="B281" i="1" a="1"/>
  <c r="B281" i="1" s="1"/>
  <c r="B280" i="1" a="1"/>
  <c r="B280" i="1" s="1"/>
  <c r="B279" i="1" a="1"/>
  <c r="B279" i="1" s="1"/>
  <c r="B278" i="1" a="1"/>
  <c r="B278" i="1" s="1"/>
  <c r="B277" i="1" a="1"/>
  <c r="B277" i="1" s="1"/>
  <c r="B276" i="1" a="1"/>
  <c r="B276" i="1" s="1"/>
  <c r="B275" i="1" a="1"/>
  <c r="B275" i="1" s="1"/>
  <c r="B274" i="1" a="1"/>
  <c r="B274" i="1" s="1"/>
  <c r="B273" i="1" a="1"/>
  <c r="B273" i="1" s="1"/>
  <c r="B272" i="1" a="1"/>
  <c r="B272" i="1" s="1"/>
  <c r="B271" i="1" a="1"/>
  <c r="B271" i="1" s="1"/>
  <c r="B270" i="1" a="1"/>
  <c r="B270" i="1" s="1"/>
  <c r="B269" i="1" a="1"/>
  <c r="B269" i="1" s="1"/>
  <c r="B268" i="1" a="1"/>
  <c r="B268" i="1" s="1"/>
  <c r="B267" i="1" a="1"/>
  <c r="B267" i="1" s="1"/>
  <c r="B266" i="1" a="1"/>
  <c r="B266" i="1" s="1"/>
  <c r="B265" i="1" a="1"/>
  <c r="B265" i="1" s="1"/>
  <c r="B264" i="1" a="1"/>
  <c r="B264" i="1" s="1"/>
  <c r="B263" i="1" a="1"/>
  <c r="B263" i="1" s="1"/>
  <c r="B262" i="1" a="1"/>
  <c r="B262" i="1" s="1"/>
  <c r="B261" i="1" a="1"/>
  <c r="B261" i="1" s="1"/>
  <c r="B260" i="1" a="1"/>
  <c r="B260" i="1" s="1"/>
  <c r="B259" i="1" a="1"/>
  <c r="B259" i="1" s="1"/>
  <c r="B258" i="1" a="1"/>
  <c r="B258" i="1" s="1"/>
  <c r="B257" i="1" a="1"/>
  <c r="B257" i="1" s="1"/>
  <c r="B256" i="1" a="1"/>
  <c r="B256" i="1" s="1"/>
  <c r="B255" i="1" a="1"/>
  <c r="B255" i="1" s="1"/>
  <c r="B254" i="1" a="1"/>
  <c r="B254" i="1" s="1"/>
  <c r="B253" i="1" a="1"/>
  <c r="B253" i="1" s="1"/>
  <c r="B252" i="1" a="1"/>
  <c r="B252" i="1" s="1"/>
  <c r="B251" i="1" a="1"/>
  <c r="B251" i="1" s="1"/>
  <c r="B250" i="1" a="1"/>
  <c r="B250" i="1" s="1"/>
  <c r="B249" i="1" a="1"/>
  <c r="B249" i="1" s="1"/>
  <c r="B248" i="1" a="1"/>
  <c r="B248" i="1" s="1"/>
  <c r="B247" i="1" a="1"/>
  <c r="B247" i="1" s="1"/>
  <c r="B246" i="1" a="1"/>
  <c r="B246" i="1" s="1"/>
  <c r="B245" i="1" a="1"/>
  <c r="B245" i="1" s="1"/>
  <c r="B244" i="1" a="1"/>
  <c r="B244" i="1" s="1"/>
  <c r="B243" i="1" a="1"/>
  <c r="B243" i="1" s="1"/>
  <c r="B242" i="1" a="1"/>
  <c r="B242" i="1" s="1"/>
  <c r="B241" i="1" a="1"/>
  <c r="B241" i="1" s="1"/>
  <c r="B240" i="1" a="1"/>
  <c r="B240" i="1" s="1"/>
  <c r="B239" i="1" a="1"/>
  <c r="B239" i="1" s="1"/>
  <c r="B238" i="1" a="1"/>
  <c r="B238" i="1" s="1"/>
  <c r="B237" i="1" a="1"/>
  <c r="B237" i="1" s="1"/>
  <c r="B236" i="1" a="1"/>
  <c r="B236" i="1" s="1"/>
  <c r="B235" i="1" a="1"/>
  <c r="B235" i="1" s="1"/>
  <c r="B234" i="1" a="1"/>
  <c r="B234" i="1" s="1"/>
  <c r="B233" i="1" a="1"/>
  <c r="B233" i="1" s="1"/>
  <c r="B232" i="1" a="1"/>
  <c r="B232" i="1" s="1"/>
  <c r="B231" i="1" a="1"/>
  <c r="B231" i="1" s="1"/>
  <c r="B230" i="1" a="1"/>
  <c r="B230" i="1" s="1"/>
  <c r="B229" i="1" a="1"/>
  <c r="B229" i="1" s="1"/>
  <c r="B228" i="1" a="1"/>
  <c r="B228" i="1" s="1"/>
  <c r="B227" i="1" a="1"/>
  <c r="B227" i="1" s="1"/>
  <c r="B226" i="1" a="1"/>
  <c r="B226" i="1" s="1"/>
  <c r="B225" i="1" a="1"/>
  <c r="B225" i="1" s="1"/>
  <c r="B224" i="1" a="1"/>
  <c r="B224" i="1" s="1"/>
  <c r="B223" i="1" a="1"/>
  <c r="B223" i="1" s="1"/>
  <c r="B222" i="1" a="1"/>
  <c r="B222" i="1" s="1"/>
  <c r="B221" i="1" a="1"/>
  <c r="B221" i="1" s="1"/>
  <c r="B220" i="1" a="1"/>
  <c r="B220" i="1" s="1"/>
  <c r="B219" i="1" a="1"/>
  <c r="B219" i="1" s="1"/>
  <c r="B218" i="1" a="1"/>
  <c r="B218" i="1" s="1"/>
  <c r="B217" i="1" a="1"/>
  <c r="B217" i="1" s="1"/>
  <c r="B216" i="1" a="1"/>
  <c r="B216" i="1" s="1"/>
  <c r="B215" i="1" a="1"/>
  <c r="B215" i="1" s="1"/>
  <c r="B214" i="1" a="1"/>
  <c r="B214" i="1" s="1"/>
  <c r="B213" i="1" a="1"/>
  <c r="B213" i="1" s="1"/>
  <c r="B212" i="1" a="1"/>
  <c r="B212" i="1" s="1"/>
  <c r="B211" i="1" a="1"/>
  <c r="B211" i="1" s="1"/>
  <c r="B210" i="1" a="1"/>
  <c r="B210" i="1" s="1"/>
  <c r="B209" i="1" a="1"/>
  <c r="B209" i="1" s="1"/>
  <c r="B208" i="1" a="1"/>
  <c r="B208" i="1" s="1"/>
  <c r="B207" i="1" a="1"/>
  <c r="B207" i="1" s="1"/>
  <c r="B206" i="1" a="1"/>
  <c r="B206" i="1" s="1"/>
  <c r="B205" i="1" a="1"/>
  <c r="B205" i="1" s="1"/>
  <c r="B204" i="1" a="1"/>
  <c r="B204" i="1" s="1"/>
  <c r="B203" i="1" a="1"/>
  <c r="B203" i="1" s="1"/>
  <c r="B202" i="1" a="1"/>
  <c r="B202" i="1" s="1"/>
  <c r="B201" i="1" a="1"/>
  <c r="B201" i="1" s="1"/>
  <c r="B200" i="1" a="1"/>
  <c r="B200" i="1" s="1"/>
  <c r="B199" i="1" a="1"/>
  <c r="B199" i="1" s="1"/>
  <c r="B198" i="1" a="1"/>
  <c r="B198" i="1" s="1"/>
  <c r="B197" i="1" a="1"/>
  <c r="B197" i="1" s="1"/>
  <c r="B196" i="1" a="1"/>
  <c r="B196" i="1" s="1"/>
  <c r="B195" i="1" a="1"/>
  <c r="B195" i="1" s="1"/>
  <c r="B194" i="1" a="1"/>
  <c r="B194" i="1" s="1"/>
  <c r="B193" i="1" a="1"/>
  <c r="B193" i="1" s="1"/>
  <c r="B192" i="1" a="1"/>
  <c r="B192" i="1" s="1"/>
  <c r="B191" i="1" a="1"/>
  <c r="B191" i="1" s="1"/>
  <c r="B190" i="1" a="1"/>
  <c r="B190" i="1" s="1"/>
  <c r="B189" i="1" a="1"/>
  <c r="B189" i="1" s="1"/>
  <c r="B188" i="1" a="1"/>
  <c r="B188" i="1" s="1"/>
  <c r="B187" i="1" a="1"/>
  <c r="B187" i="1" s="1"/>
  <c r="B186" i="1" a="1"/>
  <c r="B186" i="1" s="1"/>
  <c r="B185" i="1" a="1"/>
  <c r="B185" i="1" s="1"/>
  <c r="B184" i="1" a="1"/>
  <c r="B184" i="1" s="1"/>
  <c r="B183" i="1" a="1"/>
  <c r="B183" i="1" s="1"/>
  <c r="B182" i="1" a="1"/>
  <c r="B182" i="1" s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 s="1"/>
  <c r="B175" i="1" a="1"/>
  <c r="B175" i="1" s="1"/>
  <c r="B174" i="1" a="1"/>
  <c r="B174" i="1" s="1"/>
  <c r="B173" i="1" a="1"/>
  <c r="B173" i="1" s="1"/>
  <c r="B172" i="1" a="1"/>
  <c r="B172" i="1" s="1"/>
  <c r="B171" i="1" a="1"/>
  <c r="B171" i="1" s="1"/>
  <c r="B170" i="1" a="1"/>
  <c r="B170" i="1" s="1"/>
  <c r="B169" i="1" a="1"/>
  <c r="B169" i="1" s="1"/>
  <c r="B168" i="1" a="1"/>
  <c r="B168" i="1" s="1"/>
  <c r="B167" i="1" a="1"/>
  <c r="B167" i="1" s="1"/>
  <c r="B166" i="1" a="1"/>
  <c r="B166" i="1" s="1"/>
  <c r="B165" i="1" a="1"/>
  <c r="B165" i="1" s="1"/>
  <c r="B164" i="1" a="1"/>
  <c r="B164" i="1" s="1"/>
  <c r="B163" i="1" a="1"/>
  <c r="B163" i="1" s="1"/>
  <c r="B162" i="1" a="1"/>
  <c r="B162" i="1" s="1"/>
  <c r="B161" i="1" a="1"/>
  <c r="B161" i="1" s="1"/>
  <c r="B160" i="1" a="1"/>
  <c r="B160" i="1" s="1"/>
  <c r="B159" i="1" a="1"/>
  <c r="B159" i="1" s="1"/>
  <c r="B158" i="1" a="1"/>
  <c r="B158" i="1" s="1"/>
  <c r="B157" i="1" a="1"/>
  <c r="B157" i="1" s="1"/>
  <c r="B156" i="1" a="1"/>
  <c r="B156" i="1" s="1"/>
  <c r="B155" i="1" a="1"/>
  <c r="B155" i="1" s="1"/>
  <c r="B154" i="1" a="1"/>
  <c r="B154" i="1" s="1"/>
  <c r="B153" i="1" a="1"/>
  <c r="B153" i="1" s="1"/>
  <c r="B152" i="1" a="1"/>
  <c r="B152" i="1" s="1"/>
  <c r="B151" i="1" a="1"/>
  <c r="B151" i="1" s="1"/>
  <c r="B150" i="1" a="1"/>
  <c r="B150" i="1" s="1"/>
  <c r="B149" i="1" a="1"/>
  <c r="B149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 s="1"/>
  <c r="B143" i="1" a="1"/>
  <c r="B143" i="1" s="1"/>
  <c r="B142" i="1" a="1"/>
  <c r="B142" i="1" s="1"/>
  <c r="B141" i="1" a="1"/>
  <c r="B141" i="1" s="1"/>
  <c r="B140" i="1" a="1"/>
  <c r="B140" i="1" s="1"/>
  <c r="B139" i="1" a="1"/>
  <c r="B139" i="1" s="1"/>
  <c r="B138" i="1" a="1"/>
  <c r="B138" i="1" s="1"/>
  <c r="B137" i="1" a="1"/>
  <c r="B137" i="1" s="1"/>
  <c r="B136" i="1" a="1"/>
  <c r="B136" i="1" s="1"/>
  <c r="B135" i="1" a="1"/>
  <c r="B135" i="1" s="1"/>
  <c r="B134" i="1" a="1"/>
  <c r="B134" i="1" s="1"/>
  <c r="B133" i="1" a="1"/>
  <c r="B133" i="1" s="1"/>
  <c r="B132" i="1" a="1"/>
  <c r="B132" i="1" s="1"/>
  <c r="B131" i="1" a="1"/>
  <c r="B131" i="1" s="1"/>
  <c r="B130" i="1" a="1"/>
  <c r="B130" i="1" s="1"/>
  <c r="B129" i="1" a="1"/>
  <c r="B129" i="1" s="1"/>
  <c r="B128" i="1" a="1"/>
  <c r="B128" i="1" s="1"/>
  <c r="B127" i="1" a="1"/>
  <c r="B127" i="1" s="1"/>
  <c r="B126" i="1" a="1"/>
  <c r="B126" i="1" s="1"/>
  <c r="B125" i="1" a="1"/>
  <c r="B125" i="1" s="1"/>
  <c r="B124" i="1" a="1"/>
  <c r="B124" i="1" s="1"/>
  <c r="B123" i="1" a="1"/>
  <c r="B123" i="1" s="1"/>
  <c r="B122" i="1" a="1"/>
  <c r="B122" i="1" s="1"/>
  <c r="B121" i="1" a="1"/>
  <c r="B121" i="1" s="1"/>
  <c r="B120" i="1" a="1"/>
  <c r="B120" i="1" s="1"/>
  <c r="B119" i="1" a="1"/>
  <c r="B119" i="1" s="1"/>
  <c r="B118" i="1" a="1"/>
  <c r="B118" i="1" s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 s="1"/>
  <c r="B111" i="1" a="1"/>
  <c r="B111" i="1" s="1"/>
  <c r="B110" i="1" a="1"/>
  <c r="B110" i="1" s="1"/>
  <c r="B109" i="1" a="1"/>
  <c r="B109" i="1" s="1"/>
  <c r="B108" i="1" a="1"/>
  <c r="B108" i="1" s="1"/>
  <c r="B107" i="1" a="1"/>
  <c r="B107" i="1" s="1"/>
  <c r="B106" i="1" a="1"/>
  <c r="B106" i="1" s="1"/>
  <c r="B105" i="1" a="1"/>
  <c r="B105" i="1" s="1"/>
  <c r="B104" i="1" a="1"/>
  <c r="B104" i="1" s="1"/>
  <c r="B103" i="1" a="1"/>
  <c r="B103" i="1" s="1"/>
  <c r="B102" i="1" a="1"/>
  <c r="B102" i="1" s="1"/>
  <c r="B101" i="1" a="1"/>
  <c r="B101" i="1" s="1"/>
  <c r="B100" i="1" a="1"/>
  <c r="B100" i="1" s="1"/>
  <c r="B99" i="1" a="1"/>
  <c r="B99" i="1" s="1"/>
  <c r="B98" i="1" a="1"/>
  <c r="B98" i="1" s="1"/>
  <c r="B97" i="1" a="1"/>
  <c r="B97" i="1" s="1"/>
  <c r="B96" i="1" a="1"/>
  <c r="B96" i="1" s="1"/>
  <c r="B95" i="1" a="1"/>
  <c r="B95" i="1" s="1"/>
  <c r="B94" i="1" a="1"/>
  <c r="B94" i="1" s="1"/>
  <c r="B93" i="1" a="1"/>
  <c r="B93" i="1" s="1"/>
  <c r="B92" i="1" a="1"/>
  <c r="B92" i="1" s="1"/>
  <c r="B91" i="1" a="1"/>
  <c r="B91" i="1" s="1"/>
  <c r="B90" i="1" a="1"/>
  <c r="B90" i="1" s="1"/>
  <c r="B89" i="1" a="1"/>
  <c r="B89" i="1" s="1"/>
  <c r="B88" i="1" a="1"/>
  <c r="B88" i="1" s="1"/>
  <c r="B87" i="1" a="1"/>
  <c r="B87" i="1" s="1"/>
  <c r="B86" i="1" a="1"/>
  <c r="B86" i="1" s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 s="1"/>
  <c r="B79" i="1" a="1"/>
  <c r="B79" i="1" s="1"/>
  <c r="B78" i="1" a="1"/>
  <c r="B78" i="1" s="1"/>
  <c r="B77" i="1" a="1"/>
  <c r="B77" i="1" s="1"/>
  <c r="B76" i="1" a="1"/>
  <c r="B76" i="1" s="1"/>
  <c r="B75" i="1" a="1"/>
  <c r="B75" i="1" s="1"/>
  <c r="B74" i="1" a="1"/>
  <c r="B74" i="1" s="1"/>
  <c r="B73" i="1" a="1"/>
  <c r="B73" i="1" s="1"/>
  <c r="B72" i="1" a="1"/>
  <c r="B72" i="1" s="1"/>
  <c r="B71" i="1" a="1"/>
  <c r="B71" i="1" s="1"/>
  <c r="B70" i="1" a="1"/>
  <c r="B70" i="1" s="1"/>
  <c r="B69" i="1" a="1"/>
  <c r="B69" i="1" s="1"/>
  <c r="B68" i="1" a="1"/>
  <c r="B68" i="1" s="1"/>
  <c r="B67" i="1" a="1"/>
  <c r="B67" i="1" s="1"/>
  <c r="B66" i="1" a="1"/>
  <c r="B66" i="1" s="1"/>
  <c r="B65" i="1" a="1"/>
  <c r="B65" i="1" s="1"/>
  <c r="B64" i="1" a="1"/>
  <c r="B64" i="1" s="1"/>
  <c r="B63" i="1" a="1"/>
  <c r="B63" i="1" s="1"/>
  <c r="B62" i="1" a="1"/>
  <c r="B62" i="1" s="1"/>
  <c r="B61" i="1" a="1"/>
  <c r="B61" i="1" s="1"/>
  <c r="B60" i="1" a="1"/>
  <c r="B60" i="1" s="1"/>
  <c r="B59" i="1" a="1"/>
  <c r="B59" i="1" s="1"/>
  <c r="B58" i="1" a="1"/>
  <c r="B58" i="1" s="1"/>
  <c r="B57" i="1" a="1"/>
  <c r="B57" i="1" s="1"/>
  <c r="B56" i="1" a="1"/>
  <c r="B56" i="1" s="1"/>
  <c r="B55" i="1" a="1"/>
  <c r="B55" i="1" s="1"/>
  <c r="B54" i="1" a="1"/>
  <c r="B54" i="1" s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3" i="1" a="1"/>
  <c r="B3" i="1" s="1"/>
  <c r="B2" i="1" a="1"/>
  <c r="B2" i="1" s="1"/>
  <c r="B998" i="1" a="1"/>
  <c r="B998" i="1" s="1"/>
  <c r="B997" i="1" a="1"/>
  <c r="B997" i="1" s="1"/>
  <c r="B993" i="1" a="1"/>
  <c r="B993" i="1" s="1"/>
  <c r="B996" i="1" a="1"/>
  <c r="B996" i="1" s="1"/>
  <c r="B995" i="1" a="1"/>
  <c r="B995" i="1" s="1"/>
  <c r="B979" i="1" a="1"/>
  <c r="B979" i="1" s="1"/>
  <c r="B978" i="1" a="1"/>
  <c r="B978" i="1" s="1"/>
  <c r="B977" i="1" a="1"/>
  <c r="B977" i="1" s="1"/>
  <c r="B973" i="1" a="1"/>
  <c r="B973" i="1" s="1"/>
  <c r="B976" i="1" a="1"/>
  <c r="B976" i="1" s="1"/>
  <c r="B975" i="1" a="1"/>
  <c r="B975" i="1" s="1"/>
  <c r="B974" i="1" a="1"/>
  <c r="B974" i="1" s="1"/>
  <c r="B972" i="1" a="1"/>
  <c r="B972" i="1" s="1"/>
  <c r="B971" i="1" a="1"/>
  <c r="B971" i="1" s="1"/>
  <c r="B970" i="1" a="1"/>
  <c r="B970" i="1" s="1"/>
  <c r="B969" i="1" a="1"/>
  <c r="B969" i="1" s="1"/>
  <c r="B968" i="1" a="1"/>
  <c r="B968" i="1" s="1"/>
  <c r="B967" i="1" a="1"/>
  <c r="B967" i="1" s="1"/>
  <c r="B966" i="1" a="1"/>
  <c r="B966" i="1" s="1"/>
  <c r="B965" i="1" a="1"/>
  <c r="B965" i="1" s="1"/>
  <c r="B964" i="1" a="1"/>
  <c r="B964" i="1" s="1"/>
  <c r="B963" i="1" a="1"/>
  <c r="B963" i="1" s="1"/>
  <c r="B962" i="1" a="1"/>
  <c r="B962" i="1" s="1"/>
  <c r="B961" i="1" a="1"/>
  <c r="B961" i="1" s="1"/>
  <c r="B960" i="1" a="1"/>
  <c r="B960" i="1" s="1"/>
  <c r="B959" i="1" a="1"/>
  <c r="B959" i="1" s="1"/>
  <c r="B958" i="1" a="1"/>
  <c r="B958" i="1" s="1"/>
  <c r="B994" i="1" a="1"/>
  <c r="B994" i="1" s="1"/>
  <c r="B992" i="1" a="1"/>
  <c r="B992" i="1" s="1"/>
  <c r="B991" i="1" a="1"/>
  <c r="B991" i="1" s="1"/>
  <c r="B990" i="1" a="1"/>
  <c r="B990" i="1" s="1"/>
  <c r="B989" i="1" a="1"/>
  <c r="B989" i="1" s="1"/>
  <c r="B988" i="1" a="1"/>
  <c r="B988" i="1" s="1"/>
  <c r="B987" i="1" a="1"/>
  <c r="B987" i="1" s="1"/>
  <c r="B986" i="1" a="1"/>
  <c r="B986" i="1" s="1"/>
  <c r="B984" i="1" a="1"/>
  <c r="B984" i="1" s="1"/>
  <c r="B985" i="1" a="1"/>
  <c r="B985" i="1" s="1"/>
  <c r="B983" i="1" a="1"/>
  <c r="B983" i="1" s="1"/>
  <c r="B982" i="1" a="1"/>
  <c r="B982" i="1" s="1"/>
  <c r="B981" i="1" a="1"/>
  <c r="B981" i="1" s="1"/>
  <c r="B980" i="1" a="1"/>
  <c r="B980" i="1" s="1"/>
  <c r="B957" i="1" a="1"/>
  <c r="B957" i="1" s="1"/>
  <c r="B956" i="1" a="1"/>
  <c r="B956" i="1" s="1"/>
  <c r="B952" i="1" a="1"/>
  <c r="B952" i="1" s="1"/>
  <c r="B955" i="1" a="1"/>
  <c r="B955" i="1" s="1"/>
  <c r="B954" i="1" a="1"/>
  <c r="B954" i="1" s="1"/>
  <c r="B938" i="1" a="1"/>
  <c r="B938" i="1" s="1"/>
  <c r="B937" i="1" a="1"/>
  <c r="B937" i="1" s="1"/>
  <c r="B936" i="1" a="1"/>
  <c r="B936" i="1" s="1"/>
  <c r="B932" i="1" a="1"/>
  <c r="B932" i="1" s="1"/>
  <c r="B935" i="1" a="1"/>
  <c r="B935" i="1" s="1"/>
  <c r="B934" i="1" a="1"/>
  <c r="B934" i="1" s="1"/>
  <c r="B933" i="1" a="1"/>
  <c r="B933" i="1" s="1"/>
  <c r="B931" i="1" a="1"/>
  <c r="B931" i="1" s="1"/>
  <c r="B930" i="1" a="1"/>
  <c r="B930" i="1" s="1"/>
  <c r="B929" i="1" a="1"/>
  <c r="B929" i="1" s="1"/>
  <c r="B928" i="1" a="1"/>
  <c r="B928" i="1" s="1"/>
  <c r="B927" i="1" a="1"/>
  <c r="B927" i="1" s="1"/>
  <c r="B926" i="1" a="1"/>
  <c r="B926" i="1" s="1"/>
  <c r="B925" i="1" a="1"/>
  <c r="B925" i="1" s="1"/>
  <c r="B924" i="1" a="1"/>
  <c r="B924" i="1" s="1"/>
  <c r="B923" i="1" a="1"/>
  <c r="B923" i="1" s="1"/>
  <c r="B922" i="1" a="1"/>
  <c r="B922" i="1" s="1"/>
  <c r="B921" i="1" a="1"/>
  <c r="B921" i="1" s="1"/>
  <c r="B920" i="1" a="1"/>
  <c r="B920" i="1" s="1"/>
  <c r="B919" i="1" a="1"/>
  <c r="B919" i="1" s="1"/>
  <c r="B918" i="1" a="1"/>
  <c r="B918" i="1" s="1"/>
  <c r="B917" i="1" a="1"/>
  <c r="B917" i="1" s="1"/>
  <c r="B953" i="1" a="1"/>
  <c r="B953" i="1" s="1"/>
  <c r="B951" i="1" a="1"/>
  <c r="B951" i="1" s="1"/>
  <c r="B950" i="1" a="1"/>
  <c r="B950" i="1" s="1"/>
  <c r="B949" i="1" a="1"/>
  <c r="B949" i="1" s="1"/>
  <c r="B948" i="1" a="1"/>
  <c r="B948" i="1" s="1"/>
  <c r="B947" i="1" a="1"/>
  <c r="B947" i="1" s="1"/>
  <c r="B946" i="1" a="1"/>
  <c r="B946" i="1" s="1"/>
  <c r="B945" i="1" a="1"/>
  <c r="B945" i="1" s="1"/>
  <c r="B943" i="1" a="1"/>
  <c r="B943" i="1" s="1"/>
  <c r="B944" i="1" a="1"/>
  <c r="B944" i="1" s="1"/>
  <c r="B942" i="1" a="1"/>
  <c r="B942" i="1" s="1"/>
  <c r="B941" i="1" a="1"/>
  <c r="B941" i="1" s="1"/>
  <c r="B940" i="1" a="1"/>
  <c r="B940" i="1" s="1"/>
  <c r="B939" i="1" a="1"/>
  <c r="B939" i="1" s="1"/>
  <c r="B916" i="1" a="1"/>
  <c r="B916" i="1" s="1"/>
  <c r="B915" i="1" a="1"/>
  <c r="B915" i="1" s="1"/>
  <c r="B911" i="1" a="1"/>
  <c r="B911" i="1" s="1"/>
  <c r="B914" i="1" a="1"/>
  <c r="B914" i="1" s="1"/>
  <c r="B913" i="1" a="1"/>
  <c r="B913" i="1" s="1"/>
  <c r="B897" i="1" a="1"/>
  <c r="B897" i="1" s="1"/>
  <c r="B896" i="1" a="1"/>
  <c r="B896" i="1" s="1"/>
  <c r="B895" i="1" a="1"/>
  <c r="B895" i="1" s="1"/>
  <c r="B891" i="1" a="1"/>
  <c r="B891" i="1" s="1"/>
  <c r="B894" i="1" a="1"/>
  <c r="B894" i="1" s="1"/>
  <c r="B893" i="1" a="1"/>
  <c r="B893" i="1" s="1"/>
  <c r="B892" i="1" a="1"/>
  <c r="B892" i="1" s="1"/>
  <c r="B890" i="1" a="1"/>
  <c r="B890" i="1" s="1"/>
  <c r="B889" i="1" a="1"/>
  <c r="B889" i="1" s="1"/>
  <c r="B888" i="1" a="1"/>
  <c r="B888" i="1" s="1"/>
  <c r="B887" i="1" a="1"/>
  <c r="B887" i="1" s="1"/>
  <c r="B886" i="1" a="1"/>
  <c r="B886" i="1" s="1"/>
  <c r="B885" i="1" a="1"/>
  <c r="B885" i="1" s="1"/>
  <c r="B884" i="1" a="1"/>
  <c r="B884" i="1" s="1"/>
  <c r="B883" i="1" a="1"/>
  <c r="B883" i="1" s="1"/>
  <c r="B882" i="1" a="1"/>
  <c r="B882" i="1" s="1"/>
  <c r="B881" i="1" a="1"/>
  <c r="B881" i="1" s="1"/>
  <c r="B880" i="1" a="1"/>
  <c r="B880" i="1" s="1"/>
  <c r="B879" i="1" a="1"/>
  <c r="B879" i="1" s="1"/>
  <c r="B878" i="1" a="1"/>
  <c r="B878" i="1" s="1"/>
  <c r="B877" i="1" a="1"/>
  <c r="B877" i="1" s="1"/>
  <c r="B876" i="1" a="1"/>
  <c r="B876" i="1" s="1"/>
  <c r="B912" i="1" a="1"/>
  <c r="B912" i="1" s="1"/>
  <c r="B910" i="1" a="1"/>
  <c r="B910" i="1" s="1"/>
  <c r="B909" i="1" a="1"/>
  <c r="B909" i="1" s="1"/>
  <c r="B908" i="1" a="1"/>
  <c r="B908" i="1" s="1"/>
  <c r="B907" i="1" a="1"/>
  <c r="B907" i="1" s="1"/>
  <c r="B906" i="1" a="1"/>
  <c r="B906" i="1" s="1"/>
  <c r="B905" i="1" a="1"/>
  <c r="B905" i="1" s="1"/>
  <c r="B904" i="1" a="1"/>
  <c r="B904" i="1" s="1"/>
  <c r="B902" i="1" a="1"/>
  <c r="B902" i="1" s="1"/>
  <c r="B903" i="1" a="1"/>
  <c r="B903" i="1" s="1"/>
  <c r="B901" i="1" a="1"/>
  <c r="B901" i="1" s="1"/>
  <c r="B900" i="1" a="1"/>
  <c r="B900" i="1" s="1"/>
  <c r="B899" i="1" a="1"/>
  <c r="B899" i="1" s="1"/>
  <c r="B898" i="1" a="1"/>
  <c r="B898" i="1" s="1"/>
  <c r="B874" i="1" a="1"/>
  <c r="B874" i="1" s="1"/>
  <c r="B873" i="1" a="1"/>
  <c r="B873" i="1" s="1"/>
  <c r="B872" i="1" a="1"/>
  <c r="B872" i="1" s="1"/>
  <c r="B858" i="1" a="1"/>
  <c r="B858" i="1" s="1"/>
  <c r="B857" i="1" a="1"/>
  <c r="B857" i="1" s="1"/>
  <c r="B856" i="1" a="1"/>
  <c r="B856" i="1" s="1"/>
  <c r="B852" i="1" a="1"/>
  <c r="B852" i="1" s="1"/>
  <c r="B855" i="1" a="1"/>
  <c r="B855" i="1" s="1"/>
  <c r="B854" i="1" a="1"/>
  <c r="B854" i="1" s="1"/>
  <c r="B853" i="1" a="1"/>
  <c r="B853" i="1" s="1"/>
  <c r="B851" i="1" a="1"/>
  <c r="B851" i="1" s="1"/>
  <c r="B850" i="1" a="1"/>
  <c r="B850" i="1" s="1"/>
  <c r="B849" i="1" a="1"/>
  <c r="B849" i="1" s="1"/>
  <c r="B848" i="1" a="1"/>
  <c r="B848" i="1" s="1"/>
  <c r="B847" i="1" a="1"/>
  <c r="B847" i="1" s="1"/>
  <c r="B846" i="1" a="1"/>
  <c r="B846" i="1" s="1"/>
  <c r="B845" i="1" a="1"/>
  <c r="B845" i="1" s="1"/>
  <c r="B844" i="1" a="1"/>
  <c r="B844" i="1" s="1"/>
  <c r="B843" i="1" a="1"/>
  <c r="B843" i="1" s="1"/>
  <c r="B842" i="1" a="1"/>
  <c r="B842" i="1" s="1"/>
  <c r="B841" i="1" a="1"/>
  <c r="B841" i="1" s="1"/>
  <c r="B840" i="1" a="1"/>
  <c r="B840" i="1" s="1"/>
  <c r="B839" i="1" a="1"/>
  <c r="B839" i="1" s="1"/>
  <c r="B838" i="1" a="1"/>
  <c r="B838" i="1" s="1"/>
  <c r="B837" i="1" a="1"/>
  <c r="B837" i="1" s="1"/>
  <c r="B875" i="1" a="1"/>
  <c r="B875" i="1" s="1"/>
  <c r="B871" i="1" a="1"/>
  <c r="B871" i="1" s="1"/>
  <c r="B870" i="1" a="1"/>
  <c r="B870" i="1" s="1"/>
  <c r="B869" i="1" a="1"/>
  <c r="B869" i="1" s="1"/>
  <c r="B868" i="1" a="1"/>
  <c r="B868" i="1" s="1"/>
  <c r="B867" i="1" a="1"/>
  <c r="B867" i="1" s="1"/>
  <c r="B866" i="1" a="1"/>
  <c r="B866" i="1" s="1"/>
  <c r="B865" i="1" a="1"/>
  <c r="B865" i="1" s="1"/>
  <c r="B863" i="1" a="1"/>
  <c r="B863" i="1" s="1"/>
  <c r="B864" i="1" a="1"/>
  <c r="B864" i="1" s="1"/>
  <c r="B862" i="1" a="1"/>
  <c r="B862" i="1" s="1"/>
  <c r="B861" i="1" a="1"/>
  <c r="B861" i="1" s="1"/>
  <c r="B836" i="1" a="1"/>
  <c r="B836" i="1" s="1"/>
  <c r="B832" i="1" a="1"/>
  <c r="B832" i="1" s="1"/>
  <c r="B831" i="1" a="1"/>
  <c r="B831" i="1" s="1"/>
  <c r="B808" i="1" a="1"/>
  <c r="B808" i="1" s="1"/>
  <c r="B807" i="1" a="1"/>
  <c r="B807" i="1" s="1"/>
  <c r="B806" i="1" a="1"/>
  <c r="B806" i="1" s="1"/>
  <c r="B809" i="1" a="1"/>
  <c r="B809" i="1" s="1"/>
  <c r="B805" i="1" a="1"/>
  <c r="B805" i="1" s="1"/>
  <c r="B804" i="1" a="1"/>
  <c r="B804" i="1" s="1"/>
  <c r="B803" i="1" a="1"/>
  <c r="B803" i="1" s="1"/>
  <c r="B813" i="1" a="1"/>
  <c r="B813" i="1" s="1"/>
  <c r="B816" i="1" a="1"/>
  <c r="B816" i="1" s="1"/>
  <c r="B815" i="1" a="1"/>
  <c r="B815" i="1" s="1"/>
  <c r="B814" i="1" a="1"/>
  <c r="B814" i="1" s="1"/>
  <c r="B812" i="1" a="1"/>
  <c r="B812" i="1" s="1"/>
  <c r="B811" i="1" a="1"/>
  <c r="B811" i="1" s="1"/>
  <c r="B810" i="1" a="1"/>
  <c r="B810" i="1" s="1"/>
  <c r="B833" i="1" a="1"/>
  <c r="B833" i="1" s="1"/>
  <c r="B819" i="1" a="1"/>
  <c r="B819" i="1" s="1"/>
  <c r="B818" i="1" a="1"/>
  <c r="B818" i="1" s="1"/>
  <c r="B817" i="1" a="1"/>
  <c r="B817" i="1" s="1"/>
  <c r="B860" i="1" a="1"/>
  <c r="B860" i="1" s="1"/>
  <c r="B859" i="1" a="1"/>
  <c r="B859" i="1" s="1"/>
  <c r="B835" i="1" a="1"/>
  <c r="B835" i="1" s="1"/>
  <c r="B834" i="1" a="1"/>
  <c r="B834" i="1" s="1"/>
  <c r="B822" i="1" a="1"/>
  <c r="B822" i="1" s="1"/>
  <c r="B830" i="1" a="1"/>
  <c r="B830" i="1" s="1"/>
  <c r="B829" i="1" a="1"/>
  <c r="B829" i="1" s="1"/>
  <c r="B828" i="1" a="1"/>
  <c r="B828" i="1" s="1"/>
  <c r="B827" i="1" a="1"/>
  <c r="B827" i="1" s="1"/>
  <c r="B826" i="1" a="1"/>
  <c r="B826" i="1" s="1"/>
  <c r="B824" i="1" a="1"/>
  <c r="B824" i="1" s="1"/>
  <c r="B825" i="1" a="1"/>
  <c r="B825" i="1" s="1"/>
  <c r="B802" i="1" a="1"/>
  <c r="B802" i="1" s="1"/>
  <c r="B823" i="1" a="1"/>
  <c r="B823" i="1" s="1"/>
  <c r="B801" i="1" a="1"/>
  <c r="B801" i="1" s="1"/>
  <c r="B800" i="1" a="1"/>
  <c r="B800" i="1" s="1"/>
  <c r="B799" i="1" a="1"/>
  <c r="B799" i="1" s="1"/>
  <c r="B798" i="1" a="1"/>
  <c r="B798" i="1" s="1"/>
  <c r="B999" i="1" a="1"/>
  <c r="B999" i="1" s="1"/>
  <c r="B797" i="1" a="1"/>
  <c r="B797" i="1" s="1"/>
  <c r="B796" i="1" a="1"/>
  <c r="B796" i="1" s="1"/>
  <c r="B782" i="1" a="1"/>
  <c r="B782" i="1" s="1"/>
  <c r="B781" i="1" a="1"/>
  <c r="B781" i="1" s="1"/>
  <c r="B780" i="1" a="1"/>
  <c r="B780" i="1" s="1"/>
  <c r="B776" i="1" a="1"/>
  <c r="B776" i="1" s="1"/>
  <c r="B779" i="1" a="1"/>
  <c r="B779" i="1" s="1"/>
  <c r="B778" i="1" a="1"/>
  <c r="B778" i="1" s="1"/>
  <c r="B777" i="1" a="1"/>
  <c r="B777" i="1" s="1"/>
  <c r="B775" i="1" a="1"/>
  <c r="B775" i="1" s="1"/>
  <c r="B774" i="1" a="1"/>
  <c r="B774" i="1" s="1"/>
  <c r="B773" i="1" a="1"/>
  <c r="B773" i="1" s="1"/>
  <c r="B772" i="1" a="1"/>
  <c r="B772" i="1" s="1"/>
  <c r="B771" i="1" a="1"/>
  <c r="B771" i="1" s="1"/>
  <c r="B770" i="1" a="1"/>
  <c r="B770" i="1" s="1"/>
  <c r="B769" i="1" a="1"/>
  <c r="B769" i="1" s="1"/>
  <c r="B768" i="1" a="1"/>
  <c r="B768" i="1" s="1"/>
  <c r="B767" i="1" a="1"/>
  <c r="B767" i="1" s="1"/>
  <c r="B766" i="1" a="1"/>
  <c r="B766" i="1" s="1"/>
  <c r="B765" i="1" a="1"/>
  <c r="B765" i="1" s="1"/>
  <c r="B764" i="1" a="1"/>
  <c r="B764" i="1" s="1"/>
  <c r="B763" i="1" a="1"/>
  <c r="B763" i="1" s="1"/>
  <c r="B762" i="1" a="1"/>
  <c r="B762" i="1" s="1"/>
  <c r="B761" i="1" a="1"/>
  <c r="B761" i="1" s="1"/>
  <c r="B1000" i="1" a="1"/>
  <c r="B1000" i="1" s="1"/>
  <c r="B795" i="1" a="1"/>
  <c r="B795" i="1" s="1"/>
  <c r="B794" i="1" a="1"/>
  <c r="B794" i="1" s="1"/>
  <c r="B793" i="1" a="1"/>
  <c r="B793" i="1" s="1"/>
  <c r="B792" i="1" a="1"/>
  <c r="B792" i="1" s="1"/>
  <c r="B791" i="1" a="1"/>
  <c r="B791" i="1" s="1"/>
  <c r="B790" i="1" a="1"/>
  <c r="B790" i="1" s="1"/>
  <c r="B789" i="1" a="1"/>
  <c r="B789" i="1" s="1"/>
  <c r="B787" i="1" a="1"/>
  <c r="B787" i="1" s="1"/>
  <c r="B788" i="1" a="1"/>
  <c r="B788" i="1" s="1"/>
  <c r="B786" i="1" a="1"/>
  <c r="B786" i="1" s="1"/>
  <c r="B785" i="1" a="1"/>
  <c r="B785" i="1" s="1"/>
  <c r="A785" i="1"/>
  <c r="A786" i="1"/>
  <c r="A788" i="1"/>
  <c r="A787" i="1"/>
  <c r="A789" i="1"/>
  <c r="A790" i="1"/>
  <c r="A791" i="1"/>
  <c r="A792" i="1"/>
  <c r="A793" i="1"/>
  <c r="A794" i="1"/>
  <c r="A795" i="1"/>
  <c r="A100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7" i="1"/>
  <c r="A778" i="1"/>
  <c r="A779" i="1"/>
  <c r="A776" i="1"/>
  <c r="A780" i="1"/>
  <c r="A781" i="1"/>
  <c r="A782" i="1"/>
  <c r="A796" i="1"/>
  <c r="A797" i="1"/>
  <c r="A999" i="1"/>
  <c r="A798" i="1"/>
  <c r="A799" i="1"/>
  <c r="A800" i="1"/>
  <c r="A801" i="1"/>
  <c r="A823" i="1"/>
  <c r="A802" i="1"/>
  <c r="A825" i="1"/>
  <c r="A824" i="1"/>
  <c r="A826" i="1"/>
  <c r="A827" i="1"/>
  <c r="A828" i="1"/>
  <c r="A829" i="1"/>
  <c r="A830" i="1"/>
  <c r="A822" i="1"/>
  <c r="A834" i="1"/>
  <c r="A835" i="1"/>
  <c r="A859" i="1"/>
  <c r="A860" i="1"/>
  <c r="A817" i="1"/>
  <c r="A818" i="1"/>
  <c r="A819" i="1"/>
  <c r="A833" i="1"/>
  <c r="A810" i="1"/>
  <c r="A811" i="1"/>
  <c r="A812" i="1"/>
  <c r="A814" i="1"/>
  <c r="A815" i="1"/>
  <c r="A816" i="1"/>
  <c r="A813" i="1"/>
  <c r="A803" i="1"/>
  <c r="A804" i="1"/>
  <c r="A805" i="1"/>
  <c r="A809" i="1"/>
  <c r="A806" i="1"/>
  <c r="A807" i="1"/>
  <c r="A808" i="1"/>
  <c r="A831" i="1"/>
  <c r="A832" i="1"/>
  <c r="A836" i="1"/>
  <c r="A861" i="1"/>
  <c r="A862" i="1"/>
  <c r="A864" i="1"/>
  <c r="A863" i="1"/>
  <c r="A865" i="1"/>
  <c r="A866" i="1"/>
  <c r="A867" i="1"/>
  <c r="A868" i="1"/>
  <c r="A869" i="1"/>
  <c r="A870" i="1"/>
  <c r="A871" i="1"/>
  <c r="A875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3" i="1"/>
  <c r="A854" i="1"/>
  <c r="A855" i="1"/>
  <c r="A852" i="1"/>
  <c r="A856" i="1"/>
  <c r="A857" i="1"/>
  <c r="A858" i="1"/>
  <c r="A872" i="1"/>
  <c r="A873" i="1"/>
  <c r="A874" i="1"/>
  <c r="A898" i="1"/>
  <c r="A899" i="1"/>
  <c r="A900" i="1"/>
  <c r="A901" i="1"/>
  <c r="A903" i="1"/>
  <c r="A902" i="1"/>
  <c r="A904" i="1"/>
  <c r="A905" i="1"/>
  <c r="A906" i="1"/>
  <c r="A907" i="1"/>
  <c r="A908" i="1"/>
  <c r="A909" i="1"/>
  <c r="A910" i="1"/>
  <c r="A912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2" i="1"/>
  <c r="A893" i="1"/>
  <c r="A894" i="1"/>
  <c r="A891" i="1"/>
  <c r="A895" i="1"/>
  <c r="A896" i="1"/>
  <c r="A897" i="1"/>
  <c r="A913" i="1"/>
  <c r="A914" i="1"/>
  <c r="A911" i="1"/>
  <c r="A915" i="1"/>
  <c r="A916" i="1"/>
  <c r="A939" i="1"/>
  <c r="A940" i="1"/>
  <c r="A941" i="1"/>
  <c r="A942" i="1"/>
  <c r="A944" i="1"/>
  <c r="A943" i="1"/>
  <c r="A945" i="1"/>
  <c r="A946" i="1"/>
  <c r="A947" i="1"/>
  <c r="A948" i="1"/>
  <c r="A949" i="1"/>
  <c r="A950" i="1"/>
  <c r="A951" i="1"/>
  <c r="A953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3" i="1"/>
  <c r="A934" i="1"/>
  <c r="A935" i="1"/>
  <c r="A932" i="1"/>
  <c r="A936" i="1"/>
  <c r="A937" i="1"/>
  <c r="A938" i="1"/>
  <c r="A954" i="1"/>
  <c r="A955" i="1"/>
  <c r="A952" i="1"/>
  <c r="A956" i="1"/>
  <c r="A957" i="1"/>
  <c r="A980" i="1"/>
  <c r="A981" i="1"/>
  <c r="A982" i="1"/>
  <c r="A983" i="1"/>
  <c r="A985" i="1"/>
  <c r="A984" i="1"/>
  <c r="A986" i="1"/>
  <c r="A987" i="1"/>
  <c r="A988" i="1"/>
  <c r="A989" i="1"/>
  <c r="A990" i="1"/>
  <c r="A991" i="1"/>
  <c r="A992" i="1"/>
  <c r="A994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4" i="1"/>
  <c r="A975" i="1"/>
  <c r="A976" i="1"/>
  <c r="A973" i="1"/>
  <c r="A977" i="1"/>
  <c r="A978" i="1"/>
  <c r="A979" i="1"/>
  <c r="A995" i="1"/>
  <c r="A996" i="1"/>
  <c r="A993" i="1"/>
  <c r="A997" i="1"/>
  <c r="A998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820" i="1"/>
  <c r="A821" i="1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F32" i="9"/>
  <c r="F35" i="9"/>
  <c r="F37" i="9"/>
  <c r="F49" i="9"/>
  <c r="F54" i="9"/>
  <c r="F55" i="9"/>
  <c r="F56" i="9"/>
  <c r="F57" i="9"/>
  <c r="F58" i="9"/>
  <c r="F61" i="9"/>
  <c r="F64" i="9"/>
  <c r="F66" i="9"/>
  <c r="F67" i="9"/>
  <c r="F68" i="9"/>
  <c r="F69" i="9"/>
  <c r="F70" i="9"/>
  <c r="F73" i="9"/>
  <c r="F78" i="9"/>
  <c r="F79" i="9"/>
  <c r="F80" i="9"/>
  <c r="F81" i="9"/>
  <c r="F82" i="9"/>
  <c r="F88" i="9"/>
  <c r="F90" i="9"/>
  <c r="F91" i="9"/>
  <c r="F92" i="9"/>
  <c r="F93" i="9"/>
  <c r="F94" i="9"/>
  <c r="F100" i="9"/>
  <c r="F102" i="9"/>
  <c r="F103" i="9"/>
  <c r="F104" i="9"/>
  <c r="F105" i="9"/>
  <c r="F112" i="9"/>
  <c r="F114" i="9"/>
  <c r="F115" i="9"/>
  <c r="F117" i="9"/>
  <c r="F127" i="9"/>
  <c r="F129" i="9"/>
  <c r="F136" i="9"/>
  <c r="F139" i="9"/>
  <c r="F141" i="9"/>
  <c r="F151" i="9"/>
  <c r="D158" i="2"/>
  <c r="D159" i="2"/>
  <c r="D160" i="2"/>
  <c r="F160" i="9" s="1"/>
  <c r="D161" i="2"/>
  <c r="D162" i="2"/>
  <c r="D163" i="2"/>
  <c r="F163" i="9" s="1"/>
  <c r="D164" i="2"/>
  <c r="D165" i="2"/>
  <c r="D166" i="2"/>
  <c r="D167" i="2"/>
  <c r="D168" i="2"/>
  <c r="D169" i="2"/>
  <c r="D170" i="2"/>
  <c r="D171" i="2"/>
  <c r="D172" i="2"/>
  <c r="F172" i="9" s="1"/>
  <c r="D173" i="2"/>
  <c r="D174" i="2"/>
  <c r="D175" i="2"/>
  <c r="F175" i="9" s="1"/>
  <c r="D176" i="2"/>
  <c r="D177" i="2"/>
  <c r="D178" i="2"/>
  <c r="D179" i="2"/>
  <c r="D180" i="2"/>
  <c r="D181" i="2"/>
  <c r="D182" i="2"/>
  <c r="D183" i="2"/>
  <c r="D184" i="2"/>
  <c r="F184" i="9" s="1"/>
  <c r="D185" i="2"/>
  <c r="D186" i="2"/>
  <c r="D187" i="2"/>
  <c r="F187" i="9" s="1"/>
  <c r="D188" i="2"/>
  <c r="D189" i="2"/>
  <c r="D190" i="2"/>
  <c r="D191" i="2"/>
  <c r="D192" i="2"/>
  <c r="D193" i="2"/>
  <c r="D194" i="2"/>
  <c r="D195" i="2"/>
  <c r="D196" i="2"/>
  <c r="D197" i="2"/>
  <c r="D198" i="2"/>
  <c r="D199" i="2"/>
  <c r="F199" i="9" s="1"/>
  <c r="D200" i="2"/>
  <c r="D201" i="2"/>
  <c r="D202" i="2"/>
  <c r="D203" i="2"/>
  <c r="D204" i="2"/>
  <c r="D205" i="2"/>
  <c r="D206" i="2"/>
  <c r="D207" i="2"/>
  <c r="D208" i="2"/>
  <c r="F208" i="9" s="1"/>
  <c r="D209" i="2"/>
  <c r="D210" i="2"/>
  <c r="D211" i="2"/>
  <c r="F211" i="9" s="1"/>
  <c r="D212" i="2"/>
  <c r="D213" i="2"/>
  <c r="D214" i="2"/>
  <c r="D215" i="2"/>
  <c r="D216" i="2"/>
  <c r="D217" i="2"/>
  <c r="D218" i="2"/>
  <c r="D219" i="2"/>
  <c r="D220" i="2"/>
  <c r="D221" i="2"/>
  <c r="D222" i="2"/>
  <c r="D223" i="2"/>
  <c r="F223" i="9" s="1"/>
  <c r="D224" i="2"/>
  <c r="D225" i="2"/>
  <c r="D226" i="2"/>
  <c r="D227" i="2"/>
  <c r="D228" i="2"/>
  <c r="D229" i="2"/>
  <c r="D230" i="2"/>
  <c r="D231" i="2"/>
  <c r="D232" i="2"/>
  <c r="F232" i="9" s="1"/>
  <c r="D233" i="2"/>
  <c r="D234" i="2"/>
  <c r="D235" i="2"/>
  <c r="F235" i="9" s="1"/>
  <c r="D236" i="2"/>
  <c r="D237" i="2"/>
  <c r="D238" i="2"/>
  <c r="D239" i="2"/>
  <c r="D240" i="2"/>
  <c r="D241" i="2"/>
  <c r="D242" i="2"/>
  <c r="D243" i="2"/>
  <c r="D244" i="2"/>
  <c r="F244" i="9" s="1"/>
  <c r="D245" i="2"/>
  <c r="D246" i="2"/>
  <c r="D247" i="2"/>
  <c r="F247" i="9" s="1"/>
  <c r="D248" i="2"/>
  <c r="D249" i="2"/>
  <c r="D250" i="2"/>
  <c r="D251" i="2"/>
  <c r="D252" i="2"/>
  <c r="D253" i="2"/>
  <c r="D254" i="2"/>
  <c r="D255" i="2"/>
  <c r="D256" i="2"/>
  <c r="F256" i="9" s="1"/>
  <c r="D257" i="2"/>
  <c r="D258" i="2"/>
  <c r="D259" i="2"/>
  <c r="F259" i="9" s="1"/>
  <c r="D260" i="2"/>
  <c r="D261" i="2"/>
  <c r="D262" i="2"/>
  <c r="D263" i="2"/>
  <c r="D264" i="2"/>
  <c r="D265" i="2"/>
  <c r="D266" i="2"/>
  <c r="D267" i="2"/>
  <c r="D268" i="2"/>
  <c r="D269" i="2"/>
  <c r="D270" i="2"/>
  <c r="D271" i="2"/>
  <c r="F271" i="9" s="1"/>
  <c r="D272" i="2"/>
  <c r="D273" i="2"/>
  <c r="D274" i="2"/>
  <c r="D275" i="2"/>
  <c r="D276" i="2"/>
  <c r="D277" i="2"/>
  <c r="D278" i="2"/>
  <c r="D279" i="2"/>
  <c r="D280" i="2"/>
  <c r="F280" i="9" s="1"/>
  <c r="D281" i="2"/>
  <c r="D282" i="2"/>
  <c r="D283" i="2"/>
  <c r="F283" i="9" s="1"/>
  <c r="D284" i="2"/>
  <c r="D285" i="2"/>
  <c r="D286" i="2"/>
  <c r="D287" i="2"/>
  <c r="D288" i="2"/>
  <c r="D289" i="2"/>
  <c r="D290" i="2"/>
  <c r="D291" i="2"/>
  <c r="D292" i="2"/>
  <c r="D293" i="2"/>
  <c r="D294" i="2"/>
  <c r="D295" i="2"/>
  <c r="F295" i="9" s="1"/>
  <c r="D296" i="2"/>
  <c r="D297" i="2"/>
  <c r="D298" i="2"/>
  <c r="D299" i="2"/>
  <c r="D300" i="2"/>
  <c r="D301" i="2"/>
  <c r="D302" i="2"/>
  <c r="D303" i="2"/>
  <c r="D304" i="2"/>
  <c r="F304" i="9" s="1"/>
  <c r="D305" i="2"/>
  <c r="D306" i="2"/>
  <c r="D307" i="2"/>
  <c r="F307" i="9" s="1"/>
  <c r="D308" i="2"/>
  <c r="D309" i="2"/>
  <c r="D310" i="2"/>
  <c r="D311" i="2"/>
  <c r="D312" i="2"/>
  <c r="D313" i="2"/>
  <c r="D314" i="2"/>
  <c r="D315" i="2"/>
  <c r="D316" i="2"/>
  <c r="F316" i="9" s="1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C248" i="2"/>
  <c r="C256" i="2"/>
  <c r="C296" i="2"/>
  <c r="C303" i="2"/>
  <c r="C305" i="2"/>
  <c r="C306" i="2"/>
  <c r="C320" i="2"/>
  <c r="C321" i="2"/>
  <c r="C327" i="2"/>
  <c r="C340" i="2"/>
  <c r="C342" i="2"/>
  <c r="C344" i="2"/>
  <c r="C357" i="2"/>
  <c r="C358" i="2"/>
  <c r="C388" i="2"/>
  <c r="C389" i="2"/>
  <c r="C436" i="2"/>
  <c r="C441" i="2"/>
  <c r="C452" i="2"/>
  <c r="C454" i="2"/>
  <c r="C456" i="2"/>
  <c r="C464" i="2"/>
  <c r="C474" i="2"/>
  <c r="C476" i="2"/>
  <c r="C485" i="2"/>
  <c r="C520" i="2"/>
  <c r="C522" i="2"/>
  <c r="C524" i="2"/>
  <c r="C533" i="2"/>
  <c r="C548" i="2"/>
  <c r="C555" i="2"/>
  <c r="C558" i="2"/>
  <c r="C560" i="2"/>
  <c r="C568" i="2"/>
  <c r="C608" i="2"/>
  <c r="C615" i="2"/>
  <c r="C618" i="2"/>
  <c r="C632" i="2"/>
  <c r="C633" i="2"/>
  <c r="C644" i="2"/>
  <c r="C653" i="2"/>
  <c r="C664" i="2"/>
  <c r="C680" i="2"/>
  <c r="C692" i="2"/>
  <c r="C693" i="2"/>
  <c r="C694" i="2"/>
  <c r="C704" i="2"/>
  <c r="C716" i="2"/>
  <c r="C725" i="2"/>
  <c r="C728" i="2"/>
  <c r="C740" i="2"/>
  <c r="C741" i="2"/>
  <c r="C752" i="2"/>
  <c r="C760" i="2"/>
  <c r="C761" i="2"/>
  <c r="C772" i="2"/>
  <c r="C798" i="2"/>
  <c r="C810" i="2"/>
  <c r="C812" i="2"/>
  <c r="C813" i="2"/>
  <c r="C814" i="2"/>
  <c r="C815" i="2"/>
  <c r="C816" i="2"/>
  <c r="C832" i="2"/>
  <c r="C834" i="2"/>
  <c r="C836" i="2"/>
  <c r="C845" i="2"/>
  <c r="C872" i="2"/>
  <c r="C882" i="2"/>
  <c r="C885" i="2"/>
  <c r="C928" i="2"/>
  <c r="C930" i="2"/>
  <c r="C932" i="2"/>
  <c r="C944" i="2"/>
  <c r="C945" i="2"/>
  <c r="C951" i="2"/>
  <c r="C964" i="2"/>
  <c r="C992" i="2"/>
  <c r="B1000" i="2" a="1"/>
  <c r="B1000" i="2" s="1"/>
  <c r="B999" i="2" a="1"/>
  <c r="B999" i="2" s="1"/>
  <c r="B998" i="2" a="1"/>
  <c r="B998" i="2" s="1"/>
  <c r="B997" i="2" a="1"/>
  <c r="B997" i="2" s="1"/>
  <c r="B996" i="2" a="1"/>
  <c r="B996" i="2" s="1"/>
  <c r="B995" i="2" a="1"/>
  <c r="B995" i="2" s="1"/>
  <c r="B994" i="2" a="1"/>
  <c r="B994" i="2" s="1"/>
  <c r="B993" i="2" a="1"/>
  <c r="B993" i="2" s="1"/>
  <c r="B992" i="2" a="1"/>
  <c r="B992" i="2" s="1"/>
  <c r="B991" i="2" a="1"/>
  <c r="B991" i="2" s="1"/>
  <c r="B990" i="2" a="1"/>
  <c r="B990" i="2" s="1"/>
  <c r="B989" i="2" a="1"/>
  <c r="B989" i="2" s="1"/>
  <c r="B988" i="2" a="1"/>
  <c r="B988" i="2" s="1"/>
  <c r="B987" i="2" a="1"/>
  <c r="B987" i="2" s="1"/>
  <c r="B986" i="2" a="1"/>
  <c r="B986" i="2" s="1"/>
  <c r="B985" i="2" a="1"/>
  <c r="B985" i="2" s="1"/>
  <c r="B984" i="2" a="1"/>
  <c r="B984" i="2" s="1"/>
  <c r="B983" i="2" a="1"/>
  <c r="B983" i="2" s="1"/>
  <c r="B982" i="2" a="1"/>
  <c r="B982" i="2" s="1"/>
  <c r="B981" i="2" a="1"/>
  <c r="B981" i="2" s="1"/>
  <c r="B980" i="2" a="1"/>
  <c r="B980" i="2" s="1"/>
  <c r="B979" i="2" a="1"/>
  <c r="B979" i="2" s="1"/>
  <c r="B978" i="2" a="1"/>
  <c r="B978" i="2" s="1"/>
  <c r="B977" i="2" a="1"/>
  <c r="B977" i="2" s="1"/>
  <c r="B976" i="2" a="1"/>
  <c r="B976" i="2" s="1"/>
  <c r="B975" i="2" a="1"/>
  <c r="B975" i="2" s="1"/>
  <c r="B974" i="2" a="1"/>
  <c r="B974" i="2" s="1"/>
  <c r="B973" i="2" a="1"/>
  <c r="B973" i="2" s="1"/>
  <c r="B972" i="2" a="1"/>
  <c r="B972" i="2" s="1"/>
  <c r="B971" i="2" a="1"/>
  <c r="B971" i="2" s="1"/>
  <c r="B970" i="2" a="1"/>
  <c r="B970" i="2" s="1"/>
  <c r="B969" i="2" a="1"/>
  <c r="B969" i="2" s="1"/>
  <c r="B968" i="2" a="1"/>
  <c r="B968" i="2" s="1"/>
  <c r="B967" i="2" a="1"/>
  <c r="B967" i="2" s="1"/>
  <c r="B966" i="2" a="1"/>
  <c r="B966" i="2" s="1"/>
  <c r="B965" i="2" a="1"/>
  <c r="B965" i="2" s="1"/>
  <c r="B964" i="2" a="1"/>
  <c r="B964" i="2" s="1"/>
  <c r="B963" i="2" a="1"/>
  <c r="B963" i="2" s="1"/>
  <c r="B962" i="2" a="1"/>
  <c r="B962" i="2" s="1"/>
  <c r="B961" i="2" a="1"/>
  <c r="B961" i="2" s="1"/>
  <c r="B960" i="2" a="1"/>
  <c r="B960" i="2" s="1"/>
  <c r="B959" i="2" a="1"/>
  <c r="B959" i="2" s="1"/>
  <c r="B958" i="2" a="1"/>
  <c r="B958" i="2" s="1"/>
  <c r="B957" i="2" a="1"/>
  <c r="B957" i="2" s="1"/>
  <c r="B956" i="2" a="1"/>
  <c r="B956" i="2" s="1"/>
  <c r="B955" i="2" a="1"/>
  <c r="B955" i="2" s="1"/>
  <c r="B954" i="2" a="1"/>
  <c r="B954" i="2" s="1"/>
  <c r="B953" i="2" a="1"/>
  <c r="B953" i="2" s="1"/>
  <c r="B952" i="2" a="1"/>
  <c r="B952" i="2" s="1"/>
  <c r="B951" i="2" a="1"/>
  <c r="B951" i="2" s="1"/>
  <c r="B950" i="2" a="1"/>
  <c r="B950" i="2" s="1"/>
  <c r="B949" i="2" a="1"/>
  <c r="B949" i="2" s="1"/>
  <c r="B948" i="2" a="1"/>
  <c r="B948" i="2" s="1"/>
  <c r="B947" i="2" a="1"/>
  <c r="B947" i="2" s="1"/>
  <c r="B946" i="2" a="1"/>
  <c r="B946" i="2" s="1"/>
  <c r="B945" i="2" a="1"/>
  <c r="B945" i="2" s="1"/>
  <c r="B944" i="2" a="1"/>
  <c r="B944" i="2" s="1"/>
  <c r="B943" i="2" a="1"/>
  <c r="B943" i="2" s="1"/>
  <c r="B942" i="2" a="1"/>
  <c r="B942" i="2" s="1"/>
  <c r="B941" i="2" a="1"/>
  <c r="B941" i="2" s="1"/>
  <c r="B940" i="2" a="1"/>
  <c r="B940" i="2" s="1"/>
  <c r="B939" i="2" a="1"/>
  <c r="B939" i="2" s="1"/>
  <c r="B938" i="2" a="1"/>
  <c r="B938" i="2" s="1"/>
  <c r="B937" i="2" a="1"/>
  <c r="B937" i="2" s="1"/>
  <c r="B936" i="2" a="1"/>
  <c r="B936" i="2" s="1"/>
  <c r="B935" i="2" a="1"/>
  <c r="B935" i="2" s="1"/>
  <c r="B934" i="2" a="1"/>
  <c r="B934" i="2" s="1"/>
  <c r="B933" i="2" a="1"/>
  <c r="B933" i="2" s="1"/>
  <c r="B932" i="2" a="1"/>
  <c r="B932" i="2" s="1"/>
  <c r="B931" i="2" a="1"/>
  <c r="B931" i="2" s="1"/>
  <c r="B930" i="2" a="1"/>
  <c r="B930" i="2" s="1"/>
  <c r="B929" i="2" a="1"/>
  <c r="B929" i="2" s="1"/>
  <c r="B928" i="2" a="1"/>
  <c r="B928" i="2" s="1"/>
  <c r="B927" i="2" a="1"/>
  <c r="B927" i="2" s="1"/>
  <c r="B926" i="2" a="1"/>
  <c r="B926" i="2" s="1"/>
  <c r="B925" i="2" a="1"/>
  <c r="B925" i="2" s="1"/>
  <c r="B924" i="2" a="1"/>
  <c r="B924" i="2" s="1"/>
  <c r="B923" i="2" a="1"/>
  <c r="B923" i="2" s="1"/>
  <c r="B922" i="2" a="1"/>
  <c r="B922" i="2" s="1"/>
  <c r="B921" i="2" a="1"/>
  <c r="B921" i="2" s="1"/>
  <c r="B920" i="2" a="1"/>
  <c r="B920" i="2" s="1"/>
  <c r="B919" i="2" a="1"/>
  <c r="B919" i="2" s="1"/>
  <c r="B918" i="2" a="1"/>
  <c r="B918" i="2" s="1"/>
  <c r="B917" i="2" a="1"/>
  <c r="B917" i="2" s="1"/>
  <c r="B916" i="2" a="1"/>
  <c r="B916" i="2" s="1"/>
  <c r="B915" i="2" a="1"/>
  <c r="B915" i="2" s="1"/>
  <c r="B914" i="2" a="1"/>
  <c r="B914" i="2" s="1"/>
  <c r="B913" i="2" a="1"/>
  <c r="B913" i="2" s="1"/>
  <c r="B912" i="2" a="1"/>
  <c r="B912" i="2" s="1"/>
  <c r="B911" i="2" a="1"/>
  <c r="B911" i="2" s="1"/>
  <c r="B910" i="2" a="1"/>
  <c r="B910" i="2" s="1"/>
  <c r="B909" i="2" a="1"/>
  <c r="B909" i="2" s="1"/>
  <c r="B908" i="2" a="1"/>
  <c r="B908" i="2" s="1"/>
  <c r="B907" i="2" a="1"/>
  <c r="B907" i="2" s="1"/>
  <c r="B906" i="2" a="1"/>
  <c r="B906" i="2" s="1"/>
  <c r="B905" i="2" a="1"/>
  <c r="B905" i="2" s="1"/>
  <c r="B904" i="2" a="1"/>
  <c r="B904" i="2" s="1"/>
  <c r="B903" i="2" a="1"/>
  <c r="B903" i="2" s="1"/>
  <c r="B902" i="2" a="1"/>
  <c r="B902" i="2" s="1"/>
  <c r="B901" i="2" a="1"/>
  <c r="B901" i="2" s="1"/>
  <c r="B900" i="2" a="1"/>
  <c r="B900" i="2" s="1"/>
  <c r="B899" i="2" a="1"/>
  <c r="B899" i="2" s="1"/>
  <c r="B898" i="2" a="1"/>
  <c r="B898" i="2" s="1"/>
  <c r="B897" i="2" a="1"/>
  <c r="B897" i="2" s="1"/>
  <c r="B896" i="2" a="1"/>
  <c r="B896" i="2" s="1"/>
  <c r="B895" i="2" a="1"/>
  <c r="B895" i="2" s="1"/>
  <c r="B894" i="2" a="1"/>
  <c r="B894" i="2" s="1"/>
  <c r="B893" i="2" a="1"/>
  <c r="B893" i="2" s="1"/>
  <c r="B892" i="2" a="1"/>
  <c r="B892" i="2" s="1"/>
  <c r="B891" i="2" a="1"/>
  <c r="B891" i="2" s="1"/>
  <c r="B890" i="2" a="1"/>
  <c r="B890" i="2" s="1"/>
  <c r="B889" i="2" a="1"/>
  <c r="B889" i="2" s="1"/>
  <c r="B888" i="2" a="1"/>
  <c r="B888" i="2" s="1"/>
  <c r="B887" i="2" a="1"/>
  <c r="B887" i="2" s="1"/>
  <c r="B886" i="2" a="1"/>
  <c r="B886" i="2" s="1"/>
  <c r="B885" i="2" a="1"/>
  <c r="B885" i="2" s="1"/>
  <c r="B884" i="2" a="1"/>
  <c r="B884" i="2" s="1"/>
  <c r="B883" i="2" a="1"/>
  <c r="B883" i="2" s="1"/>
  <c r="B882" i="2" a="1"/>
  <c r="B882" i="2" s="1"/>
  <c r="B881" i="2" a="1"/>
  <c r="B881" i="2" s="1"/>
  <c r="B880" i="2" a="1"/>
  <c r="B880" i="2" s="1"/>
  <c r="B879" i="2" a="1"/>
  <c r="B879" i="2" s="1"/>
  <c r="B878" i="2" a="1"/>
  <c r="B878" i="2" s="1"/>
  <c r="B877" i="2" a="1"/>
  <c r="B877" i="2" s="1"/>
  <c r="B876" i="2" a="1"/>
  <c r="B876" i="2" s="1"/>
  <c r="B875" i="2" a="1"/>
  <c r="B875" i="2" s="1"/>
  <c r="B874" i="2" a="1"/>
  <c r="B874" i="2" s="1"/>
  <c r="B873" i="2" a="1"/>
  <c r="B873" i="2" s="1"/>
  <c r="B872" i="2" a="1"/>
  <c r="B872" i="2" s="1"/>
  <c r="B871" i="2" a="1"/>
  <c r="B871" i="2" s="1"/>
  <c r="B870" i="2" a="1"/>
  <c r="B870" i="2" s="1"/>
  <c r="B869" i="2" a="1"/>
  <c r="B869" i="2" s="1"/>
  <c r="B868" i="2" a="1"/>
  <c r="B868" i="2" s="1"/>
  <c r="B867" i="2" a="1"/>
  <c r="B867" i="2" s="1"/>
  <c r="B866" i="2" a="1"/>
  <c r="B866" i="2" s="1"/>
  <c r="B865" i="2" a="1"/>
  <c r="B865" i="2" s="1"/>
  <c r="B864" i="2" a="1"/>
  <c r="B864" i="2" s="1"/>
  <c r="B863" i="2" a="1"/>
  <c r="B863" i="2" s="1"/>
  <c r="B862" i="2" a="1"/>
  <c r="B862" i="2" s="1"/>
  <c r="B861" i="2" a="1"/>
  <c r="B861" i="2" s="1"/>
  <c r="B860" i="2" a="1"/>
  <c r="B860" i="2" s="1"/>
  <c r="B859" i="2" a="1"/>
  <c r="B859" i="2" s="1"/>
  <c r="B858" i="2" a="1"/>
  <c r="B858" i="2" s="1"/>
  <c r="B857" i="2" a="1"/>
  <c r="B857" i="2" s="1"/>
  <c r="B856" i="2" a="1"/>
  <c r="B856" i="2" s="1"/>
  <c r="B855" i="2" a="1"/>
  <c r="B855" i="2" s="1"/>
  <c r="B854" i="2" a="1"/>
  <c r="B854" i="2" s="1"/>
  <c r="B853" i="2" a="1"/>
  <c r="B853" i="2" s="1"/>
  <c r="B852" i="2" a="1"/>
  <c r="B852" i="2" s="1"/>
  <c r="B851" i="2" a="1"/>
  <c r="B851" i="2" s="1"/>
  <c r="B850" i="2" a="1"/>
  <c r="B850" i="2" s="1"/>
  <c r="B849" i="2" a="1"/>
  <c r="B849" i="2" s="1"/>
  <c r="B848" i="2" a="1"/>
  <c r="B848" i="2" s="1"/>
  <c r="B847" i="2" a="1"/>
  <c r="B847" i="2" s="1"/>
  <c r="B846" i="2" a="1"/>
  <c r="B846" i="2" s="1"/>
  <c r="B845" i="2" a="1"/>
  <c r="B845" i="2" s="1"/>
  <c r="B844" i="2" a="1"/>
  <c r="B844" i="2" s="1"/>
  <c r="B843" i="2" a="1"/>
  <c r="B843" i="2" s="1"/>
  <c r="B842" i="2" a="1"/>
  <c r="B842" i="2" s="1"/>
  <c r="B841" i="2" a="1"/>
  <c r="B841" i="2" s="1"/>
  <c r="B840" i="2" a="1"/>
  <c r="B840" i="2" s="1"/>
  <c r="B839" i="2" a="1"/>
  <c r="B839" i="2" s="1"/>
  <c r="B838" i="2" a="1"/>
  <c r="B838" i="2" s="1"/>
  <c r="B837" i="2" a="1"/>
  <c r="B837" i="2" s="1"/>
  <c r="B836" i="2" a="1"/>
  <c r="B836" i="2" s="1"/>
  <c r="B835" i="2" a="1"/>
  <c r="B835" i="2" s="1"/>
  <c r="B834" i="2" a="1"/>
  <c r="B834" i="2" s="1"/>
  <c r="B833" i="2" a="1"/>
  <c r="B833" i="2" s="1"/>
  <c r="B832" i="2" a="1"/>
  <c r="B832" i="2" s="1"/>
  <c r="B831" i="2" a="1"/>
  <c r="B831" i="2" s="1"/>
  <c r="B830" i="2" a="1"/>
  <c r="B830" i="2" s="1"/>
  <c r="B829" i="2" a="1"/>
  <c r="B829" i="2" s="1"/>
  <c r="B828" i="2" a="1"/>
  <c r="B828" i="2" s="1"/>
  <c r="B827" i="2" a="1"/>
  <c r="B827" i="2" s="1"/>
  <c r="B826" i="2" a="1"/>
  <c r="B826" i="2" s="1"/>
  <c r="B825" i="2" a="1"/>
  <c r="B825" i="2" s="1"/>
  <c r="B824" i="2" a="1"/>
  <c r="B824" i="2" s="1"/>
  <c r="B823" i="2" a="1"/>
  <c r="B823" i="2" s="1"/>
  <c r="B822" i="2" a="1"/>
  <c r="B822" i="2" s="1"/>
  <c r="B821" i="2" a="1"/>
  <c r="B821" i="2" s="1"/>
  <c r="B820" i="2" a="1"/>
  <c r="B820" i="2" s="1"/>
  <c r="B819" i="2" a="1"/>
  <c r="B819" i="2" s="1"/>
  <c r="B818" i="2" a="1"/>
  <c r="B818" i="2" s="1"/>
  <c r="B817" i="2" a="1"/>
  <c r="B817" i="2" s="1"/>
  <c r="B816" i="2" a="1"/>
  <c r="B816" i="2" s="1"/>
  <c r="B815" i="2" a="1"/>
  <c r="B815" i="2" s="1"/>
  <c r="B814" i="2" a="1"/>
  <c r="B814" i="2" s="1"/>
  <c r="B813" i="2" a="1"/>
  <c r="B813" i="2" s="1"/>
  <c r="B812" i="2" a="1"/>
  <c r="B812" i="2" s="1"/>
  <c r="B811" i="2" a="1"/>
  <c r="B811" i="2" s="1"/>
  <c r="B810" i="2" a="1"/>
  <c r="B810" i="2" s="1"/>
  <c r="B809" i="2" a="1"/>
  <c r="B809" i="2" s="1"/>
  <c r="B808" i="2" a="1"/>
  <c r="B808" i="2" s="1"/>
  <c r="B807" i="2" a="1"/>
  <c r="B807" i="2" s="1"/>
  <c r="B806" i="2" a="1"/>
  <c r="B806" i="2" s="1"/>
  <c r="B805" i="2" a="1"/>
  <c r="B805" i="2" s="1"/>
  <c r="B804" i="2" a="1"/>
  <c r="B804" i="2" s="1"/>
  <c r="B803" i="2" a="1"/>
  <c r="B803" i="2" s="1"/>
  <c r="B802" i="2" a="1"/>
  <c r="B802" i="2" s="1"/>
  <c r="B801" i="2" a="1"/>
  <c r="B801" i="2" s="1"/>
  <c r="B800" i="2" a="1"/>
  <c r="B800" i="2" s="1"/>
  <c r="B799" i="2" a="1"/>
  <c r="B799" i="2" s="1"/>
  <c r="B798" i="2" a="1"/>
  <c r="B798" i="2" s="1"/>
  <c r="B797" i="2" a="1"/>
  <c r="B797" i="2" s="1"/>
  <c r="B796" i="2" a="1"/>
  <c r="B796" i="2" s="1"/>
  <c r="B795" i="2" a="1"/>
  <c r="B795" i="2" s="1"/>
  <c r="B794" i="2" a="1"/>
  <c r="B794" i="2" s="1"/>
  <c r="B793" i="2" a="1"/>
  <c r="B793" i="2" s="1"/>
  <c r="B792" i="2" a="1"/>
  <c r="B792" i="2" s="1"/>
  <c r="B791" i="2" a="1"/>
  <c r="B791" i="2" s="1"/>
  <c r="B790" i="2" a="1"/>
  <c r="B790" i="2" s="1"/>
  <c r="B789" i="2" a="1"/>
  <c r="B789" i="2" s="1"/>
  <c r="B788" i="2" a="1"/>
  <c r="B788" i="2" s="1"/>
  <c r="B787" i="2" a="1"/>
  <c r="B787" i="2" s="1"/>
  <c r="B786" i="2" a="1"/>
  <c r="B786" i="2" s="1"/>
  <c r="B785" i="2" a="1"/>
  <c r="B785" i="2" s="1"/>
  <c r="B784" i="2" a="1"/>
  <c r="B784" i="2" s="1"/>
  <c r="B783" i="2" a="1"/>
  <c r="B783" i="2" s="1"/>
  <c r="B782" i="2" a="1"/>
  <c r="B782" i="2" s="1"/>
  <c r="B781" i="2" a="1"/>
  <c r="B781" i="2" s="1"/>
  <c r="B780" i="2" a="1"/>
  <c r="B780" i="2" s="1"/>
  <c r="B779" i="2" a="1"/>
  <c r="B779" i="2" s="1"/>
  <c r="B778" i="2" a="1"/>
  <c r="B778" i="2" s="1"/>
  <c r="B777" i="2" a="1"/>
  <c r="B777" i="2" s="1"/>
  <c r="B776" i="2" a="1"/>
  <c r="B776" i="2" s="1"/>
  <c r="B775" i="2" a="1"/>
  <c r="B775" i="2" s="1"/>
  <c r="B774" i="2" a="1"/>
  <c r="B774" i="2" s="1"/>
  <c r="B773" i="2" a="1"/>
  <c r="B773" i="2" s="1"/>
  <c r="B772" i="2" a="1"/>
  <c r="B772" i="2" s="1"/>
  <c r="B771" i="2" a="1"/>
  <c r="B771" i="2" s="1"/>
  <c r="B770" i="2" a="1"/>
  <c r="B770" i="2" s="1"/>
  <c r="B769" i="2" a="1"/>
  <c r="B769" i="2" s="1"/>
  <c r="B768" i="2" a="1"/>
  <c r="B768" i="2" s="1"/>
  <c r="B767" i="2" a="1"/>
  <c r="B767" i="2" s="1"/>
  <c r="B766" i="2" a="1"/>
  <c r="B766" i="2" s="1"/>
  <c r="B765" i="2" a="1"/>
  <c r="B765" i="2" s="1"/>
  <c r="B764" i="2" a="1"/>
  <c r="B764" i="2" s="1"/>
  <c r="B763" i="2" a="1"/>
  <c r="B763" i="2" s="1"/>
  <c r="B762" i="2" a="1"/>
  <c r="B762" i="2" s="1"/>
  <c r="B761" i="2" a="1"/>
  <c r="B761" i="2" s="1"/>
  <c r="B760" i="2" a="1"/>
  <c r="B760" i="2" s="1"/>
  <c r="B759" i="2" a="1"/>
  <c r="B759" i="2" s="1"/>
  <c r="B758" i="2" a="1"/>
  <c r="B758" i="2" s="1"/>
  <c r="B757" i="2" a="1"/>
  <c r="B757" i="2" s="1"/>
  <c r="B756" i="2" a="1"/>
  <c r="B756" i="2" s="1"/>
  <c r="B755" i="2" a="1"/>
  <c r="B755" i="2" s="1"/>
  <c r="B754" i="2" a="1"/>
  <c r="B754" i="2" s="1"/>
  <c r="B753" i="2" a="1"/>
  <c r="B753" i="2" s="1"/>
  <c r="B752" i="2" a="1"/>
  <c r="B752" i="2" s="1"/>
  <c r="B751" i="2" a="1"/>
  <c r="B751" i="2" s="1"/>
  <c r="B750" i="2" a="1"/>
  <c r="B750" i="2" s="1"/>
  <c r="B749" i="2" a="1"/>
  <c r="B749" i="2" s="1"/>
  <c r="B748" i="2" a="1"/>
  <c r="B748" i="2" s="1"/>
  <c r="B747" i="2" a="1"/>
  <c r="B747" i="2" s="1"/>
  <c r="B746" i="2" a="1"/>
  <c r="B746" i="2" s="1"/>
  <c r="B745" i="2" a="1"/>
  <c r="B745" i="2" s="1"/>
  <c r="B744" i="2" a="1"/>
  <c r="B744" i="2" s="1"/>
  <c r="B743" i="2" a="1"/>
  <c r="B743" i="2" s="1"/>
  <c r="B742" i="2" a="1"/>
  <c r="B742" i="2" s="1"/>
  <c r="B741" i="2" a="1"/>
  <c r="B741" i="2" s="1"/>
  <c r="B740" i="2" a="1"/>
  <c r="B740" i="2" s="1"/>
  <c r="B739" i="2" a="1"/>
  <c r="B739" i="2" s="1"/>
  <c r="B738" i="2" a="1"/>
  <c r="B738" i="2" s="1"/>
  <c r="B737" i="2" a="1"/>
  <c r="B737" i="2" s="1"/>
  <c r="B736" i="2" a="1"/>
  <c r="B736" i="2" s="1"/>
  <c r="B735" i="2" a="1"/>
  <c r="B735" i="2" s="1"/>
  <c r="B734" i="2" a="1"/>
  <c r="B734" i="2" s="1"/>
  <c r="B733" i="2" a="1"/>
  <c r="B733" i="2" s="1"/>
  <c r="B732" i="2" a="1"/>
  <c r="B732" i="2" s="1"/>
  <c r="B731" i="2" a="1"/>
  <c r="B731" i="2" s="1"/>
  <c r="B730" i="2" a="1"/>
  <c r="B730" i="2" s="1"/>
  <c r="B729" i="2" a="1"/>
  <c r="B729" i="2" s="1"/>
  <c r="B728" i="2" a="1"/>
  <c r="B728" i="2" s="1"/>
  <c r="B727" i="2" a="1"/>
  <c r="B727" i="2" s="1"/>
  <c r="B726" i="2" a="1"/>
  <c r="B726" i="2" s="1"/>
  <c r="B725" i="2" a="1"/>
  <c r="B725" i="2" s="1"/>
  <c r="B724" i="2" a="1"/>
  <c r="B724" i="2" s="1"/>
  <c r="B723" i="2" a="1"/>
  <c r="B723" i="2" s="1"/>
  <c r="B722" i="2" a="1"/>
  <c r="B722" i="2" s="1"/>
  <c r="B721" i="2" a="1"/>
  <c r="B721" i="2" s="1"/>
  <c r="B720" i="2" a="1"/>
  <c r="B720" i="2" s="1"/>
  <c r="B719" i="2" a="1"/>
  <c r="B719" i="2" s="1"/>
  <c r="B718" i="2" a="1"/>
  <c r="B718" i="2" s="1"/>
  <c r="B717" i="2" a="1"/>
  <c r="B717" i="2" s="1"/>
  <c r="B716" i="2" a="1"/>
  <c r="B716" i="2" s="1"/>
  <c r="B715" i="2" a="1"/>
  <c r="B715" i="2" s="1"/>
  <c r="B714" i="2" a="1"/>
  <c r="B714" i="2" s="1"/>
  <c r="B713" i="2" a="1"/>
  <c r="B713" i="2" s="1"/>
  <c r="B712" i="2" a="1"/>
  <c r="B712" i="2" s="1"/>
  <c r="B711" i="2" a="1"/>
  <c r="B711" i="2" s="1"/>
  <c r="B710" i="2" a="1"/>
  <c r="B710" i="2" s="1"/>
  <c r="B709" i="2" a="1"/>
  <c r="B709" i="2" s="1"/>
  <c r="B708" i="2" a="1"/>
  <c r="B708" i="2" s="1"/>
  <c r="B707" i="2" a="1"/>
  <c r="B707" i="2" s="1"/>
  <c r="B706" i="2" a="1"/>
  <c r="B706" i="2" s="1"/>
  <c r="B705" i="2" a="1"/>
  <c r="B705" i="2" s="1"/>
  <c r="B704" i="2" a="1"/>
  <c r="B704" i="2" s="1"/>
  <c r="B703" i="2" a="1"/>
  <c r="B703" i="2" s="1"/>
  <c r="B702" i="2" a="1"/>
  <c r="B702" i="2" s="1"/>
  <c r="B701" i="2" a="1"/>
  <c r="B701" i="2" s="1"/>
  <c r="B700" i="2" a="1"/>
  <c r="B700" i="2" s="1"/>
  <c r="B699" i="2" a="1"/>
  <c r="B699" i="2" s="1"/>
  <c r="B698" i="2" a="1"/>
  <c r="B698" i="2" s="1"/>
  <c r="B697" i="2" a="1"/>
  <c r="B697" i="2" s="1"/>
  <c r="B696" i="2" a="1"/>
  <c r="B696" i="2" s="1"/>
  <c r="B695" i="2" a="1"/>
  <c r="B695" i="2" s="1"/>
  <c r="B694" i="2" a="1"/>
  <c r="B694" i="2" s="1"/>
  <c r="B693" i="2" a="1"/>
  <c r="B693" i="2" s="1"/>
  <c r="B692" i="2" a="1"/>
  <c r="B692" i="2" s="1"/>
  <c r="B691" i="2" a="1"/>
  <c r="B691" i="2" s="1"/>
  <c r="B690" i="2" a="1"/>
  <c r="B690" i="2" s="1"/>
  <c r="B689" i="2" a="1"/>
  <c r="B689" i="2" s="1"/>
  <c r="B688" i="2" a="1"/>
  <c r="B688" i="2" s="1"/>
  <c r="B687" i="2" a="1"/>
  <c r="B687" i="2" s="1"/>
  <c r="B686" i="2" a="1"/>
  <c r="B686" i="2" s="1"/>
  <c r="B685" i="2" a="1"/>
  <c r="B685" i="2" s="1"/>
  <c r="B684" i="2" a="1"/>
  <c r="B684" i="2" s="1"/>
  <c r="B683" i="2" a="1"/>
  <c r="B683" i="2" s="1"/>
  <c r="B682" i="2" a="1"/>
  <c r="B682" i="2" s="1"/>
  <c r="B681" i="2" a="1"/>
  <c r="B681" i="2" s="1"/>
  <c r="B680" i="2" a="1"/>
  <c r="B680" i="2" s="1"/>
  <c r="B679" i="2" a="1"/>
  <c r="B679" i="2" s="1"/>
  <c r="B678" i="2" a="1"/>
  <c r="B678" i="2" s="1"/>
  <c r="B677" i="2" a="1"/>
  <c r="B677" i="2" s="1"/>
  <c r="B676" i="2" a="1"/>
  <c r="B676" i="2" s="1"/>
  <c r="B675" i="2" a="1"/>
  <c r="B675" i="2" s="1"/>
  <c r="B674" i="2" a="1"/>
  <c r="B674" i="2" s="1"/>
  <c r="B673" i="2" a="1"/>
  <c r="B673" i="2" s="1"/>
  <c r="B672" i="2" a="1"/>
  <c r="B672" i="2" s="1"/>
  <c r="B671" i="2" a="1"/>
  <c r="B671" i="2" s="1"/>
  <c r="B670" i="2" a="1"/>
  <c r="B670" i="2" s="1"/>
  <c r="B669" i="2" a="1"/>
  <c r="B669" i="2" s="1"/>
  <c r="B668" i="2" a="1"/>
  <c r="B668" i="2" s="1"/>
  <c r="B667" i="2" a="1"/>
  <c r="B667" i="2" s="1"/>
  <c r="B666" i="2" a="1"/>
  <c r="B666" i="2" s="1"/>
  <c r="B665" i="2" a="1"/>
  <c r="B665" i="2" s="1"/>
  <c r="B664" i="2" a="1"/>
  <c r="B664" i="2" s="1"/>
  <c r="B663" i="2" a="1"/>
  <c r="B663" i="2" s="1"/>
  <c r="B662" i="2" a="1"/>
  <c r="B662" i="2" s="1"/>
  <c r="B661" i="2" a="1"/>
  <c r="B661" i="2" s="1"/>
  <c r="B660" i="2" a="1"/>
  <c r="B660" i="2" s="1"/>
  <c r="B659" i="2" a="1"/>
  <c r="B659" i="2" s="1"/>
  <c r="B658" i="2" a="1"/>
  <c r="B658" i="2" s="1"/>
  <c r="B657" i="2" a="1"/>
  <c r="B657" i="2" s="1"/>
  <c r="B656" i="2" a="1"/>
  <c r="B656" i="2" s="1"/>
  <c r="B655" i="2" a="1"/>
  <c r="B655" i="2" s="1"/>
  <c r="B654" i="2" a="1"/>
  <c r="B654" i="2" s="1"/>
  <c r="B653" i="2" a="1"/>
  <c r="B653" i="2" s="1"/>
  <c r="B652" i="2" a="1"/>
  <c r="B652" i="2" s="1"/>
  <c r="B651" i="2" a="1"/>
  <c r="B651" i="2" s="1"/>
  <c r="B650" i="2" a="1"/>
  <c r="B650" i="2" s="1"/>
  <c r="B649" i="2" a="1"/>
  <c r="B649" i="2" s="1"/>
  <c r="B648" i="2" a="1"/>
  <c r="B648" i="2" s="1"/>
  <c r="B647" i="2" a="1"/>
  <c r="B647" i="2" s="1"/>
  <c r="B646" i="2" a="1"/>
  <c r="B646" i="2" s="1"/>
  <c r="B645" i="2" a="1"/>
  <c r="B645" i="2" s="1"/>
  <c r="B644" i="2" a="1"/>
  <c r="B644" i="2" s="1"/>
  <c r="B643" i="2" a="1"/>
  <c r="B643" i="2" s="1"/>
  <c r="B642" i="2" a="1"/>
  <c r="B642" i="2" s="1"/>
  <c r="B641" i="2" a="1"/>
  <c r="B641" i="2" s="1"/>
  <c r="B640" i="2" a="1"/>
  <c r="B640" i="2" s="1"/>
  <c r="B639" i="2" a="1"/>
  <c r="B639" i="2" s="1"/>
  <c r="B638" i="2" a="1"/>
  <c r="B638" i="2" s="1"/>
  <c r="B637" i="2" a="1"/>
  <c r="B637" i="2" s="1"/>
  <c r="B636" i="2" a="1"/>
  <c r="B636" i="2" s="1"/>
  <c r="B635" i="2" a="1"/>
  <c r="B635" i="2" s="1"/>
  <c r="B634" i="2" a="1"/>
  <c r="B634" i="2" s="1"/>
  <c r="B633" i="2" a="1"/>
  <c r="B633" i="2" s="1"/>
  <c r="B632" i="2" a="1"/>
  <c r="B632" i="2" s="1"/>
  <c r="B631" i="2" a="1"/>
  <c r="B631" i="2" s="1"/>
  <c r="B630" i="2" a="1"/>
  <c r="B630" i="2" s="1"/>
  <c r="B629" i="2" a="1"/>
  <c r="B629" i="2" s="1"/>
  <c r="B628" i="2" a="1"/>
  <c r="B628" i="2" s="1"/>
  <c r="B627" i="2" a="1"/>
  <c r="B627" i="2" s="1"/>
  <c r="B626" i="2" a="1"/>
  <c r="B626" i="2" s="1"/>
  <c r="B625" i="2" a="1"/>
  <c r="B625" i="2" s="1"/>
  <c r="B624" i="2" a="1"/>
  <c r="B624" i="2" s="1"/>
  <c r="B623" i="2" a="1"/>
  <c r="B623" i="2" s="1"/>
  <c r="B622" i="2" a="1"/>
  <c r="B622" i="2" s="1"/>
  <c r="B621" i="2" a="1"/>
  <c r="B621" i="2" s="1"/>
  <c r="B620" i="2" a="1"/>
  <c r="B620" i="2" s="1"/>
  <c r="B619" i="2" a="1"/>
  <c r="B619" i="2" s="1"/>
  <c r="B618" i="2" a="1"/>
  <c r="B618" i="2" s="1"/>
  <c r="B617" i="2" a="1"/>
  <c r="B617" i="2" s="1"/>
  <c r="B616" i="2" a="1"/>
  <c r="B616" i="2" s="1"/>
  <c r="B615" i="2" a="1"/>
  <c r="B615" i="2" s="1"/>
  <c r="B614" i="2" a="1"/>
  <c r="B614" i="2" s="1"/>
  <c r="B613" i="2" a="1"/>
  <c r="B613" i="2" s="1"/>
  <c r="B612" i="2" a="1"/>
  <c r="B612" i="2" s="1"/>
  <c r="B611" i="2" a="1"/>
  <c r="B611" i="2" s="1"/>
  <c r="B610" i="2" a="1"/>
  <c r="B610" i="2" s="1"/>
  <c r="B609" i="2" a="1"/>
  <c r="B609" i="2" s="1"/>
  <c r="B608" i="2" a="1"/>
  <c r="B608" i="2" s="1"/>
  <c r="B607" i="2" a="1"/>
  <c r="B607" i="2" s="1"/>
  <c r="B606" i="2" a="1"/>
  <c r="B606" i="2" s="1"/>
  <c r="B605" i="2" a="1"/>
  <c r="B605" i="2" s="1"/>
  <c r="B604" i="2" a="1"/>
  <c r="B604" i="2" s="1"/>
  <c r="B603" i="2" a="1"/>
  <c r="B603" i="2" s="1"/>
  <c r="B602" i="2" a="1"/>
  <c r="B602" i="2" s="1"/>
  <c r="B601" i="2" a="1"/>
  <c r="B601" i="2" s="1"/>
  <c r="B600" i="2" a="1"/>
  <c r="B600" i="2" s="1"/>
  <c r="B599" i="2" a="1"/>
  <c r="B599" i="2" s="1"/>
  <c r="B598" i="2" a="1"/>
  <c r="B598" i="2" s="1"/>
  <c r="B597" i="2" a="1"/>
  <c r="B597" i="2" s="1"/>
  <c r="B596" i="2" a="1"/>
  <c r="B596" i="2" s="1"/>
  <c r="B595" i="2" a="1"/>
  <c r="B595" i="2" s="1"/>
  <c r="B594" i="2" a="1"/>
  <c r="B594" i="2" s="1"/>
  <c r="B593" i="2" a="1"/>
  <c r="B593" i="2" s="1"/>
  <c r="B592" i="2" a="1"/>
  <c r="B592" i="2" s="1"/>
  <c r="B591" i="2" a="1"/>
  <c r="B591" i="2" s="1"/>
  <c r="B590" i="2" a="1"/>
  <c r="B590" i="2" s="1"/>
  <c r="B589" i="2" a="1"/>
  <c r="B589" i="2" s="1"/>
  <c r="B588" i="2" a="1"/>
  <c r="B588" i="2" s="1"/>
  <c r="B587" i="2" a="1"/>
  <c r="B587" i="2" s="1"/>
  <c r="B586" i="2" a="1"/>
  <c r="B586" i="2" s="1"/>
  <c r="B585" i="2" a="1"/>
  <c r="B585" i="2" s="1"/>
  <c r="B584" i="2" a="1"/>
  <c r="B584" i="2" s="1"/>
  <c r="B583" i="2" a="1"/>
  <c r="B583" i="2" s="1"/>
  <c r="B582" i="2" a="1"/>
  <c r="B582" i="2" s="1"/>
  <c r="B581" i="2" a="1"/>
  <c r="B581" i="2" s="1"/>
  <c r="B580" i="2" a="1"/>
  <c r="B580" i="2" s="1"/>
  <c r="B579" i="2" a="1"/>
  <c r="B579" i="2" s="1"/>
  <c r="B578" i="2" a="1"/>
  <c r="B578" i="2" s="1"/>
  <c r="B577" i="2" a="1"/>
  <c r="B577" i="2" s="1"/>
  <c r="B576" i="2" a="1"/>
  <c r="B576" i="2" s="1"/>
  <c r="B575" i="2" a="1"/>
  <c r="B575" i="2" s="1"/>
  <c r="B574" i="2" a="1"/>
  <c r="B574" i="2" s="1"/>
  <c r="B573" i="2" a="1"/>
  <c r="B573" i="2" s="1"/>
  <c r="B572" i="2" a="1"/>
  <c r="B572" i="2" s="1"/>
  <c r="B571" i="2" a="1"/>
  <c r="B571" i="2" s="1"/>
  <c r="B570" i="2" a="1"/>
  <c r="B570" i="2" s="1"/>
  <c r="B569" i="2" a="1"/>
  <c r="B569" i="2" s="1"/>
  <c r="B568" i="2" a="1"/>
  <c r="B568" i="2" s="1"/>
  <c r="B567" i="2" a="1"/>
  <c r="B567" i="2" s="1"/>
  <c r="B566" i="2" a="1"/>
  <c r="B566" i="2" s="1"/>
  <c r="B565" i="2" a="1"/>
  <c r="B565" i="2" s="1"/>
  <c r="B564" i="2" a="1"/>
  <c r="B564" i="2" s="1"/>
  <c r="B563" i="2" a="1"/>
  <c r="B563" i="2" s="1"/>
  <c r="B562" i="2" a="1"/>
  <c r="B562" i="2" s="1"/>
  <c r="B561" i="2" a="1"/>
  <c r="B561" i="2" s="1"/>
  <c r="B560" i="2" a="1"/>
  <c r="B560" i="2" s="1"/>
  <c r="B559" i="2" a="1"/>
  <c r="B559" i="2" s="1"/>
  <c r="B558" i="2" a="1"/>
  <c r="B558" i="2" s="1"/>
  <c r="B557" i="2" a="1"/>
  <c r="B557" i="2" s="1"/>
  <c r="B556" i="2" a="1"/>
  <c r="B556" i="2" s="1"/>
  <c r="B555" i="2" a="1"/>
  <c r="B555" i="2" s="1"/>
  <c r="B554" i="2" a="1"/>
  <c r="B554" i="2" s="1"/>
  <c r="B553" i="2" a="1"/>
  <c r="B553" i="2" s="1"/>
  <c r="B552" i="2" a="1"/>
  <c r="B552" i="2" s="1"/>
  <c r="B551" i="2" a="1"/>
  <c r="B551" i="2" s="1"/>
  <c r="B550" i="2" a="1"/>
  <c r="B550" i="2" s="1"/>
  <c r="B549" i="2" a="1"/>
  <c r="B549" i="2" s="1"/>
  <c r="B548" i="2" a="1"/>
  <c r="B548" i="2" s="1"/>
  <c r="B547" i="2" a="1"/>
  <c r="B547" i="2" s="1"/>
  <c r="B546" i="2" a="1"/>
  <c r="B546" i="2" s="1"/>
  <c r="B545" i="2" a="1"/>
  <c r="B545" i="2" s="1"/>
  <c r="B544" i="2" a="1"/>
  <c r="B544" i="2" s="1"/>
  <c r="B543" i="2" a="1"/>
  <c r="B543" i="2" s="1"/>
  <c r="B542" i="2" a="1"/>
  <c r="B542" i="2" s="1"/>
  <c r="B541" i="2" a="1"/>
  <c r="B541" i="2" s="1"/>
  <c r="B540" i="2" a="1"/>
  <c r="B540" i="2" s="1"/>
  <c r="B539" i="2" a="1"/>
  <c r="B539" i="2" s="1"/>
  <c r="B538" i="2" a="1"/>
  <c r="B538" i="2" s="1"/>
  <c r="B537" i="2" a="1"/>
  <c r="B537" i="2" s="1"/>
  <c r="B536" i="2" a="1"/>
  <c r="B536" i="2" s="1"/>
  <c r="B535" i="2" a="1"/>
  <c r="B535" i="2" s="1"/>
  <c r="B534" i="2" a="1"/>
  <c r="B534" i="2" s="1"/>
  <c r="B533" i="2" a="1"/>
  <c r="B533" i="2" s="1"/>
  <c r="B532" i="2" a="1"/>
  <c r="B532" i="2" s="1"/>
  <c r="B531" i="2" a="1"/>
  <c r="B531" i="2" s="1"/>
  <c r="B530" i="2" a="1"/>
  <c r="B530" i="2" s="1"/>
  <c r="B529" i="2" a="1"/>
  <c r="B529" i="2" s="1"/>
  <c r="B528" i="2" a="1"/>
  <c r="B528" i="2" s="1"/>
  <c r="B527" i="2" a="1"/>
  <c r="B527" i="2" s="1"/>
  <c r="B526" i="2" a="1"/>
  <c r="B526" i="2" s="1"/>
  <c r="B525" i="2" a="1"/>
  <c r="B525" i="2" s="1"/>
  <c r="B524" i="2" a="1"/>
  <c r="B524" i="2" s="1"/>
  <c r="B523" i="2" a="1"/>
  <c r="B523" i="2" s="1"/>
  <c r="B522" i="2" a="1"/>
  <c r="B522" i="2" s="1"/>
  <c r="B521" i="2" a="1"/>
  <c r="B521" i="2" s="1"/>
  <c r="B520" i="2" a="1"/>
  <c r="B520" i="2" s="1"/>
  <c r="B519" i="2" a="1"/>
  <c r="B519" i="2" s="1"/>
  <c r="B518" i="2" a="1"/>
  <c r="B518" i="2" s="1"/>
  <c r="B517" i="2" a="1"/>
  <c r="B517" i="2" s="1"/>
  <c r="B516" i="2" a="1"/>
  <c r="B516" i="2" s="1"/>
  <c r="B515" i="2" a="1"/>
  <c r="B515" i="2" s="1"/>
  <c r="B514" i="2" a="1"/>
  <c r="B514" i="2" s="1"/>
  <c r="B513" i="2" a="1"/>
  <c r="B513" i="2" s="1"/>
  <c r="B512" i="2" a="1"/>
  <c r="B512" i="2" s="1"/>
  <c r="B511" i="2" a="1"/>
  <c r="B511" i="2" s="1"/>
  <c r="B510" i="2" a="1"/>
  <c r="B510" i="2" s="1"/>
  <c r="B509" i="2" a="1"/>
  <c r="B509" i="2" s="1"/>
  <c r="B508" i="2" a="1"/>
  <c r="B508" i="2" s="1"/>
  <c r="B507" i="2" a="1"/>
  <c r="B507" i="2" s="1"/>
  <c r="B506" i="2" a="1"/>
  <c r="B506" i="2" s="1"/>
  <c r="B505" i="2" a="1"/>
  <c r="B505" i="2" s="1"/>
  <c r="B504" i="2" a="1"/>
  <c r="B504" i="2" s="1"/>
  <c r="B503" i="2" a="1"/>
  <c r="B503" i="2" s="1"/>
  <c r="B502" i="2" a="1"/>
  <c r="B502" i="2" s="1"/>
  <c r="B501" i="2" a="1"/>
  <c r="B501" i="2" s="1"/>
  <c r="B500" i="2" a="1"/>
  <c r="B500" i="2" s="1"/>
  <c r="B499" i="2" a="1"/>
  <c r="B499" i="2" s="1"/>
  <c r="B498" i="2" a="1"/>
  <c r="B498" i="2" s="1"/>
  <c r="B497" i="2" a="1"/>
  <c r="B497" i="2" s="1"/>
  <c r="B496" i="2" a="1"/>
  <c r="B496" i="2" s="1"/>
  <c r="B495" i="2" a="1"/>
  <c r="B495" i="2" s="1"/>
  <c r="B494" i="2" a="1"/>
  <c r="B494" i="2" s="1"/>
  <c r="B493" i="2" a="1"/>
  <c r="B493" i="2" s="1"/>
  <c r="B492" i="2" a="1"/>
  <c r="B492" i="2" s="1"/>
  <c r="B491" i="2" a="1"/>
  <c r="B491" i="2" s="1"/>
  <c r="B490" i="2" a="1"/>
  <c r="B490" i="2" s="1"/>
  <c r="B489" i="2" a="1"/>
  <c r="B489" i="2" s="1"/>
  <c r="B488" i="2" a="1"/>
  <c r="B488" i="2" s="1"/>
  <c r="B487" i="2" a="1"/>
  <c r="B487" i="2" s="1"/>
  <c r="B486" i="2" a="1"/>
  <c r="B486" i="2" s="1"/>
  <c r="B485" i="2" a="1"/>
  <c r="B485" i="2" s="1"/>
  <c r="B484" i="2" a="1"/>
  <c r="B484" i="2" s="1"/>
  <c r="B483" i="2" a="1"/>
  <c r="B483" i="2" s="1"/>
  <c r="B482" i="2" a="1"/>
  <c r="B482" i="2" s="1"/>
  <c r="B481" i="2" a="1"/>
  <c r="B481" i="2" s="1"/>
  <c r="B480" i="2" a="1"/>
  <c r="B480" i="2" s="1"/>
  <c r="B479" i="2" a="1"/>
  <c r="B479" i="2" s="1"/>
  <c r="B478" i="2" a="1"/>
  <c r="B478" i="2" s="1"/>
  <c r="B477" i="2" a="1"/>
  <c r="B477" i="2" s="1"/>
  <c r="B476" i="2" a="1"/>
  <c r="B476" i="2" s="1"/>
  <c r="B475" i="2" a="1"/>
  <c r="B475" i="2" s="1"/>
  <c r="B474" i="2" a="1"/>
  <c r="B474" i="2" s="1"/>
  <c r="B473" i="2" a="1"/>
  <c r="B473" i="2" s="1"/>
  <c r="B472" i="2" a="1"/>
  <c r="B472" i="2" s="1"/>
  <c r="B471" i="2" a="1"/>
  <c r="B471" i="2" s="1"/>
  <c r="B470" i="2" a="1"/>
  <c r="B470" i="2" s="1"/>
  <c r="B469" i="2" a="1"/>
  <c r="B469" i="2" s="1"/>
  <c r="B468" i="2" a="1"/>
  <c r="B468" i="2" s="1"/>
  <c r="B467" i="2" a="1"/>
  <c r="B467" i="2" s="1"/>
  <c r="B466" i="2" a="1"/>
  <c r="B466" i="2" s="1"/>
  <c r="B465" i="2" a="1"/>
  <c r="B465" i="2" s="1"/>
  <c r="B464" i="2" a="1"/>
  <c r="B464" i="2" s="1"/>
  <c r="B463" i="2" a="1"/>
  <c r="B463" i="2" s="1"/>
  <c r="B462" i="2" a="1"/>
  <c r="B462" i="2" s="1"/>
  <c r="B461" i="2" a="1"/>
  <c r="B461" i="2" s="1"/>
  <c r="B460" i="2" a="1"/>
  <c r="B460" i="2" s="1"/>
  <c r="B459" i="2" a="1"/>
  <c r="B459" i="2" s="1"/>
  <c r="B458" i="2" a="1"/>
  <c r="B458" i="2" s="1"/>
  <c r="B457" i="2" a="1"/>
  <c r="B457" i="2" s="1"/>
  <c r="B456" i="2" a="1"/>
  <c r="B456" i="2" s="1"/>
  <c r="B455" i="2" a="1"/>
  <c r="B455" i="2" s="1"/>
  <c r="B454" i="2" a="1"/>
  <c r="B454" i="2" s="1"/>
  <c r="B453" i="2" a="1"/>
  <c r="B453" i="2" s="1"/>
  <c r="B452" i="2" a="1"/>
  <c r="B452" i="2" s="1"/>
  <c r="B451" i="2" a="1"/>
  <c r="B451" i="2" s="1"/>
  <c r="B450" i="2" a="1"/>
  <c r="B450" i="2" s="1"/>
  <c r="B449" i="2" a="1"/>
  <c r="B449" i="2" s="1"/>
  <c r="B448" i="2" a="1"/>
  <c r="B448" i="2" s="1"/>
  <c r="B447" i="2" a="1"/>
  <c r="B447" i="2" s="1"/>
  <c r="B446" i="2" a="1"/>
  <c r="B446" i="2" s="1"/>
  <c r="B445" i="2" a="1"/>
  <c r="B445" i="2" s="1"/>
  <c r="B444" i="2" a="1"/>
  <c r="B444" i="2" s="1"/>
  <c r="B443" i="2" a="1"/>
  <c r="B443" i="2" s="1"/>
  <c r="B442" i="2" a="1"/>
  <c r="B442" i="2" s="1"/>
  <c r="B441" i="2" a="1"/>
  <c r="B441" i="2" s="1"/>
  <c r="B440" i="2" a="1"/>
  <c r="B440" i="2" s="1"/>
  <c r="B439" i="2" a="1"/>
  <c r="B439" i="2" s="1"/>
  <c r="B438" i="2" a="1"/>
  <c r="B438" i="2" s="1"/>
  <c r="B437" i="2" a="1"/>
  <c r="B437" i="2" s="1"/>
  <c r="B436" i="2" a="1"/>
  <c r="B436" i="2" s="1"/>
  <c r="B435" i="2" a="1"/>
  <c r="B435" i="2" s="1"/>
  <c r="B434" i="2" a="1"/>
  <c r="B434" i="2" s="1"/>
  <c r="B433" i="2" a="1"/>
  <c r="B433" i="2" s="1"/>
  <c r="B432" i="2" a="1"/>
  <c r="B432" i="2" s="1"/>
  <c r="B431" i="2" a="1"/>
  <c r="B431" i="2" s="1"/>
  <c r="B430" i="2" a="1"/>
  <c r="B430" i="2" s="1"/>
  <c r="B429" i="2" a="1"/>
  <c r="B429" i="2" s="1"/>
  <c r="B428" i="2" a="1"/>
  <c r="B428" i="2" s="1"/>
  <c r="B427" i="2" a="1"/>
  <c r="B427" i="2" s="1"/>
  <c r="B426" i="2" a="1"/>
  <c r="B426" i="2" s="1"/>
  <c r="B425" i="2" a="1"/>
  <c r="B425" i="2" s="1"/>
  <c r="B424" i="2" a="1"/>
  <c r="B424" i="2" s="1"/>
  <c r="B423" i="2" a="1"/>
  <c r="B423" i="2" s="1"/>
  <c r="B422" i="2" a="1"/>
  <c r="B422" i="2" s="1"/>
  <c r="B421" i="2" a="1"/>
  <c r="B421" i="2" s="1"/>
  <c r="B420" i="2" a="1"/>
  <c r="B420" i="2" s="1"/>
  <c r="B419" i="2" a="1"/>
  <c r="B419" i="2" s="1"/>
  <c r="B418" i="2" a="1"/>
  <c r="B418" i="2" s="1"/>
  <c r="B417" i="2" a="1"/>
  <c r="B417" i="2" s="1"/>
  <c r="B416" i="2" a="1"/>
  <c r="B416" i="2" s="1"/>
  <c r="B415" i="2" a="1"/>
  <c r="B415" i="2" s="1"/>
  <c r="B414" i="2" a="1"/>
  <c r="B414" i="2" s="1"/>
  <c r="B413" i="2" a="1"/>
  <c r="B413" i="2" s="1"/>
  <c r="B412" i="2" a="1"/>
  <c r="B412" i="2" s="1"/>
  <c r="B411" i="2" a="1"/>
  <c r="B411" i="2" s="1"/>
  <c r="B410" i="2" a="1"/>
  <c r="B410" i="2" s="1"/>
  <c r="B409" i="2" a="1"/>
  <c r="B409" i="2" s="1"/>
  <c r="B408" i="2" a="1"/>
  <c r="B408" i="2" s="1"/>
  <c r="B407" i="2" a="1"/>
  <c r="B407" i="2" s="1"/>
  <c r="B406" i="2" a="1"/>
  <c r="B406" i="2" s="1"/>
  <c r="B405" i="2" a="1"/>
  <c r="B405" i="2" s="1"/>
  <c r="B404" i="2" a="1"/>
  <c r="B404" i="2" s="1"/>
  <c r="B403" i="2" a="1"/>
  <c r="B403" i="2" s="1"/>
  <c r="B402" i="2" a="1"/>
  <c r="B402" i="2" s="1"/>
  <c r="B401" i="2" a="1"/>
  <c r="B401" i="2" s="1"/>
  <c r="B400" i="2" a="1"/>
  <c r="B400" i="2" s="1"/>
  <c r="B399" i="2" a="1"/>
  <c r="B399" i="2" s="1"/>
  <c r="B398" i="2" a="1"/>
  <c r="B398" i="2" s="1"/>
  <c r="B397" i="2" a="1"/>
  <c r="B397" i="2" s="1"/>
  <c r="B396" i="2" a="1"/>
  <c r="B396" i="2" s="1"/>
  <c r="B395" i="2" a="1"/>
  <c r="B395" i="2" s="1"/>
  <c r="B394" i="2" a="1"/>
  <c r="B394" i="2" s="1"/>
  <c r="B393" i="2" a="1"/>
  <c r="B393" i="2" s="1"/>
  <c r="B392" i="2" a="1"/>
  <c r="B392" i="2" s="1"/>
  <c r="B391" i="2" a="1"/>
  <c r="B391" i="2" s="1"/>
  <c r="B390" i="2" a="1"/>
  <c r="B390" i="2" s="1"/>
  <c r="B389" i="2" a="1"/>
  <c r="B389" i="2" s="1"/>
  <c r="B388" i="2" a="1"/>
  <c r="B388" i="2" s="1"/>
  <c r="B387" i="2" a="1"/>
  <c r="B387" i="2" s="1"/>
  <c r="B386" i="2" a="1"/>
  <c r="B386" i="2" s="1"/>
  <c r="B385" i="2" a="1"/>
  <c r="B385" i="2" s="1"/>
  <c r="B384" i="2" a="1"/>
  <c r="B384" i="2" s="1"/>
  <c r="B383" i="2" a="1"/>
  <c r="B383" i="2" s="1"/>
  <c r="B382" i="2" a="1"/>
  <c r="B382" i="2" s="1"/>
  <c r="B381" i="2" a="1"/>
  <c r="B381" i="2" s="1"/>
  <c r="B380" i="2" a="1"/>
  <c r="B380" i="2" s="1"/>
  <c r="B379" i="2" a="1"/>
  <c r="B379" i="2" s="1"/>
  <c r="B378" i="2" a="1"/>
  <c r="B378" i="2" s="1"/>
  <c r="B377" i="2" a="1"/>
  <c r="B377" i="2" s="1"/>
  <c r="B376" i="2" a="1"/>
  <c r="B376" i="2" s="1"/>
  <c r="B375" i="2" a="1"/>
  <c r="B375" i="2" s="1"/>
  <c r="B374" i="2" a="1"/>
  <c r="B374" i="2" s="1"/>
  <c r="B373" i="2" a="1"/>
  <c r="B373" i="2" s="1"/>
  <c r="B372" i="2" a="1"/>
  <c r="B372" i="2" s="1"/>
  <c r="B371" i="2" a="1"/>
  <c r="B371" i="2" s="1"/>
  <c r="B370" i="2" a="1"/>
  <c r="B370" i="2" s="1"/>
  <c r="B369" i="2" a="1"/>
  <c r="B369" i="2" s="1"/>
  <c r="B368" i="2" a="1"/>
  <c r="B368" i="2" s="1"/>
  <c r="B367" i="2" a="1"/>
  <c r="B367" i="2" s="1"/>
  <c r="B366" i="2" a="1"/>
  <c r="B366" i="2" s="1"/>
  <c r="B365" i="2" a="1"/>
  <c r="B365" i="2" s="1"/>
  <c r="B364" i="2" a="1"/>
  <c r="B364" i="2" s="1"/>
  <c r="B363" i="2" a="1"/>
  <c r="B363" i="2" s="1"/>
  <c r="B362" i="2" a="1"/>
  <c r="B362" i="2" s="1"/>
  <c r="B361" i="2" a="1"/>
  <c r="B361" i="2" s="1"/>
  <c r="B360" i="2" a="1"/>
  <c r="B360" i="2" s="1"/>
  <c r="B359" i="2" a="1"/>
  <c r="B359" i="2" s="1"/>
  <c r="B358" i="2" a="1"/>
  <c r="B358" i="2" s="1"/>
  <c r="B357" i="2" a="1"/>
  <c r="B357" i="2" s="1"/>
  <c r="B356" i="2" a="1"/>
  <c r="B356" i="2" s="1"/>
  <c r="B355" i="2" a="1"/>
  <c r="B355" i="2" s="1"/>
  <c r="B354" i="2" a="1"/>
  <c r="B354" i="2" s="1"/>
  <c r="B353" i="2" a="1"/>
  <c r="B353" i="2" s="1"/>
  <c r="B352" i="2" a="1"/>
  <c r="B352" i="2" s="1"/>
  <c r="B351" i="2" a="1"/>
  <c r="B351" i="2" s="1"/>
  <c r="B350" i="2" a="1"/>
  <c r="B350" i="2" s="1"/>
  <c r="B349" i="2" a="1"/>
  <c r="B349" i="2" s="1"/>
  <c r="B348" i="2" a="1"/>
  <c r="B348" i="2" s="1"/>
  <c r="B347" i="2" a="1"/>
  <c r="B347" i="2" s="1"/>
  <c r="B346" i="2" a="1"/>
  <c r="B346" i="2" s="1"/>
  <c r="B345" i="2" a="1"/>
  <c r="B345" i="2" s="1"/>
  <c r="B344" i="2" a="1"/>
  <c r="B344" i="2" s="1"/>
  <c r="B343" i="2" a="1"/>
  <c r="B343" i="2" s="1"/>
  <c r="B342" i="2" a="1"/>
  <c r="B342" i="2" s="1"/>
  <c r="B341" i="2" a="1"/>
  <c r="B341" i="2" s="1"/>
  <c r="B340" i="2" a="1"/>
  <c r="B340" i="2" s="1"/>
  <c r="B339" i="2" a="1"/>
  <c r="B339" i="2" s="1"/>
  <c r="B338" i="2" a="1"/>
  <c r="B338" i="2" s="1"/>
  <c r="B337" i="2" a="1"/>
  <c r="B337" i="2" s="1"/>
  <c r="B336" i="2" a="1"/>
  <c r="B336" i="2" s="1"/>
  <c r="B335" i="2" a="1"/>
  <c r="B335" i="2" s="1"/>
  <c r="B334" i="2" a="1"/>
  <c r="B334" i="2" s="1"/>
  <c r="B333" i="2" a="1"/>
  <c r="B333" i="2" s="1"/>
  <c r="B332" i="2" a="1"/>
  <c r="B332" i="2" s="1"/>
  <c r="B331" i="2" a="1"/>
  <c r="B331" i="2" s="1"/>
  <c r="B330" i="2" a="1"/>
  <c r="B330" i="2" s="1"/>
  <c r="B329" i="2" a="1"/>
  <c r="B329" i="2" s="1"/>
  <c r="B328" i="2" a="1"/>
  <c r="B328" i="2" s="1"/>
  <c r="B327" i="2" a="1"/>
  <c r="B327" i="2" s="1"/>
  <c r="B326" i="2" a="1"/>
  <c r="B326" i="2" s="1"/>
  <c r="B325" i="2" a="1"/>
  <c r="B325" i="2" s="1"/>
  <c r="B324" i="2" a="1"/>
  <c r="B324" i="2" s="1"/>
  <c r="B323" i="2" a="1"/>
  <c r="B323" i="2" s="1"/>
  <c r="B322" i="2" a="1"/>
  <c r="B322" i="2" s="1"/>
  <c r="B321" i="2" a="1"/>
  <c r="B321" i="2" s="1"/>
  <c r="B320" i="2" a="1"/>
  <c r="B320" i="2" s="1"/>
  <c r="B319" i="2" a="1"/>
  <c r="B319" i="2" s="1"/>
  <c r="B318" i="2" a="1"/>
  <c r="B318" i="2" s="1"/>
  <c r="B317" i="2" a="1"/>
  <c r="B317" i="2" s="1"/>
  <c r="B316" i="2" a="1"/>
  <c r="B316" i="2" s="1"/>
  <c r="B315" i="2" a="1"/>
  <c r="B315" i="2" s="1"/>
  <c r="B314" i="2" a="1"/>
  <c r="B314" i="2" s="1"/>
  <c r="B313" i="2" a="1"/>
  <c r="B313" i="2" s="1"/>
  <c r="B312" i="2" a="1"/>
  <c r="B312" i="2" s="1"/>
  <c r="B311" i="2" a="1"/>
  <c r="B311" i="2" s="1"/>
  <c r="B310" i="2" a="1"/>
  <c r="B310" i="2" s="1"/>
  <c r="B309" i="2" a="1"/>
  <c r="B309" i="2" s="1"/>
  <c r="B308" i="2" a="1"/>
  <c r="B308" i="2" s="1"/>
  <c r="B307" i="2" a="1"/>
  <c r="B307" i="2" s="1"/>
  <c r="B306" i="2" a="1"/>
  <c r="B306" i="2" s="1"/>
  <c r="B305" i="2" a="1"/>
  <c r="B305" i="2" s="1"/>
  <c r="B304" i="2" a="1"/>
  <c r="B304" i="2" s="1"/>
  <c r="B303" i="2" a="1"/>
  <c r="B303" i="2" s="1"/>
  <c r="B302" i="2" a="1"/>
  <c r="B302" i="2" s="1"/>
  <c r="B301" i="2" a="1"/>
  <c r="B301" i="2" s="1"/>
  <c r="B300" i="2" a="1"/>
  <c r="B300" i="2" s="1"/>
  <c r="B299" i="2" a="1"/>
  <c r="B299" i="2" s="1"/>
  <c r="B298" i="2" a="1"/>
  <c r="B298" i="2" s="1"/>
  <c r="B297" i="2" a="1"/>
  <c r="B297" i="2" s="1"/>
  <c r="B296" i="2" a="1"/>
  <c r="B296" i="2" s="1"/>
  <c r="B295" i="2" a="1"/>
  <c r="B295" i="2" s="1"/>
  <c r="B294" i="2" a="1"/>
  <c r="B294" i="2" s="1"/>
  <c r="B293" i="2" a="1"/>
  <c r="B293" i="2" s="1"/>
  <c r="B292" i="2" a="1"/>
  <c r="B292" i="2" s="1"/>
  <c r="B291" i="2" a="1"/>
  <c r="B291" i="2" s="1"/>
  <c r="B290" i="2" a="1"/>
  <c r="B290" i="2" s="1"/>
  <c r="B289" i="2" a="1"/>
  <c r="B289" i="2" s="1"/>
  <c r="B288" i="2" a="1"/>
  <c r="B288" i="2" s="1"/>
  <c r="B287" i="2" a="1"/>
  <c r="B287" i="2" s="1"/>
  <c r="B286" i="2" a="1"/>
  <c r="B286" i="2" s="1"/>
  <c r="B285" i="2" a="1"/>
  <c r="B285" i="2" s="1"/>
  <c r="B284" i="2" a="1"/>
  <c r="B284" i="2" s="1"/>
  <c r="B283" i="2" a="1"/>
  <c r="B283" i="2" s="1"/>
  <c r="B282" i="2" a="1"/>
  <c r="B282" i="2" s="1"/>
  <c r="B281" i="2" a="1"/>
  <c r="B281" i="2" s="1"/>
  <c r="B280" i="2" a="1"/>
  <c r="B280" i="2" s="1"/>
  <c r="B279" i="2" a="1"/>
  <c r="B279" i="2" s="1"/>
  <c r="B278" i="2" a="1"/>
  <c r="B278" i="2" s="1"/>
  <c r="B277" i="2" a="1"/>
  <c r="B277" i="2" s="1"/>
  <c r="B276" i="2" a="1"/>
  <c r="B276" i="2" s="1"/>
  <c r="B275" i="2" a="1"/>
  <c r="B275" i="2" s="1"/>
  <c r="B274" i="2" a="1"/>
  <c r="B274" i="2" s="1"/>
  <c r="B273" i="2" a="1"/>
  <c r="B273" i="2" s="1"/>
  <c r="B272" i="2" a="1"/>
  <c r="B272" i="2" s="1"/>
  <c r="B271" i="2" a="1"/>
  <c r="B271" i="2" s="1"/>
  <c r="B270" i="2" a="1"/>
  <c r="B270" i="2" s="1"/>
  <c r="B269" i="2" a="1"/>
  <c r="B269" i="2" s="1"/>
  <c r="B268" i="2" a="1"/>
  <c r="B268" i="2" s="1"/>
  <c r="B267" i="2" a="1"/>
  <c r="B267" i="2" s="1"/>
  <c r="B266" i="2" a="1"/>
  <c r="B266" i="2" s="1"/>
  <c r="B265" i="2" a="1"/>
  <c r="B265" i="2" s="1"/>
  <c r="B264" i="2" a="1"/>
  <c r="B264" i="2" s="1"/>
  <c r="B263" i="2" a="1"/>
  <c r="B263" i="2" s="1"/>
  <c r="B262" i="2" a="1"/>
  <c r="B262" i="2" s="1"/>
  <c r="B261" i="2" a="1"/>
  <c r="B261" i="2" s="1"/>
  <c r="B260" i="2" a="1"/>
  <c r="B260" i="2" s="1"/>
  <c r="B259" i="2" a="1"/>
  <c r="B259" i="2" s="1"/>
  <c r="B258" i="2" a="1"/>
  <c r="B258" i="2" s="1"/>
  <c r="B257" i="2" a="1"/>
  <c r="B257" i="2" s="1"/>
  <c r="B256" i="2" a="1"/>
  <c r="B256" i="2" s="1"/>
  <c r="B255" i="2" a="1"/>
  <c r="B255" i="2" s="1"/>
  <c r="B254" i="2" a="1"/>
  <c r="B254" i="2" s="1"/>
  <c r="B253" i="2" a="1"/>
  <c r="B253" i="2" s="1"/>
  <c r="B252" i="2" a="1"/>
  <c r="B252" i="2" s="1"/>
  <c r="B251" i="2" a="1"/>
  <c r="B251" i="2" s="1"/>
  <c r="B250" i="2" a="1"/>
  <c r="B250" i="2" s="1"/>
  <c r="B249" i="2" a="1"/>
  <c r="B249" i="2" s="1"/>
  <c r="B248" i="2" a="1"/>
  <c r="B248" i="2" s="1"/>
  <c r="B247" i="2" a="1"/>
  <c r="B247" i="2" s="1"/>
  <c r="B246" i="2" a="1"/>
  <c r="B246" i="2" s="1"/>
  <c r="B245" i="2" a="1"/>
  <c r="B245" i="2" s="1"/>
  <c r="B244" i="2" a="1"/>
  <c r="B244" i="2" s="1"/>
  <c r="B243" i="2" a="1"/>
  <c r="B243" i="2" s="1"/>
  <c r="B242" i="2" a="1"/>
  <c r="B242" i="2" s="1"/>
  <c r="B241" i="2" a="1"/>
  <c r="B241" i="2" s="1"/>
  <c r="B240" i="2" a="1"/>
  <c r="B240" i="2" s="1"/>
  <c r="B239" i="2" a="1"/>
  <c r="B239" i="2" s="1"/>
  <c r="B238" i="2" a="1"/>
  <c r="B238" i="2" s="1"/>
  <c r="B237" i="2" a="1"/>
  <c r="B237" i="2" s="1"/>
  <c r="B236" i="2" a="1"/>
  <c r="B236" i="2" s="1"/>
  <c r="B235" i="2" a="1"/>
  <c r="B235" i="2" s="1"/>
  <c r="B234" i="2" a="1"/>
  <c r="B234" i="2" s="1"/>
  <c r="B233" i="2" a="1"/>
  <c r="B233" i="2" s="1"/>
  <c r="B232" i="2" a="1"/>
  <c r="B232" i="2" s="1"/>
  <c r="B231" i="2" a="1"/>
  <c r="B231" i="2" s="1"/>
  <c r="B230" i="2" a="1"/>
  <c r="B230" i="2" s="1"/>
  <c r="B229" i="2" a="1"/>
  <c r="B229" i="2" s="1"/>
  <c r="B228" i="2" a="1"/>
  <c r="B228" i="2" s="1"/>
  <c r="B227" i="2" a="1"/>
  <c r="B227" i="2" s="1"/>
  <c r="B226" i="2" a="1"/>
  <c r="B226" i="2" s="1"/>
  <c r="B225" i="2" a="1"/>
  <c r="B225" i="2" s="1"/>
  <c r="B224" i="2" a="1"/>
  <c r="B224" i="2" s="1"/>
  <c r="B223" i="2" a="1"/>
  <c r="B223" i="2" s="1"/>
  <c r="B222" i="2" a="1"/>
  <c r="B222" i="2" s="1"/>
  <c r="B221" i="2" a="1"/>
  <c r="B221" i="2" s="1"/>
  <c r="B220" i="2" a="1"/>
  <c r="B220" i="2" s="1"/>
  <c r="B219" i="2" a="1"/>
  <c r="B219" i="2" s="1"/>
  <c r="B218" i="2" a="1"/>
  <c r="B218" i="2" s="1"/>
  <c r="B217" i="2" a="1"/>
  <c r="B217" i="2" s="1"/>
  <c r="B216" i="2" a="1"/>
  <c r="B216" i="2" s="1"/>
  <c r="B215" i="2" a="1"/>
  <c r="B215" i="2" s="1"/>
  <c r="B214" i="2" a="1"/>
  <c r="B214" i="2" s="1"/>
  <c r="B213" i="2" a="1"/>
  <c r="B213" i="2" s="1"/>
  <c r="B212" i="2" a="1"/>
  <c r="B212" i="2" s="1"/>
  <c r="B211" i="2" a="1"/>
  <c r="B211" i="2" s="1"/>
  <c r="B210" i="2" a="1"/>
  <c r="B210" i="2" s="1"/>
  <c r="B209" i="2" a="1"/>
  <c r="B209" i="2" s="1"/>
  <c r="B208" i="2" a="1"/>
  <c r="B208" i="2" s="1"/>
  <c r="B207" i="2" a="1"/>
  <c r="B207" i="2" s="1"/>
  <c r="B206" i="2" a="1"/>
  <c r="B206" i="2" s="1"/>
  <c r="B205" i="2" a="1"/>
  <c r="B205" i="2" s="1"/>
  <c r="B204" i="2" a="1"/>
  <c r="B204" i="2" s="1"/>
  <c r="B203" i="2" a="1"/>
  <c r="B203" i="2" s="1"/>
  <c r="B202" i="2" a="1"/>
  <c r="B202" i="2" s="1"/>
  <c r="B201" i="2" a="1"/>
  <c r="B201" i="2" s="1"/>
  <c r="B200" i="2" a="1"/>
  <c r="B200" i="2" s="1"/>
  <c r="B199" i="2" a="1"/>
  <c r="B199" i="2" s="1"/>
  <c r="B198" i="2" a="1"/>
  <c r="B198" i="2" s="1"/>
  <c r="B197" i="2" a="1"/>
  <c r="B197" i="2" s="1"/>
  <c r="B196" i="2" a="1"/>
  <c r="B196" i="2" s="1"/>
  <c r="B195" i="2" a="1"/>
  <c r="B195" i="2" s="1"/>
  <c r="B194" i="2" a="1"/>
  <c r="B194" i="2" s="1"/>
  <c r="B193" i="2" a="1"/>
  <c r="B193" i="2" s="1"/>
  <c r="B192" i="2" a="1"/>
  <c r="B192" i="2" s="1"/>
  <c r="B191" i="2" a="1"/>
  <c r="B191" i="2" s="1"/>
  <c r="B190" i="2" a="1"/>
  <c r="B190" i="2" s="1"/>
  <c r="B189" i="2" a="1"/>
  <c r="B189" i="2" s="1"/>
  <c r="B188" i="2" a="1"/>
  <c r="B188" i="2" s="1"/>
  <c r="B187" i="2" a="1"/>
  <c r="B187" i="2" s="1"/>
  <c r="B186" i="2" a="1"/>
  <c r="B186" i="2" s="1"/>
  <c r="B185" i="2" a="1"/>
  <c r="B185" i="2" s="1"/>
  <c r="B184" i="2" a="1"/>
  <c r="B184" i="2" s="1"/>
  <c r="B183" i="2" a="1"/>
  <c r="B183" i="2" s="1"/>
  <c r="B182" i="2" a="1"/>
  <c r="B182" i="2" s="1"/>
  <c r="B181" i="2" a="1"/>
  <c r="B181" i="2" s="1"/>
  <c r="B180" i="2" a="1"/>
  <c r="B180" i="2" s="1"/>
  <c r="B179" i="2" a="1"/>
  <c r="B179" i="2" s="1"/>
  <c r="B178" i="2" a="1"/>
  <c r="B178" i="2" s="1"/>
  <c r="B177" i="2" a="1"/>
  <c r="B177" i="2" s="1"/>
  <c r="B176" i="2" a="1"/>
  <c r="B176" i="2" s="1"/>
  <c r="B175" i="2" a="1"/>
  <c r="B175" i="2" s="1"/>
  <c r="B174" i="2" a="1"/>
  <c r="B174" i="2" s="1"/>
  <c r="B173" i="2" a="1"/>
  <c r="B173" i="2" s="1"/>
  <c r="B172" i="2" a="1"/>
  <c r="B172" i="2" s="1"/>
  <c r="B171" i="2" a="1"/>
  <c r="B171" i="2" s="1"/>
  <c r="B170" i="2" a="1"/>
  <c r="B170" i="2" s="1"/>
  <c r="B169" i="2" a="1"/>
  <c r="B169" i="2" s="1"/>
  <c r="B168" i="2" a="1"/>
  <c r="B168" i="2" s="1"/>
  <c r="B167" i="2" a="1"/>
  <c r="B167" i="2" s="1"/>
  <c r="B166" i="2" a="1"/>
  <c r="B166" i="2" s="1"/>
  <c r="B165" i="2" a="1"/>
  <c r="B165" i="2" s="1"/>
  <c r="B164" i="2" a="1"/>
  <c r="B164" i="2" s="1"/>
  <c r="B163" i="2" a="1"/>
  <c r="B163" i="2" s="1"/>
  <c r="B162" i="2" a="1"/>
  <c r="B162" i="2" s="1"/>
  <c r="B161" i="2" a="1"/>
  <c r="B161" i="2" s="1"/>
  <c r="B160" i="2" a="1"/>
  <c r="B160" i="2" s="1"/>
  <c r="B159" i="2" a="1"/>
  <c r="B159" i="2" s="1"/>
  <c r="B158" i="2" a="1"/>
  <c r="B158" i="2" s="1"/>
  <c r="B157" i="2" a="1"/>
  <c r="B157" i="2" s="1"/>
  <c r="B156" i="2" a="1"/>
  <c r="B156" i="2" s="1"/>
  <c r="B155" i="2" a="1"/>
  <c r="B155" i="2" s="1"/>
  <c r="B154" i="2" a="1"/>
  <c r="B154" i="2" s="1"/>
  <c r="B153" i="2" a="1"/>
  <c r="B153" i="2" s="1"/>
  <c r="B152" i="2" a="1"/>
  <c r="B152" i="2" s="1"/>
  <c r="B151" i="2" a="1"/>
  <c r="B151" i="2" s="1"/>
  <c r="B150" i="2" a="1"/>
  <c r="B150" i="2" s="1"/>
  <c r="B149" i="2" a="1"/>
  <c r="B149" i="2" s="1"/>
  <c r="B148" i="2" a="1"/>
  <c r="B148" i="2" s="1"/>
  <c r="B147" i="2" a="1"/>
  <c r="B147" i="2" s="1"/>
  <c r="B146" i="2" a="1"/>
  <c r="B146" i="2" s="1"/>
  <c r="B145" i="2" a="1"/>
  <c r="B145" i="2" s="1"/>
  <c r="B144" i="2" a="1"/>
  <c r="B144" i="2" s="1"/>
  <c r="B143" i="2" a="1"/>
  <c r="B143" i="2" s="1"/>
  <c r="B142" i="2" a="1"/>
  <c r="B142" i="2" s="1"/>
  <c r="B141" i="2" a="1"/>
  <c r="B141" i="2" s="1"/>
  <c r="B140" i="2" a="1"/>
  <c r="B140" i="2" s="1"/>
  <c r="B139" i="2" a="1"/>
  <c r="B139" i="2" s="1"/>
  <c r="B138" i="2" a="1"/>
  <c r="B138" i="2" s="1"/>
  <c r="B137" i="2" a="1"/>
  <c r="B137" i="2" s="1"/>
  <c r="B136" i="2" a="1"/>
  <c r="B136" i="2" s="1"/>
  <c r="B135" i="2" a="1"/>
  <c r="B135" i="2" s="1"/>
  <c r="B134" i="2" a="1"/>
  <c r="B134" i="2" s="1"/>
  <c r="B133" i="2" a="1"/>
  <c r="B133" i="2" s="1"/>
  <c r="B132" i="2" a="1"/>
  <c r="B132" i="2" s="1"/>
  <c r="B131" i="2" a="1"/>
  <c r="B131" i="2" s="1"/>
  <c r="B130" i="2" a="1"/>
  <c r="B130" i="2" s="1"/>
  <c r="B129" i="2" a="1"/>
  <c r="B129" i="2" s="1"/>
  <c r="B128" i="2" a="1"/>
  <c r="B128" i="2" s="1"/>
  <c r="B127" i="2" a="1"/>
  <c r="B127" i="2" s="1"/>
  <c r="B126" i="2" a="1"/>
  <c r="B126" i="2" s="1"/>
  <c r="B125" i="2" a="1"/>
  <c r="B125" i="2" s="1"/>
  <c r="B124" i="2" a="1"/>
  <c r="B124" i="2" s="1"/>
  <c r="B123" i="2" a="1"/>
  <c r="B123" i="2" s="1"/>
  <c r="B122" i="2" a="1"/>
  <c r="B122" i="2" s="1"/>
  <c r="B121" i="2" a="1"/>
  <c r="B121" i="2" s="1"/>
  <c r="B120" i="2" a="1"/>
  <c r="B120" i="2" s="1"/>
  <c r="B119" i="2" a="1"/>
  <c r="B119" i="2" s="1"/>
  <c r="B118" i="2" a="1"/>
  <c r="B118" i="2" s="1"/>
  <c r="B117" i="2" a="1"/>
  <c r="B117" i="2" s="1"/>
  <c r="B116" i="2" a="1"/>
  <c r="B116" i="2" s="1"/>
  <c r="B115" i="2" a="1"/>
  <c r="B115" i="2" s="1"/>
  <c r="B114" i="2" a="1"/>
  <c r="B114" i="2" s="1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G33" i="3"/>
  <c r="H33" i="7" s="1"/>
  <c r="G34" i="3"/>
  <c r="H34" i="7" s="1"/>
  <c r="G35" i="3"/>
  <c r="H35" i="7" s="1"/>
  <c r="G36" i="3"/>
  <c r="H36" i="7" s="1"/>
  <c r="G37" i="3"/>
  <c r="H37" i="7" s="1"/>
  <c r="G38" i="3"/>
  <c r="H38" i="7" s="1"/>
  <c r="G39" i="3"/>
  <c r="H39" i="7" s="1"/>
  <c r="G40" i="3"/>
  <c r="H40" i="7" s="1"/>
  <c r="G41" i="3"/>
  <c r="H41" i="7" s="1"/>
  <c r="G42" i="3"/>
  <c r="H42" i="7" s="1"/>
  <c r="H43" i="7"/>
  <c r="H44" i="7"/>
  <c r="H45" i="7"/>
  <c r="G46" i="3"/>
  <c r="H46" i="7" s="1"/>
  <c r="G47" i="3"/>
  <c r="H47" i="7" s="1"/>
  <c r="G48" i="3"/>
  <c r="H48" i="7" s="1"/>
  <c r="H49" i="7"/>
  <c r="H50" i="7"/>
  <c r="H51" i="7"/>
  <c r="H52" i="7"/>
  <c r="G53" i="3"/>
  <c r="H53" i="7" s="1"/>
  <c r="G54" i="3"/>
  <c r="H54" i="7" s="1"/>
  <c r="H55" i="7"/>
  <c r="G56" i="3"/>
  <c r="H56" i="7" s="1"/>
  <c r="G57" i="3"/>
  <c r="H57" i="7" s="1"/>
  <c r="G58" i="3"/>
  <c r="H58" i="7" s="1"/>
  <c r="G59" i="3"/>
  <c r="H59" i="7" s="1"/>
  <c r="G60" i="3"/>
  <c r="H60" i="7" s="1"/>
  <c r="G61" i="3"/>
  <c r="H61" i="7" s="1"/>
  <c r="G62" i="3"/>
  <c r="H62" i="7" s="1"/>
  <c r="G63" i="3"/>
  <c r="H63" i="7" s="1"/>
  <c r="G64" i="3"/>
  <c r="H64" i="7" s="1"/>
  <c r="G65" i="3"/>
  <c r="H65" i="7" s="1"/>
  <c r="G66" i="3"/>
  <c r="H66" i="7" s="1"/>
  <c r="G67" i="3"/>
  <c r="H67" i="7" s="1"/>
  <c r="G68" i="3"/>
  <c r="H68" i="7" s="1"/>
  <c r="G69" i="3"/>
  <c r="H69" i="7" s="1"/>
  <c r="G70" i="3"/>
  <c r="H70" i="7" s="1"/>
  <c r="G71" i="3"/>
  <c r="H71" i="7" s="1"/>
  <c r="G72" i="3"/>
  <c r="H72" i="7" s="1"/>
  <c r="G73" i="3"/>
  <c r="H73" i="7" s="1"/>
  <c r="G74" i="3"/>
  <c r="H74" i="7" s="1"/>
  <c r="G75" i="3"/>
  <c r="H75" i="7" s="1"/>
  <c r="G76" i="3"/>
  <c r="H76" i="7" s="1"/>
  <c r="G77" i="3"/>
  <c r="H77" i="7" s="1"/>
  <c r="G78" i="3"/>
  <c r="H78" i="7" s="1"/>
  <c r="G79" i="3"/>
  <c r="H79" i="7" s="1"/>
  <c r="G80" i="3"/>
  <c r="H80" i="7" s="1"/>
  <c r="G81" i="3"/>
  <c r="H81" i="7" s="1"/>
  <c r="G82" i="3"/>
  <c r="H82" i="7" s="1"/>
  <c r="G83" i="3"/>
  <c r="H83" i="7" s="1"/>
  <c r="G84" i="3"/>
  <c r="H84" i="7" s="1"/>
  <c r="G85" i="3"/>
  <c r="H85" i="7" s="1"/>
  <c r="G86" i="3"/>
  <c r="H86" i="7" s="1"/>
  <c r="G87" i="3"/>
  <c r="H87" i="7" s="1"/>
  <c r="G88" i="3"/>
  <c r="H88" i="7" s="1"/>
  <c r="G89" i="3"/>
  <c r="H89" i="7" s="1"/>
  <c r="G90" i="3"/>
  <c r="H90" i="7" s="1"/>
  <c r="G91" i="3"/>
  <c r="H91" i="7" s="1"/>
  <c r="G92" i="3"/>
  <c r="H92" i="7" s="1"/>
  <c r="G93" i="3"/>
  <c r="H93" i="7" s="1"/>
  <c r="G94" i="3"/>
  <c r="H94" i="7" s="1"/>
  <c r="G95" i="3"/>
  <c r="H95" i="7" s="1"/>
  <c r="G96" i="3"/>
  <c r="H96" i="7" s="1"/>
  <c r="G97" i="3"/>
  <c r="H97" i="7" s="1"/>
  <c r="G98" i="3"/>
  <c r="H98" i="7" s="1"/>
  <c r="G99" i="3"/>
  <c r="H99" i="7" s="1"/>
  <c r="G100" i="3"/>
  <c r="H100" i="7" s="1"/>
  <c r="G101" i="3"/>
  <c r="H101" i="7" s="1"/>
  <c r="G102" i="3"/>
  <c r="H102" i="7" s="1"/>
  <c r="G103" i="3"/>
  <c r="H103" i="7" s="1"/>
  <c r="G104" i="3"/>
  <c r="H104" i="7" s="1"/>
  <c r="G105" i="3"/>
  <c r="H105" i="7" s="1"/>
  <c r="G106" i="3"/>
  <c r="H106" i="7" s="1"/>
  <c r="G107" i="3"/>
  <c r="H107" i="7" s="1"/>
  <c r="G108" i="3"/>
  <c r="H108" i="7" s="1"/>
  <c r="G109" i="3"/>
  <c r="H109" i="7" s="1"/>
  <c r="G110" i="3"/>
  <c r="H110" i="7" s="1"/>
  <c r="G111" i="3"/>
  <c r="H111" i="7" s="1"/>
  <c r="G112" i="3"/>
  <c r="H112" i="7" s="1"/>
  <c r="G113" i="3"/>
  <c r="H113" i="7" s="1"/>
  <c r="G114" i="3"/>
  <c r="H114" i="7" s="1"/>
  <c r="G115" i="3"/>
  <c r="H115" i="7" s="1"/>
  <c r="G116" i="3"/>
  <c r="H116" i="7" s="1"/>
  <c r="G117" i="3"/>
  <c r="H117" i="7" s="1"/>
  <c r="G118" i="3"/>
  <c r="H118" i="7" s="1"/>
  <c r="G119" i="3"/>
  <c r="H119" i="7" s="1"/>
  <c r="G120" i="3"/>
  <c r="H120" i="7" s="1"/>
  <c r="G121" i="3"/>
  <c r="H121" i="7" s="1"/>
  <c r="G122" i="3"/>
  <c r="H122" i="7" s="1"/>
  <c r="G123" i="3"/>
  <c r="H123" i="7" s="1"/>
  <c r="G124" i="3"/>
  <c r="H124" i="7" s="1"/>
  <c r="G125" i="3"/>
  <c r="H125" i="7" s="1"/>
  <c r="G126" i="3"/>
  <c r="H126" i="7" s="1"/>
  <c r="G127" i="3"/>
  <c r="H127" i="7" s="1"/>
  <c r="G128" i="3"/>
  <c r="H128" i="7" s="1"/>
  <c r="G129" i="3"/>
  <c r="H129" i="7" s="1"/>
  <c r="G130" i="3"/>
  <c r="H130" i="7" s="1"/>
  <c r="G131" i="3"/>
  <c r="H131" i="7" s="1"/>
  <c r="G132" i="3"/>
  <c r="H132" i="7" s="1"/>
  <c r="G133" i="3"/>
  <c r="H133" i="7" s="1"/>
  <c r="G134" i="3"/>
  <c r="H134" i="7" s="1"/>
  <c r="G135" i="3"/>
  <c r="H135" i="7" s="1"/>
  <c r="G136" i="3"/>
  <c r="H136" i="7" s="1"/>
  <c r="G137" i="3"/>
  <c r="H137" i="7" s="1"/>
  <c r="G138" i="3"/>
  <c r="H138" i="7" s="1"/>
  <c r="G139" i="3"/>
  <c r="H139" i="7" s="1"/>
  <c r="G140" i="3"/>
  <c r="H140" i="7" s="1"/>
  <c r="G141" i="3"/>
  <c r="H141" i="7" s="1"/>
  <c r="G142" i="3"/>
  <c r="H142" i="7" s="1"/>
  <c r="G143" i="3"/>
  <c r="H143" i="7" s="1"/>
  <c r="G144" i="3"/>
  <c r="H144" i="7" s="1"/>
  <c r="G145" i="3"/>
  <c r="H145" i="7" s="1"/>
  <c r="G146" i="3"/>
  <c r="H146" i="7" s="1"/>
  <c r="G147" i="3"/>
  <c r="H147" i="7" s="1"/>
  <c r="G148" i="3"/>
  <c r="H148" i="7" s="1"/>
  <c r="G149" i="3"/>
  <c r="H149" i="7" s="1"/>
  <c r="G150" i="3"/>
  <c r="H150" i="7" s="1"/>
  <c r="G151" i="3"/>
  <c r="H151" i="7" s="1"/>
  <c r="G152" i="3"/>
  <c r="H152" i="7" s="1"/>
  <c r="G153" i="3"/>
  <c r="H153" i="7" s="1"/>
  <c r="G154" i="3"/>
  <c r="H154" i="7" s="1"/>
  <c r="G155" i="3"/>
  <c r="H155" i="7" s="1"/>
  <c r="G156" i="3"/>
  <c r="H156" i="7" s="1"/>
  <c r="G157" i="3"/>
  <c r="H157" i="7" s="1"/>
  <c r="G158" i="3"/>
  <c r="H158" i="7" s="1"/>
  <c r="G159" i="3"/>
  <c r="H159" i="7" s="1"/>
  <c r="G160" i="3"/>
  <c r="H160" i="7" s="1"/>
  <c r="G161" i="3"/>
  <c r="H161" i="7" s="1"/>
  <c r="G162" i="3"/>
  <c r="H162" i="7" s="1"/>
  <c r="G163" i="3"/>
  <c r="H163" i="7" s="1"/>
  <c r="G164" i="3"/>
  <c r="H164" i="7" s="1"/>
  <c r="G165" i="3"/>
  <c r="H165" i="7" s="1"/>
  <c r="G166" i="3"/>
  <c r="H166" i="7" s="1"/>
  <c r="G167" i="3"/>
  <c r="H167" i="7" s="1"/>
  <c r="G168" i="3"/>
  <c r="H168" i="7" s="1"/>
  <c r="G169" i="3"/>
  <c r="H169" i="7" s="1"/>
  <c r="G170" i="3"/>
  <c r="H170" i="7" s="1"/>
  <c r="G171" i="3"/>
  <c r="H171" i="7" s="1"/>
  <c r="G172" i="3"/>
  <c r="H172" i="7" s="1"/>
  <c r="G173" i="3"/>
  <c r="H173" i="7" s="1"/>
  <c r="G174" i="3"/>
  <c r="H174" i="7" s="1"/>
  <c r="G175" i="3"/>
  <c r="H175" i="7" s="1"/>
  <c r="G176" i="3"/>
  <c r="H176" i="7" s="1"/>
  <c r="G177" i="3"/>
  <c r="H177" i="7" s="1"/>
  <c r="G178" i="3"/>
  <c r="H178" i="7" s="1"/>
  <c r="G179" i="3"/>
  <c r="H179" i="7" s="1"/>
  <c r="G180" i="3"/>
  <c r="H180" i="7" s="1"/>
  <c r="G181" i="3"/>
  <c r="H181" i="7" s="1"/>
  <c r="G182" i="3"/>
  <c r="H182" i="7" s="1"/>
  <c r="G183" i="3"/>
  <c r="H183" i="7" s="1"/>
  <c r="G184" i="3"/>
  <c r="H184" i="7" s="1"/>
  <c r="G185" i="3"/>
  <c r="H185" i="7" s="1"/>
  <c r="G186" i="3"/>
  <c r="H186" i="7" s="1"/>
  <c r="G187" i="3"/>
  <c r="H187" i="7" s="1"/>
  <c r="G188" i="3"/>
  <c r="H188" i="7" s="1"/>
  <c r="G189" i="3"/>
  <c r="H189" i="7" s="1"/>
  <c r="G190" i="3"/>
  <c r="H190" i="7" s="1"/>
  <c r="G191" i="3"/>
  <c r="H191" i="7" s="1"/>
  <c r="G192" i="3"/>
  <c r="H192" i="7" s="1"/>
  <c r="G193" i="3"/>
  <c r="H193" i="7" s="1"/>
  <c r="G194" i="3"/>
  <c r="H194" i="7" s="1"/>
  <c r="G195" i="3"/>
  <c r="H195" i="7" s="1"/>
  <c r="G196" i="3"/>
  <c r="H196" i="7" s="1"/>
  <c r="G197" i="3"/>
  <c r="H197" i="7" s="1"/>
  <c r="G198" i="3"/>
  <c r="H198" i="7" s="1"/>
  <c r="G199" i="3"/>
  <c r="H199" i="7" s="1"/>
  <c r="G200" i="3"/>
  <c r="H200" i="7" s="1"/>
  <c r="G201" i="3"/>
  <c r="H201" i="7" s="1"/>
  <c r="G202" i="3"/>
  <c r="H202" i="7" s="1"/>
  <c r="G203" i="3"/>
  <c r="H203" i="7" s="1"/>
  <c r="G204" i="3"/>
  <c r="H204" i="7" s="1"/>
  <c r="G205" i="3"/>
  <c r="H205" i="7" s="1"/>
  <c r="G206" i="3"/>
  <c r="H206" i="7" s="1"/>
  <c r="G207" i="3"/>
  <c r="H207" i="7" s="1"/>
  <c r="G208" i="3"/>
  <c r="H208" i="7" s="1"/>
  <c r="G209" i="3"/>
  <c r="H209" i="7" s="1"/>
  <c r="G210" i="3"/>
  <c r="H210" i="7" s="1"/>
  <c r="G211" i="3"/>
  <c r="H211" i="7" s="1"/>
  <c r="G212" i="3"/>
  <c r="H212" i="7" s="1"/>
  <c r="G213" i="3"/>
  <c r="H213" i="7" s="1"/>
  <c r="G214" i="3"/>
  <c r="H214" i="7" s="1"/>
  <c r="G215" i="3"/>
  <c r="H215" i="7" s="1"/>
  <c r="G216" i="3"/>
  <c r="H216" i="7" s="1"/>
  <c r="G217" i="3"/>
  <c r="H217" i="7" s="1"/>
  <c r="G218" i="3"/>
  <c r="H218" i="7" s="1"/>
  <c r="G219" i="3"/>
  <c r="H219" i="7" s="1"/>
  <c r="G220" i="3"/>
  <c r="H220" i="7" s="1"/>
  <c r="G221" i="3"/>
  <c r="H221" i="7" s="1"/>
  <c r="G222" i="3"/>
  <c r="H222" i="7" s="1"/>
  <c r="G223" i="3"/>
  <c r="H223" i="7" s="1"/>
  <c r="G224" i="3"/>
  <c r="H224" i="7" s="1"/>
  <c r="G225" i="3"/>
  <c r="H225" i="7" s="1"/>
  <c r="G226" i="3"/>
  <c r="H226" i="7" s="1"/>
  <c r="G227" i="3"/>
  <c r="H227" i="7" s="1"/>
  <c r="G228" i="3"/>
  <c r="H228" i="7" s="1"/>
  <c r="G229" i="3"/>
  <c r="H229" i="7" s="1"/>
  <c r="G230" i="3"/>
  <c r="H230" i="7" s="1"/>
  <c r="G231" i="3"/>
  <c r="H231" i="7" s="1"/>
  <c r="G232" i="3"/>
  <c r="H232" i="7" s="1"/>
  <c r="G233" i="3"/>
  <c r="H233" i="7" s="1"/>
  <c r="G234" i="3"/>
  <c r="H234" i="7" s="1"/>
  <c r="G235" i="3"/>
  <c r="H235" i="7" s="1"/>
  <c r="G236" i="3"/>
  <c r="H236" i="7" s="1"/>
  <c r="G237" i="3"/>
  <c r="H237" i="7" s="1"/>
  <c r="G238" i="3"/>
  <c r="H238" i="7" s="1"/>
  <c r="G239" i="3"/>
  <c r="H239" i="7" s="1"/>
  <c r="G240" i="3"/>
  <c r="H240" i="7" s="1"/>
  <c r="G241" i="3"/>
  <c r="H241" i="7" s="1"/>
  <c r="G242" i="3"/>
  <c r="H242" i="7" s="1"/>
  <c r="G243" i="3"/>
  <c r="H243" i="7" s="1"/>
  <c r="G244" i="3"/>
  <c r="H244" i="7" s="1"/>
  <c r="G245" i="3"/>
  <c r="H245" i="7" s="1"/>
  <c r="G246" i="3"/>
  <c r="H246" i="7" s="1"/>
  <c r="G247" i="3"/>
  <c r="H247" i="7" s="1"/>
  <c r="G248" i="3"/>
  <c r="H248" i="7" s="1"/>
  <c r="G249" i="3"/>
  <c r="H249" i="7" s="1"/>
  <c r="G250" i="3"/>
  <c r="H250" i="7" s="1"/>
  <c r="G251" i="3"/>
  <c r="H251" i="7" s="1"/>
  <c r="G252" i="3"/>
  <c r="H252" i="7" s="1"/>
  <c r="G253" i="3"/>
  <c r="H253" i="7" s="1"/>
  <c r="G254" i="3"/>
  <c r="H254" i="7" s="1"/>
  <c r="G255" i="3"/>
  <c r="H255" i="7" s="1"/>
  <c r="G256" i="3"/>
  <c r="H256" i="7" s="1"/>
  <c r="G257" i="3"/>
  <c r="H257" i="7" s="1"/>
  <c r="G258" i="3"/>
  <c r="H258" i="7" s="1"/>
  <c r="G259" i="3"/>
  <c r="H259" i="7" s="1"/>
  <c r="G260" i="3"/>
  <c r="H260" i="7" s="1"/>
  <c r="G261" i="3"/>
  <c r="H261" i="7" s="1"/>
  <c r="G262" i="3"/>
  <c r="H262" i="7" s="1"/>
  <c r="G263" i="3"/>
  <c r="H263" i="7" s="1"/>
  <c r="G264" i="3"/>
  <c r="H264" i="7" s="1"/>
  <c r="G265" i="3"/>
  <c r="H265" i="7" s="1"/>
  <c r="G266" i="3"/>
  <c r="H266" i="7" s="1"/>
  <c r="G267" i="3"/>
  <c r="H267" i="7" s="1"/>
  <c r="G268" i="3"/>
  <c r="H268" i="7" s="1"/>
  <c r="G269" i="3"/>
  <c r="H269" i="7" s="1"/>
  <c r="G270" i="3"/>
  <c r="H270" i="7" s="1"/>
  <c r="G271" i="3"/>
  <c r="H271" i="7" s="1"/>
  <c r="G272" i="3"/>
  <c r="H272" i="7" s="1"/>
  <c r="G273" i="3"/>
  <c r="H273" i="7" s="1"/>
  <c r="G274" i="3"/>
  <c r="H274" i="7" s="1"/>
  <c r="G275" i="3"/>
  <c r="H275" i="7" s="1"/>
  <c r="G276" i="3"/>
  <c r="H276" i="7" s="1"/>
  <c r="G277" i="3"/>
  <c r="H277" i="7" s="1"/>
  <c r="G278" i="3"/>
  <c r="H278" i="7" s="1"/>
  <c r="G279" i="3"/>
  <c r="H279" i="7" s="1"/>
  <c r="G280" i="3"/>
  <c r="H280" i="7" s="1"/>
  <c r="G281" i="3"/>
  <c r="H281" i="7" s="1"/>
  <c r="G282" i="3"/>
  <c r="H282" i="7" s="1"/>
  <c r="G283" i="3"/>
  <c r="H283" i="7" s="1"/>
  <c r="G284" i="3"/>
  <c r="H284" i="7" s="1"/>
  <c r="G285" i="3"/>
  <c r="H285" i="7" s="1"/>
  <c r="G286" i="3"/>
  <c r="H286" i="7" s="1"/>
  <c r="G287" i="3"/>
  <c r="H287" i="7" s="1"/>
  <c r="G288" i="3"/>
  <c r="H288" i="7" s="1"/>
  <c r="G289" i="3"/>
  <c r="H289" i="7" s="1"/>
  <c r="G290" i="3"/>
  <c r="H290" i="7" s="1"/>
  <c r="G291" i="3"/>
  <c r="H291" i="7" s="1"/>
  <c r="G292" i="3"/>
  <c r="H292" i="7" s="1"/>
  <c r="G293" i="3"/>
  <c r="H293" i="7" s="1"/>
  <c r="G294" i="3"/>
  <c r="H294" i="7" s="1"/>
  <c r="G295" i="3"/>
  <c r="H295" i="7" s="1"/>
  <c r="G296" i="3"/>
  <c r="H296" i="7" s="1"/>
  <c r="G297" i="3"/>
  <c r="H297" i="7" s="1"/>
  <c r="G298" i="3"/>
  <c r="H298" i="7" s="1"/>
  <c r="G299" i="3"/>
  <c r="H299" i="7" s="1"/>
  <c r="G300" i="3"/>
  <c r="H300" i="7" s="1"/>
  <c r="G301" i="3"/>
  <c r="H301" i="7" s="1"/>
  <c r="G302" i="3"/>
  <c r="H302" i="7" s="1"/>
  <c r="G303" i="3"/>
  <c r="H303" i="7" s="1"/>
  <c r="G304" i="3"/>
  <c r="H304" i="7" s="1"/>
  <c r="G305" i="3"/>
  <c r="H305" i="7" s="1"/>
  <c r="G306" i="3"/>
  <c r="H306" i="7" s="1"/>
  <c r="G307" i="3"/>
  <c r="H307" i="7" s="1"/>
  <c r="G308" i="3"/>
  <c r="H308" i="7" s="1"/>
  <c r="G309" i="3"/>
  <c r="H309" i="7" s="1"/>
  <c r="G310" i="3"/>
  <c r="H310" i="7" s="1"/>
  <c r="G311" i="3"/>
  <c r="H311" i="7" s="1"/>
  <c r="G312" i="3"/>
  <c r="H312" i="7" s="1"/>
  <c r="G313" i="3"/>
  <c r="H313" i="7" s="1"/>
  <c r="G314" i="3"/>
  <c r="H314" i="7" s="1"/>
  <c r="G315" i="3"/>
  <c r="H315" i="7" s="1"/>
  <c r="G316" i="3"/>
  <c r="H316" i="7" s="1"/>
  <c r="G317" i="3"/>
  <c r="H317" i="7" s="1"/>
  <c r="G318" i="3"/>
  <c r="H318" i="7" s="1"/>
  <c r="G319" i="3"/>
  <c r="H319" i="7" s="1"/>
  <c r="G320" i="3"/>
  <c r="H320" i="7" s="1"/>
  <c r="G321" i="3"/>
  <c r="H321" i="7" s="1"/>
  <c r="G322" i="3"/>
  <c r="H322" i="7" s="1"/>
  <c r="G323" i="3"/>
  <c r="H323" i="7" s="1"/>
  <c r="G324" i="3"/>
  <c r="H324" i="7" s="1"/>
  <c r="G325" i="3"/>
  <c r="H325" i="7" s="1"/>
  <c r="G326" i="3"/>
  <c r="H326" i="7" s="1"/>
  <c r="G327" i="3"/>
  <c r="H327" i="7" s="1"/>
  <c r="G328" i="3"/>
  <c r="H328" i="7" s="1"/>
  <c r="G329" i="3"/>
  <c r="H329" i="7" s="1"/>
  <c r="G330" i="3"/>
  <c r="H330" i="7" s="1"/>
  <c r="G331" i="3"/>
  <c r="H331" i="7" s="1"/>
  <c r="G332" i="3"/>
  <c r="H332" i="7" s="1"/>
  <c r="G333" i="3"/>
  <c r="H333" i="7" s="1"/>
  <c r="G334" i="3"/>
  <c r="H334" i="7" s="1"/>
  <c r="G335" i="3"/>
  <c r="H335" i="7" s="1"/>
  <c r="G336" i="3"/>
  <c r="H336" i="7" s="1"/>
  <c r="G337" i="3"/>
  <c r="H337" i="7" s="1"/>
  <c r="G338" i="3"/>
  <c r="H338" i="7" s="1"/>
  <c r="G339" i="3"/>
  <c r="H339" i="7" s="1"/>
  <c r="G340" i="3"/>
  <c r="H340" i="7" s="1"/>
  <c r="G341" i="3"/>
  <c r="H341" i="7" s="1"/>
  <c r="G342" i="3"/>
  <c r="H342" i="7" s="1"/>
  <c r="G343" i="3"/>
  <c r="H343" i="7" s="1"/>
  <c r="G344" i="3"/>
  <c r="H344" i="7" s="1"/>
  <c r="G345" i="3"/>
  <c r="H345" i="7" s="1"/>
  <c r="G346" i="3"/>
  <c r="H346" i="7" s="1"/>
  <c r="G347" i="3"/>
  <c r="H347" i="7" s="1"/>
  <c r="G348" i="3"/>
  <c r="H348" i="7" s="1"/>
  <c r="G349" i="3"/>
  <c r="H349" i="7" s="1"/>
  <c r="G350" i="3"/>
  <c r="H350" i="7" s="1"/>
  <c r="G351" i="3"/>
  <c r="H351" i="7" s="1"/>
  <c r="G352" i="3"/>
  <c r="H352" i="7" s="1"/>
  <c r="G353" i="3"/>
  <c r="H353" i="7" s="1"/>
  <c r="G354" i="3"/>
  <c r="H354" i="7" s="1"/>
  <c r="G355" i="3"/>
  <c r="H355" i="7" s="1"/>
  <c r="G356" i="3"/>
  <c r="H356" i="7" s="1"/>
  <c r="G357" i="3"/>
  <c r="H357" i="7" s="1"/>
  <c r="G358" i="3"/>
  <c r="H358" i="7" s="1"/>
  <c r="G359" i="3"/>
  <c r="H359" i="7" s="1"/>
  <c r="G360" i="3"/>
  <c r="H360" i="7" s="1"/>
  <c r="G361" i="3"/>
  <c r="H361" i="7" s="1"/>
  <c r="G362" i="3"/>
  <c r="H362" i="7" s="1"/>
  <c r="G363" i="3"/>
  <c r="H363" i="7" s="1"/>
  <c r="G364" i="3"/>
  <c r="H364" i="7" s="1"/>
  <c r="G365" i="3"/>
  <c r="H365" i="7" s="1"/>
  <c r="G366" i="3"/>
  <c r="H366" i="7" s="1"/>
  <c r="G367" i="3"/>
  <c r="H367" i="7" s="1"/>
  <c r="G368" i="3"/>
  <c r="H368" i="7" s="1"/>
  <c r="G369" i="3"/>
  <c r="H369" i="7" s="1"/>
  <c r="G370" i="3"/>
  <c r="H370" i="7" s="1"/>
  <c r="G371" i="3"/>
  <c r="H371" i="7" s="1"/>
  <c r="G372" i="3"/>
  <c r="H372" i="7" s="1"/>
  <c r="G373" i="3"/>
  <c r="H373" i="7" s="1"/>
  <c r="G374" i="3"/>
  <c r="H374" i="7" s="1"/>
  <c r="G375" i="3"/>
  <c r="H375" i="7" s="1"/>
  <c r="G376" i="3"/>
  <c r="H376" i="7" s="1"/>
  <c r="G377" i="3"/>
  <c r="H377" i="7" s="1"/>
  <c r="G378" i="3"/>
  <c r="H378" i="7" s="1"/>
  <c r="G379" i="3"/>
  <c r="H379" i="7" s="1"/>
  <c r="G380" i="3"/>
  <c r="H380" i="7" s="1"/>
  <c r="G381" i="3"/>
  <c r="H381" i="7" s="1"/>
  <c r="G382" i="3"/>
  <c r="H382" i="7" s="1"/>
  <c r="G383" i="3"/>
  <c r="H383" i="7" s="1"/>
  <c r="G384" i="3"/>
  <c r="H384" i="7" s="1"/>
  <c r="G385" i="3"/>
  <c r="H385" i="7" s="1"/>
  <c r="G386" i="3"/>
  <c r="H386" i="7" s="1"/>
  <c r="G387" i="3"/>
  <c r="H387" i="7" s="1"/>
  <c r="G388" i="3"/>
  <c r="H388" i="7" s="1"/>
  <c r="G389" i="3"/>
  <c r="H389" i="7" s="1"/>
  <c r="G390" i="3"/>
  <c r="H390" i="7" s="1"/>
  <c r="G391" i="3"/>
  <c r="H391" i="7" s="1"/>
  <c r="G392" i="3"/>
  <c r="H392" i="7" s="1"/>
  <c r="G393" i="3"/>
  <c r="H393" i="7" s="1"/>
  <c r="G394" i="3"/>
  <c r="H394" i="7" s="1"/>
  <c r="G395" i="3"/>
  <c r="H395" i="7" s="1"/>
  <c r="G396" i="3"/>
  <c r="H396" i="7" s="1"/>
  <c r="G397" i="3"/>
  <c r="H397" i="7" s="1"/>
  <c r="G398" i="3"/>
  <c r="H398" i="7" s="1"/>
  <c r="G399" i="3"/>
  <c r="H399" i="7" s="1"/>
  <c r="G400" i="3"/>
  <c r="H400" i="7" s="1"/>
  <c r="G401" i="3"/>
  <c r="H401" i="7" s="1"/>
  <c r="G402" i="3"/>
  <c r="H402" i="7" s="1"/>
  <c r="G403" i="3"/>
  <c r="H403" i="7" s="1"/>
  <c r="G404" i="3"/>
  <c r="H404" i="7" s="1"/>
  <c r="G405" i="3"/>
  <c r="H405" i="7" s="1"/>
  <c r="G406" i="3"/>
  <c r="H406" i="7" s="1"/>
  <c r="G407" i="3"/>
  <c r="H407" i="7" s="1"/>
  <c r="G408" i="3"/>
  <c r="H408" i="7" s="1"/>
  <c r="G409" i="3"/>
  <c r="H409" i="7" s="1"/>
  <c r="G410" i="3"/>
  <c r="H410" i="7" s="1"/>
  <c r="G411" i="3"/>
  <c r="H411" i="7" s="1"/>
  <c r="G412" i="3"/>
  <c r="H412" i="7" s="1"/>
  <c r="G413" i="3"/>
  <c r="H413" i="7" s="1"/>
  <c r="G414" i="3"/>
  <c r="H414" i="7" s="1"/>
  <c r="G415" i="3"/>
  <c r="H415" i="7" s="1"/>
  <c r="G416" i="3"/>
  <c r="H416" i="7" s="1"/>
  <c r="G417" i="3"/>
  <c r="H417" i="7" s="1"/>
  <c r="G418" i="3"/>
  <c r="H418" i="7" s="1"/>
  <c r="G419" i="3"/>
  <c r="H419" i="7" s="1"/>
  <c r="G420" i="3"/>
  <c r="H420" i="7" s="1"/>
  <c r="G421" i="3"/>
  <c r="H421" i="7" s="1"/>
  <c r="G422" i="3"/>
  <c r="H422" i="7" s="1"/>
  <c r="G423" i="3"/>
  <c r="H423" i="7" s="1"/>
  <c r="G424" i="3"/>
  <c r="H424" i="7" s="1"/>
  <c r="G425" i="3"/>
  <c r="H425" i="7" s="1"/>
  <c r="G426" i="3"/>
  <c r="H426" i="7" s="1"/>
  <c r="G427" i="3"/>
  <c r="H427" i="7" s="1"/>
  <c r="G428" i="3"/>
  <c r="H428" i="7" s="1"/>
  <c r="G429" i="3"/>
  <c r="H429" i="7" s="1"/>
  <c r="G430" i="3"/>
  <c r="H430" i="7" s="1"/>
  <c r="G431" i="3"/>
  <c r="H431" i="7" s="1"/>
  <c r="G432" i="3"/>
  <c r="H432" i="7" s="1"/>
  <c r="G433" i="3"/>
  <c r="H433" i="7" s="1"/>
  <c r="G434" i="3"/>
  <c r="H434" i="7" s="1"/>
  <c r="G435" i="3"/>
  <c r="H435" i="7" s="1"/>
  <c r="G436" i="3"/>
  <c r="H436" i="7" s="1"/>
  <c r="G437" i="3"/>
  <c r="H437" i="7" s="1"/>
  <c r="G438" i="3"/>
  <c r="H438" i="7" s="1"/>
  <c r="G439" i="3"/>
  <c r="H439" i="7" s="1"/>
  <c r="G440" i="3"/>
  <c r="H440" i="7" s="1"/>
  <c r="G441" i="3"/>
  <c r="H441" i="7" s="1"/>
  <c r="G442" i="3"/>
  <c r="H442" i="7" s="1"/>
  <c r="G443" i="3"/>
  <c r="H443" i="7" s="1"/>
  <c r="G444" i="3"/>
  <c r="H444" i="7" s="1"/>
  <c r="G445" i="3"/>
  <c r="H445" i="7" s="1"/>
  <c r="G446" i="3"/>
  <c r="H446" i="7" s="1"/>
  <c r="G447" i="3"/>
  <c r="H447" i="7" s="1"/>
  <c r="G448" i="3"/>
  <c r="H448" i="7" s="1"/>
  <c r="G449" i="3"/>
  <c r="H449" i="7" s="1"/>
  <c r="G450" i="3"/>
  <c r="H450" i="7" s="1"/>
  <c r="G451" i="3"/>
  <c r="H451" i="7" s="1"/>
  <c r="G452" i="3"/>
  <c r="H452" i="7" s="1"/>
  <c r="G453" i="3"/>
  <c r="H453" i="7" s="1"/>
  <c r="G454" i="3"/>
  <c r="H454" i="7" s="1"/>
  <c r="G455" i="3"/>
  <c r="H455" i="7" s="1"/>
  <c r="G456" i="3"/>
  <c r="H456" i="7" s="1"/>
  <c r="G457" i="3"/>
  <c r="H457" i="7" s="1"/>
  <c r="G458" i="3"/>
  <c r="H458" i="7" s="1"/>
  <c r="G459" i="3"/>
  <c r="H459" i="7" s="1"/>
  <c r="G460" i="3"/>
  <c r="H460" i="7" s="1"/>
  <c r="G461" i="3"/>
  <c r="H461" i="7" s="1"/>
  <c r="G462" i="3"/>
  <c r="H462" i="7" s="1"/>
  <c r="G463" i="3"/>
  <c r="H463" i="7" s="1"/>
  <c r="G464" i="3"/>
  <c r="H464" i="7" s="1"/>
  <c r="G465" i="3"/>
  <c r="H465" i="7" s="1"/>
  <c r="G466" i="3"/>
  <c r="H466" i="7" s="1"/>
  <c r="G467" i="3"/>
  <c r="H467" i="7" s="1"/>
  <c r="G468" i="3"/>
  <c r="H468" i="7" s="1"/>
  <c r="G469" i="3"/>
  <c r="H469" i="7" s="1"/>
  <c r="G470" i="3"/>
  <c r="H470" i="7" s="1"/>
  <c r="G471" i="3"/>
  <c r="H471" i="7" s="1"/>
  <c r="G472" i="3"/>
  <c r="H472" i="7" s="1"/>
  <c r="G473" i="3"/>
  <c r="H473" i="7" s="1"/>
  <c r="G474" i="3"/>
  <c r="H474" i="7" s="1"/>
  <c r="G475" i="3"/>
  <c r="H475" i="7" s="1"/>
  <c r="G476" i="3"/>
  <c r="H476" i="7" s="1"/>
  <c r="G477" i="3"/>
  <c r="H477" i="7" s="1"/>
  <c r="G478" i="3"/>
  <c r="H478" i="7" s="1"/>
  <c r="G479" i="3"/>
  <c r="H479" i="7" s="1"/>
  <c r="G480" i="3"/>
  <c r="H480" i="7" s="1"/>
  <c r="G481" i="3"/>
  <c r="H481" i="7" s="1"/>
  <c r="G482" i="3"/>
  <c r="H482" i="7" s="1"/>
  <c r="G483" i="3"/>
  <c r="H483" i="7" s="1"/>
  <c r="G484" i="3"/>
  <c r="H484" i="7" s="1"/>
  <c r="G485" i="3"/>
  <c r="H485" i="7" s="1"/>
  <c r="G486" i="3"/>
  <c r="H486" i="7" s="1"/>
  <c r="G487" i="3"/>
  <c r="H487" i="7" s="1"/>
  <c r="G488" i="3"/>
  <c r="H488" i="7" s="1"/>
  <c r="G489" i="3"/>
  <c r="H489" i="7" s="1"/>
  <c r="G490" i="3"/>
  <c r="H490" i="7" s="1"/>
  <c r="G491" i="3"/>
  <c r="H491" i="7" s="1"/>
  <c r="G492" i="3"/>
  <c r="H492" i="7" s="1"/>
  <c r="G493" i="3"/>
  <c r="H493" i="7" s="1"/>
  <c r="G494" i="3"/>
  <c r="H494" i="7" s="1"/>
  <c r="G495" i="3"/>
  <c r="H495" i="7" s="1"/>
  <c r="G496" i="3"/>
  <c r="H496" i="7" s="1"/>
  <c r="G497" i="3"/>
  <c r="H497" i="7" s="1"/>
  <c r="G498" i="3"/>
  <c r="H498" i="7" s="1"/>
  <c r="G499" i="3"/>
  <c r="H499" i="7" s="1"/>
  <c r="G500" i="3"/>
  <c r="H500" i="7" s="1"/>
  <c r="G501" i="3"/>
  <c r="H501" i="7" s="1"/>
  <c r="G502" i="3"/>
  <c r="H502" i="7" s="1"/>
  <c r="G503" i="3"/>
  <c r="H503" i="7" s="1"/>
  <c r="G504" i="3"/>
  <c r="H504" i="7" s="1"/>
  <c r="G505" i="3"/>
  <c r="H505" i="7" s="1"/>
  <c r="G506" i="3"/>
  <c r="H506" i="7" s="1"/>
  <c r="G507" i="3"/>
  <c r="H507" i="7" s="1"/>
  <c r="G508" i="3"/>
  <c r="H508" i="7" s="1"/>
  <c r="G509" i="3"/>
  <c r="H509" i="7" s="1"/>
  <c r="G510" i="3"/>
  <c r="H510" i="7" s="1"/>
  <c r="G511" i="3"/>
  <c r="H511" i="7" s="1"/>
  <c r="G512" i="3"/>
  <c r="H512" i="7" s="1"/>
  <c r="G513" i="3"/>
  <c r="H513" i="7" s="1"/>
  <c r="G514" i="3"/>
  <c r="H514" i="7" s="1"/>
  <c r="G515" i="3"/>
  <c r="H515" i="7" s="1"/>
  <c r="G516" i="3"/>
  <c r="H516" i="7" s="1"/>
  <c r="G517" i="3"/>
  <c r="H517" i="7" s="1"/>
  <c r="G518" i="3"/>
  <c r="H518" i="7" s="1"/>
  <c r="G519" i="3"/>
  <c r="H519" i="7" s="1"/>
  <c r="G520" i="3"/>
  <c r="H520" i="7" s="1"/>
  <c r="G521" i="3"/>
  <c r="H521" i="7" s="1"/>
  <c r="G522" i="3"/>
  <c r="H522" i="7" s="1"/>
  <c r="G523" i="3"/>
  <c r="H523" i="7" s="1"/>
  <c r="G524" i="3"/>
  <c r="H524" i="7" s="1"/>
  <c r="G525" i="3"/>
  <c r="H525" i="7" s="1"/>
  <c r="G526" i="3"/>
  <c r="H526" i="7" s="1"/>
  <c r="G527" i="3"/>
  <c r="H527" i="7" s="1"/>
  <c r="G528" i="3"/>
  <c r="H528" i="7" s="1"/>
  <c r="G529" i="3"/>
  <c r="H529" i="7" s="1"/>
  <c r="G530" i="3"/>
  <c r="H530" i="7" s="1"/>
  <c r="G531" i="3"/>
  <c r="H531" i="7" s="1"/>
  <c r="G532" i="3"/>
  <c r="H532" i="7" s="1"/>
  <c r="G533" i="3"/>
  <c r="H533" i="7" s="1"/>
  <c r="G534" i="3"/>
  <c r="H534" i="7" s="1"/>
  <c r="G535" i="3"/>
  <c r="H535" i="7" s="1"/>
  <c r="G536" i="3"/>
  <c r="H536" i="7" s="1"/>
  <c r="G537" i="3"/>
  <c r="H537" i="7" s="1"/>
  <c r="G538" i="3"/>
  <c r="H538" i="7" s="1"/>
  <c r="G539" i="3"/>
  <c r="H539" i="7" s="1"/>
  <c r="G540" i="3"/>
  <c r="H540" i="7" s="1"/>
  <c r="G541" i="3"/>
  <c r="H541" i="7" s="1"/>
  <c r="G542" i="3"/>
  <c r="H542" i="7" s="1"/>
  <c r="G543" i="3"/>
  <c r="H543" i="7" s="1"/>
  <c r="G544" i="3"/>
  <c r="H544" i="7" s="1"/>
  <c r="G545" i="3"/>
  <c r="H545" i="7" s="1"/>
  <c r="G546" i="3"/>
  <c r="H546" i="7" s="1"/>
  <c r="G547" i="3"/>
  <c r="H547" i="7" s="1"/>
  <c r="G548" i="3"/>
  <c r="H548" i="7" s="1"/>
  <c r="G549" i="3"/>
  <c r="H549" i="7" s="1"/>
  <c r="G550" i="3"/>
  <c r="H550" i="7" s="1"/>
  <c r="G551" i="3"/>
  <c r="H551" i="7" s="1"/>
  <c r="G552" i="3"/>
  <c r="H552" i="7" s="1"/>
  <c r="G553" i="3"/>
  <c r="H553" i="7" s="1"/>
  <c r="G554" i="3"/>
  <c r="H554" i="7" s="1"/>
  <c r="G555" i="3"/>
  <c r="H555" i="7" s="1"/>
  <c r="G556" i="3"/>
  <c r="H556" i="7" s="1"/>
  <c r="G557" i="3"/>
  <c r="H557" i="7" s="1"/>
  <c r="G558" i="3"/>
  <c r="H558" i="7" s="1"/>
  <c r="G559" i="3"/>
  <c r="H559" i="7" s="1"/>
  <c r="G560" i="3"/>
  <c r="H560" i="7" s="1"/>
  <c r="G561" i="3"/>
  <c r="H561" i="7" s="1"/>
  <c r="G562" i="3"/>
  <c r="H562" i="7" s="1"/>
  <c r="G563" i="3"/>
  <c r="H563" i="7" s="1"/>
  <c r="G564" i="3"/>
  <c r="H564" i="7" s="1"/>
  <c r="G565" i="3"/>
  <c r="H565" i="7" s="1"/>
  <c r="G566" i="3"/>
  <c r="H566" i="7" s="1"/>
  <c r="G567" i="3"/>
  <c r="H567" i="7" s="1"/>
  <c r="G568" i="3"/>
  <c r="H568" i="7" s="1"/>
  <c r="G569" i="3"/>
  <c r="H569" i="7" s="1"/>
  <c r="G570" i="3"/>
  <c r="H570" i="7" s="1"/>
  <c r="G571" i="3"/>
  <c r="H571" i="7" s="1"/>
  <c r="G572" i="3"/>
  <c r="H572" i="7" s="1"/>
  <c r="G573" i="3"/>
  <c r="H573" i="7" s="1"/>
  <c r="G574" i="3"/>
  <c r="H574" i="7" s="1"/>
  <c r="G575" i="3"/>
  <c r="H575" i="7" s="1"/>
  <c r="G576" i="3"/>
  <c r="H576" i="7" s="1"/>
  <c r="G577" i="3"/>
  <c r="H577" i="7" s="1"/>
  <c r="G578" i="3"/>
  <c r="H578" i="7" s="1"/>
  <c r="G579" i="3"/>
  <c r="H579" i="7" s="1"/>
  <c r="G580" i="3"/>
  <c r="H580" i="7" s="1"/>
  <c r="G581" i="3"/>
  <c r="H581" i="7" s="1"/>
  <c r="G582" i="3"/>
  <c r="H582" i="7" s="1"/>
  <c r="G583" i="3"/>
  <c r="H583" i="7" s="1"/>
  <c r="G584" i="3"/>
  <c r="H584" i="7" s="1"/>
  <c r="G585" i="3"/>
  <c r="H585" i="7" s="1"/>
  <c r="G586" i="3"/>
  <c r="H586" i="7" s="1"/>
  <c r="G587" i="3"/>
  <c r="H587" i="7" s="1"/>
  <c r="G588" i="3"/>
  <c r="H588" i="7" s="1"/>
  <c r="G589" i="3"/>
  <c r="H589" i="7" s="1"/>
  <c r="G590" i="3"/>
  <c r="H590" i="7" s="1"/>
  <c r="G591" i="3"/>
  <c r="H591" i="7" s="1"/>
  <c r="G592" i="3"/>
  <c r="H592" i="7" s="1"/>
  <c r="G593" i="3"/>
  <c r="H593" i="7" s="1"/>
  <c r="G594" i="3"/>
  <c r="H594" i="7" s="1"/>
  <c r="G595" i="3"/>
  <c r="H595" i="7" s="1"/>
  <c r="G596" i="3"/>
  <c r="H596" i="7" s="1"/>
  <c r="G597" i="3"/>
  <c r="H597" i="7" s="1"/>
  <c r="G598" i="3"/>
  <c r="H598" i="7" s="1"/>
  <c r="G599" i="3"/>
  <c r="H599" i="7" s="1"/>
  <c r="G600" i="3"/>
  <c r="H600" i="7" s="1"/>
  <c r="G601" i="3"/>
  <c r="H601" i="7" s="1"/>
  <c r="G602" i="3"/>
  <c r="H602" i="7" s="1"/>
  <c r="G603" i="3"/>
  <c r="H603" i="7" s="1"/>
  <c r="G604" i="3"/>
  <c r="H604" i="7" s="1"/>
  <c r="G605" i="3"/>
  <c r="H605" i="7" s="1"/>
  <c r="G606" i="3"/>
  <c r="H606" i="7" s="1"/>
  <c r="G607" i="3"/>
  <c r="H607" i="7" s="1"/>
  <c r="G608" i="3"/>
  <c r="H608" i="7" s="1"/>
  <c r="G609" i="3"/>
  <c r="H609" i="7" s="1"/>
  <c r="G610" i="3"/>
  <c r="H610" i="7" s="1"/>
  <c r="G611" i="3"/>
  <c r="H611" i="7" s="1"/>
  <c r="G612" i="3"/>
  <c r="H612" i="7" s="1"/>
  <c r="G613" i="3"/>
  <c r="H613" i="7" s="1"/>
  <c r="G614" i="3"/>
  <c r="H614" i="7" s="1"/>
  <c r="G615" i="3"/>
  <c r="H615" i="7" s="1"/>
  <c r="G616" i="3"/>
  <c r="H616" i="7" s="1"/>
  <c r="G617" i="3"/>
  <c r="H617" i="7" s="1"/>
  <c r="G618" i="3"/>
  <c r="H618" i="7" s="1"/>
  <c r="G619" i="3"/>
  <c r="H619" i="7" s="1"/>
  <c r="G620" i="3"/>
  <c r="H620" i="7" s="1"/>
  <c r="G621" i="3"/>
  <c r="H621" i="7" s="1"/>
  <c r="G622" i="3"/>
  <c r="H622" i="7" s="1"/>
  <c r="G623" i="3"/>
  <c r="H623" i="7" s="1"/>
  <c r="G624" i="3"/>
  <c r="H624" i="7" s="1"/>
  <c r="G625" i="3"/>
  <c r="H625" i="7" s="1"/>
  <c r="G626" i="3"/>
  <c r="H626" i="7" s="1"/>
  <c r="G627" i="3"/>
  <c r="H627" i="7" s="1"/>
  <c r="G628" i="3"/>
  <c r="H628" i="7" s="1"/>
  <c r="G629" i="3"/>
  <c r="H629" i="7" s="1"/>
  <c r="G630" i="3"/>
  <c r="H630" i="7" s="1"/>
  <c r="G631" i="3"/>
  <c r="H631" i="7" s="1"/>
  <c r="G632" i="3"/>
  <c r="H632" i="7" s="1"/>
  <c r="G633" i="3"/>
  <c r="H633" i="7" s="1"/>
  <c r="G634" i="3"/>
  <c r="H634" i="7" s="1"/>
  <c r="G635" i="3"/>
  <c r="H635" i="7" s="1"/>
  <c r="G636" i="3"/>
  <c r="H636" i="7" s="1"/>
  <c r="G637" i="3"/>
  <c r="H637" i="7" s="1"/>
  <c r="G638" i="3"/>
  <c r="H638" i="7" s="1"/>
  <c r="G639" i="3"/>
  <c r="H639" i="7" s="1"/>
  <c r="G640" i="3"/>
  <c r="H640" i="7" s="1"/>
  <c r="G641" i="3"/>
  <c r="H641" i="7" s="1"/>
  <c r="G642" i="3"/>
  <c r="H642" i="7" s="1"/>
  <c r="G643" i="3"/>
  <c r="H643" i="7" s="1"/>
  <c r="G644" i="3"/>
  <c r="H644" i="7" s="1"/>
  <c r="G645" i="3"/>
  <c r="H645" i="7" s="1"/>
  <c r="G646" i="3"/>
  <c r="H646" i="7" s="1"/>
  <c r="G647" i="3"/>
  <c r="H647" i="7" s="1"/>
  <c r="G648" i="3"/>
  <c r="H648" i="7" s="1"/>
  <c r="G649" i="3"/>
  <c r="H649" i="7" s="1"/>
  <c r="G650" i="3"/>
  <c r="H650" i="7" s="1"/>
  <c r="G651" i="3"/>
  <c r="H651" i="7" s="1"/>
  <c r="G652" i="3"/>
  <c r="H652" i="7" s="1"/>
  <c r="G653" i="3"/>
  <c r="H653" i="7" s="1"/>
  <c r="G654" i="3"/>
  <c r="H654" i="7" s="1"/>
  <c r="G655" i="3"/>
  <c r="H655" i="7" s="1"/>
  <c r="G656" i="3"/>
  <c r="H656" i="7" s="1"/>
  <c r="G657" i="3"/>
  <c r="H657" i="7" s="1"/>
  <c r="G658" i="3"/>
  <c r="H658" i="7" s="1"/>
  <c r="G659" i="3"/>
  <c r="H659" i="7" s="1"/>
  <c r="G660" i="3"/>
  <c r="H660" i="7" s="1"/>
  <c r="G661" i="3"/>
  <c r="H661" i="7" s="1"/>
  <c r="G662" i="3"/>
  <c r="H662" i="7" s="1"/>
  <c r="G663" i="3"/>
  <c r="H663" i="7" s="1"/>
  <c r="G664" i="3"/>
  <c r="H664" i="7" s="1"/>
  <c r="G665" i="3"/>
  <c r="H665" i="7" s="1"/>
  <c r="G666" i="3"/>
  <c r="H666" i="7" s="1"/>
  <c r="G667" i="3"/>
  <c r="H667" i="7" s="1"/>
  <c r="G668" i="3"/>
  <c r="H668" i="7" s="1"/>
  <c r="G669" i="3"/>
  <c r="H669" i="7" s="1"/>
  <c r="G670" i="3"/>
  <c r="H670" i="7" s="1"/>
  <c r="G671" i="3"/>
  <c r="H671" i="7" s="1"/>
  <c r="G672" i="3"/>
  <c r="H672" i="7" s="1"/>
  <c r="G673" i="3"/>
  <c r="H673" i="7" s="1"/>
  <c r="G674" i="3"/>
  <c r="H674" i="7" s="1"/>
  <c r="G675" i="3"/>
  <c r="H675" i="7" s="1"/>
  <c r="G676" i="3"/>
  <c r="H676" i="7" s="1"/>
  <c r="G677" i="3"/>
  <c r="H677" i="7" s="1"/>
  <c r="G678" i="3"/>
  <c r="H678" i="7" s="1"/>
  <c r="G679" i="3"/>
  <c r="H679" i="7" s="1"/>
  <c r="G680" i="3"/>
  <c r="H680" i="7" s="1"/>
  <c r="G681" i="3"/>
  <c r="H681" i="7" s="1"/>
  <c r="G682" i="3"/>
  <c r="H682" i="7" s="1"/>
  <c r="G683" i="3"/>
  <c r="H683" i="7" s="1"/>
  <c r="G684" i="3"/>
  <c r="H684" i="7" s="1"/>
  <c r="G685" i="3"/>
  <c r="H685" i="7" s="1"/>
  <c r="G686" i="3"/>
  <c r="H686" i="7" s="1"/>
  <c r="G687" i="3"/>
  <c r="H687" i="7" s="1"/>
  <c r="G688" i="3"/>
  <c r="H688" i="7" s="1"/>
  <c r="G689" i="3"/>
  <c r="H689" i="7" s="1"/>
  <c r="G690" i="3"/>
  <c r="H690" i="7" s="1"/>
  <c r="G691" i="3"/>
  <c r="H691" i="7" s="1"/>
  <c r="G692" i="3"/>
  <c r="H692" i="7" s="1"/>
  <c r="G693" i="3"/>
  <c r="H693" i="7" s="1"/>
  <c r="G694" i="3"/>
  <c r="H694" i="7" s="1"/>
  <c r="G695" i="3"/>
  <c r="H695" i="7" s="1"/>
  <c r="G696" i="3"/>
  <c r="H696" i="7" s="1"/>
  <c r="G697" i="3"/>
  <c r="H697" i="7" s="1"/>
  <c r="G698" i="3"/>
  <c r="H698" i="7" s="1"/>
  <c r="G699" i="3"/>
  <c r="H699" i="7" s="1"/>
  <c r="G700" i="3"/>
  <c r="H700" i="7" s="1"/>
  <c r="G701" i="3"/>
  <c r="H701" i="7" s="1"/>
  <c r="G702" i="3"/>
  <c r="H702" i="7" s="1"/>
  <c r="G703" i="3"/>
  <c r="H703" i="7" s="1"/>
  <c r="G704" i="3"/>
  <c r="H704" i="7" s="1"/>
  <c r="G705" i="3"/>
  <c r="H705" i="7" s="1"/>
  <c r="G706" i="3"/>
  <c r="H706" i="7" s="1"/>
  <c r="G707" i="3"/>
  <c r="H707" i="7" s="1"/>
  <c r="G708" i="3"/>
  <c r="H708" i="7" s="1"/>
  <c r="G709" i="3"/>
  <c r="H709" i="7" s="1"/>
  <c r="G710" i="3"/>
  <c r="H710" i="7" s="1"/>
  <c r="G711" i="3"/>
  <c r="H711" i="7" s="1"/>
  <c r="G712" i="3"/>
  <c r="H712" i="7" s="1"/>
  <c r="G713" i="3"/>
  <c r="H713" i="7" s="1"/>
  <c r="G714" i="3"/>
  <c r="H714" i="7" s="1"/>
  <c r="G715" i="3"/>
  <c r="H715" i="7" s="1"/>
  <c r="G716" i="3"/>
  <c r="H716" i="7" s="1"/>
  <c r="G717" i="3"/>
  <c r="H717" i="7" s="1"/>
  <c r="G718" i="3"/>
  <c r="H718" i="7" s="1"/>
  <c r="G719" i="3"/>
  <c r="H719" i="7" s="1"/>
  <c r="G720" i="3"/>
  <c r="H720" i="7" s="1"/>
  <c r="G721" i="3"/>
  <c r="H721" i="7" s="1"/>
  <c r="G722" i="3"/>
  <c r="H722" i="7" s="1"/>
  <c r="G723" i="3"/>
  <c r="H723" i="7" s="1"/>
  <c r="G724" i="3"/>
  <c r="H724" i="7" s="1"/>
  <c r="G725" i="3"/>
  <c r="H725" i="7" s="1"/>
  <c r="G726" i="3"/>
  <c r="H726" i="7" s="1"/>
  <c r="G727" i="3"/>
  <c r="H727" i="7" s="1"/>
  <c r="G728" i="3"/>
  <c r="H728" i="7" s="1"/>
  <c r="G729" i="3"/>
  <c r="H729" i="7" s="1"/>
  <c r="G730" i="3"/>
  <c r="H730" i="7" s="1"/>
  <c r="G731" i="3"/>
  <c r="H731" i="7" s="1"/>
  <c r="G732" i="3"/>
  <c r="H732" i="7" s="1"/>
  <c r="G733" i="3"/>
  <c r="H733" i="7" s="1"/>
  <c r="G734" i="3"/>
  <c r="H734" i="7" s="1"/>
  <c r="G735" i="3"/>
  <c r="H735" i="7" s="1"/>
  <c r="G736" i="3"/>
  <c r="H736" i="7" s="1"/>
  <c r="G737" i="3"/>
  <c r="H737" i="7" s="1"/>
  <c r="G738" i="3"/>
  <c r="H738" i="7" s="1"/>
  <c r="G739" i="3"/>
  <c r="H739" i="7" s="1"/>
  <c r="G740" i="3"/>
  <c r="H740" i="7" s="1"/>
  <c r="G741" i="3"/>
  <c r="H741" i="7" s="1"/>
  <c r="G742" i="3"/>
  <c r="H742" i="7" s="1"/>
  <c r="G743" i="3"/>
  <c r="H743" i="7" s="1"/>
  <c r="G744" i="3"/>
  <c r="H744" i="7" s="1"/>
  <c r="G745" i="3"/>
  <c r="H745" i="7" s="1"/>
  <c r="G746" i="3"/>
  <c r="H746" i="7" s="1"/>
  <c r="G747" i="3"/>
  <c r="H747" i="7" s="1"/>
  <c r="G748" i="3"/>
  <c r="H748" i="7" s="1"/>
  <c r="G749" i="3"/>
  <c r="H749" i="7" s="1"/>
  <c r="G750" i="3"/>
  <c r="H750" i="7" s="1"/>
  <c r="G751" i="3"/>
  <c r="H751" i="7" s="1"/>
  <c r="G752" i="3"/>
  <c r="H752" i="7" s="1"/>
  <c r="G753" i="3"/>
  <c r="H753" i="7" s="1"/>
  <c r="G754" i="3"/>
  <c r="H754" i="7" s="1"/>
  <c r="G755" i="3"/>
  <c r="H755" i="7" s="1"/>
  <c r="G756" i="3"/>
  <c r="H756" i="7" s="1"/>
  <c r="G757" i="3"/>
  <c r="H757" i="7" s="1"/>
  <c r="G758" i="3"/>
  <c r="H758" i="7" s="1"/>
  <c r="G759" i="3"/>
  <c r="H759" i="7" s="1"/>
  <c r="G760" i="3"/>
  <c r="H760" i="7" s="1"/>
  <c r="G761" i="3"/>
  <c r="H761" i="7" s="1"/>
  <c r="G762" i="3"/>
  <c r="H762" i="7" s="1"/>
  <c r="G763" i="3"/>
  <c r="H763" i="7" s="1"/>
  <c r="G764" i="3"/>
  <c r="H764" i="7" s="1"/>
  <c r="G765" i="3"/>
  <c r="H765" i="7" s="1"/>
  <c r="G766" i="3"/>
  <c r="H766" i="7" s="1"/>
  <c r="G767" i="3"/>
  <c r="H767" i="7" s="1"/>
  <c r="G768" i="3"/>
  <c r="H768" i="7" s="1"/>
  <c r="G769" i="3"/>
  <c r="H769" i="7" s="1"/>
  <c r="G770" i="3"/>
  <c r="H770" i="7" s="1"/>
  <c r="G771" i="3"/>
  <c r="H771" i="7" s="1"/>
  <c r="G772" i="3"/>
  <c r="H772" i="7" s="1"/>
  <c r="G773" i="3"/>
  <c r="H773" i="7" s="1"/>
  <c r="G774" i="3"/>
  <c r="H774" i="7" s="1"/>
  <c r="G775" i="3"/>
  <c r="H775" i="7" s="1"/>
  <c r="G776" i="3"/>
  <c r="H776" i="7" s="1"/>
  <c r="G777" i="3"/>
  <c r="H777" i="7" s="1"/>
  <c r="G778" i="3"/>
  <c r="H778" i="7" s="1"/>
  <c r="G779" i="3"/>
  <c r="H779" i="7" s="1"/>
  <c r="G780" i="3"/>
  <c r="H780" i="7" s="1"/>
  <c r="G781" i="3"/>
  <c r="H781" i="7" s="1"/>
  <c r="G782" i="3"/>
  <c r="H782" i="7" s="1"/>
  <c r="G783" i="3"/>
  <c r="H783" i="7" s="1"/>
  <c r="G784" i="3"/>
  <c r="H784" i="7" s="1"/>
  <c r="G785" i="3"/>
  <c r="H785" i="7" s="1"/>
  <c r="G786" i="3"/>
  <c r="H786" i="7" s="1"/>
  <c r="G787" i="3"/>
  <c r="H787" i="7" s="1"/>
  <c r="G788" i="3"/>
  <c r="H788" i="7" s="1"/>
  <c r="G789" i="3"/>
  <c r="H789" i="7" s="1"/>
  <c r="G790" i="3"/>
  <c r="H790" i="7" s="1"/>
  <c r="G791" i="3"/>
  <c r="H791" i="7" s="1"/>
  <c r="G792" i="3"/>
  <c r="H792" i="7" s="1"/>
  <c r="G793" i="3"/>
  <c r="H793" i="7" s="1"/>
  <c r="G794" i="3"/>
  <c r="H794" i="7" s="1"/>
  <c r="G795" i="3"/>
  <c r="H795" i="7" s="1"/>
  <c r="G796" i="3"/>
  <c r="H796" i="7" s="1"/>
  <c r="G797" i="3"/>
  <c r="H797" i="7" s="1"/>
  <c r="G798" i="3"/>
  <c r="H798" i="7" s="1"/>
  <c r="G799" i="3"/>
  <c r="H799" i="7" s="1"/>
  <c r="G800" i="3"/>
  <c r="H800" i="7" s="1"/>
  <c r="G801" i="3"/>
  <c r="H801" i="7" s="1"/>
  <c r="G802" i="3"/>
  <c r="H802" i="7" s="1"/>
  <c r="G803" i="3"/>
  <c r="H803" i="7" s="1"/>
  <c r="G804" i="3"/>
  <c r="H804" i="7" s="1"/>
  <c r="G805" i="3"/>
  <c r="H805" i="7" s="1"/>
  <c r="G806" i="3"/>
  <c r="H806" i="7" s="1"/>
  <c r="G807" i="3"/>
  <c r="H807" i="7" s="1"/>
  <c r="G808" i="3"/>
  <c r="H808" i="7" s="1"/>
  <c r="G809" i="3"/>
  <c r="H809" i="7" s="1"/>
  <c r="G810" i="3"/>
  <c r="H810" i="7" s="1"/>
  <c r="G811" i="3"/>
  <c r="H811" i="7" s="1"/>
  <c r="G812" i="3"/>
  <c r="H812" i="7" s="1"/>
  <c r="G813" i="3"/>
  <c r="H813" i="7" s="1"/>
  <c r="G814" i="3"/>
  <c r="H814" i="7" s="1"/>
  <c r="G815" i="3"/>
  <c r="H815" i="7" s="1"/>
  <c r="G816" i="3"/>
  <c r="H816" i="7" s="1"/>
  <c r="G817" i="3"/>
  <c r="H817" i="7" s="1"/>
  <c r="G818" i="3"/>
  <c r="H818" i="7" s="1"/>
  <c r="G819" i="3"/>
  <c r="H819" i="7" s="1"/>
  <c r="G820" i="3"/>
  <c r="H820" i="7" s="1"/>
  <c r="G821" i="3"/>
  <c r="H821" i="7" s="1"/>
  <c r="G822" i="3"/>
  <c r="H822" i="7" s="1"/>
  <c r="G823" i="3"/>
  <c r="H823" i="7" s="1"/>
  <c r="G824" i="3"/>
  <c r="H824" i="7" s="1"/>
  <c r="G825" i="3"/>
  <c r="H825" i="7" s="1"/>
  <c r="G826" i="3"/>
  <c r="H826" i="7" s="1"/>
  <c r="G827" i="3"/>
  <c r="H827" i="7" s="1"/>
  <c r="G828" i="3"/>
  <c r="H828" i="7" s="1"/>
  <c r="G829" i="3"/>
  <c r="H829" i="7" s="1"/>
  <c r="G830" i="3"/>
  <c r="H830" i="7" s="1"/>
  <c r="G831" i="3"/>
  <c r="H831" i="7" s="1"/>
  <c r="G832" i="3"/>
  <c r="H832" i="7" s="1"/>
  <c r="G833" i="3"/>
  <c r="H833" i="7" s="1"/>
  <c r="G834" i="3"/>
  <c r="H834" i="7" s="1"/>
  <c r="G835" i="3"/>
  <c r="H835" i="7" s="1"/>
  <c r="G836" i="3"/>
  <c r="H836" i="7" s="1"/>
  <c r="G837" i="3"/>
  <c r="H837" i="7" s="1"/>
  <c r="G838" i="3"/>
  <c r="H838" i="7" s="1"/>
  <c r="G839" i="3"/>
  <c r="H839" i="7" s="1"/>
  <c r="G840" i="3"/>
  <c r="H840" i="7" s="1"/>
  <c r="G841" i="3"/>
  <c r="H841" i="7" s="1"/>
  <c r="G842" i="3"/>
  <c r="H842" i="7" s="1"/>
  <c r="G843" i="3"/>
  <c r="H843" i="7" s="1"/>
  <c r="G844" i="3"/>
  <c r="H844" i="7" s="1"/>
  <c r="G845" i="3"/>
  <c r="H845" i="7" s="1"/>
  <c r="G846" i="3"/>
  <c r="H846" i="7" s="1"/>
  <c r="G847" i="3"/>
  <c r="H847" i="7" s="1"/>
  <c r="G848" i="3"/>
  <c r="H848" i="7" s="1"/>
  <c r="G849" i="3"/>
  <c r="H849" i="7" s="1"/>
  <c r="G850" i="3"/>
  <c r="H850" i="7" s="1"/>
  <c r="G851" i="3"/>
  <c r="H851" i="7" s="1"/>
  <c r="G852" i="3"/>
  <c r="H852" i="7" s="1"/>
  <c r="G853" i="3"/>
  <c r="H853" i="7" s="1"/>
  <c r="G854" i="3"/>
  <c r="H854" i="7" s="1"/>
  <c r="G855" i="3"/>
  <c r="H855" i="7" s="1"/>
  <c r="G856" i="3"/>
  <c r="H856" i="7" s="1"/>
  <c r="G857" i="3"/>
  <c r="H857" i="7" s="1"/>
  <c r="G858" i="3"/>
  <c r="H858" i="7" s="1"/>
  <c r="G859" i="3"/>
  <c r="H859" i="7" s="1"/>
  <c r="G860" i="3"/>
  <c r="H860" i="7" s="1"/>
  <c r="G861" i="3"/>
  <c r="H861" i="7" s="1"/>
  <c r="G862" i="3"/>
  <c r="H862" i="7" s="1"/>
  <c r="G863" i="3"/>
  <c r="H863" i="7" s="1"/>
  <c r="G864" i="3"/>
  <c r="H864" i="7" s="1"/>
  <c r="G865" i="3"/>
  <c r="H865" i="7" s="1"/>
  <c r="G866" i="3"/>
  <c r="H866" i="7" s="1"/>
  <c r="G867" i="3"/>
  <c r="H867" i="7" s="1"/>
  <c r="G868" i="3"/>
  <c r="H868" i="7" s="1"/>
  <c r="G869" i="3"/>
  <c r="H869" i="7" s="1"/>
  <c r="G870" i="3"/>
  <c r="H870" i="7" s="1"/>
  <c r="G871" i="3"/>
  <c r="H871" i="7" s="1"/>
  <c r="G872" i="3"/>
  <c r="H872" i="7" s="1"/>
  <c r="G873" i="3"/>
  <c r="H873" i="7" s="1"/>
  <c r="G874" i="3"/>
  <c r="H874" i="7" s="1"/>
  <c r="G875" i="3"/>
  <c r="H875" i="7" s="1"/>
  <c r="G876" i="3"/>
  <c r="H876" i="7" s="1"/>
  <c r="G877" i="3"/>
  <c r="H877" i="7" s="1"/>
  <c r="G878" i="3"/>
  <c r="H878" i="7" s="1"/>
  <c r="G879" i="3"/>
  <c r="H879" i="7" s="1"/>
  <c r="G880" i="3"/>
  <c r="H880" i="7" s="1"/>
  <c r="G881" i="3"/>
  <c r="H881" i="7" s="1"/>
  <c r="G882" i="3"/>
  <c r="H882" i="7" s="1"/>
  <c r="G883" i="3"/>
  <c r="H883" i="7" s="1"/>
  <c r="G884" i="3"/>
  <c r="H884" i="7" s="1"/>
  <c r="G885" i="3"/>
  <c r="H885" i="7" s="1"/>
  <c r="G886" i="3"/>
  <c r="H886" i="7" s="1"/>
  <c r="G887" i="3"/>
  <c r="H887" i="7" s="1"/>
  <c r="G888" i="3"/>
  <c r="H888" i="7" s="1"/>
  <c r="G889" i="3"/>
  <c r="H889" i="7" s="1"/>
  <c r="G890" i="3"/>
  <c r="H890" i="7" s="1"/>
  <c r="G891" i="3"/>
  <c r="H891" i="7" s="1"/>
  <c r="G892" i="3"/>
  <c r="H892" i="7" s="1"/>
  <c r="G893" i="3"/>
  <c r="H893" i="7" s="1"/>
  <c r="G894" i="3"/>
  <c r="H894" i="7" s="1"/>
  <c r="G895" i="3"/>
  <c r="H895" i="7" s="1"/>
  <c r="G896" i="3"/>
  <c r="H896" i="7" s="1"/>
  <c r="G897" i="3"/>
  <c r="H897" i="7" s="1"/>
  <c r="G898" i="3"/>
  <c r="H898" i="7" s="1"/>
  <c r="G899" i="3"/>
  <c r="H899" i="7" s="1"/>
  <c r="G900" i="3"/>
  <c r="H900" i="7" s="1"/>
  <c r="G901" i="3"/>
  <c r="H901" i="7" s="1"/>
  <c r="G902" i="3"/>
  <c r="H902" i="7" s="1"/>
  <c r="G903" i="3"/>
  <c r="H903" i="7" s="1"/>
  <c r="G904" i="3"/>
  <c r="H904" i="7" s="1"/>
  <c r="G905" i="3"/>
  <c r="H905" i="7" s="1"/>
  <c r="G906" i="3"/>
  <c r="H906" i="7" s="1"/>
  <c r="G907" i="3"/>
  <c r="H907" i="7" s="1"/>
  <c r="G908" i="3"/>
  <c r="H908" i="7" s="1"/>
  <c r="G909" i="3"/>
  <c r="H909" i="7" s="1"/>
  <c r="G910" i="3"/>
  <c r="H910" i="7" s="1"/>
  <c r="G911" i="3"/>
  <c r="H911" i="7" s="1"/>
  <c r="G912" i="3"/>
  <c r="H912" i="7" s="1"/>
  <c r="G913" i="3"/>
  <c r="H913" i="7" s="1"/>
  <c r="G914" i="3"/>
  <c r="H914" i="7" s="1"/>
  <c r="G915" i="3"/>
  <c r="H915" i="7" s="1"/>
  <c r="G916" i="3"/>
  <c r="H916" i="7" s="1"/>
  <c r="G917" i="3"/>
  <c r="H917" i="7" s="1"/>
  <c r="G918" i="3"/>
  <c r="H918" i="7" s="1"/>
  <c r="G919" i="3"/>
  <c r="H919" i="7" s="1"/>
  <c r="G920" i="3"/>
  <c r="H920" i="7" s="1"/>
  <c r="G921" i="3"/>
  <c r="H921" i="7" s="1"/>
  <c r="G922" i="3"/>
  <c r="H922" i="7" s="1"/>
  <c r="G923" i="3"/>
  <c r="H923" i="7" s="1"/>
  <c r="G924" i="3"/>
  <c r="H924" i="7" s="1"/>
  <c r="G925" i="3"/>
  <c r="H925" i="7" s="1"/>
  <c r="G926" i="3"/>
  <c r="H926" i="7" s="1"/>
  <c r="G927" i="3"/>
  <c r="H927" i="7" s="1"/>
  <c r="G928" i="3"/>
  <c r="H928" i="7" s="1"/>
  <c r="G929" i="3"/>
  <c r="H929" i="7" s="1"/>
  <c r="G930" i="3"/>
  <c r="H930" i="7" s="1"/>
  <c r="G931" i="3"/>
  <c r="H931" i="7" s="1"/>
  <c r="G932" i="3"/>
  <c r="H932" i="7" s="1"/>
  <c r="G933" i="3"/>
  <c r="H933" i="7" s="1"/>
  <c r="G934" i="3"/>
  <c r="H934" i="7" s="1"/>
  <c r="G935" i="3"/>
  <c r="H935" i="7" s="1"/>
  <c r="G936" i="3"/>
  <c r="H936" i="7" s="1"/>
  <c r="G937" i="3"/>
  <c r="H937" i="7" s="1"/>
  <c r="G938" i="3"/>
  <c r="H938" i="7" s="1"/>
  <c r="G939" i="3"/>
  <c r="H939" i="7" s="1"/>
  <c r="G940" i="3"/>
  <c r="H940" i="7" s="1"/>
  <c r="G941" i="3"/>
  <c r="H941" i="7" s="1"/>
  <c r="G942" i="3"/>
  <c r="H942" i="7" s="1"/>
  <c r="G943" i="3"/>
  <c r="H943" i="7" s="1"/>
  <c r="G944" i="3"/>
  <c r="H944" i="7" s="1"/>
  <c r="G945" i="3"/>
  <c r="H945" i="7" s="1"/>
  <c r="G946" i="3"/>
  <c r="H946" i="7" s="1"/>
  <c r="G947" i="3"/>
  <c r="H947" i="7" s="1"/>
  <c r="G948" i="3"/>
  <c r="H948" i="7" s="1"/>
  <c r="G949" i="3"/>
  <c r="H949" i="7" s="1"/>
  <c r="G950" i="3"/>
  <c r="H950" i="7" s="1"/>
  <c r="G951" i="3"/>
  <c r="H951" i="7" s="1"/>
  <c r="G952" i="3"/>
  <c r="H952" i="7" s="1"/>
  <c r="G953" i="3"/>
  <c r="H953" i="7" s="1"/>
  <c r="G954" i="3"/>
  <c r="H954" i="7" s="1"/>
  <c r="G955" i="3"/>
  <c r="H955" i="7" s="1"/>
  <c r="G956" i="3"/>
  <c r="H956" i="7" s="1"/>
  <c r="G957" i="3"/>
  <c r="H957" i="7" s="1"/>
  <c r="G958" i="3"/>
  <c r="H958" i="7" s="1"/>
  <c r="G959" i="3"/>
  <c r="H959" i="7" s="1"/>
  <c r="G960" i="3"/>
  <c r="H960" i="7" s="1"/>
  <c r="G961" i="3"/>
  <c r="H961" i="7" s="1"/>
  <c r="G962" i="3"/>
  <c r="H962" i="7" s="1"/>
  <c r="G963" i="3"/>
  <c r="H963" i="7" s="1"/>
  <c r="G964" i="3"/>
  <c r="H964" i="7" s="1"/>
  <c r="G965" i="3"/>
  <c r="H965" i="7" s="1"/>
  <c r="G966" i="3"/>
  <c r="H966" i="7" s="1"/>
  <c r="G967" i="3"/>
  <c r="H967" i="7" s="1"/>
  <c r="G968" i="3"/>
  <c r="H968" i="7" s="1"/>
  <c r="G969" i="3"/>
  <c r="H969" i="7" s="1"/>
  <c r="G970" i="3"/>
  <c r="H970" i="7" s="1"/>
  <c r="G971" i="3"/>
  <c r="H971" i="7" s="1"/>
  <c r="G972" i="3"/>
  <c r="H972" i="7" s="1"/>
  <c r="G973" i="3"/>
  <c r="H973" i="7" s="1"/>
  <c r="G974" i="3"/>
  <c r="H974" i="7" s="1"/>
  <c r="G975" i="3"/>
  <c r="H975" i="7" s="1"/>
  <c r="G976" i="3"/>
  <c r="H976" i="7" s="1"/>
  <c r="G977" i="3"/>
  <c r="H977" i="7" s="1"/>
  <c r="G978" i="3"/>
  <c r="H978" i="7" s="1"/>
  <c r="G979" i="3"/>
  <c r="H979" i="7" s="1"/>
  <c r="G980" i="3"/>
  <c r="H980" i="7" s="1"/>
  <c r="G981" i="3"/>
  <c r="H981" i="7" s="1"/>
  <c r="G982" i="3"/>
  <c r="H982" i="7" s="1"/>
  <c r="G983" i="3"/>
  <c r="H983" i="7" s="1"/>
  <c r="G984" i="3"/>
  <c r="H984" i="7" s="1"/>
  <c r="G985" i="3"/>
  <c r="H985" i="7" s="1"/>
  <c r="G986" i="3"/>
  <c r="H986" i="7" s="1"/>
  <c r="G987" i="3"/>
  <c r="H987" i="7" s="1"/>
  <c r="G988" i="3"/>
  <c r="H988" i="7" s="1"/>
  <c r="G989" i="3"/>
  <c r="H989" i="7" s="1"/>
  <c r="G990" i="3"/>
  <c r="H990" i="7" s="1"/>
  <c r="G991" i="3"/>
  <c r="H991" i="7" s="1"/>
  <c r="G992" i="3"/>
  <c r="H992" i="7" s="1"/>
  <c r="G993" i="3"/>
  <c r="H993" i="7" s="1"/>
  <c r="G994" i="3"/>
  <c r="H994" i="7" s="1"/>
  <c r="G995" i="3"/>
  <c r="H995" i="7" s="1"/>
  <c r="G996" i="3"/>
  <c r="H996" i="7" s="1"/>
  <c r="G997" i="3"/>
  <c r="H997" i="7" s="1"/>
  <c r="G998" i="3"/>
  <c r="H998" i="7" s="1"/>
  <c r="H999" i="7"/>
  <c r="H1000" i="7"/>
  <c r="B199" i="3"/>
  <c r="B208" i="3"/>
  <c r="B209" i="3"/>
  <c r="B210" i="3"/>
  <c r="B220" i="3"/>
  <c r="B223" i="3"/>
  <c r="B224" i="3"/>
  <c r="B225" i="3"/>
  <c r="B232" i="3"/>
  <c r="B233" i="3"/>
  <c r="B234" i="3"/>
  <c r="B235" i="3"/>
  <c r="B236" i="3"/>
  <c r="B237" i="3"/>
  <c r="B256" i="3"/>
  <c r="B257" i="3"/>
  <c r="B272" i="3"/>
  <c r="B281" i="3"/>
  <c r="B282" i="3"/>
  <c r="B284" i="3"/>
  <c r="B290" i="3"/>
  <c r="B292" i="3"/>
  <c r="B316" i="3"/>
  <c r="B317" i="3"/>
  <c r="B319" i="3"/>
  <c r="B320" i="3"/>
  <c r="B332" i="3"/>
  <c r="B333" i="3"/>
  <c r="B340" i="3"/>
  <c r="B341" i="3"/>
  <c r="B342" i="3"/>
  <c r="B344" i="3"/>
  <c r="B365" i="3"/>
  <c r="B366" i="3"/>
  <c r="B368" i="3"/>
  <c r="B369" i="3"/>
  <c r="B370" i="3"/>
  <c r="B376" i="3"/>
  <c r="B393" i="3"/>
  <c r="B400" i="3"/>
  <c r="B401" i="3"/>
  <c r="B402" i="3"/>
  <c r="B403" i="3"/>
  <c r="B425" i="3"/>
  <c r="B436" i="3"/>
  <c r="B437" i="3"/>
  <c r="B438" i="3"/>
  <c r="B440" i="3"/>
  <c r="B441" i="3"/>
  <c r="B442" i="3"/>
  <c r="B444" i="3"/>
  <c r="B452" i="3"/>
  <c r="B458" i="3"/>
  <c r="B460" i="3"/>
  <c r="B461" i="3"/>
  <c r="B466" i="3"/>
  <c r="B476" i="3"/>
  <c r="B477" i="3"/>
  <c r="B478" i="3"/>
  <c r="B484" i="3"/>
  <c r="B485" i="3"/>
  <c r="B488" i="3"/>
  <c r="B508" i="3"/>
  <c r="B509" i="3"/>
  <c r="B510" i="3"/>
  <c r="B523" i="3"/>
  <c r="B524" i="3"/>
  <c r="B525" i="3"/>
  <c r="B533" i="3"/>
  <c r="B544" i="3"/>
  <c r="B548" i="3"/>
  <c r="B549" i="3"/>
  <c r="B554" i="3"/>
  <c r="B557" i="3"/>
  <c r="B558" i="3"/>
  <c r="B568" i="3"/>
  <c r="B569" i="3"/>
  <c r="B592" i="3"/>
  <c r="B593" i="3"/>
  <c r="B594" i="3"/>
  <c r="B596" i="3"/>
  <c r="B608" i="3"/>
  <c r="B609" i="3"/>
  <c r="B617" i="3"/>
  <c r="B618" i="3"/>
  <c r="B620" i="3"/>
  <c r="B627" i="3"/>
  <c r="B631" i="3"/>
  <c r="B632" i="3"/>
  <c r="B641" i="3"/>
  <c r="B642" i="3"/>
  <c r="B644" i="3"/>
  <c r="B653" i="3"/>
  <c r="B668" i="3"/>
  <c r="B669" i="3"/>
  <c r="B676" i="3"/>
  <c r="B677" i="3"/>
  <c r="B678" i="3"/>
  <c r="B680" i="3"/>
  <c r="B692" i="3"/>
  <c r="B699" i="3"/>
  <c r="B701" i="3"/>
  <c r="B712" i="3"/>
  <c r="B716" i="3"/>
  <c r="B717" i="3"/>
  <c r="B726" i="3"/>
  <c r="B736" i="3"/>
  <c r="B737" i="3"/>
  <c r="B752" i="3"/>
  <c r="B759" i="3"/>
  <c r="B760" i="3"/>
  <c r="B761" i="3"/>
  <c r="B762" i="3"/>
  <c r="B764" i="3"/>
  <c r="B775" i="3"/>
  <c r="B785" i="3"/>
  <c r="B786" i="3"/>
  <c r="B788" i="3"/>
  <c r="B796" i="3"/>
  <c r="B799" i="3"/>
  <c r="B800" i="3"/>
  <c r="B802" i="3"/>
  <c r="B809" i="3"/>
  <c r="B810" i="3"/>
  <c r="B820" i="3"/>
  <c r="B821" i="3"/>
  <c r="B822" i="3"/>
  <c r="B843" i="3"/>
  <c r="B844" i="3"/>
  <c r="B845" i="3"/>
  <c r="B846" i="3"/>
  <c r="B848" i="3"/>
  <c r="B850" i="3"/>
  <c r="B868" i="3"/>
  <c r="B869" i="3"/>
  <c r="B870" i="3"/>
  <c r="B872" i="3"/>
  <c r="B892" i="3"/>
  <c r="B893" i="3"/>
  <c r="B903" i="3"/>
  <c r="B917" i="3"/>
  <c r="B918" i="3"/>
  <c r="B920" i="3"/>
  <c r="B928" i="3"/>
  <c r="B929" i="3"/>
  <c r="B930" i="3"/>
  <c r="B952" i="3"/>
  <c r="B953" i="3"/>
  <c r="B954" i="3"/>
  <c r="B956" i="3"/>
  <c r="B957" i="3"/>
  <c r="B958" i="3"/>
  <c r="B960" i="3"/>
  <c r="B976" i="3"/>
  <c r="B977" i="3"/>
  <c r="B978" i="3"/>
  <c r="B991" i="3"/>
  <c r="B992" i="3"/>
  <c r="B993" i="3"/>
  <c r="B994" i="3"/>
  <c r="A998" i="3" a="1"/>
  <c r="A998" i="3" s="1"/>
  <c r="A997" i="3" a="1"/>
  <c r="A997" i="3" s="1"/>
  <c r="A996" i="3" a="1"/>
  <c r="A996" i="3" s="1"/>
  <c r="A995" i="3" a="1"/>
  <c r="A995" i="3" s="1"/>
  <c r="A994" i="3" a="1"/>
  <c r="A994" i="3" s="1"/>
  <c r="A993" i="3" a="1"/>
  <c r="A993" i="3" s="1"/>
  <c r="A992" i="3" a="1"/>
  <c r="A992" i="3" s="1"/>
  <c r="A991" i="3" a="1"/>
  <c r="A991" i="3" s="1"/>
  <c r="A990" i="3" a="1"/>
  <c r="A990" i="3" s="1"/>
  <c r="A989" i="3" a="1"/>
  <c r="A989" i="3" s="1"/>
  <c r="A988" i="3" a="1"/>
  <c r="A988" i="3" s="1"/>
  <c r="A987" i="3" a="1"/>
  <c r="A987" i="3" s="1"/>
  <c r="A986" i="3" a="1"/>
  <c r="A986" i="3" s="1"/>
  <c r="A985" i="3" a="1"/>
  <c r="A985" i="3" s="1"/>
  <c r="A984" i="3" a="1"/>
  <c r="A984" i="3" s="1"/>
  <c r="A983" i="3" a="1"/>
  <c r="A983" i="3" s="1"/>
  <c r="A982" i="3" a="1"/>
  <c r="A982" i="3" s="1"/>
  <c r="A981" i="3" a="1"/>
  <c r="A981" i="3" s="1"/>
  <c r="A980" i="3" a="1"/>
  <c r="A980" i="3" s="1"/>
  <c r="A979" i="3" a="1"/>
  <c r="A979" i="3" s="1"/>
  <c r="A978" i="3" a="1"/>
  <c r="A978" i="3" s="1"/>
  <c r="A977" i="3" a="1"/>
  <c r="A977" i="3" s="1"/>
  <c r="A976" i="3" a="1"/>
  <c r="A976" i="3" s="1"/>
  <c r="A975" i="3" a="1"/>
  <c r="A975" i="3" s="1"/>
  <c r="A974" i="3" a="1"/>
  <c r="A974" i="3" s="1"/>
  <c r="A973" i="3" a="1"/>
  <c r="A973" i="3" s="1"/>
  <c r="A972" i="3" a="1"/>
  <c r="A972" i="3" s="1"/>
  <c r="A971" i="3" a="1"/>
  <c r="A971" i="3" s="1"/>
  <c r="A970" i="3" a="1"/>
  <c r="A970" i="3" s="1"/>
  <c r="A969" i="3" a="1"/>
  <c r="A969" i="3" s="1"/>
  <c r="A968" i="3" a="1"/>
  <c r="A968" i="3" s="1"/>
  <c r="A967" i="3" a="1"/>
  <c r="A967" i="3" s="1"/>
  <c r="A966" i="3" a="1"/>
  <c r="A966" i="3" s="1"/>
  <c r="A965" i="3" a="1"/>
  <c r="A965" i="3" s="1"/>
  <c r="A964" i="3" a="1"/>
  <c r="A964" i="3" s="1"/>
  <c r="A963" i="3" a="1"/>
  <c r="A963" i="3" s="1"/>
  <c r="A962" i="3" a="1"/>
  <c r="A962" i="3" s="1"/>
  <c r="A961" i="3" a="1"/>
  <c r="A961" i="3" s="1"/>
  <c r="A960" i="3" a="1"/>
  <c r="A960" i="3" s="1"/>
  <c r="A959" i="3" a="1"/>
  <c r="A959" i="3" s="1"/>
  <c r="A958" i="3" a="1"/>
  <c r="A958" i="3" s="1"/>
  <c r="A957" i="3" a="1"/>
  <c r="A957" i="3" s="1"/>
  <c r="A956" i="3" a="1"/>
  <c r="A956" i="3" s="1"/>
  <c r="A955" i="3" a="1"/>
  <c r="A955" i="3" s="1"/>
  <c r="A954" i="3" a="1"/>
  <c r="A954" i="3" s="1"/>
  <c r="A953" i="3" a="1"/>
  <c r="A953" i="3" s="1"/>
  <c r="A952" i="3" a="1"/>
  <c r="A952" i="3" s="1"/>
  <c r="A951" i="3" a="1"/>
  <c r="A951" i="3" s="1"/>
  <c r="A950" i="3" a="1"/>
  <c r="A950" i="3" s="1"/>
  <c r="A949" i="3" a="1"/>
  <c r="A949" i="3" s="1"/>
  <c r="A948" i="3" a="1"/>
  <c r="A948" i="3" s="1"/>
  <c r="A947" i="3" a="1"/>
  <c r="A947" i="3" s="1"/>
  <c r="A946" i="3" a="1"/>
  <c r="A946" i="3" s="1"/>
  <c r="A945" i="3" a="1"/>
  <c r="A945" i="3" s="1"/>
  <c r="A944" i="3" a="1"/>
  <c r="A944" i="3" s="1"/>
  <c r="A943" i="3" a="1"/>
  <c r="A943" i="3" s="1"/>
  <c r="A942" i="3" a="1"/>
  <c r="A942" i="3" s="1"/>
  <c r="A941" i="3" a="1"/>
  <c r="A941" i="3" s="1"/>
  <c r="A940" i="3" a="1"/>
  <c r="A940" i="3" s="1"/>
  <c r="A939" i="3" a="1"/>
  <c r="A939" i="3" s="1"/>
  <c r="A938" i="3" a="1"/>
  <c r="A938" i="3" s="1"/>
  <c r="A937" i="3" a="1"/>
  <c r="A937" i="3" s="1"/>
  <c r="A936" i="3" a="1"/>
  <c r="A936" i="3" s="1"/>
  <c r="A935" i="3" a="1"/>
  <c r="A935" i="3" s="1"/>
  <c r="A934" i="3" a="1"/>
  <c r="A934" i="3" s="1"/>
  <c r="A933" i="3" a="1"/>
  <c r="A933" i="3" s="1"/>
  <c r="A932" i="3" a="1"/>
  <c r="A932" i="3" s="1"/>
  <c r="A931" i="3" a="1"/>
  <c r="A931" i="3" s="1"/>
  <c r="A930" i="3" a="1"/>
  <c r="A930" i="3" s="1"/>
  <c r="A929" i="3" a="1"/>
  <c r="A929" i="3" s="1"/>
  <c r="A928" i="3" a="1"/>
  <c r="A928" i="3" s="1"/>
  <c r="A927" i="3" a="1"/>
  <c r="A927" i="3" s="1"/>
  <c r="A926" i="3" a="1"/>
  <c r="A926" i="3" s="1"/>
  <c r="A925" i="3" a="1"/>
  <c r="A925" i="3" s="1"/>
  <c r="A924" i="3" a="1"/>
  <c r="A924" i="3" s="1"/>
  <c r="A923" i="3" a="1"/>
  <c r="A923" i="3" s="1"/>
  <c r="A922" i="3" a="1"/>
  <c r="A922" i="3" s="1"/>
  <c r="A921" i="3" a="1"/>
  <c r="A921" i="3" s="1"/>
  <c r="A920" i="3" a="1"/>
  <c r="A920" i="3" s="1"/>
  <c r="A919" i="3" a="1"/>
  <c r="A919" i="3" s="1"/>
  <c r="A918" i="3" a="1"/>
  <c r="A918" i="3" s="1"/>
  <c r="A917" i="3" a="1"/>
  <c r="A917" i="3" s="1"/>
  <c r="A916" i="3" a="1"/>
  <c r="A916" i="3" s="1"/>
  <c r="A915" i="3" a="1"/>
  <c r="A915" i="3" s="1"/>
  <c r="A914" i="3" a="1"/>
  <c r="A914" i="3" s="1"/>
  <c r="A913" i="3" a="1"/>
  <c r="A913" i="3" s="1"/>
  <c r="A912" i="3" a="1"/>
  <c r="A912" i="3" s="1"/>
  <c r="A911" i="3" a="1"/>
  <c r="A911" i="3" s="1"/>
  <c r="A910" i="3" a="1"/>
  <c r="A910" i="3" s="1"/>
  <c r="A909" i="3" a="1"/>
  <c r="A909" i="3" s="1"/>
  <c r="A908" i="3" a="1"/>
  <c r="A908" i="3" s="1"/>
  <c r="A907" i="3" a="1"/>
  <c r="A907" i="3" s="1"/>
  <c r="A906" i="3" a="1"/>
  <c r="A906" i="3" s="1"/>
  <c r="A905" i="3" a="1"/>
  <c r="A905" i="3" s="1"/>
  <c r="A904" i="3" a="1"/>
  <c r="A904" i="3" s="1"/>
  <c r="A903" i="3" a="1"/>
  <c r="A903" i="3" s="1"/>
  <c r="A902" i="3" a="1"/>
  <c r="A902" i="3" s="1"/>
  <c r="A901" i="3" a="1"/>
  <c r="A901" i="3" s="1"/>
  <c r="A900" i="3" a="1"/>
  <c r="A900" i="3" s="1"/>
  <c r="A899" i="3" a="1"/>
  <c r="A899" i="3" s="1"/>
  <c r="A898" i="3" a="1"/>
  <c r="A898" i="3" s="1"/>
  <c r="A897" i="3" a="1"/>
  <c r="A897" i="3" s="1"/>
  <c r="A896" i="3" a="1"/>
  <c r="A896" i="3" s="1"/>
  <c r="A895" i="3" a="1"/>
  <c r="A895" i="3" s="1"/>
  <c r="A894" i="3" a="1"/>
  <c r="A894" i="3" s="1"/>
  <c r="A893" i="3" a="1"/>
  <c r="A893" i="3" s="1"/>
  <c r="A892" i="3" a="1"/>
  <c r="A892" i="3" s="1"/>
  <c r="A891" i="3" a="1"/>
  <c r="A891" i="3" s="1"/>
  <c r="A890" i="3" a="1"/>
  <c r="A890" i="3" s="1"/>
  <c r="A889" i="3" a="1"/>
  <c r="A889" i="3" s="1"/>
  <c r="A888" i="3" a="1"/>
  <c r="A888" i="3" s="1"/>
  <c r="A887" i="3" a="1"/>
  <c r="A887" i="3" s="1"/>
  <c r="A886" i="3" a="1"/>
  <c r="A886" i="3" s="1"/>
  <c r="A885" i="3" a="1"/>
  <c r="A885" i="3" s="1"/>
  <c r="A884" i="3" a="1"/>
  <c r="A884" i="3" s="1"/>
  <c r="A883" i="3" a="1"/>
  <c r="A883" i="3" s="1"/>
  <c r="A882" i="3" a="1"/>
  <c r="A882" i="3" s="1"/>
  <c r="A881" i="3" a="1"/>
  <c r="A881" i="3" s="1"/>
  <c r="A880" i="3" a="1"/>
  <c r="A880" i="3" s="1"/>
  <c r="A879" i="3" a="1"/>
  <c r="A879" i="3" s="1"/>
  <c r="A878" i="3" a="1"/>
  <c r="A878" i="3" s="1"/>
  <c r="A877" i="3" a="1"/>
  <c r="A877" i="3" s="1"/>
  <c r="A876" i="3" a="1"/>
  <c r="A876" i="3" s="1"/>
  <c r="A875" i="3" a="1"/>
  <c r="A875" i="3" s="1"/>
  <c r="A874" i="3" a="1"/>
  <c r="A874" i="3" s="1"/>
  <c r="A873" i="3" a="1"/>
  <c r="A873" i="3" s="1"/>
  <c r="A872" i="3" a="1"/>
  <c r="A872" i="3" s="1"/>
  <c r="A871" i="3" a="1"/>
  <c r="A871" i="3" s="1"/>
  <c r="A870" i="3" a="1"/>
  <c r="A870" i="3" s="1"/>
  <c r="A869" i="3" a="1"/>
  <c r="A869" i="3" s="1"/>
  <c r="A868" i="3" a="1"/>
  <c r="A868" i="3" s="1"/>
  <c r="A867" i="3" a="1"/>
  <c r="A867" i="3" s="1"/>
  <c r="A866" i="3" a="1"/>
  <c r="A866" i="3" s="1"/>
  <c r="A865" i="3" a="1"/>
  <c r="A865" i="3" s="1"/>
  <c r="A864" i="3" a="1"/>
  <c r="A864" i="3" s="1"/>
  <c r="A863" i="3" a="1"/>
  <c r="A863" i="3" s="1"/>
  <c r="A862" i="3" a="1"/>
  <c r="A862" i="3" s="1"/>
  <c r="A861" i="3" a="1"/>
  <c r="A861" i="3" s="1"/>
  <c r="A860" i="3" a="1"/>
  <c r="A860" i="3" s="1"/>
  <c r="A859" i="3" a="1"/>
  <c r="A859" i="3" s="1"/>
  <c r="A858" i="3" a="1"/>
  <c r="A858" i="3" s="1"/>
  <c r="A857" i="3" a="1"/>
  <c r="A857" i="3" s="1"/>
  <c r="A856" i="3" a="1"/>
  <c r="A856" i="3" s="1"/>
  <c r="A855" i="3" a="1"/>
  <c r="A855" i="3" s="1"/>
  <c r="A854" i="3" a="1"/>
  <c r="A854" i="3" s="1"/>
  <c r="A853" i="3" a="1"/>
  <c r="A853" i="3" s="1"/>
  <c r="A852" i="3" a="1"/>
  <c r="A852" i="3" s="1"/>
  <c r="A851" i="3" a="1"/>
  <c r="A851" i="3" s="1"/>
  <c r="A850" i="3" a="1"/>
  <c r="A850" i="3" s="1"/>
  <c r="A849" i="3" a="1"/>
  <c r="A849" i="3" s="1"/>
  <c r="A848" i="3" a="1"/>
  <c r="A848" i="3" s="1"/>
  <c r="A847" i="3" a="1"/>
  <c r="A847" i="3" s="1"/>
  <c r="A846" i="3" a="1"/>
  <c r="A846" i="3" s="1"/>
  <c r="A845" i="3" a="1"/>
  <c r="A845" i="3" s="1"/>
  <c r="A844" i="3" a="1"/>
  <c r="A844" i="3" s="1"/>
  <c r="A843" i="3" a="1"/>
  <c r="A843" i="3" s="1"/>
  <c r="A842" i="3" a="1"/>
  <c r="A842" i="3" s="1"/>
  <c r="A841" i="3" a="1"/>
  <c r="A841" i="3" s="1"/>
  <c r="A840" i="3" a="1"/>
  <c r="A840" i="3" s="1"/>
  <c r="A839" i="3" a="1"/>
  <c r="A839" i="3" s="1"/>
  <c r="A838" i="3" a="1"/>
  <c r="A838" i="3" s="1"/>
  <c r="A837" i="3" a="1"/>
  <c r="A837" i="3" s="1"/>
  <c r="A836" i="3" a="1"/>
  <c r="A836" i="3" s="1"/>
  <c r="A835" i="3" a="1"/>
  <c r="A835" i="3" s="1"/>
  <c r="A834" i="3" a="1"/>
  <c r="A834" i="3" s="1"/>
  <c r="A833" i="3" a="1"/>
  <c r="A833" i="3" s="1"/>
  <c r="A832" i="3" a="1"/>
  <c r="A832" i="3" s="1"/>
  <c r="A831" i="3" a="1"/>
  <c r="A831" i="3" s="1"/>
  <c r="A830" i="3" a="1"/>
  <c r="A830" i="3" s="1"/>
  <c r="A829" i="3" a="1"/>
  <c r="A829" i="3" s="1"/>
  <c r="A828" i="3" a="1"/>
  <c r="A828" i="3" s="1"/>
  <c r="A827" i="3" a="1"/>
  <c r="A827" i="3" s="1"/>
  <c r="A826" i="3" a="1"/>
  <c r="A826" i="3" s="1"/>
  <c r="A825" i="3" a="1"/>
  <c r="A825" i="3" s="1"/>
  <c r="A824" i="3" a="1"/>
  <c r="A824" i="3" s="1"/>
  <c r="A823" i="3" a="1"/>
  <c r="A823" i="3" s="1"/>
  <c r="A822" i="3" a="1"/>
  <c r="A822" i="3" s="1"/>
  <c r="A821" i="3" a="1"/>
  <c r="A821" i="3" s="1"/>
  <c r="A820" i="3" a="1"/>
  <c r="A820" i="3" s="1"/>
  <c r="A819" i="3" a="1"/>
  <c r="A819" i="3" s="1"/>
  <c r="A818" i="3" a="1"/>
  <c r="A818" i="3" s="1"/>
  <c r="A817" i="3" a="1"/>
  <c r="A817" i="3" s="1"/>
  <c r="A816" i="3" a="1"/>
  <c r="A816" i="3" s="1"/>
  <c r="A815" i="3" a="1"/>
  <c r="A815" i="3" s="1"/>
  <c r="A814" i="3" a="1"/>
  <c r="A814" i="3" s="1"/>
  <c r="A813" i="3" a="1"/>
  <c r="A813" i="3" s="1"/>
  <c r="A812" i="3" a="1"/>
  <c r="A812" i="3" s="1"/>
  <c r="A811" i="3" a="1"/>
  <c r="A811" i="3" s="1"/>
  <c r="A810" i="3" a="1"/>
  <c r="A810" i="3" s="1"/>
  <c r="A809" i="3" a="1"/>
  <c r="A809" i="3" s="1"/>
  <c r="A808" i="3" a="1"/>
  <c r="A808" i="3" s="1"/>
  <c r="A807" i="3" a="1"/>
  <c r="A807" i="3" s="1"/>
  <c r="A806" i="3" a="1"/>
  <c r="A806" i="3" s="1"/>
  <c r="A805" i="3" a="1"/>
  <c r="A805" i="3" s="1"/>
  <c r="A804" i="3" a="1"/>
  <c r="A804" i="3" s="1"/>
  <c r="A803" i="3" a="1"/>
  <c r="A803" i="3" s="1"/>
  <c r="A802" i="3" a="1"/>
  <c r="A802" i="3" s="1"/>
  <c r="A801" i="3" a="1"/>
  <c r="A801" i="3" s="1"/>
  <c r="A800" i="3" a="1"/>
  <c r="A800" i="3" s="1"/>
  <c r="A799" i="3" a="1"/>
  <c r="A799" i="3" s="1"/>
  <c r="A798" i="3" a="1"/>
  <c r="A798" i="3" s="1"/>
  <c r="A797" i="3" a="1"/>
  <c r="A797" i="3" s="1"/>
  <c r="A796" i="3" a="1"/>
  <c r="A796" i="3" s="1"/>
  <c r="A795" i="3" a="1"/>
  <c r="A795" i="3" s="1"/>
  <c r="A794" i="3" a="1"/>
  <c r="A794" i="3" s="1"/>
  <c r="A793" i="3" a="1"/>
  <c r="A793" i="3" s="1"/>
  <c r="A792" i="3" a="1"/>
  <c r="A792" i="3" s="1"/>
  <c r="A791" i="3" a="1"/>
  <c r="A791" i="3" s="1"/>
  <c r="A790" i="3" a="1"/>
  <c r="A790" i="3" s="1"/>
  <c r="A789" i="3" a="1"/>
  <c r="A789" i="3" s="1"/>
  <c r="A788" i="3" a="1"/>
  <c r="A788" i="3" s="1"/>
  <c r="A787" i="3" a="1"/>
  <c r="A787" i="3" s="1"/>
  <c r="A786" i="3" a="1"/>
  <c r="A786" i="3" s="1"/>
  <c r="A785" i="3" a="1"/>
  <c r="A785" i="3" s="1"/>
  <c r="A784" i="3" a="1"/>
  <c r="A784" i="3" s="1"/>
  <c r="A783" i="3" a="1"/>
  <c r="A783" i="3" s="1"/>
  <c r="A782" i="3" a="1"/>
  <c r="A782" i="3" s="1"/>
  <c r="A781" i="3" a="1"/>
  <c r="A781" i="3" s="1"/>
  <c r="A780" i="3" a="1"/>
  <c r="A780" i="3" s="1"/>
  <c r="A779" i="3" a="1"/>
  <c r="A779" i="3" s="1"/>
  <c r="A778" i="3" a="1"/>
  <c r="A778" i="3" s="1"/>
  <c r="A777" i="3" a="1"/>
  <c r="A777" i="3" s="1"/>
  <c r="A776" i="3" a="1"/>
  <c r="A776" i="3" s="1"/>
  <c r="A775" i="3" a="1"/>
  <c r="A775" i="3" s="1"/>
  <c r="A774" i="3" a="1"/>
  <c r="A774" i="3" s="1"/>
  <c r="A773" i="3" a="1"/>
  <c r="A773" i="3" s="1"/>
  <c r="A772" i="3" a="1"/>
  <c r="A772" i="3" s="1"/>
  <c r="A771" i="3" a="1"/>
  <c r="A771" i="3" s="1"/>
  <c r="A770" i="3" a="1"/>
  <c r="A770" i="3" s="1"/>
  <c r="A769" i="3" a="1"/>
  <c r="A769" i="3" s="1"/>
  <c r="A768" i="3" a="1"/>
  <c r="A768" i="3" s="1"/>
  <c r="A767" i="3" a="1"/>
  <c r="A767" i="3" s="1"/>
  <c r="A766" i="3" a="1"/>
  <c r="A766" i="3" s="1"/>
  <c r="A765" i="3" a="1"/>
  <c r="A765" i="3" s="1"/>
  <c r="A764" i="3" a="1"/>
  <c r="A764" i="3" s="1"/>
  <c r="A763" i="3" a="1"/>
  <c r="A763" i="3" s="1"/>
  <c r="A762" i="3" a="1"/>
  <c r="A762" i="3" s="1"/>
  <c r="A761" i="3" a="1"/>
  <c r="A761" i="3" s="1"/>
  <c r="A760" i="3" a="1"/>
  <c r="A760" i="3" s="1"/>
  <c r="A759" i="3" a="1"/>
  <c r="A759" i="3" s="1"/>
  <c r="A758" i="3" a="1"/>
  <c r="A758" i="3" s="1"/>
  <c r="A757" i="3" a="1"/>
  <c r="A757" i="3" s="1"/>
  <c r="A756" i="3" a="1"/>
  <c r="A756" i="3" s="1"/>
  <c r="A755" i="3" a="1"/>
  <c r="A755" i="3" s="1"/>
  <c r="A754" i="3" a="1"/>
  <c r="A754" i="3" s="1"/>
  <c r="A753" i="3" a="1"/>
  <c r="A753" i="3" s="1"/>
  <c r="A752" i="3" a="1"/>
  <c r="A752" i="3" s="1"/>
  <c r="A751" i="3" a="1"/>
  <c r="A751" i="3" s="1"/>
  <c r="A750" i="3" a="1"/>
  <c r="A750" i="3" s="1"/>
  <c r="A749" i="3" a="1"/>
  <c r="A749" i="3" s="1"/>
  <c r="A748" i="3" a="1"/>
  <c r="A748" i="3" s="1"/>
  <c r="A747" i="3" a="1"/>
  <c r="A747" i="3" s="1"/>
  <c r="A746" i="3" a="1"/>
  <c r="A746" i="3" s="1"/>
  <c r="A745" i="3" a="1"/>
  <c r="A745" i="3" s="1"/>
  <c r="A744" i="3" a="1"/>
  <c r="A744" i="3" s="1"/>
  <c r="A743" i="3" a="1"/>
  <c r="A743" i="3" s="1"/>
  <c r="A742" i="3" a="1"/>
  <c r="A742" i="3" s="1"/>
  <c r="A741" i="3" a="1"/>
  <c r="A741" i="3" s="1"/>
  <c r="A740" i="3" a="1"/>
  <c r="A740" i="3" s="1"/>
  <c r="A739" i="3" a="1"/>
  <c r="A739" i="3" s="1"/>
  <c r="A738" i="3" a="1"/>
  <c r="A738" i="3" s="1"/>
  <c r="A737" i="3" a="1"/>
  <c r="A737" i="3" s="1"/>
  <c r="A736" i="3" a="1"/>
  <c r="A736" i="3" s="1"/>
  <c r="A735" i="3" a="1"/>
  <c r="A735" i="3" s="1"/>
  <c r="A734" i="3" a="1"/>
  <c r="A734" i="3" s="1"/>
  <c r="A733" i="3" a="1"/>
  <c r="A733" i="3" s="1"/>
  <c r="A732" i="3" a="1"/>
  <c r="A732" i="3" s="1"/>
  <c r="A731" i="3" a="1"/>
  <c r="A731" i="3" s="1"/>
  <c r="A730" i="3" a="1"/>
  <c r="A730" i="3" s="1"/>
  <c r="A729" i="3" a="1"/>
  <c r="A729" i="3" s="1"/>
  <c r="A728" i="3" a="1"/>
  <c r="A728" i="3" s="1"/>
  <c r="A727" i="3" a="1"/>
  <c r="A727" i="3" s="1"/>
  <c r="A726" i="3" a="1"/>
  <c r="A726" i="3" s="1"/>
  <c r="A725" i="3" a="1"/>
  <c r="A725" i="3" s="1"/>
  <c r="A724" i="3" a="1"/>
  <c r="A724" i="3" s="1"/>
  <c r="A723" i="3" a="1"/>
  <c r="A723" i="3" s="1"/>
  <c r="A722" i="3" a="1"/>
  <c r="A722" i="3" s="1"/>
  <c r="A721" i="3" a="1"/>
  <c r="A721" i="3" s="1"/>
  <c r="A720" i="3" a="1"/>
  <c r="A720" i="3" s="1"/>
  <c r="A719" i="3" a="1"/>
  <c r="A719" i="3" s="1"/>
  <c r="A718" i="3" a="1"/>
  <c r="A718" i="3" s="1"/>
  <c r="A717" i="3" a="1"/>
  <c r="A717" i="3" s="1"/>
  <c r="A716" i="3" a="1"/>
  <c r="A716" i="3" s="1"/>
  <c r="A715" i="3" a="1"/>
  <c r="A715" i="3" s="1"/>
  <c r="A714" i="3" a="1"/>
  <c r="A714" i="3" s="1"/>
  <c r="A713" i="3" a="1"/>
  <c r="A713" i="3" s="1"/>
  <c r="A712" i="3" a="1"/>
  <c r="A712" i="3" s="1"/>
  <c r="A711" i="3" a="1"/>
  <c r="A711" i="3" s="1"/>
  <c r="A710" i="3" a="1"/>
  <c r="A710" i="3" s="1"/>
  <c r="A709" i="3" a="1"/>
  <c r="A709" i="3" s="1"/>
  <c r="A708" i="3" a="1"/>
  <c r="A708" i="3" s="1"/>
  <c r="A707" i="3" a="1"/>
  <c r="A707" i="3" s="1"/>
  <c r="A706" i="3" a="1"/>
  <c r="A706" i="3" s="1"/>
  <c r="A705" i="3" a="1"/>
  <c r="A705" i="3" s="1"/>
  <c r="A704" i="3" a="1"/>
  <c r="A704" i="3" s="1"/>
  <c r="A703" i="3" a="1"/>
  <c r="A703" i="3" s="1"/>
  <c r="A702" i="3" a="1"/>
  <c r="A702" i="3" s="1"/>
  <c r="A701" i="3" a="1"/>
  <c r="A701" i="3" s="1"/>
  <c r="A700" i="3" a="1"/>
  <c r="A700" i="3" s="1"/>
  <c r="A699" i="3" a="1"/>
  <c r="A699" i="3" s="1"/>
  <c r="A698" i="3" a="1"/>
  <c r="A698" i="3" s="1"/>
  <c r="A697" i="3" a="1"/>
  <c r="A697" i="3" s="1"/>
  <c r="A696" i="3" a="1"/>
  <c r="A696" i="3" s="1"/>
  <c r="A695" i="3" a="1"/>
  <c r="A695" i="3" s="1"/>
  <c r="A694" i="3" a="1"/>
  <c r="A694" i="3" s="1"/>
  <c r="A693" i="3" a="1"/>
  <c r="A693" i="3" s="1"/>
  <c r="A692" i="3" a="1"/>
  <c r="A692" i="3" s="1"/>
  <c r="A691" i="3" a="1"/>
  <c r="A691" i="3" s="1"/>
  <c r="A690" i="3" a="1"/>
  <c r="A690" i="3" s="1"/>
  <c r="A689" i="3" a="1"/>
  <c r="A689" i="3" s="1"/>
  <c r="A688" i="3" a="1"/>
  <c r="A688" i="3" s="1"/>
  <c r="A687" i="3" a="1"/>
  <c r="A687" i="3" s="1"/>
  <c r="A686" i="3" a="1"/>
  <c r="A686" i="3" s="1"/>
  <c r="A685" i="3" a="1"/>
  <c r="A685" i="3" s="1"/>
  <c r="A684" i="3" a="1"/>
  <c r="A684" i="3" s="1"/>
  <c r="A683" i="3" a="1"/>
  <c r="A683" i="3" s="1"/>
  <c r="A682" i="3" a="1"/>
  <c r="A682" i="3" s="1"/>
  <c r="A681" i="3" a="1"/>
  <c r="A681" i="3" s="1"/>
  <c r="A680" i="3" a="1"/>
  <c r="A680" i="3" s="1"/>
  <c r="A679" i="3" a="1"/>
  <c r="A679" i="3" s="1"/>
  <c r="A678" i="3" a="1"/>
  <c r="A678" i="3" s="1"/>
  <c r="A677" i="3" a="1"/>
  <c r="A677" i="3" s="1"/>
  <c r="A676" i="3" a="1"/>
  <c r="A676" i="3" s="1"/>
  <c r="A675" i="3" a="1"/>
  <c r="A675" i="3" s="1"/>
  <c r="A674" i="3" a="1"/>
  <c r="A674" i="3" s="1"/>
  <c r="A673" i="3" a="1"/>
  <c r="A673" i="3" s="1"/>
  <c r="A672" i="3" a="1"/>
  <c r="A672" i="3" s="1"/>
  <c r="A671" i="3" a="1"/>
  <c r="A671" i="3" s="1"/>
  <c r="A670" i="3" a="1"/>
  <c r="A670" i="3" s="1"/>
  <c r="A669" i="3" a="1"/>
  <c r="A669" i="3" s="1"/>
  <c r="A668" i="3" a="1"/>
  <c r="A668" i="3" s="1"/>
  <c r="A667" i="3" a="1"/>
  <c r="A667" i="3" s="1"/>
  <c r="A666" i="3" a="1"/>
  <c r="A666" i="3" s="1"/>
  <c r="A665" i="3" a="1"/>
  <c r="A665" i="3" s="1"/>
  <c r="A664" i="3" a="1"/>
  <c r="A664" i="3" s="1"/>
  <c r="A663" i="3" a="1"/>
  <c r="A663" i="3" s="1"/>
  <c r="A662" i="3" a="1"/>
  <c r="A662" i="3" s="1"/>
  <c r="A661" i="3" a="1"/>
  <c r="A661" i="3" s="1"/>
  <c r="A660" i="3" a="1"/>
  <c r="A660" i="3" s="1"/>
  <c r="A659" i="3" a="1"/>
  <c r="A659" i="3" s="1"/>
  <c r="A658" i="3" a="1"/>
  <c r="A658" i="3" s="1"/>
  <c r="A657" i="3" a="1"/>
  <c r="A657" i="3" s="1"/>
  <c r="A656" i="3" a="1"/>
  <c r="A656" i="3" s="1"/>
  <c r="A655" i="3" a="1"/>
  <c r="A655" i="3" s="1"/>
  <c r="A654" i="3" a="1"/>
  <c r="A654" i="3" s="1"/>
  <c r="A653" i="3" a="1"/>
  <c r="A653" i="3" s="1"/>
  <c r="A652" i="3" a="1"/>
  <c r="A652" i="3" s="1"/>
  <c r="A651" i="3" a="1"/>
  <c r="A651" i="3" s="1"/>
  <c r="A650" i="3" a="1"/>
  <c r="A650" i="3" s="1"/>
  <c r="A649" i="3" a="1"/>
  <c r="A649" i="3" s="1"/>
  <c r="A648" i="3" a="1"/>
  <c r="A648" i="3" s="1"/>
  <c r="A647" i="3" a="1"/>
  <c r="A647" i="3" s="1"/>
  <c r="A646" i="3" a="1"/>
  <c r="A646" i="3" s="1"/>
  <c r="A645" i="3" a="1"/>
  <c r="A645" i="3" s="1"/>
  <c r="A644" i="3" a="1"/>
  <c r="A644" i="3" s="1"/>
  <c r="A643" i="3" a="1"/>
  <c r="A643" i="3" s="1"/>
  <c r="A642" i="3" a="1"/>
  <c r="A642" i="3" s="1"/>
  <c r="A641" i="3" a="1"/>
  <c r="A641" i="3" s="1"/>
  <c r="A640" i="3" a="1"/>
  <c r="A640" i="3" s="1"/>
  <c r="A639" i="3" a="1"/>
  <c r="A639" i="3" s="1"/>
  <c r="A638" i="3" a="1"/>
  <c r="A638" i="3" s="1"/>
  <c r="A637" i="3" a="1"/>
  <c r="A637" i="3" s="1"/>
  <c r="A636" i="3" a="1"/>
  <c r="A636" i="3" s="1"/>
  <c r="A635" i="3" a="1"/>
  <c r="A635" i="3" s="1"/>
  <c r="A634" i="3" a="1"/>
  <c r="A634" i="3" s="1"/>
  <c r="A633" i="3" a="1"/>
  <c r="A633" i="3" s="1"/>
  <c r="A632" i="3" a="1"/>
  <c r="A632" i="3" s="1"/>
  <c r="A631" i="3" a="1"/>
  <c r="A631" i="3" s="1"/>
  <c r="A630" i="3" a="1"/>
  <c r="A630" i="3" s="1"/>
  <c r="A629" i="3" a="1"/>
  <c r="A629" i="3" s="1"/>
  <c r="A628" i="3" a="1"/>
  <c r="A628" i="3" s="1"/>
  <c r="A627" i="3" a="1"/>
  <c r="A627" i="3" s="1"/>
  <c r="A626" i="3" a="1"/>
  <c r="A626" i="3" s="1"/>
  <c r="A625" i="3" a="1"/>
  <c r="A625" i="3" s="1"/>
  <c r="A624" i="3" a="1"/>
  <c r="A624" i="3" s="1"/>
  <c r="A623" i="3" a="1"/>
  <c r="A623" i="3" s="1"/>
  <c r="A622" i="3" a="1"/>
  <c r="A622" i="3" s="1"/>
  <c r="A621" i="3" a="1"/>
  <c r="A621" i="3" s="1"/>
  <c r="A620" i="3" a="1"/>
  <c r="A620" i="3" s="1"/>
  <c r="A619" i="3" a="1"/>
  <c r="A619" i="3" s="1"/>
  <c r="A618" i="3" a="1"/>
  <c r="A618" i="3" s="1"/>
  <c r="A617" i="3" a="1"/>
  <c r="A617" i="3" s="1"/>
  <c r="A616" i="3" a="1"/>
  <c r="A616" i="3" s="1"/>
  <c r="A615" i="3" a="1"/>
  <c r="A615" i="3" s="1"/>
  <c r="A614" i="3" a="1"/>
  <c r="A614" i="3" s="1"/>
  <c r="A613" i="3" a="1"/>
  <c r="A613" i="3" s="1"/>
  <c r="A612" i="3" a="1"/>
  <c r="A612" i="3" s="1"/>
  <c r="A611" i="3" a="1"/>
  <c r="A611" i="3" s="1"/>
  <c r="A610" i="3" a="1"/>
  <c r="A610" i="3" s="1"/>
  <c r="A609" i="3" a="1"/>
  <c r="A609" i="3" s="1"/>
  <c r="A608" i="3" a="1"/>
  <c r="A608" i="3" s="1"/>
  <c r="A607" i="3" a="1"/>
  <c r="A607" i="3" s="1"/>
  <c r="A606" i="3" a="1"/>
  <c r="A606" i="3" s="1"/>
  <c r="A605" i="3" a="1"/>
  <c r="A605" i="3" s="1"/>
  <c r="A604" i="3" a="1"/>
  <c r="A604" i="3" s="1"/>
  <c r="A603" i="3" a="1"/>
  <c r="A603" i="3" s="1"/>
  <c r="A602" i="3" a="1"/>
  <c r="A602" i="3" s="1"/>
  <c r="A601" i="3" a="1"/>
  <c r="A601" i="3" s="1"/>
  <c r="A600" i="3" a="1"/>
  <c r="A600" i="3" s="1"/>
  <c r="A599" i="3" a="1"/>
  <c r="A599" i="3" s="1"/>
  <c r="A598" i="3" a="1"/>
  <c r="A598" i="3" s="1"/>
  <c r="A597" i="3" a="1"/>
  <c r="A597" i="3" s="1"/>
  <c r="A596" i="3" a="1"/>
  <c r="A596" i="3" s="1"/>
  <c r="A595" i="3" a="1"/>
  <c r="A595" i="3" s="1"/>
  <c r="A594" i="3" a="1"/>
  <c r="A594" i="3" s="1"/>
  <c r="A593" i="3" a="1"/>
  <c r="A593" i="3" s="1"/>
  <c r="A592" i="3" a="1"/>
  <c r="A592" i="3" s="1"/>
  <c r="A591" i="3" a="1"/>
  <c r="A591" i="3" s="1"/>
  <c r="A590" i="3" a="1"/>
  <c r="A590" i="3" s="1"/>
  <c r="A589" i="3" a="1"/>
  <c r="A589" i="3" s="1"/>
  <c r="A588" i="3" a="1"/>
  <c r="A588" i="3" s="1"/>
  <c r="A587" i="3" a="1"/>
  <c r="A587" i="3" s="1"/>
  <c r="A586" i="3" a="1"/>
  <c r="A586" i="3" s="1"/>
  <c r="A585" i="3" a="1"/>
  <c r="A585" i="3" s="1"/>
  <c r="A584" i="3" a="1"/>
  <c r="A584" i="3" s="1"/>
  <c r="A583" i="3" a="1"/>
  <c r="A583" i="3" s="1"/>
  <c r="A582" i="3" a="1"/>
  <c r="A582" i="3" s="1"/>
  <c r="A581" i="3" a="1"/>
  <c r="A581" i="3" s="1"/>
  <c r="A580" i="3" a="1"/>
  <c r="A580" i="3" s="1"/>
  <c r="A579" i="3" a="1"/>
  <c r="A579" i="3" s="1"/>
  <c r="A578" i="3" a="1"/>
  <c r="A578" i="3" s="1"/>
  <c r="A577" i="3" a="1"/>
  <c r="A577" i="3" s="1"/>
  <c r="A576" i="3" a="1"/>
  <c r="A576" i="3" s="1"/>
  <c r="A575" i="3" a="1"/>
  <c r="A575" i="3" s="1"/>
  <c r="A574" i="3" a="1"/>
  <c r="A574" i="3" s="1"/>
  <c r="A573" i="3" a="1"/>
  <c r="A573" i="3" s="1"/>
  <c r="A572" i="3" a="1"/>
  <c r="A572" i="3" s="1"/>
  <c r="A571" i="3" a="1"/>
  <c r="A571" i="3" s="1"/>
  <c r="A570" i="3" a="1"/>
  <c r="A570" i="3" s="1"/>
  <c r="A569" i="3" a="1"/>
  <c r="A569" i="3" s="1"/>
  <c r="A568" i="3" a="1"/>
  <c r="A568" i="3" s="1"/>
  <c r="A567" i="3" a="1"/>
  <c r="A567" i="3" s="1"/>
  <c r="A566" i="3" a="1"/>
  <c r="A566" i="3" s="1"/>
  <c r="A565" i="3" a="1"/>
  <c r="A565" i="3" s="1"/>
  <c r="A564" i="3" a="1"/>
  <c r="A564" i="3" s="1"/>
  <c r="A563" i="3" a="1"/>
  <c r="A563" i="3" s="1"/>
  <c r="A562" i="3" a="1"/>
  <c r="A562" i="3" s="1"/>
  <c r="A561" i="3" a="1"/>
  <c r="A561" i="3" s="1"/>
  <c r="A560" i="3" a="1"/>
  <c r="A560" i="3" s="1"/>
  <c r="A559" i="3" a="1"/>
  <c r="A559" i="3" s="1"/>
  <c r="A558" i="3" a="1"/>
  <c r="A558" i="3" s="1"/>
  <c r="A557" i="3" a="1"/>
  <c r="A557" i="3" s="1"/>
  <c r="A556" i="3" a="1"/>
  <c r="A556" i="3" s="1"/>
  <c r="A555" i="3" a="1"/>
  <c r="A555" i="3" s="1"/>
  <c r="A554" i="3" a="1"/>
  <c r="A554" i="3" s="1"/>
  <c r="A553" i="3" a="1"/>
  <c r="A553" i="3" s="1"/>
  <c r="A552" i="3" a="1"/>
  <c r="A552" i="3" s="1"/>
  <c r="A551" i="3" a="1"/>
  <c r="A551" i="3" s="1"/>
  <c r="A550" i="3" a="1"/>
  <c r="A550" i="3" s="1"/>
  <c r="A549" i="3" a="1"/>
  <c r="A549" i="3" s="1"/>
  <c r="A548" i="3" a="1"/>
  <c r="A548" i="3" s="1"/>
  <c r="A547" i="3" a="1"/>
  <c r="A547" i="3" s="1"/>
  <c r="A546" i="3" a="1"/>
  <c r="A546" i="3" s="1"/>
  <c r="A545" i="3" a="1"/>
  <c r="A545" i="3" s="1"/>
  <c r="A544" i="3" a="1"/>
  <c r="A544" i="3" s="1"/>
  <c r="A543" i="3" a="1"/>
  <c r="A543" i="3" s="1"/>
  <c r="A542" i="3" a="1"/>
  <c r="A542" i="3" s="1"/>
  <c r="A541" i="3" a="1"/>
  <c r="A541" i="3" s="1"/>
  <c r="A540" i="3" a="1"/>
  <c r="A540" i="3" s="1"/>
  <c r="A539" i="3" a="1"/>
  <c r="A539" i="3" s="1"/>
  <c r="A538" i="3" a="1"/>
  <c r="A538" i="3" s="1"/>
  <c r="A537" i="3" a="1"/>
  <c r="A537" i="3" s="1"/>
  <c r="A536" i="3" a="1"/>
  <c r="A536" i="3" s="1"/>
  <c r="A535" i="3" a="1"/>
  <c r="A535" i="3" s="1"/>
  <c r="A534" i="3" a="1"/>
  <c r="A534" i="3" s="1"/>
  <c r="A533" i="3" a="1"/>
  <c r="A533" i="3" s="1"/>
  <c r="A532" i="3" a="1"/>
  <c r="A532" i="3" s="1"/>
  <c r="A531" i="3" a="1"/>
  <c r="A531" i="3" s="1"/>
  <c r="A530" i="3" a="1"/>
  <c r="A530" i="3" s="1"/>
  <c r="A529" i="3" a="1"/>
  <c r="A529" i="3" s="1"/>
  <c r="A528" i="3" a="1"/>
  <c r="A528" i="3" s="1"/>
  <c r="A527" i="3" a="1"/>
  <c r="A527" i="3" s="1"/>
  <c r="A526" i="3" a="1"/>
  <c r="A526" i="3" s="1"/>
  <c r="A525" i="3" a="1"/>
  <c r="A525" i="3" s="1"/>
  <c r="A524" i="3" a="1"/>
  <c r="A524" i="3" s="1"/>
  <c r="A523" i="3" a="1"/>
  <c r="A523" i="3" s="1"/>
  <c r="A522" i="3" a="1"/>
  <c r="A522" i="3" s="1"/>
  <c r="A521" i="3" a="1"/>
  <c r="A521" i="3" s="1"/>
  <c r="A520" i="3" a="1"/>
  <c r="A520" i="3" s="1"/>
  <c r="A519" i="3" a="1"/>
  <c r="A519" i="3" s="1"/>
  <c r="A518" i="3" a="1"/>
  <c r="A518" i="3" s="1"/>
  <c r="A517" i="3" a="1"/>
  <c r="A517" i="3" s="1"/>
  <c r="A516" i="3" a="1"/>
  <c r="A516" i="3" s="1"/>
  <c r="A515" i="3" a="1"/>
  <c r="A515" i="3" s="1"/>
  <c r="A514" i="3" a="1"/>
  <c r="A514" i="3" s="1"/>
  <c r="A513" i="3" a="1"/>
  <c r="A513" i="3" s="1"/>
  <c r="A512" i="3" a="1"/>
  <c r="A512" i="3" s="1"/>
  <c r="A511" i="3" a="1"/>
  <c r="A511" i="3" s="1"/>
  <c r="A510" i="3" a="1"/>
  <c r="A510" i="3" s="1"/>
  <c r="A509" i="3" a="1"/>
  <c r="A509" i="3" s="1"/>
  <c r="A508" i="3" a="1"/>
  <c r="A508" i="3" s="1"/>
  <c r="A507" i="3" a="1"/>
  <c r="A507" i="3" s="1"/>
  <c r="A506" i="3" a="1"/>
  <c r="A506" i="3" s="1"/>
  <c r="A505" i="3" a="1"/>
  <c r="A505" i="3" s="1"/>
  <c r="A504" i="3" a="1"/>
  <c r="A504" i="3" s="1"/>
  <c r="A503" i="3" a="1"/>
  <c r="A503" i="3" s="1"/>
  <c r="A502" i="3" a="1"/>
  <c r="A502" i="3" s="1"/>
  <c r="A501" i="3" a="1"/>
  <c r="A501" i="3" s="1"/>
  <c r="A500" i="3" a="1"/>
  <c r="A500" i="3" s="1"/>
  <c r="A499" i="3" a="1"/>
  <c r="A499" i="3" s="1"/>
  <c r="A498" i="3" a="1"/>
  <c r="A498" i="3" s="1"/>
  <c r="A497" i="3" a="1"/>
  <c r="A497" i="3" s="1"/>
  <c r="A496" i="3" a="1"/>
  <c r="A496" i="3" s="1"/>
  <c r="A495" i="3" a="1"/>
  <c r="A495" i="3" s="1"/>
  <c r="A494" i="3" a="1"/>
  <c r="A494" i="3" s="1"/>
  <c r="A493" i="3" a="1"/>
  <c r="A493" i="3" s="1"/>
  <c r="A492" i="3" a="1"/>
  <c r="A492" i="3" s="1"/>
  <c r="A491" i="3" a="1"/>
  <c r="A491" i="3" s="1"/>
  <c r="A490" i="3" a="1"/>
  <c r="A490" i="3" s="1"/>
  <c r="A489" i="3" a="1"/>
  <c r="A489" i="3" s="1"/>
  <c r="A488" i="3" a="1"/>
  <c r="A488" i="3" s="1"/>
  <c r="A487" i="3" a="1"/>
  <c r="A487" i="3" s="1"/>
  <c r="A486" i="3" a="1"/>
  <c r="A486" i="3" s="1"/>
  <c r="A485" i="3" a="1"/>
  <c r="A485" i="3" s="1"/>
  <c r="A484" i="3" a="1"/>
  <c r="A484" i="3" s="1"/>
  <c r="A483" i="3" a="1"/>
  <c r="A483" i="3" s="1"/>
  <c r="A482" i="3" a="1"/>
  <c r="A482" i="3" s="1"/>
  <c r="A481" i="3" a="1"/>
  <c r="A481" i="3" s="1"/>
  <c r="A480" i="3" a="1"/>
  <c r="A480" i="3" s="1"/>
  <c r="A479" i="3" a="1"/>
  <c r="A479" i="3" s="1"/>
  <c r="A478" i="3" a="1"/>
  <c r="A478" i="3" s="1"/>
  <c r="A477" i="3" a="1"/>
  <c r="A477" i="3" s="1"/>
  <c r="A476" i="3" a="1"/>
  <c r="A476" i="3" s="1"/>
  <c r="A475" i="3" a="1"/>
  <c r="A475" i="3" s="1"/>
  <c r="A474" i="3" a="1"/>
  <c r="A474" i="3" s="1"/>
  <c r="A473" i="3" a="1"/>
  <c r="A473" i="3" s="1"/>
  <c r="A472" i="3" a="1"/>
  <c r="A472" i="3" s="1"/>
  <c r="A471" i="3" a="1"/>
  <c r="A471" i="3" s="1"/>
  <c r="A470" i="3" a="1"/>
  <c r="A470" i="3" s="1"/>
  <c r="A469" i="3" a="1"/>
  <c r="A469" i="3" s="1"/>
  <c r="A468" i="3" a="1"/>
  <c r="A468" i="3" s="1"/>
  <c r="A467" i="3" a="1"/>
  <c r="A467" i="3" s="1"/>
  <c r="A466" i="3" a="1"/>
  <c r="A466" i="3" s="1"/>
  <c r="A465" i="3" a="1"/>
  <c r="A465" i="3" s="1"/>
  <c r="A464" i="3" a="1"/>
  <c r="A464" i="3" s="1"/>
  <c r="A463" i="3" a="1"/>
  <c r="A463" i="3" s="1"/>
  <c r="A462" i="3" a="1"/>
  <c r="A462" i="3" s="1"/>
  <c r="A461" i="3" a="1"/>
  <c r="A461" i="3" s="1"/>
  <c r="A460" i="3" a="1"/>
  <c r="A460" i="3" s="1"/>
  <c r="A459" i="3" a="1"/>
  <c r="A459" i="3" s="1"/>
  <c r="A458" i="3" a="1"/>
  <c r="A458" i="3" s="1"/>
  <c r="A457" i="3" a="1"/>
  <c r="A457" i="3" s="1"/>
  <c r="A456" i="3" a="1"/>
  <c r="A456" i="3" s="1"/>
  <c r="A455" i="3" a="1"/>
  <c r="A455" i="3" s="1"/>
  <c r="A454" i="3" a="1"/>
  <c r="A454" i="3" s="1"/>
  <c r="A453" i="3" a="1"/>
  <c r="A453" i="3" s="1"/>
  <c r="A452" i="3" a="1"/>
  <c r="A452" i="3" s="1"/>
  <c r="A451" i="3" a="1"/>
  <c r="A451" i="3" s="1"/>
  <c r="A450" i="3" a="1"/>
  <c r="A450" i="3" s="1"/>
  <c r="A449" i="3" a="1"/>
  <c r="A449" i="3" s="1"/>
  <c r="A448" i="3" a="1"/>
  <c r="A448" i="3" s="1"/>
  <c r="A447" i="3" a="1"/>
  <c r="A447" i="3" s="1"/>
  <c r="A446" i="3" a="1"/>
  <c r="A446" i="3" s="1"/>
  <c r="A445" i="3" a="1"/>
  <c r="A445" i="3" s="1"/>
  <c r="A444" i="3" a="1"/>
  <c r="A444" i="3" s="1"/>
  <c r="A443" i="3" a="1"/>
  <c r="A443" i="3" s="1"/>
  <c r="A442" i="3" a="1"/>
  <c r="A442" i="3" s="1"/>
  <c r="A441" i="3" a="1"/>
  <c r="A441" i="3" s="1"/>
  <c r="A440" i="3" a="1"/>
  <c r="A440" i="3" s="1"/>
  <c r="A439" i="3" a="1"/>
  <c r="A439" i="3" s="1"/>
  <c r="A438" i="3" a="1"/>
  <c r="A438" i="3" s="1"/>
  <c r="A437" i="3" a="1"/>
  <c r="A437" i="3" s="1"/>
  <c r="A436" i="3" a="1"/>
  <c r="A436" i="3" s="1"/>
  <c r="A435" i="3" a="1"/>
  <c r="A435" i="3" s="1"/>
  <c r="A434" i="3" a="1"/>
  <c r="A434" i="3" s="1"/>
  <c r="A433" i="3" a="1"/>
  <c r="A433" i="3" s="1"/>
  <c r="A432" i="3" a="1"/>
  <c r="A432" i="3" s="1"/>
  <c r="A431" i="3" a="1"/>
  <c r="A431" i="3" s="1"/>
  <c r="A430" i="3" a="1"/>
  <c r="A430" i="3" s="1"/>
  <c r="A429" i="3" a="1"/>
  <c r="A429" i="3" s="1"/>
  <c r="A428" i="3" a="1"/>
  <c r="A428" i="3" s="1"/>
  <c r="A427" i="3" a="1"/>
  <c r="A427" i="3" s="1"/>
  <c r="A426" i="3" a="1"/>
  <c r="A426" i="3" s="1"/>
  <c r="A425" i="3" a="1"/>
  <c r="A425" i="3" s="1"/>
  <c r="A424" i="3" a="1"/>
  <c r="A424" i="3" s="1"/>
  <c r="A423" i="3" a="1"/>
  <c r="A423" i="3" s="1"/>
  <c r="A422" i="3" a="1"/>
  <c r="A422" i="3" s="1"/>
  <c r="A421" i="3" a="1"/>
  <c r="A421" i="3" s="1"/>
  <c r="A420" i="3" a="1"/>
  <c r="A420" i="3" s="1"/>
  <c r="A419" i="3" a="1"/>
  <c r="A419" i="3" s="1"/>
  <c r="A418" i="3" a="1"/>
  <c r="A418" i="3" s="1"/>
  <c r="A417" i="3" a="1"/>
  <c r="A417" i="3" s="1"/>
  <c r="A416" i="3" a="1"/>
  <c r="A416" i="3" s="1"/>
  <c r="A415" i="3" a="1"/>
  <c r="A415" i="3" s="1"/>
  <c r="A414" i="3" a="1"/>
  <c r="A414" i="3" s="1"/>
  <c r="A413" i="3" a="1"/>
  <c r="A413" i="3" s="1"/>
  <c r="A412" i="3" a="1"/>
  <c r="A412" i="3" s="1"/>
  <c r="A411" i="3" a="1"/>
  <c r="A411" i="3" s="1"/>
  <c r="A410" i="3" a="1"/>
  <c r="A410" i="3" s="1"/>
  <c r="A409" i="3" a="1"/>
  <c r="A409" i="3" s="1"/>
  <c r="A408" i="3" a="1"/>
  <c r="A408" i="3" s="1"/>
  <c r="A407" i="3" a="1"/>
  <c r="A407" i="3" s="1"/>
  <c r="A406" i="3" a="1"/>
  <c r="A406" i="3" s="1"/>
  <c r="A405" i="3" a="1"/>
  <c r="A405" i="3" s="1"/>
  <c r="A404" i="3" a="1"/>
  <c r="A404" i="3" s="1"/>
  <c r="A403" i="3" a="1"/>
  <c r="A403" i="3" s="1"/>
  <c r="A402" i="3" a="1"/>
  <c r="A402" i="3" s="1"/>
  <c r="A401" i="3" a="1"/>
  <c r="A401" i="3" s="1"/>
  <c r="A400" i="3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A393" i="3" a="1"/>
  <c r="A393" i="3" s="1"/>
  <c r="A392" i="3" a="1"/>
  <c r="A392" i="3" s="1"/>
  <c r="A391" i="3" a="1"/>
  <c r="A391" i="3" s="1"/>
  <c r="A390" i="3" a="1"/>
  <c r="A390" i="3" s="1"/>
  <c r="A389" i="3" a="1"/>
  <c r="A389" i="3" s="1"/>
  <c r="A388" i="3" a="1"/>
  <c r="A388" i="3" s="1"/>
  <c r="A387" i="3" a="1"/>
  <c r="A387" i="3" s="1"/>
  <c r="A386" i="3" a="1"/>
  <c r="A386" i="3" s="1"/>
  <c r="A385" i="3" a="1"/>
  <c r="A385" i="3" s="1"/>
  <c r="A384" i="3" a="1"/>
  <c r="A384" i="3" s="1"/>
  <c r="A383" i="3" a="1"/>
  <c r="A383" i="3" s="1"/>
  <c r="A382" i="3" a="1"/>
  <c r="A382" i="3" s="1"/>
  <c r="A381" i="3" a="1"/>
  <c r="A381" i="3" s="1"/>
  <c r="A380" i="3" a="1"/>
  <c r="A380" i="3" s="1"/>
  <c r="A379" i="3" a="1"/>
  <c r="A379" i="3" s="1"/>
  <c r="A378" i="3" a="1"/>
  <c r="A378" i="3" s="1"/>
  <c r="A377" i="3" a="1"/>
  <c r="A377" i="3" s="1"/>
  <c r="A376" i="3" a="1"/>
  <c r="A376" i="3" s="1"/>
  <c r="A375" i="3" a="1"/>
  <c r="A375" i="3" s="1"/>
  <c r="A374" i="3" a="1"/>
  <c r="A374" i="3" s="1"/>
  <c r="A373" i="3" a="1"/>
  <c r="A373" i="3" s="1"/>
  <c r="A372" i="3" a="1"/>
  <c r="A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A352" i="3" a="1"/>
  <c r="A352" i="3" s="1"/>
  <c r="A351" i="3" a="1"/>
  <c r="A351" i="3" s="1"/>
  <c r="A350" i="3" a="1"/>
  <c r="A350" i="3" s="1"/>
  <c r="A349" i="3" a="1"/>
  <c r="A349" i="3" s="1"/>
  <c r="A348" i="3" a="1"/>
  <c r="A348" i="3" s="1"/>
  <c r="A347" i="3" a="1"/>
  <c r="A347" i="3" s="1"/>
  <c r="A346" i="3" a="1"/>
  <c r="A346" i="3" s="1"/>
  <c r="A345" i="3" a="1"/>
  <c r="A345" i="3" s="1"/>
  <c r="A344" i="3" a="1"/>
  <c r="A344" i="3" s="1"/>
  <c r="A343" i="3" a="1"/>
  <c r="A343" i="3" s="1"/>
  <c r="A342" i="3" a="1"/>
  <c r="A342" i="3" s="1"/>
  <c r="A341" i="3" a="1"/>
  <c r="A341" i="3" s="1"/>
  <c r="A340" i="3" a="1"/>
  <c r="A340" i="3" s="1"/>
  <c r="A339" i="3" a="1"/>
  <c r="A339" i="3" s="1"/>
  <c r="A338" i="3" a="1"/>
  <c r="A338" i="3" s="1"/>
  <c r="A337" i="3" a="1"/>
  <c r="A337" i="3" s="1"/>
  <c r="A336" i="3" a="1"/>
  <c r="A336" i="3" s="1"/>
  <c r="A335" i="3" a="1"/>
  <c r="A335" i="3" s="1"/>
  <c r="A334" i="3" a="1"/>
  <c r="A334" i="3" s="1"/>
  <c r="A333" i="3" a="1"/>
  <c r="A333" i="3" s="1"/>
  <c r="A332" i="3" a="1"/>
  <c r="A332" i="3" s="1"/>
  <c r="A331" i="3" a="1"/>
  <c r="A331" i="3" s="1"/>
  <c r="A330" i="3" a="1"/>
  <c r="A330" i="3" s="1"/>
  <c r="A329" i="3" a="1"/>
  <c r="A329" i="3" s="1"/>
  <c r="A328" i="3" a="1"/>
  <c r="A328" i="3" s="1"/>
  <c r="A327" i="3" a="1"/>
  <c r="A327" i="3" s="1"/>
  <c r="A326" i="3" a="1"/>
  <c r="A326" i="3" s="1"/>
  <c r="A325" i="3" a="1"/>
  <c r="A325" i="3" s="1"/>
  <c r="A324" i="3" a="1"/>
  <c r="A324" i="3" s="1"/>
  <c r="A323" i="3" a="1"/>
  <c r="A323" i="3" s="1"/>
  <c r="A322" i="3" a="1"/>
  <c r="A322" i="3" s="1"/>
  <c r="A321" i="3" a="1"/>
  <c r="A321" i="3" s="1"/>
  <c r="A320" i="3" a="1"/>
  <c r="A320" i="3" s="1"/>
  <c r="A319" i="3" a="1"/>
  <c r="A319" i="3" s="1"/>
  <c r="A318" i="3" a="1"/>
  <c r="A318" i="3" s="1"/>
  <c r="A317" i="3" a="1"/>
  <c r="A317" i="3" s="1"/>
  <c r="A316" i="3" a="1"/>
  <c r="A316" i="3" s="1"/>
  <c r="A315" i="3" a="1"/>
  <c r="A315" i="3" s="1"/>
  <c r="A314" i="3" a="1"/>
  <c r="A314" i="3" s="1"/>
  <c r="A313" i="3" a="1"/>
  <c r="A313" i="3" s="1"/>
  <c r="A312" i="3" a="1"/>
  <c r="A312" i="3" s="1"/>
  <c r="A311" i="3" a="1"/>
  <c r="A311" i="3" s="1"/>
  <c r="A310" i="3" a="1"/>
  <c r="A310" i="3" s="1"/>
  <c r="A309" i="3" a="1"/>
  <c r="A309" i="3" s="1"/>
  <c r="A308" i="3" a="1"/>
  <c r="A308" i="3" s="1"/>
  <c r="A307" i="3" a="1"/>
  <c r="A307" i="3" s="1"/>
  <c r="A306" i="3" a="1"/>
  <c r="A306" i="3" s="1"/>
  <c r="A305" i="3" a="1"/>
  <c r="A305" i="3" s="1"/>
  <c r="A304" i="3" a="1"/>
  <c r="A304" i="3" s="1"/>
  <c r="A303" i="3" a="1"/>
  <c r="A303" i="3" s="1"/>
  <c r="A302" i="3" a="1"/>
  <c r="A302" i="3" s="1"/>
  <c r="A301" i="3" a="1"/>
  <c r="A301" i="3" s="1"/>
  <c r="A300" i="3" a="1"/>
  <c r="A300" i="3" s="1"/>
  <c r="A299" i="3" a="1"/>
  <c r="A299" i="3" s="1"/>
  <c r="A298" i="3" a="1"/>
  <c r="A298" i="3" s="1"/>
  <c r="A297" i="3" a="1"/>
  <c r="A297" i="3" s="1"/>
  <c r="A296" i="3" a="1"/>
  <c r="A296" i="3" s="1"/>
  <c r="A295" i="3" a="1"/>
  <c r="A295" i="3" s="1"/>
  <c r="A294" i="3" a="1"/>
  <c r="A294" i="3" s="1"/>
  <c r="A293" i="3" a="1"/>
  <c r="A293" i="3" s="1"/>
  <c r="A292" i="3" a="1"/>
  <c r="A292" i="3" s="1"/>
  <c r="A291" i="3" a="1"/>
  <c r="A291" i="3" s="1"/>
  <c r="A290" i="3" a="1"/>
  <c r="A290" i="3" s="1"/>
  <c r="A289" i="3" a="1"/>
  <c r="A289" i="3" s="1"/>
  <c r="A288" i="3" a="1"/>
  <c r="A288" i="3" s="1"/>
  <c r="A287" i="3" a="1"/>
  <c r="A287" i="3" s="1"/>
  <c r="A286" i="3" a="1"/>
  <c r="A286" i="3" s="1"/>
  <c r="A285" i="3" a="1"/>
  <c r="A285" i="3" s="1"/>
  <c r="A284" i="3" a="1"/>
  <c r="A284" i="3" s="1"/>
  <c r="A283" i="3" a="1"/>
  <c r="A283" i="3" s="1"/>
  <c r="A282" i="3" a="1"/>
  <c r="A282" i="3" s="1"/>
  <c r="A281" i="3" a="1"/>
  <c r="A281" i="3" s="1"/>
  <c r="A280" i="3" a="1"/>
  <c r="A280" i="3" s="1"/>
  <c r="A279" i="3" a="1"/>
  <c r="A279" i="3" s="1"/>
  <c r="A278" i="3" a="1"/>
  <c r="A278" i="3" s="1"/>
  <c r="A277" i="3" a="1"/>
  <c r="A277" i="3" s="1"/>
  <c r="A276" i="3" a="1"/>
  <c r="A276" i="3" s="1"/>
  <c r="A275" i="3" a="1"/>
  <c r="A275" i="3" s="1"/>
  <c r="A274" i="3" a="1"/>
  <c r="A274" i="3" s="1"/>
  <c r="A273" i="3" a="1"/>
  <c r="A273" i="3" s="1"/>
  <c r="A272" i="3" a="1"/>
  <c r="A272" i="3" s="1"/>
  <c r="A271" i="3" a="1"/>
  <c r="A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A265" i="3" a="1"/>
  <c r="A265" i="3" s="1"/>
  <c r="A264" i="3" a="1"/>
  <c r="A264" i="3" s="1"/>
  <c r="A263" i="3" a="1"/>
  <c r="A263" i="3" s="1"/>
  <c r="A262" i="3" a="1"/>
  <c r="A262" i="3" s="1"/>
  <c r="A261" i="3" a="1"/>
  <c r="A261" i="3" s="1"/>
  <c r="A260" i="3" a="1"/>
  <c r="A260" i="3" s="1"/>
  <c r="A259" i="3" a="1"/>
  <c r="A259" i="3" s="1"/>
  <c r="A258" i="3" a="1"/>
  <c r="A258" i="3" s="1"/>
  <c r="A257" i="3" a="1"/>
  <c r="A257" i="3" s="1"/>
  <c r="A256" i="3" a="1"/>
  <c r="A256" i="3" s="1"/>
  <c r="A255" i="3" a="1"/>
  <c r="A255" i="3" s="1"/>
  <c r="A254" i="3" a="1"/>
  <c r="A254" i="3" s="1"/>
  <c r="A253" i="3" a="1"/>
  <c r="A253" i="3" s="1"/>
  <c r="A252" i="3" a="1"/>
  <c r="A252" i="3" s="1"/>
  <c r="A251" i="3" a="1"/>
  <c r="A251" i="3" s="1"/>
  <c r="A250" i="3" a="1"/>
  <c r="A250" i="3" s="1"/>
  <c r="A249" i="3" a="1"/>
  <c r="A249" i="3" s="1"/>
  <c r="A248" i="3" a="1"/>
  <c r="A248" i="3" s="1"/>
  <c r="A247" i="3" a="1"/>
  <c r="A247" i="3" s="1"/>
  <c r="A246" i="3" a="1"/>
  <c r="A246" i="3" s="1"/>
  <c r="A245" i="3" a="1"/>
  <c r="A245" i="3" s="1"/>
  <c r="A244" i="3" a="1"/>
  <c r="A244" i="3" s="1"/>
  <c r="A243" i="3" a="1"/>
  <c r="A243" i="3" s="1"/>
  <c r="A242" i="3" a="1"/>
  <c r="A242" i="3" s="1"/>
  <c r="A241" i="3" a="1"/>
  <c r="A241" i="3" s="1"/>
  <c r="A240" i="3" a="1"/>
  <c r="A240" i="3" s="1"/>
  <c r="A239" i="3" a="1"/>
  <c r="A239" i="3" s="1"/>
  <c r="A238" i="3" a="1"/>
  <c r="A238" i="3" s="1"/>
  <c r="A237" i="3" a="1"/>
  <c r="A237" i="3" s="1"/>
  <c r="A236" i="3" a="1"/>
  <c r="A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A230" i="3" a="1"/>
  <c r="A230" i="3" s="1"/>
  <c r="A229" i="3" a="1"/>
  <c r="A229" i="3" s="1"/>
  <c r="A228" i="3" a="1"/>
  <c r="A228" i="3" s="1"/>
  <c r="A227" i="3" a="1"/>
  <c r="A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A215" i="3" a="1"/>
  <c r="A215" i="3" s="1"/>
  <c r="A214" i="3" a="1"/>
  <c r="A214" i="3" s="1"/>
  <c r="A213" i="3" a="1"/>
  <c r="A213" i="3" s="1"/>
  <c r="A212" i="3" a="1"/>
  <c r="A212" i="3" s="1"/>
  <c r="A211" i="3" a="1"/>
  <c r="A211" i="3" s="1"/>
  <c r="A210" i="3" a="1"/>
  <c r="A210" i="3" s="1"/>
  <c r="A209" i="3" a="1"/>
  <c r="A209" i="3" s="1"/>
  <c r="A208" i="3" a="1"/>
  <c r="A208" i="3" s="1"/>
  <c r="A207" i="3" a="1"/>
  <c r="A207" i="3" s="1"/>
  <c r="A206" i="3" a="1"/>
  <c r="A206" i="3" s="1"/>
  <c r="A205" i="3" a="1"/>
  <c r="A205" i="3" s="1"/>
  <c r="A204" i="3" a="1"/>
  <c r="A204" i="3" s="1"/>
  <c r="A203" i="3" a="1"/>
  <c r="A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 s="1"/>
  <c r="A196" i="3" a="1"/>
  <c r="A196" i="3" s="1"/>
  <c r="A195" i="3" a="1"/>
  <c r="A195" i="3" s="1"/>
  <c r="A194" i="3" a="1"/>
  <c r="A194" i="3" s="1"/>
  <c r="A193" i="3" a="1"/>
  <c r="A193" i="3" s="1"/>
  <c r="A192" i="3" a="1"/>
  <c r="A192" i="3" s="1"/>
  <c r="A191" i="3" a="1"/>
  <c r="A191" i="3" s="1"/>
  <c r="A190" i="3" a="1"/>
  <c r="A190" i="3" s="1"/>
  <c r="A189" i="3" a="1"/>
  <c r="A189" i="3" s="1"/>
  <c r="A188" i="3" a="1"/>
  <c r="A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 s="1"/>
  <c r="A181" i="3" a="1"/>
  <c r="A181" i="3" s="1"/>
  <c r="A180" i="3" a="1"/>
  <c r="A180" i="3" s="1"/>
  <c r="A179" i="3" a="1"/>
  <c r="A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 s="1"/>
  <c r="A166" i="3" a="1"/>
  <c r="A166" i="3" s="1"/>
  <c r="A165" i="3" a="1"/>
  <c r="A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A154" i="3" a="1"/>
  <c r="A154" i="3" s="1"/>
  <c r="A153" i="3" a="1"/>
  <c r="A153" i="3" s="1"/>
  <c r="A152" i="3" a="1"/>
  <c r="A152" i="3" s="1"/>
  <c r="A151" i="3" a="1"/>
  <c r="A151" i="3" s="1"/>
  <c r="A150" i="3" a="1"/>
  <c r="A150" i="3" s="1"/>
  <c r="A149" i="3" a="1"/>
  <c r="A149" i="3" s="1"/>
  <c r="A148" i="3" a="1"/>
  <c r="A148" i="3" s="1"/>
  <c r="A147" i="3" a="1"/>
  <c r="A147" i="3" s="1"/>
  <c r="A146" i="3" a="1"/>
  <c r="A146" i="3" s="1"/>
  <c r="A145" i="3" a="1"/>
  <c r="A145" i="3" s="1"/>
  <c r="A144" i="3" a="1"/>
  <c r="A144" i="3" s="1"/>
  <c r="A143" i="3" a="1"/>
  <c r="A143" i="3" s="1"/>
  <c r="A142" i="3" a="1"/>
  <c r="A142" i="3" s="1"/>
  <c r="A141" i="3" a="1"/>
  <c r="A141" i="3" s="1"/>
  <c r="A140" i="3" a="1"/>
  <c r="A140" i="3" s="1"/>
  <c r="A139" i="3" a="1"/>
  <c r="A139" i="3" s="1"/>
  <c r="A138" i="3" a="1"/>
  <c r="A138" i="3" s="1"/>
  <c r="A137" i="3" a="1"/>
  <c r="A137" i="3" s="1"/>
  <c r="A136" i="3" a="1"/>
  <c r="A136" i="3" s="1"/>
  <c r="A135" i="3" a="1"/>
  <c r="A135" i="3" s="1"/>
  <c r="A134" i="3" a="1"/>
  <c r="A134" i="3" s="1"/>
  <c r="A133" i="3" a="1"/>
  <c r="A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A127" i="3" a="1"/>
  <c r="A127" i="3" s="1"/>
  <c r="A126" i="3" a="1"/>
  <c r="A126" i="3" s="1"/>
  <c r="A125" i="3" a="1"/>
  <c r="A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A113" i="3" a="1"/>
  <c r="A113" i="3" s="1"/>
  <c r="A112" i="3" a="1"/>
  <c r="A112" i="3" s="1"/>
  <c r="A111" i="3" a="1"/>
  <c r="A111" i="3" s="1"/>
  <c r="A110" i="3" a="1"/>
  <c r="A110" i="3" s="1"/>
  <c r="A109" i="3" a="1"/>
  <c r="A109" i="3" s="1"/>
  <c r="A108" i="3" a="1"/>
  <c r="A108" i="3" s="1"/>
  <c r="A107" i="3" a="1"/>
  <c r="A107" i="3" s="1"/>
  <c r="A106" i="3" a="1"/>
  <c r="A106" i="3" s="1"/>
  <c r="A105" i="3" a="1"/>
  <c r="A105" i="3" s="1"/>
  <c r="A104" i="3" a="1"/>
  <c r="A104" i="3" s="1"/>
  <c r="A103" i="3" a="1"/>
  <c r="A103" i="3" s="1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 s="1"/>
  <c r="A96" i="3" a="1"/>
  <c r="A96" i="3" s="1"/>
  <c r="A95" i="3" a="1"/>
  <c r="A95" i="3" s="1"/>
  <c r="A94" i="3" a="1"/>
  <c r="A94" i="3" s="1"/>
  <c r="A93" i="3" a="1"/>
  <c r="A93" i="3" s="1"/>
  <c r="A92" i="3" a="1"/>
  <c r="A92" i="3" s="1"/>
  <c r="A91" i="3" a="1"/>
  <c r="A91" i="3" s="1"/>
  <c r="A90" i="3" a="1"/>
  <c r="A90" i="3" s="1"/>
  <c r="A89" i="3" a="1"/>
  <c r="A89" i="3" s="1"/>
  <c r="A88" i="3" a="1"/>
  <c r="A88" i="3" s="1"/>
  <c r="A87" i="3" a="1"/>
  <c r="A87" i="3" s="1"/>
  <c r="A86" i="3" a="1"/>
  <c r="A86" i="3" s="1"/>
  <c r="A85" i="3" a="1"/>
  <c r="A85" i="3" s="1"/>
  <c r="A84" i="3" a="1"/>
  <c r="A84" i="3" s="1"/>
  <c r="A83" i="3" a="1"/>
  <c r="A83" i="3" s="1"/>
  <c r="A82" i="3" a="1"/>
  <c r="A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A76" i="3" a="1"/>
  <c r="A76" i="3" s="1"/>
  <c r="A75" i="3" a="1"/>
  <c r="A75" i="3" s="1"/>
  <c r="A74" i="3" a="1"/>
  <c r="A74" i="3" s="1"/>
  <c r="A73" i="3" a="1"/>
  <c r="A73" i="3" s="1"/>
  <c r="A72" i="3" a="1"/>
  <c r="A72" i="3" s="1"/>
  <c r="B423" i="9"/>
  <c r="B424" i="9"/>
  <c r="B426" i="9"/>
  <c r="B435" i="9"/>
  <c r="B436" i="9"/>
  <c r="B447" i="9"/>
  <c r="B448" i="9"/>
  <c r="B449" i="9"/>
  <c r="B450" i="9"/>
  <c r="B452" i="9"/>
  <c r="B453" i="9"/>
  <c r="B454" i="9"/>
  <c r="B461" i="9"/>
  <c r="B471" i="9"/>
  <c r="B472" i="9"/>
  <c r="B473" i="9"/>
  <c r="B476" i="9"/>
  <c r="B483" i="9"/>
  <c r="B484" i="9"/>
  <c r="B495" i="9"/>
  <c r="B496" i="9"/>
  <c r="B497" i="9"/>
  <c r="B507" i="9"/>
  <c r="B508" i="9"/>
  <c r="B510" i="9"/>
  <c r="B512" i="9"/>
  <c r="B519" i="9"/>
  <c r="B520" i="9"/>
  <c r="B521" i="9"/>
  <c r="B532" i="9"/>
  <c r="B533" i="9"/>
  <c r="B538" i="9"/>
  <c r="B543" i="9"/>
  <c r="B544" i="9"/>
  <c r="B551" i="9"/>
  <c r="B555" i="9"/>
  <c r="B556" i="9"/>
  <c r="B557" i="9"/>
  <c r="B558" i="9"/>
  <c r="B560" i="9"/>
  <c r="B569" i="9"/>
  <c r="B579" i="9"/>
  <c r="B580" i="9"/>
  <c r="B581" i="9"/>
  <c r="B582" i="9"/>
  <c r="B584" i="9"/>
  <c r="B585" i="9"/>
  <c r="B591" i="9"/>
  <c r="B593" i="9"/>
  <c r="B594" i="9"/>
  <c r="B603" i="9"/>
  <c r="B604" i="9"/>
  <c r="B605" i="9"/>
  <c r="B606" i="9"/>
  <c r="B608" i="9"/>
  <c r="B609" i="9"/>
  <c r="B610" i="9"/>
  <c r="B611" i="9"/>
  <c r="B612" i="9"/>
  <c r="B615" i="9"/>
  <c r="B616" i="9"/>
  <c r="B617" i="9"/>
  <c r="B628" i="9"/>
  <c r="B629" i="9"/>
  <c r="B632" i="9"/>
  <c r="B633" i="9"/>
  <c r="B640" i="9"/>
  <c r="B642" i="9"/>
  <c r="B643" i="9"/>
  <c r="B644" i="9"/>
  <c r="B652" i="9"/>
  <c r="B653" i="9"/>
  <c r="B654" i="9"/>
  <c r="B664" i="9"/>
  <c r="B676" i="9"/>
  <c r="B677" i="9"/>
  <c r="B679" i="9"/>
  <c r="B680" i="9"/>
  <c r="B686" i="9"/>
  <c r="B688" i="9"/>
  <c r="B689" i="9"/>
  <c r="B690" i="9"/>
  <c r="B700" i="9"/>
  <c r="B701" i="9"/>
  <c r="B703" i="9"/>
  <c r="B704" i="9"/>
  <c r="B705" i="9"/>
  <c r="B706" i="9"/>
  <c r="B712" i="9"/>
  <c r="B714" i="9"/>
  <c r="B716" i="9"/>
  <c r="B724" i="9"/>
  <c r="B725" i="9"/>
  <c r="B726" i="9"/>
  <c r="B727" i="9"/>
  <c r="B728" i="9"/>
  <c r="B736" i="9"/>
  <c r="B738" i="9"/>
  <c r="B739" i="9"/>
  <c r="B740" i="9"/>
  <c r="B748" i="9"/>
  <c r="B749" i="9"/>
  <c r="B750" i="9"/>
  <c r="B751" i="9"/>
  <c r="B754" i="9"/>
  <c r="B760" i="9"/>
  <c r="B772" i="9"/>
  <c r="B773" i="9"/>
  <c r="B774" i="9"/>
  <c r="B776" i="9"/>
  <c r="B782" i="9"/>
  <c r="B785" i="9"/>
  <c r="B786" i="9"/>
  <c r="B787" i="9"/>
  <c r="B796" i="9"/>
  <c r="B797" i="9"/>
  <c r="B798" i="9"/>
  <c r="B800" i="9"/>
  <c r="B808" i="9"/>
  <c r="B810" i="9"/>
  <c r="B812" i="9"/>
  <c r="B820" i="9"/>
  <c r="B821" i="9"/>
  <c r="B832" i="9"/>
  <c r="B833" i="9"/>
  <c r="B836" i="9"/>
  <c r="B837" i="9"/>
  <c r="B838" i="9"/>
  <c r="B844" i="9"/>
  <c r="B846" i="9"/>
  <c r="B847" i="9"/>
  <c r="B848" i="9"/>
  <c r="B856" i="9"/>
  <c r="B857" i="9"/>
  <c r="B869" i="9"/>
  <c r="B870" i="9"/>
  <c r="B872" i="9"/>
  <c r="B873" i="9"/>
  <c r="B880" i="9"/>
  <c r="B881" i="9"/>
  <c r="B882" i="9"/>
  <c r="B884" i="9"/>
  <c r="B892" i="9"/>
  <c r="B904" i="9"/>
  <c r="B906" i="9"/>
  <c r="B907" i="9"/>
  <c r="B908" i="9"/>
  <c r="B911" i="9"/>
  <c r="B914" i="9"/>
  <c r="B916" i="9"/>
  <c r="B918" i="9"/>
  <c r="B928" i="9"/>
  <c r="B930" i="9"/>
  <c r="B931" i="9"/>
  <c r="B932" i="9"/>
  <c r="B940" i="9"/>
  <c r="B941" i="9"/>
  <c r="B944" i="9"/>
  <c r="B945" i="9"/>
  <c r="B946" i="9"/>
  <c r="B952" i="9"/>
  <c r="B953" i="9"/>
  <c r="B954" i="9"/>
  <c r="B964" i="9"/>
  <c r="B965" i="9"/>
  <c r="B966" i="9"/>
  <c r="B967" i="9"/>
  <c r="B968" i="9"/>
  <c r="B976" i="9"/>
  <c r="B977" i="9"/>
  <c r="B988" i="9"/>
  <c r="B989" i="9"/>
  <c r="B990" i="9"/>
  <c r="B1000" i="9"/>
  <c r="A1000" i="9" a="1"/>
  <c r="A1000" i="9" s="1"/>
  <c r="A999" i="9" a="1"/>
  <c r="A999" i="9" s="1"/>
  <c r="A998" i="9" a="1"/>
  <c r="A998" i="9" s="1"/>
  <c r="A997" i="9" a="1"/>
  <c r="A997" i="9" s="1"/>
  <c r="A996" i="9" a="1"/>
  <c r="A996" i="9" s="1"/>
  <c r="A995" i="9" a="1"/>
  <c r="A995" i="9" s="1"/>
  <c r="A994" i="9" a="1"/>
  <c r="A994" i="9" s="1"/>
  <c r="A993" i="9" a="1"/>
  <c r="A993" i="9" s="1"/>
  <c r="A992" i="9" a="1"/>
  <c r="A992" i="9" s="1"/>
  <c r="A991" i="9" a="1"/>
  <c r="A991" i="9" s="1"/>
  <c r="A990" i="9" a="1"/>
  <c r="A990" i="9" s="1"/>
  <c r="A989" i="9" a="1"/>
  <c r="A989" i="9" s="1"/>
  <c r="A988" i="9" a="1"/>
  <c r="A988" i="9" s="1"/>
  <c r="A987" i="9" a="1"/>
  <c r="A987" i="9" s="1"/>
  <c r="A986" i="9" a="1"/>
  <c r="A986" i="9" s="1"/>
  <c r="A985" i="9" a="1"/>
  <c r="A985" i="9" s="1"/>
  <c r="A984" i="9" a="1"/>
  <c r="A984" i="9" s="1"/>
  <c r="A983" i="9" a="1"/>
  <c r="A983" i="9" s="1"/>
  <c r="A982" i="9" a="1"/>
  <c r="A982" i="9" s="1"/>
  <c r="A981" i="9" a="1"/>
  <c r="A981" i="9" s="1"/>
  <c r="A980" i="9" a="1"/>
  <c r="A980" i="9" s="1"/>
  <c r="A979" i="9" a="1"/>
  <c r="A979" i="9" s="1"/>
  <c r="A978" i="9" a="1"/>
  <c r="A978" i="9" s="1"/>
  <c r="A977" i="9" a="1"/>
  <c r="A977" i="9" s="1"/>
  <c r="A976" i="9" a="1"/>
  <c r="A976" i="9" s="1"/>
  <c r="A975" i="9" a="1"/>
  <c r="A975" i="9" s="1"/>
  <c r="A974" i="9" a="1"/>
  <c r="A974" i="9" s="1"/>
  <c r="A973" i="9" a="1"/>
  <c r="A973" i="9" s="1"/>
  <c r="A972" i="9" a="1"/>
  <c r="A972" i="9" s="1"/>
  <c r="A971" i="9" a="1"/>
  <c r="A971" i="9" s="1"/>
  <c r="A970" i="9" a="1"/>
  <c r="A970" i="9" s="1"/>
  <c r="A969" i="9" a="1"/>
  <c r="A969" i="9" s="1"/>
  <c r="A968" i="9" a="1"/>
  <c r="A968" i="9" s="1"/>
  <c r="A967" i="9" a="1"/>
  <c r="A967" i="9" s="1"/>
  <c r="A966" i="9" a="1"/>
  <c r="A966" i="9" s="1"/>
  <c r="A965" i="9" a="1"/>
  <c r="A965" i="9" s="1"/>
  <c r="A964" i="9" a="1"/>
  <c r="A964" i="9" s="1"/>
  <c r="A963" i="9" a="1"/>
  <c r="A963" i="9" s="1"/>
  <c r="A962" i="9" a="1"/>
  <c r="A962" i="9" s="1"/>
  <c r="A961" i="9" a="1"/>
  <c r="A961" i="9" s="1"/>
  <c r="A960" i="9" a="1"/>
  <c r="A960" i="9" s="1"/>
  <c r="A959" i="9" a="1"/>
  <c r="A959" i="9" s="1"/>
  <c r="A958" i="9" a="1"/>
  <c r="A958" i="9" s="1"/>
  <c r="A957" i="9" a="1"/>
  <c r="A957" i="9" s="1"/>
  <c r="A956" i="9" a="1"/>
  <c r="A956" i="9" s="1"/>
  <c r="A955" i="9" a="1"/>
  <c r="A955" i="9" s="1"/>
  <c r="A954" i="9" a="1"/>
  <c r="A954" i="9" s="1"/>
  <c r="A953" i="9" a="1"/>
  <c r="A953" i="9" s="1"/>
  <c r="A952" i="9" a="1"/>
  <c r="A952" i="9" s="1"/>
  <c r="A951" i="9" a="1"/>
  <c r="A951" i="9" s="1"/>
  <c r="A950" i="9" a="1"/>
  <c r="A950" i="9" s="1"/>
  <c r="A949" i="9" a="1"/>
  <c r="A949" i="9" s="1"/>
  <c r="A948" i="9" a="1"/>
  <c r="A948" i="9" s="1"/>
  <c r="A947" i="9" a="1"/>
  <c r="A947" i="9" s="1"/>
  <c r="A946" i="9" a="1"/>
  <c r="A946" i="9" s="1"/>
  <c r="A945" i="9" a="1"/>
  <c r="A945" i="9" s="1"/>
  <c r="A944" i="9" a="1"/>
  <c r="A944" i="9" s="1"/>
  <c r="A943" i="9" a="1"/>
  <c r="A943" i="9" s="1"/>
  <c r="A942" i="9" a="1"/>
  <c r="A942" i="9" s="1"/>
  <c r="A941" i="9" a="1"/>
  <c r="A941" i="9" s="1"/>
  <c r="A940" i="9" a="1"/>
  <c r="A940" i="9" s="1"/>
  <c r="A939" i="9" a="1"/>
  <c r="A939" i="9" s="1"/>
  <c r="A938" i="9" a="1"/>
  <c r="A938" i="9" s="1"/>
  <c r="A937" i="9" a="1"/>
  <c r="A937" i="9" s="1"/>
  <c r="A936" i="9" a="1"/>
  <c r="A936" i="9" s="1"/>
  <c r="A935" i="9" a="1"/>
  <c r="A935" i="9" s="1"/>
  <c r="A934" i="9" a="1"/>
  <c r="A934" i="9" s="1"/>
  <c r="A933" i="9" a="1"/>
  <c r="A933" i="9" s="1"/>
  <c r="A932" i="9" a="1"/>
  <c r="A932" i="9" s="1"/>
  <c r="A931" i="9" a="1"/>
  <c r="A931" i="9" s="1"/>
  <c r="A930" i="9" a="1"/>
  <c r="A930" i="9" s="1"/>
  <c r="A929" i="9" a="1"/>
  <c r="A929" i="9" s="1"/>
  <c r="A928" i="9" a="1"/>
  <c r="A928" i="9" s="1"/>
  <c r="A927" i="9" a="1"/>
  <c r="A927" i="9" s="1"/>
  <c r="A926" i="9" a="1"/>
  <c r="A926" i="9" s="1"/>
  <c r="A925" i="9" a="1"/>
  <c r="A925" i="9" s="1"/>
  <c r="A924" i="9" a="1"/>
  <c r="A924" i="9" s="1"/>
  <c r="A923" i="9" a="1"/>
  <c r="A923" i="9" s="1"/>
  <c r="A922" i="9" a="1"/>
  <c r="A922" i="9" s="1"/>
  <c r="A921" i="9" a="1"/>
  <c r="A921" i="9" s="1"/>
  <c r="A920" i="9" a="1"/>
  <c r="A920" i="9" s="1"/>
  <c r="A919" i="9" a="1"/>
  <c r="A919" i="9" s="1"/>
  <c r="A918" i="9" a="1"/>
  <c r="A918" i="9" s="1"/>
  <c r="A917" i="9" a="1"/>
  <c r="A917" i="9" s="1"/>
  <c r="A916" i="9" a="1"/>
  <c r="A916" i="9" s="1"/>
  <c r="A915" i="9" a="1"/>
  <c r="A915" i="9" s="1"/>
  <c r="A914" i="9" a="1"/>
  <c r="A914" i="9" s="1"/>
  <c r="A913" i="9" a="1"/>
  <c r="A913" i="9" s="1"/>
  <c r="A912" i="9" a="1"/>
  <c r="A912" i="9" s="1"/>
  <c r="A911" i="9" a="1"/>
  <c r="A911" i="9" s="1"/>
  <c r="A910" i="9" a="1"/>
  <c r="A910" i="9" s="1"/>
  <c r="A909" i="9" a="1"/>
  <c r="A909" i="9" s="1"/>
  <c r="A908" i="9" a="1"/>
  <c r="A908" i="9" s="1"/>
  <c r="A907" i="9" a="1"/>
  <c r="A907" i="9" s="1"/>
  <c r="A906" i="9" a="1"/>
  <c r="A906" i="9" s="1"/>
  <c r="A905" i="9" a="1"/>
  <c r="A905" i="9" s="1"/>
  <c r="A904" i="9" a="1"/>
  <c r="A904" i="9" s="1"/>
  <c r="A903" i="9" a="1"/>
  <c r="A903" i="9" s="1"/>
  <c r="A902" i="9" a="1"/>
  <c r="A902" i="9" s="1"/>
  <c r="A901" i="9" a="1"/>
  <c r="A901" i="9" s="1"/>
  <c r="A900" i="9" a="1"/>
  <c r="A900" i="9" s="1"/>
  <c r="A899" i="9" a="1"/>
  <c r="A899" i="9" s="1"/>
  <c r="A898" i="9" a="1"/>
  <c r="A898" i="9" s="1"/>
  <c r="A897" i="9" a="1"/>
  <c r="A897" i="9" s="1"/>
  <c r="A896" i="9" a="1"/>
  <c r="A896" i="9" s="1"/>
  <c r="A895" i="9" a="1"/>
  <c r="A895" i="9" s="1"/>
  <c r="A894" i="9" a="1"/>
  <c r="A894" i="9" s="1"/>
  <c r="A893" i="9" a="1"/>
  <c r="A893" i="9" s="1"/>
  <c r="A892" i="9" a="1"/>
  <c r="A892" i="9" s="1"/>
  <c r="A891" i="9" a="1"/>
  <c r="A891" i="9" s="1"/>
  <c r="A890" i="9" a="1"/>
  <c r="A890" i="9" s="1"/>
  <c r="A889" i="9" a="1"/>
  <c r="A889" i="9" s="1"/>
  <c r="A888" i="9" a="1"/>
  <c r="A888" i="9" s="1"/>
  <c r="A887" i="9" a="1"/>
  <c r="A887" i="9" s="1"/>
  <c r="A886" i="9" a="1"/>
  <c r="A886" i="9" s="1"/>
  <c r="A885" i="9" a="1"/>
  <c r="A885" i="9" s="1"/>
  <c r="A884" i="9" a="1"/>
  <c r="A884" i="9" s="1"/>
  <c r="A883" i="9" a="1"/>
  <c r="A883" i="9" s="1"/>
  <c r="A882" i="9" a="1"/>
  <c r="A882" i="9" s="1"/>
  <c r="A881" i="9" a="1"/>
  <c r="A881" i="9" s="1"/>
  <c r="A880" i="9" a="1"/>
  <c r="A880" i="9" s="1"/>
  <c r="A879" i="9" a="1"/>
  <c r="A879" i="9" s="1"/>
  <c r="A878" i="9" a="1"/>
  <c r="A878" i="9" s="1"/>
  <c r="A877" i="9" a="1"/>
  <c r="A877" i="9" s="1"/>
  <c r="A876" i="9" a="1"/>
  <c r="A876" i="9" s="1"/>
  <c r="A875" i="9" a="1"/>
  <c r="A875" i="9" s="1"/>
  <c r="A874" i="9" a="1"/>
  <c r="A874" i="9" s="1"/>
  <c r="A873" i="9" a="1"/>
  <c r="A873" i="9" s="1"/>
  <c r="A872" i="9" a="1"/>
  <c r="A872" i="9" s="1"/>
  <c r="A871" i="9" a="1"/>
  <c r="A871" i="9" s="1"/>
  <c r="A870" i="9" a="1"/>
  <c r="A870" i="9" s="1"/>
  <c r="A869" i="9" a="1"/>
  <c r="A869" i="9" s="1"/>
  <c r="A868" i="9" a="1"/>
  <c r="A868" i="9" s="1"/>
  <c r="A867" i="9" a="1"/>
  <c r="A867" i="9" s="1"/>
  <c r="A866" i="9" a="1"/>
  <c r="A866" i="9" s="1"/>
  <c r="A865" i="9" a="1"/>
  <c r="A865" i="9" s="1"/>
  <c r="A864" i="9" a="1"/>
  <c r="A864" i="9" s="1"/>
  <c r="A863" i="9" a="1"/>
  <c r="A863" i="9" s="1"/>
  <c r="A862" i="9" a="1"/>
  <c r="A862" i="9" s="1"/>
  <c r="A861" i="9" a="1"/>
  <c r="A861" i="9" s="1"/>
  <c r="A860" i="9" a="1"/>
  <c r="A860" i="9" s="1"/>
  <c r="A859" i="9" a="1"/>
  <c r="A859" i="9" s="1"/>
  <c r="A858" i="9" a="1"/>
  <c r="A858" i="9" s="1"/>
  <c r="A857" i="9" a="1"/>
  <c r="A857" i="9" s="1"/>
  <c r="A856" i="9" a="1"/>
  <c r="A856" i="9" s="1"/>
  <c r="A855" i="9" a="1"/>
  <c r="A855" i="9" s="1"/>
  <c r="A854" i="9" a="1"/>
  <c r="A854" i="9" s="1"/>
  <c r="A853" i="9" a="1"/>
  <c r="A853" i="9" s="1"/>
  <c r="A852" i="9" a="1"/>
  <c r="A852" i="9" s="1"/>
  <c r="A851" i="9" a="1"/>
  <c r="A851" i="9" s="1"/>
  <c r="A850" i="9" a="1"/>
  <c r="A850" i="9" s="1"/>
  <c r="A849" i="9" a="1"/>
  <c r="A849" i="9" s="1"/>
  <c r="A848" i="9" a="1"/>
  <c r="A848" i="9" s="1"/>
  <c r="A847" i="9" a="1"/>
  <c r="A847" i="9" s="1"/>
  <c r="A846" i="9" a="1"/>
  <c r="A846" i="9" s="1"/>
  <c r="A845" i="9" a="1"/>
  <c r="A845" i="9" s="1"/>
  <c r="A844" i="9" a="1"/>
  <c r="A844" i="9" s="1"/>
  <c r="A843" i="9" a="1"/>
  <c r="A843" i="9" s="1"/>
  <c r="A842" i="9" a="1"/>
  <c r="A842" i="9" s="1"/>
  <c r="A841" i="9" a="1"/>
  <c r="A841" i="9" s="1"/>
  <c r="A840" i="9" a="1"/>
  <c r="A840" i="9" s="1"/>
  <c r="A839" i="9" a="1"/>
  <c r="A839" i="9" s="1"/>
  <c r="A838" i="9" a="1"/>
  <c r="A838" i="9" s="1"/>
  <c r="A837" i="9" a="1"/>
  <c r="A837" i="9" s="1"/>
  <c r="A836" i="9" a="1"/>
  <c r="A836" i="9" s="1"/>
  <c r="A835" i="9" a="1"/>
  <c r="A835" i="9" s="1"/>
  <c r="A834" i="9" a="1"/>
  <c r="A834" i="9" s="1"/>
  <c r="A833" i="9" a="1"/>
  <c r="A833" i="9" s="1"/>
  <c r="A832" i="9" a="1"/>
  <c r="A832" i="9" s="1"/>
  <c r="A831" i="9" a="1"/>
  <c r="A831" i="9" s="1"/>
  <c r="A830" i="9" a="1"/>
  <c r="A830" i="9" s="1"/>
  <c r="A829" i="9" a="1"/>
  <c r="A829" i="9" s="1"/>
  <c r="A828" i="9" a="1"/>
  <c r="A828" i="9" s="1"/>
  <c r="A827" i="9" a="1"/>
  <c r="A827" i="9" s="1"/>
  <c r="A826" i="9" a="1"/>
  <c r="A826" i="9" s="1"/>
  <c r="A825" i="9" a="1"/>
  <c r="A825" i="9" s="1"/>
  <c r="A824" i="9" a="1"/>
  <c r="A824" i="9" s="1"/>
  <c r="A823" i="9" a="1"/>
  <c r="A823" i="9" s="1"/>
  <c r="A822" i="9" a="1"/>
  <c r="A822" i="9" s="1"/>
  <c r="A821" i="9" a="1"/>
  <c r="A821" i="9" s="1"/>
  <c r="A820" i="9" a="1"/>
  <c r="A820" i="9" s="1"/>
  <c r="A819" i="9" a="1"/>
  <c r="A819" i="9" s="1"/>
  <c r="A818" i="9" a="1"/>
  <c r="A818" i="9" s="1"/>
  <c r="A817" i="9" a="1"/>
  <c r="A817" i="9" s="1"/>
  <c r="A816" i="9" a="1"/>
  <c r="A816" i="9" s="1"/>
  <c r="A815" i="9" a="1"/>
  <c r="A815" i="9" s="1"/>
  <c r="A814" i="9" a="1"/>
  <c r="A814" i="9" s="1"/>
  <c r="A813" i="9" a="1"/>
  <c r="A813" i="9" s="1"/>
  <c r="A812" i="9" a="1"/>
  <c r="A812" i="9" s="1"/>
  <c r="A811" i="9" a="1"/>
  <c r="A811" i="9" s="1"/>
  <c r="A810" i="9" a="1"/>
  <c r="A810" i="9" s="1"/>
  <c r="A809" i="9" a="1"/>
  <c r="A809" i="9" s="1"/>
  <c r="A808" i="9" a="1"/>
  <c r="A808" i="9" s="1"/>
  <c r="A807" i="9" a="1"/>
  <c r="A807" i="9" s="1"/>
  <c r="A806" i="9" a="1"/>
  <c r="A806" i="9" s="1"/>
  <c r="A805" i="9" a="1"/>
  <c r="A805" i="9" s="1"/>
  <c r="A804" i="9" a="1"/>
  <c r="A804" i="9" s="1"/>
  <c r="A803" i="9" a="1"/>
  <c r="A803" i="9" s="1"/>
  <c r="A802" i="9" a="1"/>
  <c r="A802" i="9" s="1"/>
  <c r="A801" i="9" a="1"/>
  <c r="A801" i="9" s="1"/>
  <c r="A800" i="9" a="1"/>
  <c r="A800" i="9" s="1"/>
  <c r="A799" i="9" a="1"/>
  <c r="A799" i="9" s="1"/>
  <c r="A798" i="9" a="1"/>
  <c r="A798" i="9" s="1"/>
  <c r="A797" i="9" a="1"/>
  <c r="A797" i="9" s="1"/>
  <c r="A796" i="9" a="1"/>
  <c r="A796" i="9" s="1"/>
  <c r="A795" i="9" a="1"/>
  <c r="A795" i="9" s="1"/>
  <c r="A794" i="9" a="1"/>
  <c r="A794" i="9" s="1"/>
  <c r="A793" i="9" a="1"/>
  <c r="A793" i="9" s="1"/>
  <c r="A792" i="9" a="1"/>
  <c r="A792" i="9" s="1"/>
  <c r="A791" i="9" a="1"/>
  <c r="A791" i="9" s="1"/>
  <c r="A790" i="9" a="1"/>
  <c r="A790" i="9" s="1"/>
  <c r="A789" i="9" a="1"/>
  <c r="A789" i="9" s="1"/>
  <c r="A788" i="9" a="1"/>
  <c r="A788" i="9" s="1"/>
  <c r="A787" i="9" a="1"/>
  <c r="A787" i="9" s="1"/>
  <c r="A786" i="9" a="1"/>
  <c r="A786" i="9" s="1"/>
  <c r="A785" i="9" a="1"/>
  <c r="A785" i="9" s="1"/>
  <c r="A784" i="9" a="1"/>
  <c r="A784" i="9" s="1"/>
  <c r="A783" i="9" a="1"/>
  <c r="A783" i="9" s="1"/>
  <c r="A782" i="9" a="1"/>
  <c r="A782" i="9" s="1"/>
  <c r="A781" i="9" a="1"/>
  <c r="A781" i="9" s="1"/>
  <c r="A780" i="9" a="1"/>
  <c r="A780" i="9" s="1"/>
  <c r="A779" i="9" a="1"/>
  <c r="A779" i="9" s="1"/>
  <c r="A778" i="9" a="1"/>
  <c r="A778" i="9" s="1"/>
  <c r="A777" i="9" a="1"/>
  <c r="A777" i="9" s="1"/>
  <c r="A776" i="9" a="1"/>
  <c r="A776" i="9" s="1"/>
  <c r="A775" i="9" a="1"/>
  <c r="A775" i="9" s="1"/>
  <c r="A774" i="9" a="1"/>
  <c r="A774" i="9" s="1"/>
  <c r="A773" i="9" a="1"/>
  <c r="A773" i="9" s="1"/>
  <c r="A772" i="9" a="1"/>
  <c r="A772" i="9" s="1"/>
  <c r="A771" i="9" a="1"/>
  <c r="A771" i="9" s="1"/>
  <c r="A770" i="9" a="1"/>
  <c r="A770" i="9" s="1"/>
  <c r="A769" i="9" a="1"/>
  <c r="A769" i="9" s="1"/>
  <c r="A768" i="9" a="1"/>
  <c r="A768" i="9" s="1"/>
  <c r="A767" i="9" a="1"/>
  <c r="A767" i="9" s="1"/>
  <c r="A766" i="9" a="1"/>
  <c r="A766" i="9" s="1"/>
  <c r="A765" i="9" a="1"/>
  <c r="A765" i="9" s="1"/>
  <c r="A764" i="9" a="1"/>
  <c r="A764" i="9" s="1"/>
  <c r="A763" i="9" a="1"/>
  <c r="A763" i="9" s="1"/>
  <c r="A762" i="9" a="1"/>
  <c r="A762" i="9" s="1"/>
  <c r="A761" i="9" a="1"/>
  <c r="A761" i="9" s="1"/>
  <c r="A760" i="9" a="1"/>
  <c r="A760" i="9" s="1"/>
  <c r="A759" i="9" a="1"/>
  <c r="A759" i="9" s="1"/>
  <c r="A758" i="9" a="1"/>
  <c r="A758" i="9" s="1"/>
  <c r="A757" i="9" a="1"/>
  <c r="A757" i="9" s="1"/>
  <c r="A756" i="9" a="1"/>
  <c r="A756" i="9" s="1"/>
  <c r="A755" i="9" a="1"/>
  <c r="A755" i="9" s="1"/>
  <c r="A754" i="9" a="1"/>
  <c r="A754" i="9" s="1"/>
  <c r="A753" i="9" a="1"/>
  <c r="A753" i="9" s="1"/>
  <c r="A752" i="9" a="1"/>
  <c r="A752" i="9" s="1"/>
  <c r="A751" i="9" a="1"/>
  <c r="A751" i="9" s="1"/>
  <c r="A750" i="9" a="1"/>
  <c r="A750" i="9" s="1"/>
  <c r="A749" i="9" a="1"/>
  <c r="A749" i="9" s="1"/>
  <c r="A748" i="9" a="1"/>
  <c r="A748" i="9" s="1"/>
  <c r="A747" i="9" a="1"/>
  <c r="A747" i="9" s="1"/>
  <c r="A746" i="9" a="1"/>
  <c r="A746" i="9" s="1"/>
  <c r="A745" i="9" a="1"/>
  <c r="A745" i="9" s="1"/>
  <c r="A744" i="9" a="1"/>
  <c r="A744" i="9" s="1"/>
  <c r="A743" i="9" a="1"/>
  <c r="A743" i="9" s="1"/>
  <c r="A742" i="9" a="1"/>
  <c r="A742" i="9" s="1"/>
  <c r="A741" i="9" a="1"/>
  <c r="A741" i="9" s="1"/>
  <c r="A740" i="9" a="1"/>
  <c r="A740" i="9" s="1"/>
  <c r="A739" i="9" a="1"/>
  <c r="A739" i="9" s="1"/>
  <c r="A738" i="9" a="1"/>
  <c r="A738" i="9" s="1"/>
  <c r="A737" i="9" a="1"/>
  <c r="A737" i="9" s="1"/>
  <c r="A736" i="9" a="1"/>
  <c r="A736" i="9" s="1"/>
  <c r="A735" i="9" a="1"/>
  <c r="A735" i="9" s="1"/>
  <c r="A734" i="9" a="1"/>
  <c r="A734" i="9" s="1"/>
  <c r="A733" i="9" a="1"/>
  <c r="A733" i="9" s="1"/>
  <c r="A732" i="9" a="1"/>
  <c r="A732" i="9" s="1"/>
  <c r="A731" i="9" a="1"/>
  <c r="A731" i="9" s="1"/>
  <c r="A730" i="9" a="1"/>
  <c r="A730" i="9" s="1"/>
  <c r="A729" i="9" a="1"/>
  <c r="A729" i="9" s="1"/>
  <c r="A728" i="9" a="1"/>
  <c r="A728" i="9" s="1"/>
  <c r="A727" i="9" a="1"/>
  <c r="A727" i="9" s="1"/>
  <c r="A726" i="9" a="1"/>
  <c r="A726" i="9" s="1"/>
  <c r="A725" i="9" a="1"/>
  <c r="A725" i="9" s="1"/>
  <c r="A724" i="9" a="1"/>
  <c r="A724" i="9" s="1"/>
  <c r="A723" i="9" a="1"/>
  <c r="A723" i="9" s="1"/>
  <c r="A722" i="9" a="1"/>
  <c r="A722" i="9" s="1"/>
  <c r="A721" i="9" a="1"/>
  <c r="A721" i="9" s="1"/>
  <c r="A720" i="9" a="1"/>
  <c r="A720" i="9" s="1"/>
  <c r="A719" i="9" a="1"/>
  <c r="A719" i="9" s="1"/>
  <c r="A718" i="9" a="1"/>
  <c r="A718" i="9" s="1"/>
  <c r="A717" i="9" a="1"/>
  <c r="A717" i="9" s="1"/>
  <c r="A716" i="9" a="1"/>
  <c r="A716" i="9" s="1"/>
  <c r="A715" i="9" a="1"/>
  <c r="A715" i="9" s="1"/>
  <c r="A714" i="9" a="1"/>
  <c r="A714" i="9" s="1"/>
  <c r="A713" i="9" a="1"/>
  <c r="A713" i="9" s="1"/>
  <c r="A712" i="9" a="1"/>
  <c r="A712" i="9" s="1"/>
  <c r="A711" i="9" a="1"/>
  <c r="A711" i="9" s="1"/>
  <c r="A710" i="9" a="1"/>
  <c r="A710" i="9" s="1"/>
  <c r="A709" i="9" a="1"/>
  <c r="A709" i="9" s="1"/>
  <c r="A708" i="9" a="1"/>
  <c r="A708" i="9" s="1"/>
  <c r="A707" i="9" a="1"/>
  <c r="A707" i="9" s="1"/>
  <c r="A706" i="9" a="1"/>
  <c r="A706" i="9" s="1"/>
  <c r="A705" i="9" a="1"/>
  <c r="A705" i="9" s="1"/>
  <c r="A704" i="9" a="1"/>
  <c r="A704" i="9" s="1"/>
  <c r="A703" i="9" a="1"/>
  <c r="A703" i="9" s="1"/>
  <c r="A702" i="9" a="1"/>
  <c r="A702" i="9" s="1"/>
  <c r="A701" i="9" a="1"/>
  <c r="A701" i="9" s="1"/>
  <c r="A700" i="9" a="1"/>
  <c r="A700" i="9" s="1"/>
  <c r="A699" i="9" a="1"/>
  <c r="A699" i="9" s="1"/>
  <c r="A698" i="9" a="1"/>
  <c r="A698" i="9" s="1"/>
  <c r="A697" i="9" a="1"/>
  <c r="A697" i="9" s="1"/>
  <c r="A696" i="9" a="1"/>
  <c r="A696" i="9" s="1"/>
  <c r="A695" i="9" a="1"/>
  <c r="A695" i="9" s="1"/>
  <c r="A694" i="9" a="1"/>
  <c r="A694" i="9" s="1"/>
  <c r="A693" i="9" a="1"/>
  <c r="A693" i="9" s="1"/>
  <c r="A692" i="9" a="1"/>
  <c r="A692" i="9" s="1"/>
  <c r="A691" i="9" a="1"/>
  <c r="A691" i="9" s="1"/>
  <c r="A690" i="9" a="1"/>
  <c r="A690" i="9" s="1"/>
  <c r="A689" i="9" a="1"/>
  <c r="A689" i="9" s="1"/>
  <c r="A688" i="9" a="1"/>
  <c r="A688" i="9" s="1"/>
  <c r="A687" i="9" a="1"/>
  <c r="A687" i="9" s="1"/>
  <c r="A686" i="9" a="1"/>
  <c r="A686" i="9" s="1"/>
  <c r="A685" i="9" a="1"/>
  <c r="A685" i="9" s="1"/>
  <c r="A684" i="9" a="1"/>
  <c r="A684" i="9" s="1"/>
  <c r="A683" i="9" a="1"/>
  <c r="A683" i="9" s="1"/>
  <c r="A682" i="9" a="1"/>
  <c r="A682" i="9" s="1"/>
  <c r="A681" i="9" a="1"/>
  <c r="A681" i="9" s="1"/>
  <c r="A680" i="9" a="1"/>
  <c r="A680" i="9" s="1"/>
  <c r="A679" i="9" a="1"/>
  <c r="A679" i="9" s="1"/>
  <c r="A678" i="9" a="1"/>
  <c r="A678" i="9" s="1"/>
  <c r="A677" i="9" a="1"/>
  <c r="A677" i="9" s="1"/>
  <c r="A676" i="9" a="1"/>
  <c r="A676" i="9" s="1"/>
  <c r="A675" i="9" a="1"/>
  <c r="A675" i="9" s="1"/>
  <c r="A674" i="9" a="1"/>
  <c r="A674" i="9" s="1"/>
  <c r="A673" i="9" a="1"/>
  <c r="A673" i="9" s="1"/>
  <c r="A672" i="9" a="1"/>
  <c r="A672" i="9" s="1"/>
  <c r="A671" i="9" a="1"/>
  <c r="A671" i="9" s="1"/>
  <c r="A670" i="9" a="1"/>
  <c r="A670" i="9" s="1"/>
  <c r="A669" i="9" a="1"/>
  <c r="A669" i="9" s="1"/>
  <c r="A668" i="9" a="1"/>
  <c r="A668" i="9" s="1"/>
  <c r="A667" i="9" a="1"/>
  <c r="A667" i="9" s="1"/>
  <c r="A666" i="9" a="1"/>
  <c r="A666" i="9" s="1"/>
  <c r="A665" i="9" a="1"/>
  <c r="A665" i="9" s="1"/>
  <c r="A664" i="9" a="1"/>
  <c r="A664" i="9" s="1"/>
  <c r="A663" i="9" a="1"/>
  <c r="A663" i="9" s="1"/>
  <c r="A662" i="9" a="1"/>
  <c r="A662" i="9" s="1"/>
  <c r="A661" i="9" a="1"/>
  <c r="A661" i="9" s="1"/>
  <c r="A660" i="9" a="1"/>
  <c r="A660" i="9" s="1"/>
  <c r="A659" i="9" a="1"/>
  <c r="A659" i="9" s="1"/>
  <c r="A658" i="9" a="1"/>
  <c r="A658" i="9" s="1"/>
  <c r="A657" i="9" a="1"/>
  <c r="A657" i="9" s="1"/>
  <c r="A656" i="9" a="1"/>
  <c r="A656" i="9" s="1"/>
  <c r="A655" i="9" a="1"/>
  <c r="A655" i="9" s="1"/>
  <c r="A654" i="9" a="1"/>
  <c r="A654" i="9" s="1"/>
  <c r="A653" i="9" a="1"/>
  <c r="A653" i="9" s="1"/>
  <c r="A652" i="9" a="1"/>
  <c r="A652" i="9" s="1"/>
  <c r="A651" i="9" a="1"/>
  <c r="A651" i="9" s="1"/>
  <c r="A650" i="9" a="1"/>
  <c r="A650" i="9" s="1"/>
  <c r="A649" i="9" a="1"/>
  <c r="A649" i="9" s="1"/>
  <c r="A648" i="9" a="1"/>
  <c r="A648" i="9" s="1"/>
  <c r="A647" i="9" a="1"/>
  <c r="A647" i="9" s="1"/>
  <c r="A646" i="9" a="1"/>
  <c r="A646" i="9" s="1"/>
  <c r="A645" i="9" a="1"/>
  <c r="A645" i="9" s="1"/>
  <c r="A644" i="9" a="1"/>
  <c r="A644" i="9" s="1"/>
  <c r="A643" i="9" a="1"/>
  <c r="A643" i="9" s="1"/>
  <c r="A642" i="9" a="1"/>
  <c r="A642" i="9" s="1"/>
  <c r="A641" i="9" a="1"/>
  <c r="A641" i="9" s="1"/>
  <c r="A640" i="9" a="1"/>
  <c r="A640" i="9" s="1"/>
  <c r="A639" i="9" a="1"/>
  <c r="A639" i="9" s="1"/>
  <c r="A638" i="9" a="1"/>
  <c r="A638" i="9" s="1"/>
  <c r="A637" i="9" a="1"/>
  <c r="A637" i="9" s="1"/>
  <c r="A636" i="9" a="1"/>
  <c r="A636" i="9" s="1"/>
  <c r="A635" i="9" a="1"/>
  <c r="A635" i="9" s="1"/>
  <c r="A634" i="9" a="1"/>
  <c r="A634" i="9" s="1"/>
  <c r="A633" i="9" a="1"/>
  <c r="A633" i="9" s="1"/>
  <c r="A632" i="9" a="1"/>
  <c r="A632" i="9" s="1"/>
  <c r="A631" i="9" a="1"/>
  <c r="A631" i="9" s="1"/>
  <c r="A630" i="9" a="1"/>
  <c r="A630" i="9" s="1"/>
  <c r="A629" i="9" a="1"/>
  <c r="A629" i="9" s="1"/>
  <c r="A628" i="9" a="1"/>
  <c r="A628" i="9" s="1"/>
  <c r="A627" i="9" a="1"/>
  <c r="A627" i="9" s="1"/>
  <c r="A626" i="9" a="1"/>
  <c r="A626" i="9" s="1"/>
  <c r="A625" i="9" a="1"/>
  <c r="A625" i="9" s="1"/>
  <c r="A624" i="9" a="1"/>
  <c r="A624" i="9" s="1"/>
  <c r="A623" i="9" a="1"/>
  <c r="A623" i="9" s="1"/>
  <c r="A622" i="9" a="1"/>
  <c r="A622" i="9" s="1"/>
  <c r="A621" i="9" a="1"/>
  <c r="A621" i="9" s="1"/>
  <c r="A620" i="9" a="1"/>
  <c r="A620" i="9" s="1"/>
  <c r="A619" i="9" a="1"/>
  <c r="A619" i="9" s="1"/>
  <c r="A618" i="9" a="1"/>
  <c r="A618" i="9" s="1"/>
  <c r="A617" i="9" a="1"/>
  <c r="A617" i="9" s="1"/>
  <c r="A616" i="9" a="1"/>
  <c r="A616" i="9" s="1"/>
  <c r="A615" i="9" a="1"/>
  <c r="A615" i="9" s="1"/>
  <c r="A614" i="9" a="1"/>
  <c r="A614" i="9" s="1"/>
  <c r="A613" i="9" a="1"/>
  <c r="A613" i="9" s="1"/>
  <c r="A612" i="9" a="1"/>
  <c r="A612" i="9" s="1"/>
  <c r="A611" i="9" a="1"/>
  <c r="A611" i="9" s="1"/>
  <c r="A610" i="9" a="1"/>
  <c r="A610" i="9" s="1"/>
  <c r="A609" i="9" a="1"/>
  <c r="A609" i="9" s="1"/>
  <c r="A608" i="9" a="1"/>
  <c r="A608" i="9" s="1"/>
  <c r="A607" i="9" a="1"/>
  <c r="A607" i="9" s="1"/>
  <c r="A606" i="9" a="1"/>
  <c r="A606" i="9" s="1"/>
  <c r="A605" i="9" a="1"/>
  <c r="A605" i="9" s="1"/>
  <c r="A604" i="9" a="1"/>
  <c r="A604" i="9" s="1"/>
  <c r="A603" i="9" a="1"/>
  <c r="A603" i="9" s="1"/>
  <c r="A602" i="9" a="1"/>
  <c r="A602" i="9" s="1"/>
  <c r="A601" i="9" a="1"/>
  <c r="A601" i="9" s="1"/>
  <c r="A600" i="9" a="1"/>
  <c r="A600" i="9" s="1"/>
  <c r="A599" i="9" a="1"/>
  <c r="A599" i="9" s="1"/>
  <c r="A598" i="9" a="1"/>
  <c r="A598" i="9" s="1"/>
  <c r="A597" i="9" a="1"/>
  <c r="A597" i="9" s="1"/>
  <c r="A596" i="9" a="1"/>
  <c r="A596" i="9" s="1"/>
  <c r="A595" i="9" a="1"/>
  <c r="A595" i="9" s="1"/>
  <c r="A594" i="9" a="1"/>
  <c r="A594" i="9" s="1"/>
  <c r="A593" i="9" a="1"/>
  <c r="A593" i="9" s="1"/>
  <c r="A592" i="9" a="1"/>
  <c r="A592" i="9" s="1"/>
  <c r="A591" i="9" a="1"/>
  <c r="A591" i="9" s="1"/>
  <c r="A590" i="9" a="1"/>
  <c r="A590" i="9" s="1"/>
  <c r="A589" i="9" a="1"/>
  <c r="A589" i="9" s="1"/>
  <c r="A588" i="9" a="1"/>
  <c r="A588" i="9" s="1"/>
  <c r="A587" i="9" a="1"/>
  <c r="A587" i="9" s="1"/>
  <c r="A586" i="9" a="1"/>
  <c r="A586" i="9" s="1"/>
  <c r="A585" i="9" a="1"/>
  <c r="A585" i="9" s="1"/>
  <c r="A584" i="9" a="1"/>
  <c r="A584" i="9" s="1"/>
  <c r="A583" i="9" a="1"/>
  <c r="A583" i="9" s="1"/>
  <c r="A582" i="9" a="1"/>
  <c r="A582" i="9" s="1"/>
  <c r="A581" i="9" a="1"/>
  <c r="A581" i="9" s="1"/>
  <c r="A580" i="9" a="1"/>
  <c r="A580" i="9" s="1"/>
  <c r="A579" i="9" a="1"/>
  <c r="A579" i="9" s="1"/>
  <c r="A578" i="9" a="1"/>
  <c r="A578" i="9" s="1"/>
  <c r="A577" i="9" a="1"/>
  <c r="A577" i="9" s="1"/>
  <c r="A576" i="9" a="1"/>
  <c r="A576" i="9" s="1"/>
  <c r="A575" i="9" a="1"/>
  <c r="A575" i="9" s="1"/>
  <c r="A574" i="9" a="1"/>
  <c r="A574" i="9" s="1"/>
  <c r="A573" i="9" a="1"/>
  <c r="A573" i="9" s="1"/>
  <c r="A572" i="9" a="1"/>
  <c r="A572" i="9" s="1"/>
  <c r="A571" i="9" a="1"/>
  <c r="A571" i="9" s="1"/>
  <c r="A570" i="9" a="1"/>
  <c r="A570" i="9" s="1"/>
  <c r="A569" i="9" a="1"/>
  <c r="A569" i="9" s="1"/>
  <c r="A568" i="9" a="1"/>
  <c r="A568" i="9" s="1"/>
  <c r="A567" i="9" a="1"/>
  <c r="A567" i="9" s="1"/>
  <c r="A566" i="9" a="1"/>
  <c r="A566" i="9" s="1"/>
  <c r="A565" i="9" a="1"/>
  <c r="A565" i="9" s="1"/>
  <c r="A564" i="9" a="1"/>
  <c r="A564" i="9" s="1"/>
  <c r="A563" i="9" a="1"/>
  <c r="A563" i="9" s="1"/>
  <c r="A562" i="9" a="1"/>
  <c r="A562" i="9" s="1"/>
  <c r="A561" i="9" a="1"/>
  <c r="A561" i="9" s="1"/>
  <c r="A560" i="9" a="1"/>
  <c r="A560" i="9" s="1"/>
  <c r="A559" i="9" a="1"/>
  <c r="A559" i="9" s="1"/>
  <c r="A558" i="9" a="1"/>
  <c r="A558" i="9" s="1"/>
  <c r="A557" i="9" a="1"/>
  <c r="A557" i="9" s="1"/>
  <c r="A556" i="9" a="1"/>
  <c r="A556" i="9" s="1"/>
  <c r="A555" i="9" a="1"/>
  <c r="A555" i="9" s="1"/>
  <c r="A554" i="9" a="1"/>
  <c r="A554" i="9" s="1"/>
  <c r="A553" i="9" a="1"/>
  <c r="A553" i="9" s="1"/>
  <c r="A552" i="9" a="1"/>
  <c r="A552" i="9" s="1"/>
  <c r="A551" i="9" a="1"/>
  <c r="A551" i="9" s="1"/>
  <c r="A550" i="9" a="1"/>
  <c r="A550" i="9" s="1"/>
  <c r="A549" i="9" a="1"/>
  <c r="A549" i="9" s="1"/>
  <c r="A548" i="9" a="1"/>
  <c r="A548" i="9" s="1"/>
  <c r="A547" i="9" a="1"/>
  <c r="A547" i="9" s="1"/>
  <c r="A546" i="9" a="1"/>
  <c r="A546" i="9" s="1"/>
  <c r="A545" i="9" a="1"/>
  <c r="A545" i="9" s="1"/>
  <c r="A544" i="9" a="1"/>
  <c r="A544" i="9" s="1"/>
  <c r="A543" i="9" a="1"/>
  <c r="A543" i="9" s="1"/>
  <c r="A542" i="9" a="1"/>
  <c r="A542" i="9" s="1"/>
  <c r="A541" i="9" a="1"/>
  <c r="A541" i="9" s="1"/>
  <c r="A540" i="9" a="1"/>
  <c r="A540" i="9" s="1"/>
  <c r="A539" i="9" a="1"/>
  <c r="A539" i="9" s="1"/>
  <c r="A538" i="9" a="1"/>
  <c r="A538" i="9" s="1"/>
  <c r="A537" i="9" a="1"/>
  <c r="A537" i="9" s="1"/>
  <c r="A536" i="9" a="1"/>
  <c r="A536" i="9" s="1"/>
  <c r="A535" i="9" a="1"/>
  <c r="A535" i="9" s="1"/>
  <c r="A534" i="9" a="1"/>
  <c r="A534" i="9" s="1"/>
  <c r="A533" i="9" a="1"/>
  <c r="A533" i="9" s="1"/>
  <c r="A532" i="9" a="1"/>
  <c r="A532" i="9" s="1"/>
  <c r="A531" i="9" a="1"/>
  <c r="A531" i="9" s="1"/>
  <c r="A530" i="9" a="1"/>
  <c r="A530" i="9" s="1"/>
  <c r="A529" i="9" a="1"/>
  <c r="A529" i="9" s="1"/>
  <c r="A528" i="9" a="1"/>
  <c r="A528" i="9" s="1"/>
  <c r="A527" i="9" a="1"/>
  <c r="A527" i="9" s="1"/>
  <c r="A526" i="9" a="1"/>
  <c r="A526" i="9" s="1"/>
  <c r="A525" i="9" a="1"/>
  <c r="A525" i="9" s="1"/>
  <c r="A524" i="9" a="1"/>
  <c r="A524" i="9" s="1"/>
  <c r="A523" i="9" a="1"/>
  <c r="A523" i="9" s="1"/>
  <c r="A522" i="9" a="1"/>
  <c r="A522" i="9" s="1"/>
  <c r="A521" i="9" a="1"/>
  <c r="A521" i="9" s="1"/>
  <c r="A520" i="9" a="1"/>
  <c r="A520" i="9" s="1"/>
  <c r="A519" i="9" a="1"/>
  <c r="A519" i="9" s="1"/>
  <c r="A518" i="9" a="1"/>
  <c r="A518" i="9" s="1"/>
  <c r="A517" i="9" a="1"/>
  <c r="A517" i="9" s="1"/>
  <c r="A516" i="9" a="1"/>
  <c r="A516" i="9" s="1"/>
  <c r="A515" i="9" a="1"/>
  <c r="A515" i="9" s="1"/>
  <c r="A514" i="9" a="1"/>
  <c r="A514" i="9" s="1"/>
  <c r="A513" i="9" a="1"/>
  <c r="A513" i="9" s="1"/>
  <c r="A512" i="9" a="1"/>
  <c r="A512" i="9" s="1"/>
  <c r="A511" i="9" a="1"/>
  <c r="A511" i="9" s="1"/>
  <c r="A510" i="9" a="1"/>
  <c r="A510" i="9" s="1"/>
  <c r="A509" i="9" a="1"/>
  <c r="A509" i="9" s="1"/>
  <c r="A508" i="9" a="1"/>
  <c r="A508" i="9" s="1"/>
  <c r="A507" i="9" a="1"/>
  <c r="A507" i="9" s="1"/>
  <c r="A506" i="9" a="1"/>
  <c r="A506" i="9" s="1"/>
  <c r="A505" i="9" a="1"/>
  <c r="A505" i="9" s="1"/>
  <c r="A504" i="9" a="1"/>
  <c r="A504" i="9" s="1"/>
  <c r="A503" i="9" a="1"/>
  <c r="A503" i="9" s="1"/>
  <c r="A502" i="9" a="1"/>
  <c r="A502" i="9" s="1"/>
  <c r="A501" i="9" a="1"/>
  <c r="A501" i="9" s="1"/>
  <c r="A500" i="9" a="1"/>
  <c r="A500" i="9" s="1"/>
  <c r="A499" i="9" a="1"/>
  <c r="A499" i="9" s="1"/>
  <c r="A498" i="9" a="1"/>
  <c r="A498" i="9" s="1"/>
  <c r="A497" i="9" a="1"/>
  <c r="A497" i="9" s="1"/>
  <c r="A496" i="9" a="1"/>
  <c r="A496" i="9" s="1"/>
  <c r="A495" i="9" a="1"/>
  <c r="A495" i="9" s="1"/>
  <c r="A494" i="9" a="1"/>
  <c r="A494" i="9" s="1"/>
  <c r="A493" i="9" a="1"/>
  <c r="A493" i="9" s="1"/>
  <c r="A492" i="9" a="1"/>
  <c r="A492" i="9" s="1"/>
  <c r="A491" i="9" a="1"/>
  <c r="A491" i="9" s="1"/>
  <c r="A490" i="9" a="1"/>
  <c r="A490" i="9" s="1"/>
  <c r="A489" i="9" a="1"/>
  <c r="A489" i="9" s="1"/>
  <c r="A488" i="9" a="1"/>
  <c r="A488" i="9" s="1"/>
  <c r="A487" i="9" a="1"/>
  <c r="A487" i="9" s="1"/>
  <c r="A486" i="9" a="1"/>
  <c r="A486" i="9" s="1"/>
  <c r="A485" i="9" a="1"/>
  <c r="A485" i="9" s="1"/>
  <c r="A484" i="9" a="1"/>
  <c r="A484" i="9" s="1"/>
  <c r="A483" i="9" a="1"/>
  <c r="A483" i="9" s="1"/>
  <c r="A482" i="9" a="1"/>
  <c r="A482" i="9" s="1"/>
  <c r="A481" i="9" a="1"/>
  <c r="A481" i="9" s="1"/>
  <c r="A480" i="9" a="1"/>
  <c r="A480" i="9" s="1"/>
  <c r="A479" i="9" a="1"/>
  <c r="A479" i="9" s="1"/>
  <c r="A478" i="9" a="1"/>
  <c r="A478" i="9" s="1"/>
  <c r="A477" i="9" a="1"/>
  <c r="A477" i="9" s="1"/>
  <c r="A476" i="9" a="1"/>
  <c r="A476" i="9" s="1"/>
  <c r="A475" i="9" a="1"/>
  <c r="A475" i="9" s="1"/>
  <c r="A474" i="9" a="1"/>
  <c r="A474" i="9" s="1"/>
  <c r="A473" i="9" a="1"/>
  <c r="A473" i="9" s="1"/>
  <c r="A472" i="9" a="1"/>
  <c r="A472" i="9" s="1"/>
  <c r="A471" i="9" a="1"/>
  <c r="A471" i="9" s="1"/>
  <c r="A470" i="9" a="1"/>
  <c r="A470" i="9" s="1"/>
  <c r="A469" i="9" a="1"/>
  <c r="A469" i="9" s="1"/>
  <c r="A468" i="9" a="1"/>
  <c r="A468" i="9" s="1"/>
  <c r="A467" i="9" a="1"/>
  <c r="A467" i="9" s="1"/>
  <c r="A466" i="9" a="1"/>
  <c r="A466" i="9" s="1"/>
  <c r="A465" i="9" a="1"/>
  <c r="A465" i="9" s="1"/>
  <c r="A464" i="9" a="1"/>
  <c r="A464" i="9" s="1"/>
  <c r="A463" i="9" a="1"/>
  <c r="A463" i="9" s="1"/>
  <c r="A462" i="9" a="1"/>
  <c r="A462" i="9" s="1"/>
  <c r="A461" i="9" a="1"/>
  <c r="A461" i="9" s="1"/>
  <c r="A460" i="9" a="1"/>
  <c r="A460" i="9" s="1"/>
  <c r="A459" i="9" a="1"/>
  <c r="A459" i="9" s="1"/>
  <c r="A458" i="9" a="1"/>
  <c r="A458" i="9" s="1"/>
  <c r="A457" i="9" a="1"/>
  <c r="A457" i="9" s="1"/>
  <c r="A456" i="9" a="1"/>
  <c r="A456" i="9" s="1"/>
  <c r="A455" i="9" a="1"/>
  <c r="A455" i="9" s="1"/>
  <c r="A454" i="9" a="1"/>
  <c r="A454" i="9" s="1"/>
  <c r="A453" i="9" a="1"/>
  <c r="A453" i="9" s="1"/>
  <c r="A452" i="9" a="1"/>
  <c r="A452" i="9" s="1"/>
  <c r="A451" i="9" a="1"/>
  <c r="A451" i="9" s="1"/>
  <c r="A450" i="9" a="1"/>
  <c r="A450" i="9" s="1"/>
  <c r="A449" i="9" a="1"/>
  <c r="A449" i="9" s="1"/>
  <c r="A448" i="9" a="1"/>
  <c r="A448" i="9" s="1"/>
  <c r="A447" i="9" a="1"/>
  <c r="A447" i="9" s="1"/>
  <c r="A446" i="9" a="1"/>
  <c r="A446" i="9" s="1"/>
  <c r="A445" i="9" a="1"/>
  <c r="A445" i="9" s="1"/>
  <c r="A444" i="9" a="1"/>
  <c r="A444" i="9" s="1"/>
  <c r="A443" i="9" a="1"/>
  <c r="A443" i="9" s="1"/>
  <c r="A442" i="9" a="1"/>
  <c r="A442" i="9" s="1"/>
  <c r="A441" i="9" a="1"/>
  <c r="A441" i="9" s="1"/>
  <c r="A440" i="9" a="1"/>
  <c r="A440" i="9" s="1"/>
  <c r="A439" i="9" a="1"/>
  <c r="A439" i="9" s="1"/>
  <c r="A438" i="9" a="1"/>
  <c r="A438" i="9" s="1"/>
  <c r="A437" i="9" a="1"/>
  <c r="A437" i="9" s="1"/>
  <c r="A436" i="9" a="1"/>
  <c r="A436" i="9" s="1"/>
  <c r="A435" i="9" a="1"/>
  <c r="A435" i="9" s="1"/>
  <c r="A434" i="9" a="1"/>
  <c r="A434" i="9" s="1"/>
  <c r="A433" i="9" a="1"/>
  <c r="A433" i="9" s="1"/>
  <c r="A432" i="9" a="1"/>
  <c r="A432" i="9" s="1"/>
  <c r="A431" i="9" a="1"/>
  <c r="A431" i="9" s="1"/>
  <c r="A430" i="9" a="1"/>
  <c r="A430" i="9" s="1"/>
  <c r="A429" i="9" a="1"/>
  <c r="A429" i="9" s="1"/>
  <c r="A428" i="9" a="1"/>
  <c r="A428" i="9" s="1"/>
  <c r="A427" i="9" a="1"/>
  <c r="A427" i="9" s="1"/>
  <c r="A426" i="9" a="1"/>
  <c r="A426" i="9" s="1"/>
  <c r="A425" i="9" a="1"/>
  <c r="A425" i="9" s="1"/>
  <c r="A424" i="9" a="1"/>
  <c r="A424" i="9" s="1"/>
  <c r="A423" i="9" a="1"/>
  <c r="A423" i="9" s="1"/>
  <c r="A422" i="9" a="1"/>
  <c r="A422" i="9" s="1"/>
  <c r="A421" i="9" a="1"/>
  <c r="A421" i="9" s="1"/>
  <c r="A420" i="9" a="1"/>
  <c r="A420" i="9" s="1"/>
  <c r="A419" i="9" a="1"/>
  <c r="A419" i="9" s="1"/>
  <c r="A418" i="9" a="1"/>
  <c r="A418" i="9" s="1"/>
  <c r="A1000" i="4" a="1"/>
  <c r="A1000" i="4" s="1"/>
  <c r="A999" i="4" a="1"/>
  <c r="A999" i="4" s="1"/>
  <c r="A998" i="4" a="1"/>
  <c r="A998" i="4" s="1"/>
  <c r="A997" i="4" a="1"/>
  <c r="A997" i="4" s="1"/>
  <c r="A996" i="4" a="1"/>
  <c r="A996" i="4" s="1"/>
  <c r="A995" i="4" a="1"/>
  <c r="A995" i="4" s="1"/>
  <c r="A994" i="4" a="1"/>
  <c r="A994" i="4" s="1"/>
  <c r="A993" i="4" a="1"/>
  <c r="A993" i="4" s="1"/>
  <c r="A992" i="4" a="1"/>
  <c r="A992" i="4" s="1"/>
  <c r="A991" i="4" a="1"/>
  <c r="A991" i="4" s="1"/>
  <c r="A990" i="4" a="1"/>
  <c r="A990" i="4" s="1"/>
  <c r="A989" i="4" a="1"/>
  <c r="A989" i="4" s="1"/>
  <c r="A988" i="4" a="1"/>
  <c r="A988" i="4" s="1"/>
  <c r="A987" i="4" a="1"/>
  <c r="A987" i="4" s="1"/>
  <c r="A986" i="4" a="1"/>
  <c r="A986" i="4" s="1"/>
  <c r="A985" i="4" a="1"/>
  <c r="A985" i="4" s="1"/>
  <c r="A984" i="4" a="1"/>
  <c r="A984" i="4" s="1"/>
  <c r="A983" i="4" a="1"/>
  <c r="A983" i="4" s="1"/>
  <c r="A982" i="4" a="1"/>
  <c r="A982" i="4" s="1"/>
  <c r="A981" i="4" a="1"/>
  <c r="A981" i="4" s="1"/>
  <c r="A980" i="4" a="1"/>
  <c r="A980" i="4" s="1"/>
  <c r="A979" i="4" a="1"/>
  <c r="A979" i="4" s="1"/>
  <c r="A978" i="4" a="1"/>
  <c r="A978" i="4" s="1"/>
  <c r="A977" i="4" a="1"/>
  <c r="A977" i="4" s="1"/>
  <c r="A976" i="4" a="1"/>
  <c r="A976" i="4" s="1"/>
  <c r="A975" i="4" a="1"/>
  <c r="A975" i="4" s="1"/>
  <c r="A974" i="4" a="1"/>
  <c r="A974" i="4" s="1"/>
  <c r="A973" i="4" a="1"/>
  <c r="A973" i="4" s="1"/>
  <c r="A972" i="4" a="1"/>
  <c r="A972" i="4" s="1"/>
  <c r="A971" i="4" a="1"/>
  <c r="A971" i="4" s="1"/>
  <c r="A970" i="4" a="1"/>
  <c r="A970" i="4" s="1"/>
  <c r="A969" i="4" a="1"/>
  <c r="A969" i="4" s="1"/>
  <c r="A968" i="4" a="1"/>
  <c r="A968" i="4" s="1"/>
  <c r="A967" i="4" a="1"/>
  <c r="A967" i="4" s="1"/>
  <c r="A966" i="4" a="1"/>
  <c r="A966" i="4" s="1"/>
  <c r="A965" i="4" a="1"/>
  <c r="A965" i="4" s="1"/>
  <c r="A964" i="4" a="1"/>
  <c r="A964" i="4" s="1"/>
  <c r="A963" i="4" a="1"/>
  <c r="A963" i="4" s="1"/>
  <c r="A962" i="4" a="1"/>
  <c r="A962" i="4" s="1"/>
  <c r="A961" i="4" a="1"/>
  <c r="A961" i="4" s="1"/>
  <c r="A960" i="4" a="1"/>
  <c r="A960" i="4" s="1"/>
  <c r="A959" i="4" a="1"/>
  <c r="A959" i="4" s="1"/>
  <c r="A958" i="4" a="1"/>
  <c r="A958" i="4" s="1"/>
  <c r="A957" i="4" a="1"/>
  <c r="A957" i="4" s="1"/>
  <c r="A956" i="4" a="1"/>
  <c r="A956" i="4" s="1"/>
  <c r="A955" i="4" a="1"/>
  <c r="A955" i="4" s="1"/>
  <c r="A954" i="4" a="1"/>
  <c r="A954" i="4" s="1"/>
  <c r="A953" i="4" a="1"/>
  <c r="A953" i="4" s="1"/>
  <c r="A952" i="4" a="1"/>
  <c r="A952" i="4" s="1"/>
  <c r="A951" i="4" a="1"/>
  <c r="A951" i="4" s="1"/>
  <c r="A950" i="4" a="1"/>
  <c r="A950" i="4" s="1"/>
  <c r="A949" i="4" a="1"/>
  <c r="A949" i="4" s="1"/>
  <c r="A948" i="4" a="1"/>
  <c r="A948" i="4" s="1"/>
  <c r="A947" i="4" a="1"/>
  <c r="A947" i="4" s="1"/>
  <c r="A946" i="4" a="1"/>
  <c r="A946" i="4" s="1"/>
  <c r="A945" i="4" a="1"/>
  <c r="A945" i="4" s="1"/>
  <c r="A944" i="4" a="1"/>
  <c r="A944" i="4" s="1"/>
  <c r="A943" i="4" a="1"/>
  <c r="A943" i="4" s="1"/>
  <c r="A942" i="4" a="1"/>
  <c r="A942" i="4" s="1"/>
  <c r="A941" i="4" a="1"/>
  <c r="A941" i="4" s="1"/>
  <c r="A940" i="4" a="1"/>
  <c r="A940" i="4" s="1"/>
  <c r="A939" i="4" a="1"/>
  <c r="A939" i="4" s="1"/>
  <c r="A938" i="4" a="1"/>
  <c r="A938" i="4" s="1"/>
  <c r="A937" i="4" a="1"/>
  <c r="A937" i="4" s="1"/>
  <c r="A936" i="4" a="1"/>
  <c r="A936" i="4" s="1"/>
  <c r="A935" i="4" a="1"/>
  <c r="A935" i="4" s="1"/>
  <c r="A934" i="4" a="1"/>
  <c r="A934" i="4" s="1"/>
  <c r="A933" i="4" a="1"/>
  <c r="A933" i="4" s="1"/>
  <c r="A932" i="4" a="1"/>
  <c r="A932" i="4" s="1"/>
  <c r="A931" i="4" a="1"/>
  <c r="A931" i="4" s="1"/>
  <c r="A930" i="4" a="1"/>
  <c r="A930" i="4" s="1"/>
  <c r="A929" i="4" a="1"/>
  <c r="A929" i="4" s="1"/>
  <c r="A928" i="4" a="1"/>
  <c r="A928" i="4" s="1"/>
  <c r="A927" i="4" a="1"/>
  <c r="A927" i="4" s="1"/>
  <c r="A926" i="4" a="1"/>
  <c r="A926" i="4" s="1"/>
  <c r="A925" i="4" a="1"/>
  <c r="A925" i="4" s="1"/>
  <c r="A924" i="4" a="1"/>
  <c r="A924" i="4" s="1"/>
  <c r="A923" i="4" a="1"/>
  <c r="A923" i="4" s="1"/>
  <c r="A922" i="4" a="1"/>
  <c r="A922" i="4" s="1"/>
  <c r="A921" i="4" a="1"/>
  <c r="A921" i="4" s="1"/>
  <c r="A920" i="4" a="1"/>
  <c r="A920" i="4" s="1"/>
  <c r="A919" i="4" a="1"/>
  <c r="A919" i="4" s="1"/>
  <c r="A918" i="4" a="1"/>
  <c r="A918" i="4" s="1"/>
  <c r="A917" i="4" a="1"/>
  <c r="A917" i="4" s="1"/>
  <c r="A916" i="4" a="1"/>
  <c r="A916" i="4" s="1"/>
  <c r="A915" i="4" a="1"/>
  <c r="A915" i="4" s="1"/>
  <c r="A914" i="4" a="1"/>
  <c r="A914" i="4" s="1"/>
  <c r="A913" i="4" a="1"/>
  <c r="A913" i="4" s="1"/>
  <c r="A912" i="4" a="1"/>
  <c r="A912" i="4" s="1"/>
  <c r="A911" i="4" a="1"/>
  <c r="A911" i="4" s="1"/>
  <c r="A910" i="4" a="1"/>
  <c r="A910" i="4" s="1"/>
  <c r="A909" i="4" a="1"/>
  <c r="A909" i="4" s="1"/>
  <c r="A908" i="4" a="1"/>
  <c r="A908" i="4" s="1"/>
  <c r="A907" i="4" a="1"/>
  <c r="A907" i="4" s="1"/>
  <c r="A906" i="4" a="1"/>
  <c r="A906" i="4" s="1"/>
  <c r="A905" i="4" a="1"/>
  <c r="A905" i="4" s="1"/>
  <c r="A904" i="4" a="1"/>
  <c r="A904" i="4" s="1"/>
  <c r="A903" i="4" a="1"/>
  <c r="A903" i="4" s="1"/>
  <c r="A902" i="4" a="1"/>
  <c r="A902" i="4" s="1"/>
  <c r="A901" i="4" a="1"/>
  <c r="A901" i="4" s="1"/>
  <c r="A900" i="4" a="1"/>
  <c r="A900" i="4" s="1"/>
  <c r="A899" i="4" a="1"/>
  <c r="A899" i="4" s="1"/>
  <c r="A898" i="4" a="1"/>
  <c r="A898" i="4" s="1"/>
  <c r="A897" i="4" a="1"/>
  <c r="A897" i="4" s="1"/>
  <c r="A896" i="4" a="1"/>
  <c r="A896" i="4" s="1"/>
  <c r="A895" i="4" a="1"/>
  <c r="A895" i="4" s="1"/>
  <c r="A894" i="4" a="1"/>
  <c r="A894" i="4" s="1"/>
  <c r="A893" i="4" a="1"/>
  <c r="A893" i="4" s="1"/>
  <c r="A892" i="4" a="1"/>
  <c r="A892" i="4" s="1"/>
  <c r="A891" i="4" a="1"/>
  <c r="A891" i="4" s="1"/>
  <c r="A890" i="4" a="1"/>
  <c r="A890" i="4" s="1"/>
  <c r="A889" i="4" a="1"/>
  <c r="A889" i="4" s="1"/>
  <c r="A888" i="4" a="1"/>
  <c r="A888" i="4" s="1"/>
  <c r="A887" i="4" a="1"/>
  <c r="A887" i="4" s="1"/>
  <c r="A886" i="4" a="1"/>
  <c r="A886" i="4" s="1"/>
  <c r="A885" i="4" a="1"/>
  <c r="A885" i="4" s="1"/>
  <c r="A884" i="4" a="1"/>
  <c r="A884" i="4" s="1"/>
  <c r="A883" i="4" a="1"/>
  <c r="A883" i="4" s="1"/>
  <c r="A882" i="4" a="1"/>
  <c r="A882" i="4" s="1"/>
  <c r="A881" i="4" a="1"/>
  <c r="A881" i="4" s="1"/>
  <c r="A880" i="4" a="1"/>
  <c r="A880" i="4" s="1"/>
  <c r="A879" i="4" a="1"/>
  <c r="A879" i="4" s="1"/>
  <c r="A878" i="4" a="1"/>
  <c r="A878" i="4" s="1"/>
  <c r="A877" i="4" a="1"/>
  <c r="A877" i="4" s="1"/>
  <c r="A876" i="4" a="1"/>
  <c r="A876" i="4" s="1"/>
  <c r="A875" i="4" a="1"/>
  <c r="A875" i="4" s="1"/>
  <c r="A874" i="4" a="1"/>
  <c r="A874" i="4" s="1"/>
  <c r="A873" i="4" a="1"/>
  <c r="A873" i="4" s="1"/>
  <c r="A872" i="4" a="1"/>
  <c r="A872" i="4" s="1"/>
  <c r="A871" i="4" a="1"/>
  <c r="A871" i="4" s="1"/>
  <c r="A870" i="4" a="1"/>
  <c r="A870" i="4" s="1"/>
  <c r="A869" i="4" a="1"/>
  <c r="A869" i="4" s="1"/>
  <c r="A868" i="4" a="1"/>
  <c r="A868" i="4" s="1"/>
  <c r="A867" i="4" a="1"/>
  <c r="A867" i="4" s="1"/>
  <c r="A866" i="4" a="1"/>
  <c r="A866" i="4" s="1"/>
  <c r="A865" i="4" a="1"/>
  <c r="A865" i="4" s="1"/>
  <c r="A864" i="4" a="1"/>
  <c r="A864" i="4" s="1"/>
  <c r="A863" i="4" a="1"/>
  <c r="A863" i="4" s="1"/>
  <c r="A862" i="4" a="1"/>
  <c r="A862" i="4" s="1"/>
  <c r="A861" i="4" a="1"/>
  <c r="A861" i="4" s="1"/>
  <c r="A860" i="4" a="1"/>
  <c r="A860" i="4" s="1"/>
  <c r="A859" i="4" a="1"/>
  <c r="A859" i="4" s="1"/>
  <c r="A858" i="4" a="1"/>
  <c r="A858" i="4" s="1"/>
  <c r="A857" i="4" a="1"/>
  <c r="A857" i="4" s="1"/>
  <c r="A856" i="4" a="1"/>
  <c r="A856" i="4" s="1"/>
  <c r="A855" i="4" a="1"/>
  <c r="A855" i="4" s="1"/>
  <c r="A854" i="4" a="1"/>
  <c r="A854" i="4" s="1"/>
  <c r="A853" i="4" a="1"/>
  <c r="A853" i="4" s="1"/>
  <c r="A852" i="4" a="1"/>
  <c r="A852" i="4" s="1"/>
  <c r="A851" i="4" a="1"/>
  <c r="A851" i="4" s="1"/>
  <c r="A850" i="4" a="1"/>
  <c r="A850" i="4" s="1"/>
  <c r="A849" i="4" a="1"/>
  <c r="A849" i="4" s="1"/>
  <c r="A848" i="4" a="1"/>
  <c r="A848" i="4" s="1"/>
  <c r="A847" i="4" a="1"/>
  <c r="A847" i="4" s="1"/>
  <c r="A846" i="4" a="1"/>
  <c r="A846" i="4" s="1"/>
  <c r="A845" i="4" a="1"/>
  <c r="A845" i="4" s="1"/>
  <c r="A844" i="4" a="1"/>
  <c r="A844" i="4" s="1"/>
  <c r="A843" i="4" a="1"/>
  <c r="A843" i="4" s="1"/>
  <c r="A842" i="4" a="1"/>
  <c r="A842" i="4" s="1"/>
  <c r="A841" i="4" a="1"/>
  <c r="A841" i="4" s="1"/>
  <c r="A840" i="4" a="1"/>
  <c r="A840" i="4" s="1"/>
  <c r="A839" i="4" a="1"/>
  <c r="A839" i="4" s="1"/>
  <c r="A838" i="4" a="1"/>
  <c r="A838" i="4" s="1"/>
  <c r="A837" i="4" a="1"/>
  <c r="A837" i="4" s="1"/>
  <c r="A836" i="4" a="1"/>
  <c r="A836" i="4" s="1"/>
  <c r="A835" i="4" a="1"/>
  <c r="A835" i="4" s="1"/>
  <c r="A834" i="4" a="1"/>
  <c r="A834" i="4" s="1"/>
  <c r="A833" i="4" a="1"/>
  <c r="A833" i="4" s="1"/>
  <c r="A832" i="4" a="1"/>
  <c r="A832" i="4" s="1"/>
  <c r="A831" i="4" a="1"/>
  <c r="A831" i="4" s="1"/>
  <c r="A830" i="4" a="1"/>
  <c r="A830" i="4" s="1"/>
  <c r="A829" i="4" a="1"/>
  <c r="A829" i="4" s="1"/>
  <c r="A828" i="4" a="1"/>
  <c r="A828" i="4" s="1"/>
  <c r="A827" i="4" a="1"/>
  <c r="A827" i="4" s="1"/>
  <c r="A826" i="4" a="1"/>
  <c r="A826" i="4" s="1"/>
  <c r="A825" i="4" a="1"/>
  <c r="A825" i="4" s="1"/>
  <c r="A824" i="4" a="1"/>
  <c r="A824" i="4" s="1"/>
  <c r="A823" i="4" a="1"/>
  <c r="A823" i="4" s="1"/>
  <c r="A822" i="4" a="1"/>
  <c r="A822" i="4" s="1"/>
  <c r="A821" i="4" a="1"/>
  <c r="A821" i="4" s="1"/>
  <c r="A820" i="4" a="1"/>
  <c r="A820" i="4" s="1"/>
  <c r="A819" i="4" a="1"/>
  <c r="A819" i="4" s="1"/>
  <c r="A818" i="4" a="1"/>
  <c r="A818" i="4" s="1"/>
  <c r="A817" i="4" a="1"/>
  <c r="A817" i="4" s="1"/>
  <c r="A816" i="4" a="1"/>
  <c r="A816" i="4" s="1"/>
  <c r="A815" i="4" a="1"/>
  <c r="A815" i="4" s="1"/>
  <c r="A814" i="4" a="1"/>
  <c r="A814" i="4" s="1"/>
  <c r="A813" i="4" a="1"/>
  <c r="A813" i="4" s="1"/>
  <c r="A812" i="4" a="1"/>
  <c r="A812" i="4" s="1"/>
  <c r="A811" i="4" a="1"/>
  <c r="A811" i="4" s="1"/>
  <c r="A810" i="4" a="1"/>
  <c r="A810" i="4" s="1"/>
  <c r="A809" i="4" a="1"/>
  <c r="A809" i="4" s="1"/>
  <c r="A808" i="4" a="1"/>
  <c r="A808" i="4" s="1"/>
  <c r="A807" i="4" a="1"/>
  <c r="A807" i="4" s="1"/>
  <c r="A806" i="4" a="1"/>
  <c r="A806" i="4" s="1"/>
  <c r="A805" i="4" a="1"/>
  <c r="A805" i="4" s="1"/>
  <c r="A804" i="4" a="1"/>
  <c r="A804" i="4" s="1"/>
  <c r="A803" i="4" a="1"/>
  <c r="A803" i="4" s="1"/>
  <c r="A802" i="4" a="1"/>
  <c r="A802" i="4" s="1"/>
  <c r="A801" i="4" a="1"/>
  <c r="A801" i="4" s="1"/>
  <c r="A800" i="4" a="1"/>
  <c r="A800" i="4" s="1"/>
  <c r="A799" i="4" a="1"/>
  <c r="A799" i="4" s="1"/>
  <c r="A798" i="4" a="1"/>
  <c r="A798" i="4" s="1"/>
  <c r="A797" i="4" a="1"/>
  <c r="A797" i="4" s="1"/>
  <c r="A796" i="4" a="1"/>
  <c r="A796" i="4" s="1"/>
  <c r="A795" i="4" a="1"/>
  <c r="A795" i="4" s="1"/>
  <c r="A794" i="4" a="1"/>
  <c r="A794" i="4" s="1"/>
  <c r="A793" i="4" a="1"/>
  <c r="A793" i="4" s="1"/>
  <c r="A792" i="4" a="1"/>
  <c r="A792" i="4" s="1"/>
  <c r="A791" i="4" a="1"/>
  <c r="A791" i="4" s="1"/>
  <c r="A790" i="4" a="1"/>
  <c r="A790" i="4" s="1"/>
  <c r="A789" i="4" a="1"/>
  <c r="A789" i="4" s="1"/>
  <c r="A788" i="4" a="1"/>
  <c r="A788" i="4" s="1"/>
  <c r="A787" i="4" a="1"/>
  <c r="A787" i="4" s="1"/>
  <c r="A786" i="4" a="1"/>
  <c r="A786" i="4" s="1"/>
  <c r="A785" i="4" a="1"/>
  <c r="A785" i="4" s="1"/>
  <c r="A784" i="4" a="1"/>
  <c r="A784" i="4" s="1"/>
  <c r="A783" i="4" a="1"/>
  <c r="A783" i="4" s="1"/>
  <c r="A782" i="4" a="1"/>
  <c r="A782" i="4" s="1"/>
  <c r="A781" i="4" a="1"/>
  <c r="A781" i="4" s="1"/>
  <c r="A780" i="4" a="1"/>
  <c r="A780" i="4" s="1"/>
  <c r="A779" i="4" a="1"/>
  <c r="A779" i="4" s="1"/>
  <c r="A778" i="4" a="1"/>
  <c r="A778" i="4" s="1"/>
  <c r="A777" i="4" a="1"/>
  <c r="A777" i="4" s="1"/>
  <c r="A776" i="4" a="1"/>
  <c r="A776" i="4" s="1"/>
  <c r="A775" i="4" a="1"/>
  <c r="A775" i="4" s="1"/>
  <c r="A774" i="4" a="1"/>
  <c r="A774" i="4" s="1"/>
  <c r="A773" i="4" a="1"/>
  <c r="A773" i="4" s="1"/>
  <c r="A772" i="4" a="1"/>
  <c r="A772" i="4" s="1"/>
  <c r="A771" i="4" a="1"/>
  <c r="A771" i="4" s="1"/>
  <c r="A770" i="4" a="1"/>
  <c r="A770" i="4" s="1"/>
  <c r="A769" i="4" a="1"/>
  <c r="A769" i="4" s="1"/>
  <c r="A768" i="4" a="1"/>
  <c r="A768" i="4" s="1"/>
  <c r="A767" i="4" a="1"/>
  <c r="A767" i="4" s="1"/>
  <c r="A766" i="4" a="1"/>
  <c r="A766" i="4" s="1"/>
  <c r="A765" i="4" a="1"/>
  <c r="A765" i="4" s="1"/>
  <c r="A764" i="4" a="1"/>
  <c r="A764" i="4" s="1"/>
  <c r="A763" i="4" a="1"/>
  <c r="A763" i="4" s="1"/>
  <c r="A762" i="4" a="1"/>
  <c r="A762" i="4" s="1"/>
  <c r="A761" i="4" a="1"/>
  <c r="A761" i="4" s="1"/>
  <c r="A760" i="4" a="1"/>
  <c r="A760" i="4" s="1"/>
  <c r="A759" i="4" a="1"/>
  <c r="A759" i="4" s="1"/>
  <c r="A758" i="4" a="1"/>
  <c r="A758" i="4" s="1"/>
  <c r="A757" i="4" a="1"/>
  <c r="A757" i="4" s="1"/>
  <c r="A756" i="4" a="1"/>
  <c r="A756" i="4" s="1"/>
  <c r="A755" i="4" a="1"/>
  <c r="A755" i="4" s="1"/>
  <c r="A754" i="4" a="1"/>
  <c r="A754" i="4" s="1"/>
  <c r="A753" i="4" a="1"/>
  <c r="A753" i="4" s="1"/>
  <c r="A752" i="4" a="1"/>
  <c r="A752" i="4" s="1"/>
  <c r="A751" i="4" a="1"/>
  <c r="A751" i="4" s="1"/>
  <c r="A750" i="4" a="1"/>
  <c r="A750" i="4" s="1"/>
  <c r="A749" i="4" a="1"/>
  <c r="A749" i="4" s="1"/>
  <c r="A748" i="4" a="1"/>
  <c r="A748" i="4" s="1"/>
  <c r="A747" i="4" a="1"/>
  <c r="A747" i="4" s="1"/>
  <c r="A746" i="4" a="1"/>
  <c r="A746" i="4" s="1"/>
  <c r="A745" i="4" a="1"/>
  <c r="A745" i="4" s="1"/>
  <c r="A744" i="4" a="1"/>
  <c r="A744" i="4" s="1"/>
  <c r="A743" i="4" a="1"/>
  <c r="A743" i="4" s="1"/>
  <c r="A742" i="4" a="1"/>
  <c r="A742" i="4" s="1"/>
  <c r="A741" i="4" a="1"/>
  <c r="A741" i="4" s="1"/>
  <c r="A740" i="4" a="1"/>
  <c r="A740" i="4" s="1"/>
  <c r="A739" i="4" a="1"/>
  <c r="A739" i="4" s="1"/>
  <c r="A738" i="4" a="1"/>
  <c r="A738" i="4" s="1"/>
  <c r="A737" i="4" a="1"/>
  <c r="A737" i="4" s="1"/>
  <c r="A736" i="4" a="1"/>
  <c r="A736" i="4" s="1"/>
  <c r="A735" i="4" a="1"/>
  <c r="A735" i="4" s="1"/>
  <c r="A734" i="4" a="1"/>
  <c r="A734" i="4" s="1"/>
  <c r="A733" i="4" a="1"/>
  <c r="A733" i="4" s="1"/>
  <c r="A732" i="4" a="1"/>
  <c r="A732" i="4" s="1"/>
  <c r="A731" i="4" a="1"/>
  <c r="A731" i="4" s="1"/>
  <c r="A730" i="4" a="1"/>
  <c r="A730" i="4" s="1"/>
  <c r="A729" i="4" a="1"/>
  <c r="A729" i="4" s="1"/>
  <c r="A728" i="4" a="1"/>
  <c r="A728" i="4" s="1"/>
  <c r="A727" i="4" a="1"/>
  <c r="A727" i="4" s="1"/>
  <c r="A726" i="4" a="1"/>
  <c r="A726" i="4" s="1"/>
  <c r="A725" i="4" a="1"/>
  <c r="A725" i="4" s="1"/>
  <c r="A724" i="4" a="1"/>
  <c r="A724" i="4" s="1"/>
  <c r="A723" i="4" a="1"/>
  <c r="A723" i="4" s="1"/>
  <c r="A722" i="4" a="1"/>
  <c r="A722" i="4" s="1"/>
  <c r="A721" i="4" a="1"/>
  <c r="A721" i="4" s="1"/>
  <c r="A720" i="4" a="1"/>
  <c r="A720" i="4" s="1"/>
  <c r="A719" i="4" a="1"/>
  <c r="A719" i="4" s="1"/>
  <c r="A718" i="4" a="1"/>
  <c r="A718" i="4" s="1"/>
  <c r="A717" i="4" a="1"/>
  <c r="A717" i="4" s="1"/>
  <c r="A716" i="4" a="1"/>
  <c r="A716" i="4" s="1"/>
  <c r="A715" i="4" a="1"/>
  <c r="A715" i="4" s="1"/>
  <c r="A714" i="4" a="1"/>
  <c r="A714" i="4" s="1"/>
  <c r="A713" i="4" a="1"/>
  <c r="A713" i="4" s="1"/>
  <c r="A712" i="4" a="1"/>
  <c r="A712" i="4" s="1"/>
  <c r="A711" i="4" a="1"/>
  <c r="A711" i="4" s="1"/>
  <c r="A710" i="4" a="1"/>
  <c r="A710" i="4" s="1"/>
  <c r="A709" i="4" a="1"/>
  <c r="A709" i="4" s="1"/>
  <c r="A708" i="4" a="1"/>
  <c r="A708" i="4" s="1"/>
  <c r="A707" i="4" a="1"/>
  <c r="A707" i="4" s="1"/>
  <c r="A706" i="4" a="1"/>
  <c r="A706" i="4" s="1"/>
  <c r="A705" i="4" a="1"/>
  <c r="A705" i="4" s="1"/>
  <c r="A704" i="4" a="1"/>
  <c r="A704" i="4" s="1"/>
  <c r="A703" i="4" a="1"/>
  <c r="A703" i="4" s="1"/>
  <c r="A702" i="4" a="1"/>
  <c r="A702" i="4" s="1"/>
  <c r="A701" i="4" a="1"/>
  <c r="A701" i="4" s="1"/>
  <c r="A700" i="4" a="1"/>
  <c r="A700" i="4" s="1"/>
  <c r="A699" i="4" a="1"/>
  <c r="A699" i="4" s="1"/>
  <c r="A698" i="4" a="1"/>
  <c r="A698" i="4" s="1"/>
  <c r="A697" i="4" a="1"/>
  <c r="A697" i="4" s="1"/>
  <c r="A696" i="4" a="1"/>
  <c r="A696" i="4" s="1"/>
  <c r="A695" i="4" a="1"/>
  <c r="A695" i="4" s="1"/>
  <c r="A694" i="4" a="1"/>
  <c r="A694" i="4" s="1"/>
  <c r="A693" i="4" a="1"/>
  <c r="A693" i="4" s="1"/>
  <c r="A692" i="4" a="1"/>
  <c r="A692" i="4" s="1"/>
  <c r="A691" i="4" a="1"/>
  <c r="A691" i="4" s="1"/>
  <c r="A690" i="4" a="1"/>
  <c r="A690" i="4" s="1"/>
  <c r="A689" i="4" a="1"/>
  <c r="A689" i="4" s="1"/>
  <c r="A688" i="4" a="1"/>
  <c r="A688" i="4" s="1"/>
  <c r="A687" i="4" a="1"/>
  <c r="A687" i="4" s="1"/>
  <c r="A686" i="4" a="1"/>
  <c r="A686" i="4" s="1"/>
  <c r="A685" i="4" a="1"/>
  <c r="A685" i="4" s="1"/>
  <c r="A684" i="4" a="1"/>
  <c r="A684" i="4" s="1"/>
  <c r="A683" i="4" a="1"/>
  <c r="A683" i="4" s="1"/>
  <c r="A682" i="4" a="1"/>
  <c r="A682" i="4" s="1"/>
  <c r="A681" i="4" a="1"/>
  <c r="A681" i="4" s="1"/>
  <c r="A680" i="4" a="1"/>
  <c r="A680" i="4" s="1"/>
  <c r="A679" i="4" a="1"/>
  <c r="A679" i="4" s="1"/>
  <c r="A678" i="4" a="1"/>
  <c r="A678" i="4" s="1"/>
  <c r="A677" i="4" a="1"/>
  <c r="A677" i="4" s="1"/>
  <c r="A676" i="4" a="1"/>
  <c r="A676" i="4" s="1"/>
  <c r="A675" i="4" a="1"/>
  <c r="A675" i="4" s="1"/>
  <c r="A674" i="4" a="1"/>
  <c r="A674" i="4" s="1"/>
  <c r="A673" i="4" a="1"/>
  <c r="A673" i="4" s="1"/>
  <c r="A672" i="4" a="1"/>
  <c r="A672" i="4" s="1"/>
  <c r="A671" i="4" a="1"/>
  <c r="A671" i="4" s="1"/>
  <c r="A670" i="4" a="1"/>
  <c r="A670" i="4" s="1"/>
  <c r="A669" i="4" a="1"/>
  <c r="A669" i="4" s="1"/>
  <c r="A668" i="4" a="1"/>
  <c r="A668" i="4" s="1"/>
  <c r="A667" i="4" a="1"/>
  <c r="A667" i="4" s="1"/>
  <c r="A666" i="4" a="1"/>
  <c r="A666" i="4" s="1"/>
  <c r="A665" i="4" a="1"/>
  <c r="A665" i="4" s="1"/>
  <c r="A664" i="4" a="1"/>
  <c r="A664" i="4" s="1"/>
  <c r="A663" i="4" a="1"/>
  <c r="A663" i="4" s="1"/>
  <c r="A662" i="4" a="1"/>
  <c r="A662" i="4" s="1"/>
  <c r="A661" i="4" a="1"/>
  <c r="A661" i="4" s="1"/>
  <c r="A660" i="4" a="1"/>
  <c r="A660" i="4" s="1"/>
  <c r="A659" i="4" a="1"/>
  <c r="A659" i="4" s="1"/>
  <c r="A658" i="4" a="1"/>
  <c r="A658" i="4" s="1"/>
  <c r="A657" i="4" a="1"/>
  <c r="A657" i="4" s="1"/>
  <c r="A656" i="4" a="1"/>
  <c r="A656" i="4" s="1"/>
  <c r="A655" i="4" a="1"/>
  <c r="A655" i="4" s="1"/>
  <c r="A654" i="4" a="1"/>
  <c r="A654" i="4" s="1"/>
  <c r="A653" i="4" a="1"/>
  <c r="A653" i="4" s="1"/>
  <c r="A652" i="4" a="1"/>
  <c r="A652" i="4" s="1"/>
  <c r="A651" i="4" a="1"/>
  <c r="A651" i="4" s="1"/>
  <c r="A650" i="4" a="1"/>
  <c r="A650" i="4" s="1"/>
  <c r="A649" i="4" a="1"/>
  <c r="A649" i="4" s="1"/>
  <c r="A648" i="4" a="1"/>
  <c r="A648" i="4" s="1"/>
  <c r="A647" i="4" a="1"/>
  <c r="A647" i="4" s="1"/>
  <c r="A646" i="4" a="1"/>
  <c r="A646" i="4" s="1"/>
  <c r="A645" i="4" a="1"/>
  <c r="A645" i="4" s="1"/>
  <c r="A644" i="4" a="1"/>
  <c r="A644" i="4" s="1"/>
  <c r="A643" i="4" a="1"/>
  <c r="A643" i="4" s="1"/>
  <c r="A642" i="4" a="1"/>
  <c r="A642" i="4" s="1"/>
  <c r="A641" i="4" a="1"/>
  <c r="A641" i="4" s="1"/>
  <c r="A640" i="4" a="1"/>
  <c r="A640" i="4" s="1"/>
  <c r="A639" i="4" a="1"/>
  <c r="A639" i="4" s="1"/>
  <c r="A638" i="4" a="1"/>
  <c r="A638" i="4" s="1"/>
  <c r="A637" i="4" a="1"/>
  <c r="A637" i="4" s="1"/>
  <c r="A636" i="4" a="1"/>
  <c r="A636" i="4" s="1"/>
  <c r="A635" i="4" a="1"/>
  <c r="A635" i="4" s="1"/>
  <c r="A634" i="4" a="1"/>
  <c r="A634" i="4" s="1"/>
  <c r="A633" i="4" a="1"/>
  <c r="A633" i="4" s="1"/>
  <c r="A632" i="4" a="1"/>
  <c r="A632" i="4" s="1"/>
  <c r="A631" i="4" a="1"/>
  <c r="A631" i="4" s="1"/>
  <c r="A630" i="4" a="1"/>
  <c r="A630" i="4" s="1"/>
  <c r="A629" i="4" a="1"/>
  <c r="A629" i="4" s="1"/>
  <c r="A628" i="4" a="1"/>
  <c r="A628" i="4" s="1"/>
  <c r="A627" i="4" a="1"/>
  <c r="A627" i="4" s="1"/>
  <c r="A626" i="4" a="1"/>
  <c r="A626" i="4" s="1"/>
  <c r="A625" i="4" a="1"/>
  <c r="A625" i="4" s="1"/>
  <c r="A624" i="4" a="1"/>
  <c r="A624" i="4" s="1"/>
  <c r="A623" i="4" a="1"/>
  <c r="A623" i="4" s="1"/>
  <c r="A622" i="4" a="1"/>
  <c r="A622" i="4" s="1"/>
  <c r="A621" i="4" a="1"/>
  <c r="A621" i="4" s="1"/>
  <c r="A620" i="4" a="1"/>
  <c r="A620" i="4" s="1"/>
  <c r="A619" i="4" a="1"/>
  <c r="A619" i="4" s="1"/>
  <c r="A618" i="4" a="1"/>
  <c r="A618" i="4" s="1"/>
  <c r="A617" i="4" a="1"/>
  <c r="A617" i="4" s="1"/>
  <c r="A616" i="4" a="1"/>
  <c r="A616" i="4" s="1"/>
  <c r="A615" i="4" a="1"/>
  <c r="A615" i="4" s="1"/>
  <c r="A614" i="4" a="1"/>
  <c r="A614" i="4" s="1"/>
  <c r="A613" i="4" a="1"/>
  <c r="A613" i="4" s="1"/>
  <c r="A612" i="4" a="1"/>
  <c r="A612" i="4" s="1"/>
  <c r="A611" i="4" a="1"/>
  <c r="A611" i="4" s="1"/>
  <c r="A610" i="4" a="1"/>
  <c r="A610" i="4" s="1"/>
  <c r="A609" i="4" a="1"/>
  <c r="A609" i="4" s="1"/>
  <c r="A608" i="4" a="1"/>
  <c r="A608" i="4" s="1"/>
  <c r="A607" i="4" a="1"/>
  <c r="A607" i="4" s="1"/>
  <c r="A606" i="4" a="1"/>
  <c r="A606" i="4" s="1"/>
  <c r="A605" i="4" a="1"/>
  <c r="A605" i="4" s="1"/>
  <c r="A604" i="4" a="1"/>
  <c r="A604" i="4" s="1"/>
  <c r="A603" i="4" a="1"/>
  <c r="A603" i="4" s="1"/>
  <c r="A602" i="4" a="1"/>
  <c r="A602" i="4" s="1"/>
  <c r="A601" i="4" a="1"/>
  <c r="A601" i="4" s="1"/>
  <c r="A600" i="4" a="1"/>
  <c r="A600" i="4" s="1"/>
  <c r="A599" i="4" a="1"/>
  <c r="A599" i="4" s="1"/>
  <c r="A598" i="4" a="1"/>
  <c r="A598" i="4" s="1"/>
  <c r="A597" i="4" a="1"/>
  <c r="A597" i="4" s="1"/>
  <c r="A596" i="4" a="1"/>
  <c r="A596" i="4" s="1"/>
  <c r="A595" i="4" a="1"/>
  <c r="A595" i="4" s="1"/>
  <c r="A594" i="4" a="1"/>
  <c r="A594" i="4" s="1"/>
  <c r="A593" i="4" a="1"/>
  <c r="A593" i="4" s="1"/>
  <c r="A592" i="4" a="1"/>
  <c r="A592" i="4" s="1"/>
  <c r="A591" i="4" a="1"/>
  <c r="A591" i="4" s="1"/>
  <c r="A590" i="4" a="1"/>
  <c r="A590" i="4" s="1"/>
  <c r="A589" i="4" a="1"/>
  <c r="A589" i="4" s="1"/>
  <c r="A588" i="4" a="1"/>
  <c r="A588" i="4" s="1"/>
  <c r="A587" i="4" a="1"/>
  <c r="A587" i="4" s="1"/>
  <c r="A586" i="4" a="1"/>
  <c r="A586" i="4" s="1"/>
  <c r="A585" i="4" a="1"/>
  <c r="A585" i="4" s="1"/>
  <c r="A584" i="4" a="1"/>
  <c r="A584" i="4" s="1"/>
  <c r="A583" i="4" a="1"/>
  <c r="A583" i="4" s="1"/>
  <c r="A582" i="4" a="1"/>
  <c r="A582" i="4" s="1"/>
  <c r="A581" i="4" a="1"/>
  <c r="A581" i="4" s="1"/>
  <c r="A580" i="4" a="1"/>
  <c r="A580" i="4" s="1"/>
  <c r="A579" i="4" a="1"/>
  <c r="A579" i="4" s="1"/>
  <c r="A578" i="4" a="1"/>
  <c r="A578" i="4" s="1"/>
  <c r="A577" i="4" a="1"/>
  <c r="A577" i="4" s="1"/>
  <c r="A576" i="4" a="1"/>
  <c r="A576" i="4" s="1"/>
  <c r="A575" i="4" a="1"/>
  <c r="A575" i="4" s="1"/>
  <c r="A574" i="4" a="1"/>
  <c r="A574" i="4" s="1"/>
  <c r="A573" i="4" a="1"/>
  <c r="A573" i="4" s="1"/>
  <c r="A572" i="4" a="1"/>
  <c r="A572" i="4" s="1"/>
  <c r="A571" i="4" a="1"/>
  <c r="A571" i="4" s="1"/>
  <c r="A570" i="4" a="1"/>
  <c r="A570" i="4" s="1"/>
  <c r="A569" i="4" a="1"/>
  <c r="A569" i="4" s="1"/>
  <c r="A568" i="4" a="1"/>
  <c r="A568" i="4" s="1"/>
  <c r="A567" i="4" a="1"/>
  <c r="A567" i="4" s="1"/>
  <c r="A566" i="4" a="1"/>
  <c r="A566" i="4" s="1"/>
  <c r="A565" i="4" a="1"/>
  <c r="A565" i="4" s="1"/>
  <c r="A564" i="4" a="1"/>
  <c r="A564" i="4" s="1"/>
  <c r="A563" i="4" a="1"/>
  <c r="A563" i="4" s="1"/>
  <c r="A562" i="4" a="1"/>
  <c r="A562" i="4" s="1"/>
  <c r="A561" i="4" a="1"/>
  <c r="A561" i="4" s="1"/>
  <c r="A560" i="4" a="1"/>
  <c r="A560" i="4" s="1"/>
  <c r="A559" i="4" a="1"/>
  <c r="A559" i="4" s="1"/>
  <c r="A558" i="4" a="1"/>
  <c r="A558" i="4" s="1"/>
  <c r="A557" i="4" a="1"/>
  <c r="A557" i="4" s="1"/>
  <c r="A556" i="4" a="1"/>
  <c r="A556" i="4" s="1"/>
  <c r="A555" i="4" a="1"/>
  <c r="A555" i="4" s="1"/>
  <c r="A554" i="4" a="1"/>
  <c r="A554" i="4" s="1"/>
  <c r="A553" i="4" a="1"/>
  <c r="A553" i="4" s="1"/>
  <c r="A552" i="4" a="1"/>
  <c r="A552" i="4" s="1"/>
  <c r="A551" i="4" a="1"/>
  <c r="A551" i="4" s="1"/>
  <c r="A550" i="4" a="1"/>
  <c r="A550" i="4" s="1"/>
  <c r="A549" i="4" a="1"/>
  <c r="A549" i="4" s="1"/>
  <c r="A548" i="4" a="1"/>
  <c r="A548" i="4" s="1"/>
  <c r="A547" i="4" a="1"/>
  <c r="A547" i="4" s="1"/>
  <c r="A546" i="4" a="1"/>
  <c r="A546" i="4" s="1"/>
  <c r="A545" i="4" a="1"/>
  <c r="A545" i="4" s="1"/>
  <c r="A544" i="4" a="1"/>
  <c r="A544" i="4" s="1"/>
  <c r="A543" i="4" a="1"/>
  <c r="A543" i="4" s="1"/>
  <c r="A542" i="4" a="1"/>
  <c r="A542" i="4" s="1"/>
  <c r="A541" i="4" a="1"/>
  <c r="A541" i="4" s="1"/>
  <c r="A540" i="4" a="1"/>
  <c r="A540" i="4" s="1"/>
  <c r="A539" i="4" a="1"/>
  <c r="A539" i="4" s="1"/>
  <c r="A538" i="4" a="1"/>
  <c r="A538" i="4" s="1"/>
  <c r="A537" i="4" a="1"/>
  <c r="A537" i="4" s="1"/>
  <c r="A536" i="4" a="1"/>
  <c r="A536" i="4" s="1"/>
  <c r="A535" i="4" a="1"/>
  <c r="A535" i="4" s="1"/>
  <c r="A534" i="4" a="1"/>
  <c r="A534" i="4" s="1"/>
  <c r="A533" i="4" a="1"/>
  <c r="A533" i="4" s="1"/>
  <c r="A532" i="4" a="1"/>
  <c r="A532" i="4" s="1"/>
  <c r="A531" i="4" a="1"/>
  <c r="A531" i="4" s="1"/>
  <c r="A530" i="4" a="1"/>
  <c r="A530" i="4" s="1"/>
  <c r="A529" i="4" a="1"/>
  <c r="A529" i="4" s="1"/>
  <c r="A528" i="4" a="1"/>
  <c r="A528" i="4" s="1"/>
  <c r="A527" i="4" a="1"/>
  <c r="A527" i="4" s="1"/>
  <c r="A526" i="4" a="1"/>
  <c r="A526" i="4" s="1"/>
  <c r="A525" i="4" a="1"/>
  <c r="A525" i="4" s="1"/>
  <c r="A524" i="4" a="1"/>
  <c r="A524" i="4" s="1"/>
  <c r="A523" i="4" a="1"/>
  <c r="A523" i="4" s="1"/>
  <c r="A522" i="4" a="1"/>
  <c r="A522" i="4" s="1"/>
  <c r="A521" i="4" a="1"/>
  <c r="A521" i="4" s="1"/>
  <c r="A520" i="4" a="1"/>
  <c r="A520" i="4" s="1"/>
  <c r="A519" i="4" a="1"/>
  <c r="A519" i="4" s="1"/>
  <c r="A518" i="4" a="1"/>
  <c r="A518" i="4" s="1"/>
  <c r="A517" i="4" a="1"/>
  <c r="A517" i="4" s="1"/>
  <c r="A516" i="4" a="1"/>
  <c r="A516" i="4" s="1"/>
  <c r="A515" i="4" a="1"/>
  <c r="A515" i="4" s="1"/>
  <c r="A514" i="4" a="1"/>
  <c r="A514" i="4" s="1"/>
  <c r="A513" i="4" a="1"/>
  <c r="A513" i="4" s="1"/>
  <c r="A512" i="4" a="1"/>
  <c r="A512" i="4" s="1"/>
  <c r="A511" i="4" a="1"/>
  <c r="A511" i="4" s="1"/>
  <c r="A510" i="4" a="1"/>
  <c r="A510" i="4" s="1"/>
  <c r="A509" i="4" a="1"/>
  <c r="A509" i="4" s="1"/>
  <c r="A508" i="4" a="1"/>
  <c r="A508" i="4" s="1"/>
  <c r="A507" i="4" a="1"/>
  <c r="A507" i="4" s="1"/>
  <c r="A506" i="4" a="1"/>
  <c r="A506" i="4" s="1"/>
  <c r="A505" i="4" a="1"/>
  <c r="A505" i="4" s="1"/>
  <c r="A504" i="4" a="1"/>
  <c r="A504" i="4" s="1"/>
  <c r="A503" i="4" a="1"/>
  <c r="A503" i="4" s="1"/>
  <c r="A502" i="4" a="1"/>
  <c r="A502" i="4" s="1"/>
  <c r="A501" i="4" a="1"/>
  <c r="A501" i="4" s="1"/>
  <c r="A500" i="4" a="1"/>
  <c r="A500" i="4" s="1"/>
  <c r="A499" i="4" a="1"/>
  <c r="A499" i="4" s="1"/>
  <c r="A498" i="4" a="1"/>
  <c r="A498" i="4" s="1"/>
  <c r="A497" i="4" a="1"/>
  <c r="A497" i="4" s="1"/>
  <c r="A496" i="4" a="1"/>
  <c r="A496" i="4" s="1"/>
  <c r="A495" i="4" a="1"/>
  <c r="A495" i="4" s="1"/>
  <c r="A494" i="4" a="1"/>
  <c r="A494" i="4" s="1"/>
  <c r="A493" i="4" a="1"/>
  <c r="A493" i="4" s="1"/>
  <c r="A492" i="4" a="1"/>
  <c r="A492" i="4" s="1"/>
  <c r="A491" i="4" a="1"/>
  <c r="A491" i="4" s="1"/>
  <c r="A490" i="4" a="1"/>
  <c r="A490" i="4" s="1"/>
  <c r="A489" i="4" a="1"/>
  <c r="A489" i="4" s="1"/>
  <c r="A488" i="4" a="1"/>
  <c r="A488" i="4" s="1"/>
  <c r="A487" i="4" a="1"/>
  <c r="A487" i="4" s="1"/>
  <c r="A486" i="4" a="1"/>
  <c r="A486" i="4" s="1"/>
  <c r="A485" i="4" a="1"/>
  <c r="A485" i="4" s="1"/>
  <c r="A484" i="4" a="1"/>
  <c r="A484" i="4" s="1"/>
  <c r="A483" i="4" a="1"/>
  <c r="A483" i="4" s="1"/>
  <c r="A482" i="4" a="1"/>
  <c r="A482" i="4" s="1"/>
  <c r="A481" i="4" a="1"/>
  <c r="A481" i="4" s="1"/>
  <c r="A480" i="4" a="1"/>
  <c r="A480" i="4" s="1"/>
  <c r="A479" i="4" a="1"/>
  <c r="A479" i="4" s="1"/>
  <c r="A478" i="4" a="1"/>
  <c r="A478" i="4" s="1"/>
  <c r="A477" i="4" a="1"/>
  <c r="A477" i="4" s="1"/>
  <c r="A476" i="4" a="1"/>
  <c r="A476" i="4" s="1"/>
  <c r="A475" i="4" a="1"/>
  <c r="A475" i="4" s="1"/>
  <c r="A474" i="4" a="1"/>
  <c r="A474" i="4" s="1"/>
  <c r="A473" i="4" a="1"/>
  <c r="A473" i="4" s="1"/>
  <c r="A472" i="4" a="1"/>
  <c r="A472" i="4" s="1"/>
  <c r="A471" i="4" a="1"/>
  <c r="A471" i="4" s="1"/>
  <c r="A470" i="4" a="1"/>
  <c r="A470" i="4" s="1"/>
  <c r="A469" i="4" a="1"/>
  <c r="A469" i="4" s="1"/>
  <c r="A468" i="4" a="1"/>
  <c r="A468" i="4" s="1"/>
  <c r="A467" i="4" a="1"/>
  <c r="A467" i="4" s="1"/>
  <c r="A466" i="4" a="1"/>
  <c r="A466" i="4" s="1"/>
  <c r="A465" i="4" a="1"/>
  <c r="A465" i="4" s="1"/>
  <c r="A464" i="4" a="1"/>
  <c r="A464" i="4" s="1"/>
  <c r="A463" i="4" a="1"/>
  <c r="A463" i="4" s="1"/>
  <c r="A462" i="4" a="1"/>
  <c r="A462" i="4" s="1"/>
  <c r="A461" i="4" a="1"/>
  <c r="A461" i="4" s="1"/>
  <c r="A460" i="4" a="1"/>
  <c r="A460" i="4" s="1"/>
  <c r="A459" i="4" a="1"/>
  <c r="A459" i="4" s="1"/>
  <c r="A458" i="4" a="1"/>
  <c r="A458" i="4" s="1"/>
  <c r="A457" i="4" a="1"/>
  <c r="A457" i="4" s="1"/>
  <c r="A456" i="4" a="1"/>
  <c r="A456" i="4" s="1"/>
  <c r="A455" i="4" a="1"/>
  <c r="A455" i="4" s="1"/>
  <c r="A454" i="4" a="1"/>
  <c r="A454" i="4" s="1"/>
  <c r="A453" i="4" a="1"/>
  <c r="A453" i="4" s="1"/>
  <c r="A452" i="4" a="1"/>
  <c r="A452" i="4" s="1"/>
  <c r="A451" i="4" a="1"/>
  <c r="A451" i="4" s="1"/>
  <c r="A450" i="4" a="1"/>
  <c r="A450" i="4" s="1"/>
  <c r="A449" i="4" a="1"/>
  <c r="A449" i="4" s="1"/>
  <c r="A448" i="4" a="1"/>
  <c r="A448" i="4" s="1"/>
  <c r="A447" i="4" a="1"/>
  <c r="A447" i="4" s="1"/>
  <c r="A446" i="4" a="1"/>
  <c r="A446" i="4" s="1"/>
  <c r="A445" i="4" a="1"/>
  <c r="A445" i="4" s="1"/>
  <c r="A444" i="4" a="1"/>
  <c r="A444" i="4" s="1"/>
  <c r="A443" i="4" a="1"/>
  <c r="A443" i="4" s="1"/>
  <c r="A442" i="4" a="1"/>
  <c r="A442" i="4" s="1"/>
  <c r="A441" i="4" a="1"/>
  <c r="A441" i="4" s="1"/>
  <c r="A440" i="4" a="1"/>
  <c r="A440" i="4" s="1"/>
  <c r="A439" i="4" a="1"/>
  <c r="A439" i="4" s="1"/>
  <c r="A438" i="4" a="1"/>
  <c r="A438" i="4" s="1"/>
  <c r="A437" i="4" a="1"/>
  <c r="A437" i="4" s="1"/>
  <c r="A436" i="4" a="1"/>
  <c r="A436" i="4" s="1"/>
  <c r="A435" i="4" a="1"/>
  <c r="A435" i="4" s="1"/>
  <c r="A434" i="4" a="1"/>
  <c r="A434" i="4" s="1"/>
  <c r="A433" i="4" a="1"/>
  <c r="A433" i="4" s="1"/>
  <c r="A432" i="4" a="1"/>
  <c r="A432" i="4" s="1"/>
  <c r="A431" i="4" a="1"/>
  <c r="A431" i="4" s="1"/>
  <c r="A430" i="4" a="1"/>
  <c r="A430" i="4" s="1"/>
  <c r="A429" i="4" a="1"/>
  <c r="A429" i="4" s="1"/>
  <c r="A428" i="4" a="1"/>
  <c r="A428" i="4" s="1"/>
  <c r="A427" i="4" a="1"/>
  <c r="A427" i="4" s="1"/>
  <c r="A426" i="4" a="1"/>
  <c r="A426" i="4" s="1"/>
  <c r="A425" i="4" a="1"/>
  <c r="A425" i="4" s="1"/>
  <c r="A424" i="4" a="1"/>
  <c r="A424" i="4" s="1"/>
  <c r="A423" i="4" a="1"/>
  <c r="A423" i="4" s="1"/>
  <c r="A422" i="4" a="1"/>
  <c r="A422" i="4" s="1"/>
  <c r="A421" i="4" a="1"/>
  <c r="A421" i="4" s="1"/>
  <c r="A420" i="4" a="1"/>
  <c r="A420" i="4" s="1"/>
  <c r="A419" i="4" a="1"/>
  <c r="A419" i="4" s="1"/>
  <c r="A418" i="4" a="1"/>
  <c r="A418" i="4" s="1"/>
  <c r="A417" i="4" a="1"/>
  <c r="A417" i="4" s="1"/>
  <c r="A416" i="4" a="1"/>
  <c r="A416" i="4" s="1"/>
  <c r="A415" i="4" a="1"/>
  <c r="A415" i="4" s="1"/>
  <c r="A414" i="4" a="1"/>
  <c r="A414" i="4" s="1"/>
  <c r="A413" i="4" a="1"/>
  <c r="A413" i="4" s="1"/>
  <c r="A412" i="4" a="1"/>
  <c r="A412" i="4" s="1"/>
  <c r="A411" i="4" a="1"/>
  <c r="A411" i="4" s="1"/>
  <c r="A410" i="4" a="1"/>
  <c r="A410" i="4" s="1"/>
  <c r="A409" i="4" a="1"/>
  <c r="A409" i="4" s="1"/>
  <c r="A408" i="4" a="1"/>
  <c r="A408" i="4" s="1"/>
  <c r="A407" i="4" a="1"/>
  <c r="A407" i="4" s="1"/>
  <c r="A406" i="4" a="1"/>
  <c r="A406" i="4" s="1"/>
  <c r="A405" i="4" a="1"/>
  <c r="A405" i="4" s="1"/>
  <c r="A404" i="4" a="1"/>
  <c r="A404" i="4" s="1"/>
  <c r="A403" i="4" a="1"/>
  <c r="A403" i="4" s="1"/>
  <c r="A402" i="4" a="1"/>
  <c r="A402" i="4" s="1"/>
  <c r="A401" i="4" a="1"/>
  <c r="A401" i="4" s="1"/>
  <c r="A400" i="4" a="1"/>
  <c r="A400" i="4" s="1"/>
  <c r="A399" i="4" a="1"/>
  <c r="A399" i="4" s="1"/>
  <c r="A398" i="4" a="1"/>
  <c r="A398" i="4" s="1"/>
  <c r="A397" i="4" a="1"/>
  <c r="A397" i="4" s="1"/>
  <c r="A396" i="4" a="1"/>
  <c r="A396" i="4" s="1"/>
  <c r="A395" i="4" a="1"/>
  <c r="A395" i="4" s="1"/>
  <c r="A394" i="4" a="1"/>
  <c r="A394" i="4" s="1"/>
  <c r="A393" i="4" a="1"/>
  <c r="A393" i="4" s="1"/>
  <c r="A392" i="4" a="1"/>
  <c r="A392" i="4" s="1"/>
  <c r="A391" i="4" a="1"/>
  <c r="A391" i="4" s="1"/>
  <c r="A390" i="4" a="1"/>
  <c r="A390" i="4" s="1"/>
  <c r="A389" i="4" a="1"/>
  <c r="A389" i="4" s="1"/>
  <c r="A388" i="4" a="1"/>
  <c r="A388" i="4" s="1"/>
  <c r="A387" i="4" a="1"/>
  <c r="A387" i="4" s="1"/>
  <c r="A386" i="4" a="1"/>
  <c r="A386" i="4" s="1"/>
  <c r="A385" i="4" a="1"/>
  <c r="A385" i="4" s="1"/>
  <c r="A384" i="4" a="1"/>
  <c r="A384" i="4" s="1"/>
  <c r="A383" i="4" a="1"/>
  <c r="A383" i="4" s="1"/>
  <c r="A382" i="4" a="1"/>
  <c r="A382" i="4" s="1"/>
  <c r="A381" i="4" a="1"/>
  <c r="A381" i="4" s="1"/>
  <c r="A380" i="4" a="1"/>
  <c r="A380" i="4" s="1"/>
  <c r="A379" i="4" a="1"/>
  <c r="A379" i="4" s="1"/>
  <c r="A378" i="4" a="1"/>
  <c r="A378" i="4" s="1"/>
  <c r="A377" i="4" a="1"/>
  <c r="A377" i="4" s="1"/>
  <c r="A376" i="4" a="1"/>
  <c r="A376" i="4" s="1"/>
  <c r="A375" i="4" a="1"/>
  <c r="A375" i="4" s="1"/>
  <c r="A374" i="4" a="1"/>
  <c r="A374" i="4" s="1"/>
  <c r="A373" i="4" a="1"/>
  <c r="A373" i="4" s="1"/>
  <c r="A372" i="4" a="1"/>
  <c r="A372" i="4" s="1"/>
  <c r="A371" i="4" a="1"/>
  <c r="A371" i="4" s="1"/>
  <c r="A370" i="4" a="1"/>
  <c r="A370" i="4" s="1"/>
  <c r="A369" i="4" a="1"/>
  <c r="A369" i="4" s="1"/>
  <c r="A368" i="4" a="1"/>
  <c r="A368" i="4" s="1"/>
  <c r="A367" i="4" a="1"/>
  <c r="A367" i="4" s="1"/>
  <c r="A366" i="4" a="1"/>
  <c r="A366" i="4" s="1"/>
  <c r="A365" i="4" a="1"/>
  <c r="A365" i="4" s="1"/>
  <c r="A364" i="4" a="1"/>
  <c r="A364" i="4" s="1"/>
  <c r="A363" i="4" a="1"/>
  <c r="A363" i="4" s="1"/>
  <c r="A362" i="4" a="1"/>
  <c r="A362" i="4" s="1"/>
  <c r="A361" i="4" a="1"/>
  <c r="A361" i="4" s="1"/>
  <c r="A360" i="4" a="1"/>
  <c r="A360" i="4" s="1"/>
  <c r="A359" i="4" a="1"/>
  <c r="A359" i="4" s="1"/>
  <c r="A358" i="4" a="1"/>
  <c r="A358" i="4" s="1"/>
  <c r="A357" i="4" a="1"/>
  <c r="A357" i="4" s="1"/>
  <c r="A356" i="4" a="1"/>
  <c r="A356" i="4" s="1"/>
  <c r="A355" i="4" a="1"/>
  <c r="A355" i="4" s="1"/>
  <c r="A354" i="4" a="1"/>
  <c r="A354" i="4" s="1"/>
  <c r="A353" i="4" a="1"/>
  <c r="A353" i="4" s="1"/>
  <c r="A352" i="4" a="1"/>
  <c r="A352" i="4" s="1"/>
  <c r="A351" i="4" a="1"/>
  <c r="A351" i="4" s="1"/>
  <c r="A350" i="4" a="1"/>
  <c r="A350" i="4" s="1"/>
  <c r="A349" i="4" a="1"/>
  <c r="A349" i="4" s="1"/>
  <c r="A348" i="4" a="1"/>
  <c r="A348" i="4" s="1"/>
  <c r="A347" i="4" a="1"/>
  <c r="A347" i="4" s="1"/>
  <c r="A346" i="4" a="1"/>
  <c r="A346" i="4" s="1"/>
  <c r="A345" i="4" a="1"/>
  <c r="A345" i="4" s="1"/>
  <c r="A344" i="4" a="1"/>
  <c r="A344" i="4" s="1"/>
  <c r="A343" i="4" a="1"/>
  <c r="A343" i="4" s="1"/>
  <c r="A342" i="4" a="1"/>
  <c r="A342" i="4" s="1"/>
  <c r="A341" i="4" a="1"/>
  <c r="A341" i="4" s="1"/>
  <c r="A340" i="4" a="1"/>
  <c r="A340" i="4" s="1"/>
  <c r="A339" i="4" a="1"/>
  <c r="A339" i="4" s="1"/>
  <c r="A338" i="4" a="1"/>
  <c r="A338" i="4" s="1"/>
  <c r="A337" i="4" a="1"/>
  <c r="A337" i="4" s="1"/>
  <c r="A336" i="4" a="1"/>
  <c r="A336" i="4" s="1"/>
  <c r="A335" i="4" a="1"/>
  <c r="A335" i="4" s="1"/>
  <c r="A334" i="4" a="1"/>
  <c r="A334" i="4" s="1"/>
  <c r="A333" i="4" a="1"/>
  <c r="A333" i="4" s="1"/>
  <c r="A332" i="4" a="1"/>
  <c r="A332" i="4" s="1"/>
  <c r="A331" i="4" a="1"/>
  <c r="A331" i="4" s="1"/>
  <c r="A330" i="4" a="1"/>
  <c r="A330" i="4" s="1"/>
  <c r="A329" i="4" a="1"/>
  <c r="A329" i="4" s="1"/>
  <c r="A328" i="4" a="1"/>
  <c r="A328" i="4" s="1"/>
  <c r="A327" i="4" a="1"/>
  <c r="A327" i="4" s="1"/>
  <c r="A326" i="4" a="1"/>
  <c r="A326" i="4" s="1"/>
  <c r="A325" i="4" a="1"/>
  <c r="A325" i="4" s="1"/>
  <c r="A324" i="4" a="1"/>
  <c r="A324" i="4" s="1"/>
  <c r="A323" i="4" a="1"/>
  <c r="A323" i="4" s="1"/>
  <c r="A322" i="4" a="1"/>
  <c r="A322" i="4" s="1"/>
  <c r="A321" i="4" a="1"/>
  <c r="A321" i="4" s="1"/>
  <c r="A320" i="4" a="1"/>
  <c r="A320" i="4" s="1"/>
  <c r="A319" i="4" a="1"/>
  <c r="A319" i="4" s="1"/>
  <c r="A318" i="4" a="1"/>
  <c r="A318" i="4" s="1"/>
  <c r="A317" i="4" a="1"/>
  <c r="A317" i="4" s="1"/>
  <c r="A316" i="4" a="1"/>
  <c r="A316" i="4" s="1"/>
  <c r="A315" i="4" a="1"/>
  <c r="A315" i="4" s="1"/>
  <c r="A314" i="4" a="1"/>
  <c r="A314" i="4" s="1"/>
  <c r="A313" i="4" a="1"/>
  <c r="A313" i="4" s="1"/>
  <c r="A312" i="4" a="1"/>
  <c r="A312" i="4" s="1"/>
  <c r="A311" i="4" a="1"/>
  <c r="A311" i="4" s="1"/>
  <c r="A310" i="4" a="1"/>
  <c r="A310" i="4" s="1"/>
  <c r="A309" i="4" a="1"/>
  <c r="A309" i="4" s="1"/>
  <c r="A308" i="4" a="1"/>
  <c r="A308" i="4" s="1"/>
  <c r="A307" i="4" a="1"/>
  <c r="A307" i="4" s="1"/>
  <c r="A306" i="4" a="1"/>
  <c r="A306" i="4" s="1"/>
  <c r="A305" i="4" a="1"/>
  <c r="A305" i="4" s="1"/>
  <c r="A304" i="4" a="1"/>
  <c r="A304" i="4" s="1"/>
  <c r="A303" i="4" a="1"/>
  <c r="A303" i="4" s="1"/>
  <c r="A302" i="4" a="1"/>
  <c r="A302" i="4" s="1"/>
  <c r="A301" i="4" a="1"/>
  <c r="A301" i="4" s="1"/>
  <c r="A300" i="4" a="1"/>
  <c r="A300" i="4" s="1"/>
  <c r="A299" i="4" a="1"/>
  <c r="A299" i="4" s="1"/>
  <c r="A298" i="4" a="1"/>
  <c r="A298" i="4" s="1"/>
  <c r="A297" i="4" a="1"/>
  <c r="A297" i="4" s="1"/>
  <c r="A296" i="4" a="1"/>
  <c r="A296" i="4" s="1"/>
  <c r="A295" i="4" a="1"/>
  <c r="A295" i="4" s="1"/>
  <c r="A294" i="4" a="1"/>
  <c r="A294" i="4" s="1"/>
  <c r="A293" i="4" a="1"/>
  <c r="A293" i="4" s="1"/>
  <c r="A292" i="4" a="1"/>
  <c r="A292" i="4" s="1"/>
  <c r="A291" i="4" a="1"/>
  <c r="A291" i="4" s="1"/>
  <c r="A290" i="4" a="1"/>
  <c r="A290" i="4" s="1"/>
  <c r="A289" i="4" a="1"/>
  <c r="A289" i="4" s="1"/>
  <c r="A288" i="4" a="1"/>
  <c r="A288" i="4" s="1"/>
  <c r="A287" i="4" a="1"/>
  <c r="A287" i="4" s="1"/>
  <c r="A286" i="4" a="1"/>
  <c r="A286" i="4" s="1"/>
  <c r="A285" i="4" a="1"/>
  <c r="A285" i="4" s="1"/>
  <c r="A284" i="4" a="1"/>
  <c r="A284" i="4" s="1"/>
  <c r="A283" i="4" a="1"/>
  <c r="A283" i="4" s="1"/>
  <c r="A282" i="4" a="1"/>
  <c r="A282" i="4" s="1"/>
  <c r="A281" i="4" a="1"/>
  <c r="A281" i="4" s="1"/>
  <c r="A280" i="4" a="1"/>
  <c r="A280" i="4" s="1"/>
  <c r="A279" i="4" a="1"/>
  <c r="A279" i="4" s="1"/>
  <c r="A278" i="4" a="1"/>
  <c r="A278" i="4" s="1"/>
  <c r="A277" i="4" a="1"/>
  <c r="A277" i="4" s="1"/>
  <c r="A276" i="4" a="1"/>
  <c r="A276" i="4" s="1"/>
  <c r="A275" i="4" a="1"/>
  <c r="A275" i="4" s="1"/>
  <c r="A274" i="4" a="1"/>
  <c r="A274" i="4" s="1"/>
  <c r="A273" i="4" a="1"/>
  <c r="A273" i="4" s="1"/>
  <c r="A272" i="4" a="1"/>
  <c r="A272" i="4" s="1"/>
  <c r="A271" i="4" a="1"/>
  <c r="A271" i="4" s="1"/>
  <c r="A270" i="4" a="1"/>
  <c r="A270" i="4" s="1"/>
  <c r="A269" i="4" a="1"/>
  <c r="A269" i="4" s="1"/>
  <c r="A268" i="4" a="1"/>
  <c r="A268" i="4" s="1"/>
  <c r="A267" i="4" a="1"/>
  <c r="A267" i="4" s="1"/>
  <c r="A266" i="4" a="1"/>
  <c r="A266" i="4" s="1"/>
  <c r="A265" i="4" a="1"/>
  <c r="A265" i="4" s="1"/>
  <c r="A264" i="4" a="1"/>
  <c r="A264" i="4" s="1"/>
  <c r="A263" i="4" a="1"/>
  <c r="A263" i="4" s="1"/>
  <c r="A262" i="4" a="1"/>
  <c r="A262" i="4" s="1"/>
  <c r="A261" i="4" a="1"/>
  <c r="A261" i="4" s="1"/>
  <c r="A260" i="4" a="1"/>
  <c r="A260" i="4" s="1"/>
  <c r="A259" i="4" a="1"/>
  <c r="A259" i="4" s="1"/>
  <c r="A258" i="4" a="1"/>
  <c r="A258" i="4" s="1"/>
  <c r="A257" i="4" a="1"/>
  <c r="A257" i="4" s="1"/>
  <c r="A256" i="4" a="1"/>
  <c r="A256" i="4" s="1"/>
  <c r="A255" i="4" a="1"/>
  <c r="A255" i="4" s="1"/>
  <c r="A254" i="4" a="1"/>
  <c r="A254" i="4" s="1"/>
  <c r="A253" i="4" a="1"/>
  <c r="A253" i="4" s="1"/>
  <c r="A252" i="4" a="1"/>
  <c r="A252" i="4" s="1"/>
  <c r="A251" i="4" a="1"/>
  <c r="A251" i="4" s="1"/>
  <c r="A250" i="4" a="1"/>
  <c r="A250" i="4" s="1"/>
  <c r="A249" i="4" a="1"/>
  <c r="A249" i="4" s="1"/>
  <c r="A248" i="4" a="1"/>
  <c r="A248" i="4" s="1"/>
  <c r="A247" i="4" a="1"/>
  <c r="A247" i="4" s="1"/>
  <c r="A246" i="4" a="1"/>
  <c r="A246" i="4" s="1"/>
  <c r="A245" i="4" a="1"/>
  <c r="A245" i="4" s="1"/>
  <c r="A244" i="4" a="1"/>
  <c r="A244" i="4" s="1"/>
  <c r="A243" i="4" a="1"/>
  <c r="A243" i="4" s="1"/>
  <c r="A242" i="4" a="1"/>
  <c r="A242" i="4" s="1"/>
  <c r="A241" i="4" a="1"/>
  <c r="A241" i="4" s="1"/>
  <c r="A240" i="4" a="1"/>
  <c r="A240" i="4" s="1"/>
  <c r="A239" i="4" a="1"/>
  <c r="A239" i="4" s="1"/>
  <c r="A238" i="4" a="1"/>
  <c r="A238" i="4" s="1"/>
  <c r="A237" i="4" a="1"/>
  <c r="A237" i="4" s="1"/>
  <c r="A236" i="4" a="1"/>
  <c r="A236" i="4" s="1"/>
  <c r="A235" i="4" a="1"/>
  <c r="A235" i="4" s="1"/>
  <c r="A234" i="4" a="1"/>
  <c r="A234" i="4" s="1"/>
  <c r="A233" i="4" a="1"/>
  <c r="A233" i="4" s="1"/>
  <c r="A232" i="4" a="1"/>
  <c r="A232" i="4" s="1"/>
  <c r="A231" i="4" a="1"/>
  <c r="A231" i="4" s="1"/>
  <c r="A230" i="4" a="1"/>
  <c r="A230" i="4" s="1"/>
  <c r="A229" i="4" a="1"/>
  <c r="A229" i="4" s="1"/>
  <c r="A228" i="4" a="1"/>
  <c r="A228" i="4" s="1"/>
  <c r="A227" i="4" a="1"/>
  <c r="A227" i="4" s="1"/>
  <c r="A226" i="4" a="1"/>
  <c r="A226" i="4" s="1"/>
  <c r="A225" i="4" a="1"/>
  <c r="A225" i="4" s="1"/>
  <c r="A224" i="4" a="1"/>
  <c r="A224" i="4" s="1"/>
  <c r="A223" i="4" a="1"/>
  <c r="A223" i="4" s="1"/>
  <c r="A222" i="4" a="1"/>
  <c r="A222" i="4" s="1"/>
  <c r="A221" i="4" a="1"/>
  <c r="A221" i="4" s="1"/>
  <c r="A220" i="4" a="1"/>
  <c r="A220" i="4" s="1"/>
  <c r="A219" i="4" a="1"/>
  <c r="A219" i="4" s="1"/>
  <c r="A218" i="4" a="1"/>
  <c r="A218" i="4" s="1"/>
  <c r="A217" i="4" a="1"/>
  <c r="A217" i="4" s="1"/>
  <c r="A216" i="4" a="1"/>
  <c r="A216" i="4" s="1"/>
  <c r="A215" i="4" a="1"/>
  <c r="A215" i="4" s="1"/>
  <c r="A214" i="4" a="1"/>
  <c r="A214" i="4" s="1"/>
  <c r="A213" i="4" a="1"/>
  <c r="A213" i="4" s="1"/>
  <c r="A212" i="4" a="1"/>
  <c r="A212" i="4" s="1"/>
  <c r="A211" i="4" a="1"/>
  <c r="A211" i="4" s="1"/>
  <c r="A210" i="4" a="1"/>
  <c r="A210" i="4" s="1"/>
  <c r="A209" i="4" a="1"/>
  <c r="A209" i="4" s="1"/>
  <c r="A208" i="4" a="1"/>
  <c r="A208" i="4" s="1"/>
  <c r="A207" i="4" a="1"/>
  <c r="A207" i="4" s="1"/>
  <c r="A206" i="4" a="1"/>
  <c r="A206" i="4" s="1"/>
  <c r="A205" i="4" a="1"/>
  <c r="A205" i="4" s="1"/>
  <c r="A204" i="4" a="1"/>
  <c r="A204" i="4" s="1"/>
  <c r="A203" i="4" a="1"/>
  <c r="A203" i="4" s="1"/>
  <c r="A202" i="4" a="1"/>
  <c r="A202" i="4" s="1"/>
  <c r="A201" i="4" a="1"/>
  <c r="A201" i="4" s="1"/>
  <c r="A200" i="4" a="1"/>
  <c r="A200" i="4" s="1"/>
  <c r="A199" i="4" a="1"/>
  <c r="A199" i="4" s="1"/>
  <c r="A198" i="4" a="1"/>
  <c r="A198" i="4" s="1"/>
  <c r="A197" i="4" a="1"/>
  <c r="A197" i="4" s="1"/>
  <c r="A196" i="4" a="1"/>
  <c r="A196" i="4" s="1"/>
  <c r="A195" i="4" a="1"/>
  <c r="A195" i="4" s="1"/>
  <c r="A194" i="4" a="1"/>
  <c r="A194" i="4" s="1"/>
  <c r="A193" i="4" a="1"/>
  <c r="A193" i="4" s="1"/>
  <c r="A192" i="4" a="1"/>
  <c r="A192" i="4" s="1"/>
  <c r="A191" i="4" a="1"/>
  <c r="A191" i="4" s="1"/>
  <c r="A190" i="4" a="1"/>
  <c r="A190" i="4" s="1"/>
  <c r="A189" i="4" a="1"/>
  <c r="A189" i="4" s="1"/>
  <c r="A188" i="4" a="1"/>
  <c r="A188" i="4" s="1"/>
  <c r="A187" i="4" a="1"/>
  <c r="A187" i="4" s="1"/>
  <c r="A186" i="4" a="1"/>
  <c r="A186" i="4" s="1"/>
  <c r="A185" i="4" a="1"/>
  <c r="A185" i="4" s="1"/>
  <c r="A184" i="4" a="1"/>
  <c r="A184" i="4" s="1"/>
  <c r="A183" i="4" a="1"/>
  <c r="A183" i="4" s="1"/>
  <c r="A182" i="4" a="1"/>
  <c r="A182" i="4" s="1"/>
  <c r="A181" i="4" a="1"/>
  <c r="A181" i="4" s="1"/>
  <c r="A180" i="4" a="1"/>
  <c r="A180" i="4" s="1"/>
  <c r="A179" i="4" a="1"/>
  <c r="A179" i="4" s="1"/>
  <c r="A178" i="4" a="1"/>
  <c r="A178" i="4" s="1"/>
  <c r="A177" i="4" a="1"/>
  <c r="A177" i="4" s="1"/>
  <c r="A176" i="4" a="1"/>
  <c r="A176" i="4" s="1"/>
  <c r="A175" i="4" a="1"/>
  <c r="A175" i="4" s="1"/>
  <c r="A174" i="4" a="1"/>
  <c r="A174" i="4" s="1"/>
  <c r="A173" i="4" a="1"/>
  <c r="A173" i="4" s="1"/>
  <c r="A172" i="4" a="1"/>
  <c r="A172" i="4" s="1"/>
  <c r="A171" i="4" a="1"/>
  <c r="A171" i="4" s="1"/>
  <c r="A170" i="4" a="1"/>
  <c r="A170" i="4" s="1"/>
  <c r="A169" i="4" a="1"/>
  <c r="A169" i="4" s="1"/>
  <c r="A168" i="4" a="1"/>
  <c r="A168" i="4" s="1"/>
  <c r="A167" i="4" a="1"/>
  <c r="A167" i="4" s="1"/>
  <c r="A166" i="4" a="1"/>
  <c r="A166" i="4" s="1"/>
  <c r="A165" i="4" a="1"/>
  <c r="A165" i="4" s="1"/>
  <c r="A164" i="4" a="1"/>
  <c r="A164" i="4" s="1"/>
  <c r="A163" i="4" a="1"/>
  <c r="A163" i="4" s="1"/>
  <c r="A162" i="4" a="1"/>
  <c r="A162" i="4" s="1"/>
  <c r="A161" i="4" a="1"/>
  <c r="A161" i="4" s="1"/>
  <c r="A160" i="4" a="1"/>
  <c r="A160" i="4" s="1"/>
  <c r="A159" i="4" a="1"/>
  <c r="A159" i="4" s="1"/>
  <c r="A158" i="4" a="1"/>
  <c r="A158" i="4" s="1"/>
  <c r="A157" i="4" a="1"/>
  <c r="A157" i="4" s="1"/>
  <c r="A156" i="4" a="1"/>
  <c r="A156" i="4" s="1"/>
  <c r="A155" i="4" a="1"/>
  <c r="A155" i="4" s="1"/>
  <c r="A154" i="4" a="1"/>
  <c r="A154" i="4" s="1"/>
  <c r="A153" i="4" a="1"/>
  <c r="A153" i="4" s="1"/>
  <c r="A152" i="4" a="1"/>
  <c r="A152" i="4" s="1"/>
  <c r="A151" i="4" a="1"/>
  <c r="A151" i="4" s="1"/>
  <c r="A150" i="4" a="1"/>
  <c r="A150" i="4" s="1"/>
  <c r="A149" i="4" a="1"/>
  <c r="A149" i="4" s="1"/>
  <c r="A148" i="4" a="1"/>
  <c r="A148" i="4" s="1"/>
  <c r="A147" i="4" a="1"/>
  <c r="A147" i="4" s="1"/>
  <c r="A146" i="4" a="1"/>
  <c r="A146" i="4" s="1"/>
  <c r="A145" i="4" a="1"/>
  <c r="A145" i="4" s="1"/>
  <c r="A144" i="4" a="1"/>
  <c r="A144" i="4" s="1"/>
  <c r="A143" i="4" a="1"/>
  <c r="A143" i="4" s="1"/>
  <c r="A142" i="4" a="1"/>
  <c r="A142" i="4" s="1"/>
  <c r="A141" i="4" a="1"/>
  <c r="A141" i="4" s="1"/>
  <c r="A140" i="4" a="1"/>
  <c r="A140" i="4" s="1"/>
  <c r="A139" i="4" a="1"/>
  <c r="A139" i="4" s="1"/>
  <c r="A138" i="4" a="1"/>
  <c r="A138" i="4" s="1"/>
  <c r="A137" i="4" a="1"/>
  <c r="A137" i="4" s="1"/>
  <c r="A136" i="4" a="1"/>
  <c r="A136" i="4" s="1"/>
  <c r="A135" i="4" a="1"/>
  <c r="A135" i="4" s="1"/>
  <c r="A134" i="4" a="1"/>
  <c r="A134" i="4" s="1"/>
  <c r="A133" i="4" a="1"/>
  <c r="A133" i="4" s="1"/>
  <c r="A132" i="4" a="1"/>
  <c r="A132" i="4" s="1"/>
  <c r="A131" i="4" a="1"/>
  <c r="A131" i="4" s="1"/>
  <c r="A130" i="4" a="1"/>
  <c r="A130" i="4" s="1"/>
  <c r="A129" i="4" a="1"/>
  <c r="A129" i="4" s="1"/>
  <c r="A128" i="4" a="1"/>
  <c r="A128" i="4" s="1"/>
  <c r="A127" i="4" a="1"/>
  <c r="A127" i="4" s="1"/>
  <c r="A126" i="4" a="1"/>
  <c r="A126" i="4" s="1"/>
  <c r="A125" i="4" a="1"/>
  <c r="A125" i="4" s="1"/>
  <c r="A124" i="4" a="1"/>
  <c r="A124" i="4" s="1"/>
  <c r="A123" i="4" a="1"/>
  <c r="A123" i="4" s="1"/>
  <c r="A122" i="4" a="1"/>
  <c r="A122" i="4" s="1"/>
  <c r="A121" i="4" a="1"/>
  <c r="A121" i="4" s="1"/>
  <c r="A120" i="4" a="1"/>
  <c r="A120" i="4" s="1"/>
  <c r="A119" i="4" a="1"/>
  <c r="A119" i="4" s="1"/>
  <c r="A118" i="4" a="1"/>
  <c r="A118" i="4" s="1"/>
  <c r="A117" i="4" a="1"/>
  <c r="A117" i="4" s="1"/>
  <c r="A116" i="4" a="1"/>
  <c r="A116" i="4" s="1"/>
  <c r="A115" i="4" a="1"/>
  <c r="A115" i="4" s="1"/>
  <c r="A114" i="4" a="1"/>
  <c r="A114" i="4" s="1"/>
  <c r="A113" i="4" a="1"/>
  <c r="A113" i="4" s="1"/>
  <c r="A112" i="4" a="1"/>
  <c r="A112" i="4" s="1"/>
  <c r="A111" i="4" a="1"/>
  <c r="A111" i="4" s="1"/>
  <c r="A110" i="4" a="1"/>
  <c r="A110" i="4" s="1"/>
  <c r="A109" i="4" a="1"/>
  <c r="A109" i="4" s="1"/>
  <c r="A108" i="4" a="1"/>
  <c r="A108" i="4" s="1"/>
  <c r="A107" i="4" a="1"/>
  <c r="A107" i="4" s="1"/>
  <c r="A106" i="4" a="1"/>
  <c r="A106" i="4" s="1"/>
  <c r="A105" i="4" a="1"/>
  <c r="A105" i="4" s="1"/>
  <c r="A104" i="4" a="1"/>
  <c r="A104" i="4" s="1"/>
  <c r="A103" i="4" a="1"/>
  <c r="A103" i="4" s="1"/>
  <c r="A102" i="4" a="1"/>
  <c r="A102" i="4" s="1"/>
  <c r="A101" i="4" a="1"/>
  <c r="A101" i="4" s="1"/>
  <c r="A100" i="4" a="1"/>
  <c r="A100" i="4" s="1"/>
  <c r="A99" i="4" a="1"/>
  <c r="A99" i="4" s="1"/>
  <c r="A98" i="4" a="1"/>
  <c r="A98" i="4" s="1"/>
  <c r="A97" i="4" a="1"/>
  <c r="A97" i="4" s="1"/>
  <c r="A96" i="4" a="1"/>
  <c r="A96" i="4" s="1"/>
  <c r="A95" i="4" a="1"/>
  <c r="A95" i="4" s="1"/>
  <c r="A94" i="4" a="1"/>
  <c r="A94" i="4" s="1"/>
  <c r="A93" i="4" a="1"/>
  <c r="A93" i="4" s="1"/>
  <c r="A92" i="4" a="1"/>
  <c r="A92" i="4" s="1"/>
  <c r="A91" i="4" a="1"/>
  <c r="A91" i="4" s="1"/>
  <c r="A90" i="4" a="1"/>
  <c r="A90" i="4" s="1"/>
  <c r="A89" i="4" a="1"/>
  <c r="A89" i="4" s="1"/>
  <c r="A88" i="4" a="1"/>
  <c r="A88" i="4" s="1"/>
  <c r="A87" i="4" a="1"/>
  <c r="A87" i="4" s="1"/>
  <c r="A86" i="4" a="1"/>
  <c r="A86" i="4" s="1"/>
  <c r="A85" i="4" a="1"/>
  <c r="A85" i="4" s="1"/>
  <c r="A84" i="4" a="1"/>
  <c r="A84" i="4" s="1"/>
  <c r="A83" i="4" a="1"/>
  <c r="A83" i="4" s="1"/>
  <c r="A82" i="4" a="1"/>
  <c r="A82" i="4" s="1"/>
  <c r="A81" i="4" a="1"/>
  <c r="A81" i="4" s="1"/>
  <c r="A80" i="4" a="1"/>
  <c r="A80" i="4" s="1"/>
  <c r="A79" i="4" a="1"/>
  <c r="A79" i="4" s="1"/>
  <c r="A78" i="4" a="1"/>
  <c r="A78" i="4" s="1"/>
  <c r="A77" i="4" a="1"/>
  <c r="A77" i="4" s="1"/>
  <c r="A76" i="4" a="1"/>
  <c r="A76" i="4" s="1"/>
  <c r="A75" i="4" a="1"/>
  <c r="A75" i="4" s="1"/>
  <c r="A74" i="4" a="1"/>
  <c r="A74" i="4" s="1"/>
  <c r="A73" i="4" a="1"/>
  <c r="A73" i="4" s="1"/>
  <c r="A72" i="4" a="1"/>
  <c r="A72" i="4" s="1"/>
  <c r="A71" i="4" a="1"/>
  <c r="A71" i="4" s="1"/>
  <c r="A70" i="4" a="1"/>
  <c r="A70" i="4" s="1"/>
  <c r="A69" i="4" a="1"/>
  <c r="A69" i="4" s="1"/>
  <c r="A68" i="4" a="1"/>
  <c r="A68" i="4" s="1"/>
  <c r="A67" i="4" a="1"/>
  <c r="A67" i="4" s="1"/>
  <c r="A66" i="4" a="1"/>
  <c r="A66" i="4" s="1"/>
  <c r="A65" i="4" a="1"/>
  <c r="A65" i="4" s="1"/>
  <c r="A64" i="4" a="1"/>
  <c r="A64" i="4" s="1"/>
  <c r="A63" i="4" a="1"/>
  <c r="A63" i="4" s="1"/>
  <c r="A62" i="4" a="1"/>
  <c r="A62" i="4" s="1"/>
  <c r="A61" i="4" a="1"/>
  <c r="A61" i="4" s="1"/>
  <c r="A60" i="4" a="1"/>
  <c r="A60" i="4" s="1"/>
  <c r="A59" i="4" a="1"/>
  <c r="A59" i="4" s="1"/>
  <c r="A58" i="4" a="1"/>
  <c r="A58" i="4" s="1"/>
  <c r="A57" i="4" a="1"/>
  <c r="A57" i="4" s="1"/>
  <c r="A56" i="4" a="1"/>
  <c r="A56" i="4" s="1"/>
  <c r="A55" i="4" a="1"/>
  <c r="A55" i="4" s="1"/>
  <c r="A54" i="4" a="1"/>
  <c r="A54" i="4" s="1"/>
  <c r="A53" i="4" a="1"/>
  <c r="A53" i="4" s="1"/>
  <c r="A52" i="4" a="1"/>
  <c r="A52" i="4" s="1"/>
  <c r="A51" i="4" a="1"/>
  <c r="A51" i="4" s="1"/>
  <c r="A50" i="4" a="1"/>
  <c r="A50" i="4" s="1"/>
  <c r="A49" i="4" a="1"/>
  <c r="A49" i="4" s="1"/>
  <c r="A48" i="4" a="1"/>
  <c r="A48" i="4" s="1"/>
  <c r="A47" i="4" a="1"/>
  <c r="A47" i="4" s="1"/>
  <c r="A46" i="4" a="1"/>
  <c r="A46" i="4" s="1"/>
  <c r="A45" i="4" a="1"/>
  <c r="A45" i="4" s="1"/>
  <c r="A44" i="4" a="1"/>
  <c r="A44" i="4" s="1"/>
  <c r="A43" i="4" a="1"/>
  <c r="A43" i="4" s="1"/>
  <c r="A42" i="4" a="1"/>
  <c r="A42" i="4" s="1"/>
  <c r="A41" i="4" a="1"/>
  <c r="A41" i="4" s="1"/>
  <c r="A40" i="4" a="1"/>
  <c r="A40" i="4" s="1"/>
  <c r="A39" i="4" a="1"/>
  <c r="A39" i="4" s="1"/>
  <c r="A38" i="4" a="1"/>
  <c r="A38" i="4" s="1"/>
  <c r="A37" i="4" a="1"/>
  <c r="A37" i="4" s="1"/>
  <c r="A36" i="4" a="1"/>
  <c r="A36" i="4" s="1"/>
  <c r="A35" i="4" a="1"/>
  <c r="A35" i="4" s="1"/>
  <c r="A34" i="4" a="1"/>
  <c r="A34" i="4" s="1"/>
  <c r="A33" i="4" a="1"/>
  <c r="A33" i="4" s="1"/>
  <c r="A32" i="4" a="1"/>
  <c r="A32" i="4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61" i="9" a="1"/>
  <c r="A61" i="9" s="1"/>
  <c r="A62" i="9" a="1"/>
  <c r="A62" i="9" s="1"/>
  <c r="A63" i="9" a="1"/>
  <c r="A63" i="9" s="1"/>
  <c r="A64" i="9" a="1"/>
  <c r="A64" i="9" s="1"/>
  <c r="A65" i="9" a="1"/>
  <c r="A65" i="9" s="1"/>
  <c r="A66" i="9" a="1"/>
  <c r="A66" i="9" s="1"/>
  <c r="A67" i="9" a="1"/>
  <c r="A67" i="9" s="1"/>
  <c r="A68" i="9" a="1"/>
  <c r="A68" i="9" s="1"/>
  <c r="A69" i="9" a="1"/>
  <c r="A69" i="9" s="1"/>
  <c r="A70" i="9" a="1"/>
  <c r="A70" i="9" s="1"/>
  <c r="A71" i="9" a="1"/>
  <c r="A71" i="9" s="1"/>
  <c r="A72" i="9" a="1"/>
  <c r="A72" i="9" s="1"/>
  <c r="A73" i="9" a="1"/>
  <c r="A73" i="9" s="1"/>
  <c r="A74" i="9" a="1"/>
  <c r="A74" i="9" s="1"/>
  <c r="A75" i="9" a="1"/>
  <c r="A75" i="9" s="1"/>
  <c r="A76" i="9" a="1"/>
  <c r="A76" i="9" s="1"/>
  <c r="A77" i="9" a="1"/>
  <c r="A77" i="9" s="1"/>
  <c r="A78" i="9" a="1"/>
  <c r="A78" i="9" s="1"/>
  <c r="A79" i="9" a="1"/>
  <c r="A79" i="9" s="1"/>
  <c r="A80" i="9" a="1"/>
  <c r="A80" i="9" s="1"/>
  <c r="A81" i="9" a="1"/>
  <c r="A81" i="9" s="1"/>
  <c r="A82" i="9" a="1"/>
  <c r="A82" i="9" s="1"/>
  <c r="A83" i="9" a="1"/>
  <c r="A83" i="9" s="1"/>
  <c r="A84" i="9" a="1"/>
  <c r="A84" i="9" s="1"/>
  <c r="A85" i="9" a="1"/>
  <c r="A85" i="9" s="1"/>
  <c r="A86" i="9" a="1"/>
  <c r="A86" i="9" s="1"/>
  <c r="A87" i="9" a="1"/>
  <c r="A87" i="9" s="1"/>
  <c r="A88" i="9" a="1"/>
  <c r="A88" i="9" s="1"/>
  <c r="A89" i="9" a="1"/>
  <c r="A89" i="9" s="1"/>
  <c r="A90" i="9" a="1"/>
  <c r="A90" i="9" s="1"/>
  <c r="A91" i="9" a="1"/>
  <c r="A91" i="9" s="1"/>
  <c r="A92" i="9" a="1"/>
  <c r="A92" i="9" s="1"/>
  <c r="A93" i="9" a="1"/>
  <c r="A93" i="9" s="1"/>
  <c r="A94" i="9" a="1"/>
  <c r="A94" i="9" s="1"/>
  <c r="A95" i="9" a="1"/>
  <c r="A95" i="9" s="1"/>
  <c r="A96" i="9" a="1"/>
  <c r="A96" i="9" s="1"/>
  <c r="A97" i="9" a="1"/>
  <c r="A97" i="9" s="1"/>
  <c r="A98" i="9" a="1"/>
  <c r="A98" i="9" s="1"/>
  <c r="A99" i="9" a="1"/>
  <c r="A99" i="9" s="1"/>
  <c r="A100" i="9" a="1"/>
  <c r="A100" i="9" s="1"/>
  <c r="A101" i="9" a="1"/>
  <c r="A101" i="9" s="1"/>
  <c r="A102" i="9" a="1"/>
  <c r="A102" i="9" s="1"/>
  <c r="A103" i="9" a="1"/>
  <c r="A103" i="9" s="1"/>
  <c r="A104" i="9" a="1"/>
  <c r="A104" i="9" s="1"/>
  <c r="A105" i="9" a="1"/>
  <c r="A105" i="9" s="1"/>
  <c r="A106" i="9" a="1"/>
  <c r="A106" i="9" s="1"/>
  <c r="A107" i="9" a="1"/>
  <c r="A107" i="9" s="1"/>
  <c r="A108" i="9" a="1"/>
  <c r="A108" i="9" s="1"/>
  <c r="A109" i="9" a="1"/>
  <c r="A109" i="9" s="1"/>
  <c r="A110" i="9" a="1"/>
  <c r="A110" i="9" s="1"/>
  <c r="A111" i="9" a="1"/>
  <c r="A111" i="9" s="1"/>
  <c r="A112" i="9" a="1"/>
  <c r="A112" i="9" s="1"/>
  <c r="A113" i="9" a="1"/>
  <c r="A113" i="9" s="1"/>
  <c r="A114" i="9" a="1"/>
  <c r="A114" i="9" s="1"/>
  <c r="A115" i="9" a="1"/>
  <c r="A115" i="9" s="1"/>
  <c r="A116" i="9" a="1"/>
  <c r="A116" i="9" s="1"/>
  <c r="A117" i="9" a="1"/>
  <c r="A117" i="9" s="1"/>
  <c r="A118" i="9" a="1"/>
  <c r="A118" i="9" s="1"/>
  <c r="A119" i="9" a="1"/>
  <c r="A119" i="9" s="1"/>
  <c r="A120" i="9" a="1"/>
  <c r="A120" i="9" s="1"/>
  <c r="A121" i="9" a="1"/>
  <c r="A121" i="9" s="1"/>
  <c r="A122" i="9" a="1"/>
  <c r="A122" i="9" s="1"/>
  <c r="A123" i="9" a="1"/>
  <c r="A123" i="9" s="1"/>
  <c r="A124" i="9" a="1"/>
  <c r="A124" i="9" s="1"/>
  <c r="A125" i="9" a="1"/>
  <c r="A125" i="9" s="1"/>
  <c r="A126" i="9" a="1"/>
  <c r="A126" i="9" s="1"/>
  <c r="A127" i="9" a="1"/>
  <c r="A127" i="9" s="1"/>
  <c r="A128" i="9" a="1"/>
  <c r="A128" i="9" s="1"/>
  <c r="A129" i="9" a="1"/>
  <c r="A129" i="9" s="1"/>
  <c r="A130" i="9" a="1"/>
  <c r="A130" i="9" s="1"/>
  <c r="A131" i="9" a="1"/>
  <c r="A131" i="9" s="1"/>
  <c r="A132" i="9" a="1"/>
  <c r="A132" i="9" s="1"/>
  <c r="A133" i="9" a="1"/>
  <c r="A133" i="9" s="1"/>
  <c r="A134" i="9" a="1"/>
  <c r="A134" i="9" s="1"/>
  <c r="A135" i="9" a="1"/>
  <c r="A135" i="9" s="1"/>
  <c r="A136" i="9" a="1"/>
  <c r="A136" i="9" s="1"/>
  <c r="A137" i="9" a="1"/>
  <c r="A137" i="9" s="1"/>
  <c r="A138" i="9" a="1"/>
  <c r="A138" i="9" s="1"/>
  <c r="A139" i="9" a="1"/>
  <c r="A139" i="9" s="1"/>
  <c r="A140" i="9" a="1"/>
  <c r="A140" i="9" s="1"/>
  <c r="A141" i="9" a="1"/>
  <c r="A141" i="9" s="1"/>
  <c r="A142" i="9" a="1"/>
  <c r="A142" i="9" s="1"/>
  <c r="A143" i="9" a="1"/>
  <c r="A143" i="9" s="1"/>
  <c r="A144" i="9" a="1"/>
  <c r="A144" i="9" s="1"/>
  <c r="A145" i="9" a="1"/>
  <c r="A145" i="9" s="1"/>
  <c r="A146" i="9" a="1"/>
  <c r="A146" i="9" s="1"/>
  <c r="A147" i="9" a="1"/>
  <c r="A147" i="9" s="1"/>
  <c r="A148" i="9" a="1"/>
  <c r="A148" i="9" s="1"/>
  <c r="A149" i="9" a="1"/>
  <c r="A149" i="9" s="1"/>
  <c r="A150" i="9" a="1"/>
  <c r="A150" i="9" s="1"/>
  <c r="A151" i="9" a="1"/>
  <c r="A151" i="9" s="1"/>
  <c r="A152" i="9" a="1"/>
  <c r="A152" i="9" s="1"/>
  <c r="A153" i="9" a="1"/>
  <c r="A153" i="9" s="1"/>
  <c r="A154" i="9" a="1"/>
  <c r="A154" i="9" s="1"/>
  <c r="A155" i="9" a="1"/>
  <c r="A155" i="9" s="1"/>
  <c r="A156" i="9" a="1"/>
  <c r="A156" i="9" s="1"/>
  <c r="A157" i="9" a="1"/>
  <c r="A157" i="9" s="1"/>
  <c r="A158" i="9" a="1"/>
  <c r="A158" i="9" s="1"/>
  <c r="A159" i="9" a="1"/>
  <c r="A159" i="9" s="1"/>
  <c r="A160" i="9" a="1"/>
  <c r="A160" i="9" s="1"/>
  <c r="A161" i="9" a="1"/>
  <c r="A161" i="9" s="1"/>
  <c r="A162" i="9" a="1"/>
  <c r="A162" i="9" s="1"/>
  <c r="A163" i="9" a="1"/>
  <c r="A163" i="9" s="1"/>
  <c r="A164" i="9" a="1"/>
  <c r="A164" i="9" s="1"/>
  <c r="A165" i="9" a="1"/>
  <c r="A165" i="9" s="1"/>
  <c r="A166" i="9" a="1"/>
  <c r="A166" i="9" s="1"/>
  <c r="A167" i="9" a="1"/>
  <c r="A167" i="9" s="1"/>
  <c r="A168" i="9" a="1"/>
  <c r="A168" i="9" s="1"/>
  <c r="A169" i="9" a="1"/>
  <c r="A169" i="9" s="1"/>
  <c r="A170" i="9" a="1"/>
  <c r="A170" i="9" s="1"/>
  <c r="A171" i="9" a="1"/>
  <c r="A171" i="9" s="1"/>
  <c r="A172" i="9" a="1"/>
  <c r="A172" i="9" s="1"/>
  <c r="A173" i="9" a="1"/>
  <c r="A173" i="9" s="1"/>
  <c r="A174" i="9" a="1"/>
  <c r="A174" i="9" s="1"/>
  <c r="A175" i="9" a="1"/>
  <c r="A175" i="9" s="1"/>
  <c r="A176" i="9" a="1"/>
  <c r="A176" i="9" s="1"/>
  <c r="A177" i="9" a="1"/>
  <c r="A177" i="9" s="1"/>
  <c r="A178" i="9" a="1"/>
  <c r="A178" i="9" s="1"/>
  <c r="A179" i="9" a="1"/>
  <c r="A179" i="9" s="1"/>
  <c r="A180" i="9" a="1"/>
  <c r="A180" i="9" s="1"/>
  <c r="A181" i="9" a="1"/>
  <c r="A181" i="9" s="1"/>
  <c r="A182" i="9" a="1"/>
  <c r="A182" i="9" s="1"/>
  <c r="A183" i="9" a="1"/>
  <c r="A183" i="9" s="1"/>
  <c r="A184" i="9" a="1"/>
  <c r="A184" i="9" s="1"/>
  <c r="A185" i="9" a="1"/>
  <c r="A185" i="9" s="1"/>
  <c r="A186" i="9" a="1"/>
  <c r="A186" i="9" s="1"/>
  <c r="A187" i="9" a="1"/>
  <c r="A187" i="9" s="1"/>
  <c r="A188" i="9" a="1"/>
  <c r="A188" i="9" s="1"/>
  <c r="A189" i="9" a="1"/>
  <c r="A189" i="9" s="1"/>
  <c r="A190" i="9" a="1"/>
  <c r="A190" i="9" s="1"/>
  <c r="A191" i="9" a="1"/>
  <c r="A191" i="9" s="1"/>
  <c r="A192" i="9" a="1"/>
  <c r="A192" i="9" s="1"/>
  <c r="A193" i="9" a="1"/>
  <c r="A193" i="9" s="1"/>
  <c r="A194" i="9" a="1"/>
  <c r="A194" i="9" s="1"/>
  <c r="A195" i="9" a="1"/>
  <c r="A195" i="9" s="1"/>
  <c r="A196" i="9" a="1"/>
  <c r="A196" i="9" s="1"/>
  <c r="A197" i="9" a="1"/>
  <c r="A197" i="9" s="1"/>
  <c r="A198" i="9" a="1"/>
  <c r="A198" i="9" s="1"/>
  <c r="A199" i="9" a="1"/>
  <c r="A199" i="9" s="1"/>
  <c r="A200" i="9" a="1"/>
  <c r="A200" i="9" s="1"/>
  <c r="A201" i="9" a="1"/>
  <c r="A201" i="9" s="1"/>
  <c r="A202" i="9" a="1"/>
  <c r="A202" i="9" s="1"/>
  <c r="A203" i="9" a="1"/>
  <c r="A203" i="9" s="1"/>
  <c r="A204" i="9" a="1"/>
  <c r="A204" i="9" s="1"/>
  <c r="A205" i="9" a="1"/>
  <c r="A205" i="9" s="1"/>
  <c r="A206" i="9" a="1"/>
  <c r="A206" i="9" s="1"/>
  <c r="A207" i="9" a="1"/>
  <c r="A207" i="9" s="1"/>
  <c r="A208" i="9" a="1"/>
  <c r="A208" i="9" s="1"/>
  <c r="A209" i="9" a="1"/>
  <c r="A209" i="9" s="1"/>
  <c r="A210" i="9" a="1"/>
  <c r="A210" i="9" s="1"/>
  <c r="A211" i="9" a="1"/>
  <c r="A211" i="9" s="1"/>
  <c r="A212" i="9" a="1"/>
  <c r="A212" i="9" s="1"/>
  <c r="A213" i="9" a="1"/>
  <c r="A213" i="9" s="1"/>
  <c r="A214" i="9" a="1"/>
  <c r="A214" i="9" s="1"/>
  <c r="A215" i="9" a="1"/>
  <c r="A215" i="9" s="1"/>
  <c r="A216" i="9" a="1"/>
  <c r="A216" i="9" s="1"/>
  <c r="A217" i="9" a="1"/>
  <c r="A217" i="9" s="1"/>
  <c r="A218" i="9" a="1"/>
  <c r="A218" i="9" s="1"/>
  <c r="A219" i="9" a="1"/>
  <c r="A219" i="9" s="1"/>
  <c r="A220" i="9" a="1"/>
  <c r="A220" i="9" s="1"/>
  <c r="A221" i="9" a="1"/>
  <c r="A221" i="9" s="1"/>
  <c r="A222" i="9" a="1"/>
  <c r="A222" i="9" s="1"/>
  <c r="A223" i="9" a="1"/>
  <c r="A223" i="9" s="1"/>
  <c r="A224" i="9" a="1"/>
  <c r="A224" i="9" s="1"/>
  <c r="A225" i="9" a="1"/>
  <c r="A225" i="9" s="1"/>
  <c r="A226" i="9" a="1"/>
  <c r="A226" i="9" s="1"/>
  <c r="A227" i="9" a="1"/>
  <c r="A227" i="9" s="1"/>
  <c r="A228" i="9" a="1"/>
  <c r="A228" i="9" s="1"/>
  <c r="A229" i="9" a="1"/>
  <c r="A229" i="9" s="1"/>
  <c r="A230" i="9" a="1"/>
  <c r="A230" i="9" s="1"/>
  <c r="A231" i="9" a="1"/>
  <c r="A231" i="9" s="1"/>
  <c r="A232" i="9" a="1"/>
  <c r="A232" i="9" s="1"/>
  <c r="A233" i="9" a="1"/>
  <c r="A233" i="9" s="1"/>
  <c r="A234" i="9" a="1"/>
  <c r="A234" i="9" s="1"/>
  <c r="A235" i="9" a="1"/>
  <c r="A235" i="9" s="1"/>
  <c r="A236" i="9" a="1"/>
  <c r="A236" i="9" s="1"/>
  <c r="A237" i="9" a="1"/>
  <c r="A237" i="9" s="1"/>
  <c r="A238" i="9" a="1"/>
  <c r="A238" i="9" s="1"/>
  <c r="A239" i="9" a="1"/>
  <c r="A239" i="9" s="1"/>
  <c r="A240" i="9" a="1"/>
  <c r="A240" i="9" s="1"/>
  <c r="A241" i="9" a="1"/>
  <c r="A241" i="9" s="1"/>
  <c r="A242" i="9" a="1"/>
  <c r="A242" i="9" s="1"/>
  <c r="A243" i="9" a="1"/>
  <c r="A243" i="9" s="1"/>
  <c r="A244" i="9" a="1"/>
  <c r="A244" i="9" s="1"/>
  <c r="A245" i="9" a="1"/>
  <c r="A245" i="9" s="1"/>
  <c r="A246" i="9" a="1"/>
  <c r="A246" i="9" s="1"/>
  <c r="A247" i="9" a="1"/>
  <c r="A247" i="9" s="1"/>
  <c r="A248" i="9" a="1"/>
  <c r="A248" i="9" s="1"/>
  <c r="A249" i="9" a="1"/>
  <c r="A249" i="9" s="1"/>
  <c r="A250" i="9" a="1"/>
  <c r="A250" i="9" s="1"/>
  <c r="A251" i="9" a="1"/>
  <c r="A251" i="9" s="1"/>
  <c r="A252" i="9" a="1"/>
  <c r="A252" i="9" s="1"/>
  <c r="A253" i="9" a="1"/>
  <c r="A253" i="9" s="1"/>
  <c r="A254" i="9" a="1"/>
  <c r="A254" i="9" s="1"/>
  <c r="A255" i="9" a="1"/>
  <c r="A255" i="9" s="1"/>
  <c r="A256" i="9" a="1"/>
  <c r="A256" i="9" s="1"/>
  <c r="A257" i="9" a="1"/>
  <c r="A257" i="9" s="1"/>
  <c r="A258" i="9" a="1"/>
  <c r="A258" i="9" s="1"/>
  <c r="A259" i="9" a="1"/>
  <c r="A259" i="9" s="1"/>
  <c r="A260" i="9" a="1"/>
  <c r="A260" i="9" s="1"/>
  <c r="A261" i="9" a="1"/>
  <c r="A261" i="9" s="1"/>
  <c r="A262" i="9" a="1"/>
  <c r="A262" i="9" s="1"/>
  <c r="A263" i="9" a="1"/>
  <c r="A263" i="9" s="1"/>
  <c r="A264" i="9" a="1"/>
  <c r="A264" i="9" s="1"/>
  <c r="A265" i="9" a="1"/>
  <c r="A265" i="9" s="1"/>
  <c r="A266" i="9" a="1"/>
  <c r="A266" i="9" s="1"/>
  <c r="A267" i="9" a="1"/>
  <c r="A267" i="9" s="1"/>
  <c r="A268" i="9" a="1"/>
  <c r="A268" i="9" s="1"/>
  <c r="A269" i="9" a="1"/>
  <c r="A269" i="9" s="1"/>
  <c r="A270" i="9" a="1"/>
  <c r="A270" i="9" s="1"/>
  <c r="A271" i="9" a="1"/>
  <c r="A271" i="9" s="1"/>
  <c r="A272" i="9" a="1"/>
  <c r="A272" i="9" s="1"/>
  <c r="A273" i="9" a="1"/>
  <c r="A273" i="9" s="1"/>
  <c r="A274" i="9" a="1"/>
  <c r="A274" i="9" s="1"/>
  <c r="A275" i="9" a="1"/>
  <c r="A275" i="9" s="1"/>
  <c r="A276" i="9" a="1"/>
  <c r="A276" i="9" s="1"/>
  <c r="A277" i="9" a="1"/>
  <c r="A277" i="9" s="1"/>
  <c r="A278" i="9" a="1"/>
  <c r="A278" i="9" s="1"/>
  <c r="A279" i="9" a="1"/>
  <c r="A279" i="9" s="1"/>
  <c r="A280" i="9" a="1"/>
  <c r="A280" i="9" s="1"/>
  <c r="A281" i="9" a="1"/>
  <c r="A281" i="9" s="1"/>
  <c r="A282" i="9" a="1"/>
  <c r="A282" i="9" s="1"/>
  <c r="A283" i="9" a="1"/>
  <c r="A283" i="9" s="1"/>
  <c r="A284" i="9" a="1"/>
  <c r="A284" i="9" s="1"/>
  <c r="A285" i="9" a="1"/>
  <c r="A285" i="9" s="1"/>
  <c r="A286" i="9" a="1"/>
  <c r="A286" i="9" s="1"/>
  <c r="A287" i="9" a="1"/>
  <c r="A287" i="9" s="1"/>
  <c r="A288" i="9" a="1"/>
  <c r="A288" i="9" s="1"/>
  <c r="A289" i="9" a="1"/>
  <c r="A289" i="9" s="1"/>
  <c r="A290" i="9" a="1"/>
  <c r="A290" i="9" s="1"/>
  <c r="A291" i="9" a="1"/>
  <c r="A291" i="9" s="1"/>
  <c r="A292" i="9" a="1"/>
  <c r="A292" i="9" s="1"/>
  <c r="A293" i="9" a="1"/>
  <c r="A293" i="9" s="1"/>
  <c r="A294" i="9" a="1"/>
  <c r="A294" i="9" s="1"/>
  <c r="A295" i="9" a="1"/>
  <c r="A295" i="9" s="1"/>
  <c r="A296" i="9" a="1"/>
  <c r="A296" i="9" s="1"/>
  <c r="A297" i="9" a="1"/>
  <c r="A297" i="9" s="1"/>
  <c r="A298" i="9" a="1"/>
  <c r="A298" i="9" s="1"/>
  <c r="A299" i="9" a="1"/>
  <c r="A299" i="9" s="1"/>
  <c r="A300" i="9" a="1"/>
  <c r="A300" i="9" s="1"/>
  <c r="A301" i="9" a="1"/>
  <c r="A301" i="9" s="1"/>
  <c r="A302" i="9" a="1"/>
  <c r="A302" i="9" s="1"/>
  <c r="A303" i="9" a="1"/>
  <c r="A303" i="9" s="1"/>
  <c r="A304" i="9" a="1"/>
  <c r="A304" i="9" s="1"/>
  <c r="A305" i="9" a="1"/>
  <c r="A305" i="9" s="1"/>
  <c r="A306" i="9" a="1"/>
  <c r="A306" i="9" s="1"/>
  <c r="A307" i="9" a="1"/>
  <c r="A307" i="9" s="1"/>
  <c r="A308" i="9" a="1"/>
  <c r="A308" i="9" s="1"/>
  <c r="A309" i="9" a="1"/>
  <c r="A309" i="9" s="1"/>
  <c r="A310" i="9" a="1"/>
  <c r="A310" i="9" s="1"/>
  <c r="A311" i="9" a="1"/>
  <c r="A311" i="9" s="1"/>
  <c r="A312" i="9" a="1"/>
  <c r="A312" i="9" s="1"/>
  <c r="A313" i="9" a="1"/>
  <c r="A313" i="9" s="1"/>
  <c r="A314" i="9" a="1"/>
  <c r="A314" i="9" s="1"/>
  <c r="A315" i="9" a="1"/>
  <c r="A315" i="9" s="1"/>
  <c r="A316" i="9" a="1"/>
  <c r="A316" i="9" s="1"/>
  <c r="A317" i="9" a="1"/>
  <c r="A317" i="9" s="1"/>
  <c r="A318" i="9" a="1"/>
  <c r="A318" i="9" s="1"/>
  <c r="A319" i="9" a="1"/>
  <c r="A319" i="9" s="1"/>
  <c r="A320" i="9" a="1"/>
  <c r="A320" i="9" s="1"/>
  <c r="A321" i="9" a="1"/>
  <c r="A321" i="9" s="1"/>
  <c r="A322" i="9" a="1"/>
  <c r="A322" i="9" s="1"/>
  <c r="A323" i="9" a="1"/>
  <c r="A323" i="9" s="1"/>
  <c r="A324" i="9" a="1"/>
  <c r="A324" i="9" s="1"/>
  <c r="A325" i="9" a="1"/>
  <c r="A325" i="9" s="1"/>
  <c r="A326" i="9" a="1"/>
  <c r="A326" i="9" s="1"/>
  <c r="A327" i="9" a="1"/>
  <c r="A327" i="9" s="1"/>
  <c r="A328" i="9" a="1"/>
  <c r="A328" i="9" s="1"/>
  <c r="A329" i="9" a="1"/>
  <c r="A329" i="9" s="1"/>
  <c r="A330" i="9" a="1"/>
  <c r="A330" i="9" s="1"/>
  <c r="A331" i="9" a="1"/>
  <c r="A331" i="9" s="1"/>
  <c r="A332" i="9" a="1"/>
  <c r="A332" i="9" s="1"/>
  <c r="A333" i="9" a="1"/>
  <c r="A333" i="9" s="1"/>
  <c r="A334" i="9" a="1"/>
  <c r="A334" i="9" s="1"/>
  <c r="A335" i="9" a="1"/>
  <c r="A335" i="9" s="1"/>
  <c r="A336" i="9" a="1"/>
  <c r="A336" i="9" s="1"/>
  <c r="A337" i="9" a="1"/>
  <c r="A337" i="9" s="1"/>
  <c r="A338" i="9" a="1"/>
  <c r="A338" i="9" s="1"/>
  <c r="A339" i="9" a="1"/>
  <c r="A339" i="9" s="1"/>
  <c r="A340" i="9" a="1"/>
  <c r="A340" i="9" s="1"/>
  <c r="A341" i="9" a="1"/>
  <c r="A341" i="9" s="1"/>
  <c r="A342" i="9" a="1"/>
  <c r="A342" i="9" s="1"/>
  <c r="A343" i="9" a="1"/>
  <c r="A343" i="9" s="1"/>
  <c r="A344" i="9" a="1"/>
  <c r="A344" i="9" s="1"/>
  <c r="A345" i="9" a="1"/>
  <c r="A345" i="9" s="1"/>
  <c r="A346" i="9" a="1"/>
  <c r="A346" i="9" s="1"/>
  <c r="A347" i="9" a="1"/>
  <c r="A347" i="9" s="1"/>
  <c r="A348" i="9" a="1"/>
  <c r="A348" i="9" s="1"/>
  <c r="A349" i="9" a="1"/>
  <c r="A349" i="9" s="1"/>
  <c r="A350" i="9" a="1"/>
  <c r="A350" i="9" s="1"/>
  <c r="A351" i="9" a="1"/>
  <c r="A351" i="9" s="1"/>
  <c r="A352" i="9" a="1"/>
  <c r="A352" i="9" s="1"/>
  <c r="A353" i="9" a="1"/>
  <c r="A353" i="9" s="1"/>
  <c r="A354" i="9" a="1"/>
  <c r="A354" i="9" s="1"/>
  <c r="A355" i="9" a="1"/>
  <c r="A355" i="9" s="1"/>
  <c r="A356" i="9" a="1"/>
  <c r="A356" i="9" s="1"/>
  <c r="A357" i="9" a="1"/>
  <c r="A357" i="9" s="1"/>
  <c r="A358" i="9" a="1"/>
  <c r="A358" i="9" s="1"/>
  <c r="A359" i="9" a="1"/>
  <c r="A359" i="9" s="1"/>
  <c r="A360" i="9" a="1"/>
  <c r="A360" i="9" s="1"/>
  <c r="A361" i="9" a="1"/>
  <c r="A361" i="9" s="1"/>
  <c r="A362" i="9" a="1"/>
  <c r="A362" i="9" s="1"/>
  <c r="A363" i="9" a="1"/>
  <c r="A363" i="9" s="1"/>
  <c r="A364" i="9" a="1"/>
  <c r="A364" i="9" s="1"/>
  <c r="A365" i="9" a="1"/>
  <c r="A365" i="9" s="1"/>
  <c r="A366" i="9" a="1"/>
  <c r="A366" i="9" s="1"/>
  <c r="A367" i="9" a="1"/>
  <c r="A367" i="9" s="1"/>
  <c r="A368" i="9" a="1"/>
  <c r="A368" i="9" s="1"/>
  <c r="A369" i="9" a="1"/>
  <c r="A369" i="9" s="1"/>
  <c r="A370" i="9" a="1"/>
  <c r="A370" i="9" s="1"/>
  <c r="A371" i="9" a="1"/>
  <c r="A371" i="9" s="1"/>
  <c r="A372" i="9" a="1"/>
  <c r="A372" i="9" s="1"/>
  <c r="A373" i="9" a="1"/>
  <c r="A373" i="9" s="1"/>
  <c r="A374" i="9" a="1"/>
  <c r="A374" i="9" s="1"/>
  <c r="A375" i="9" a="1"/>
  <c r="A375" i="9" s="1"/>
  <c r="A376" i="9" a="1"/>
  <c r="A376" i="9" s="1"/>
  <c r="A377" i="9" a="1"/>
  <c r="A377" i="9" s="1"/>
  <c r="A378" i="9" a="1"/>
  <c r="A378" i="9" s="1"/>
  <c r="A379" i="9" a="1"/>
  <c r="A379" i="9" s="1"/>
  <c r="A380" i="9" a="1"/>
  <c r="A380" i="9" s="1"/>
  <c r="A381" i="9" a="1"/>
  <c r="A381" i="9" s="1"/>
  <c r="A382" i="9" a="1"/>
  <c r="A382" i="9" s="1"/>
  <c r="A383" i="9" a="1"/>
  <c r="A383" i="9" s="1"/>
  <c r="A384" i="9" a="1"/>
  <c r="A384" i="9" s="1"/>
  <c r="A385" i="9" a="1"/>
  <c r="A385" i="9" s="1"/>
  <c r="A386" i="9" a="1"/>
  <c r="A386" i="9" s="1"/>
  <c r="A387" i="9" a="1"/>
  <c r="A387" i="9" s="1"/>
  <c r="A388" i="9" a="1"/>
  <c r="A388" i="9" s="1"/>
  <c r="A389" i="9" a="1"/>
  <c r="A389" i="9" s="1"/>
  <c r="A390" i="9" a="1"/>
  <c r="A390" i="9" s="1"/>
  <c r="A391" i="9" a="1"/>
  <c r="A391" i="9" s="1"/>
  <c r="A392" i="9" a="1"/>
  <c r="A392" i="9" s="1"/>
  <c r="A393" i="9" a="1"/>
  <c r="A393" i="9" s="1"/>
  <c r="A394" i="9" a="1"/>
  <c r="A394" i="9" s="1"/>
  <c r="A395" i="9" a="1"/>
  <c r="A395" i="9" s="1"/>
  <c r="A396" i="9" a="1"/>
  <c r="A396" i="9" s="1"/>
  <c r="A397" i="9" a="1"/>
  <c r="A397" i="9" s="1"/>
  <c r="A398" i="9" a="1"/>
  <c r="A398" i="9" s="1"/>
  <c r="A399" i="9" a="1"/>
  <c r="A399" i="9" s="1"/>
  <c r="A400" i="9" a="1"/>
  <c r="A400" i="9" s="1"/>
  <c r="A401" i="9" a="1"/>
  <c r="A401" i="9" s="1"/>
  <c r="A402" i="9" a="1"/>
  <c r="A402" i="9" s="1"/>
  <c r="A403" i="9" a="1"/>
  <c r="A403" i="9" s="1"/>
  <c r="A404" i="9" a="1"/>
  <c r="A404" i="9" s="1"/>
  <c r="A405" i="9" a="1"/>
  <c r="A405" i="9" s="1"/>
  <c r="A406" i="9" a="1"/>
  <c r="A406" i="9" s="1"/>
  <c r="A407" i="9" a="1"/>
  <c r="A407" i="9" s="1"/>
  <c r="A408" i="9" a="1"/>
  <c r="A408" i="9" s="1"/>
  <c r="A409" i="9" a="1"/>
  <c r="A409" i="9" s="1"/>
  <c r="A410" i="9" a="1"/>
  <c r="A410" i="9" s="1"/>
  <c r="A411" i="9" a="1"/>
  <c r="A411" i="9" s="1"/>
  <c r="A412" i="9" a="1"/>
  <c r="A412" i="9" s="1"/>
  <c r="A413" i="9" a="1"/>
  <c r="A413" i="9" s="1"/>
  <c r="A414" i="9" a="1"/>
  <c r="A414" i="9" s="1"/>
  <c r="A415" i="9" a="1"/>
  <c r="A415" i="9" s="1"/>
  <c r="A416" i="9" a="1"/>
  <c r="A416" i="9" s="1"/>
  <c r="A417" i="9" a="1"/>
  <c r="A417" i="9" s="1"/>
  <c r="B163" i="9"/>
  <c r="B164" i="9"/>
  <c r="B171" i="9"/>
  <c r="B172" i="9"/>
  <c r="B173" i="9"/>
  <c r="B183" i="9"/>
  <c r="B184" i="9"/>
  <c r="B185" i="9"/>
  <c r="B186" i="9"/>
  <c r="B187" i="9"/>
  <c r="B188" i="9"/>
  <c r="B195" i="9"/>
  <c r="B196" i="9"/>
  <c r="B197" i="9"/>
  <c r="B201" i="9"/>
  <c r="B207" i="9"/>
  <c r="B208" i="9"/>
  <c r="B209" i="9"/>
  <c r="B210" i="9"/>
  <c r="B211" i="9"/>
  <c r="B212" i="9"/>
  <c r="B213" i="9"/>
  <c r="B219" i="9"/>
  <c r="B220" i="9"/>
  <c r="B221" i="9"/>
  <c r="B222" i="9"/>
  <c r="B223" i="9"/>
  <c r="B224" i="9"/>
  <c r="B231" i="9"/>
  <c r="B232" i="9"/>
  <c r="B233" i="9"/>
  <c r="B234" i="9"/>
  <c r="B243" i="9"/>
  <c r="B244" i="9"/>
  <c r="B245" i="9"/>
  <c r="B246" i="9"/>
  <c r="B247" i="9"/>
  <c r="B248" i="9"/>
  <c r="B255" i="9"/>
  <c r="B256" i="9"/>
  <c r="B257" i="9"/>
  <c r="B258" i="9"/>
  <c r="B267" i="9"/>
  <c r="B268" i="9"/>
  <c r="B269" i="9"/>
  <c r="B270" i="9"/>
  <c r="B271" i="9"/>
  <c r="B272" i="9"/>
  <c r="B273" i="9"/>
  <c r="B279" i="9"/>
  <c r="B280" i="9"/>
  <c r="B281" i="9"/>
  <c r="B291" i="9"/>
  <c r="B292" i="9"/>
  <c r="B293" i="9"/>
  <c r="B294" i="9"/>
  <c r="B295" i="9"/>
  <c r="B296" i="9"/>
  <c r="B303" i="9"/>
  <c r="B304" i="9"/>
  <c r="B305" i="9"/>
  <c r="B306" i="9"/>
  <c r="B307" i="9"/>
  <c r="B308" i="9"/>
  <c r="B315" i="9"/>
  <c r="B316" i="9"/>
  <c r="B317" i="9"/>
  <c r="B318" i="9"/>
  <c r="B327" i="9"/>
  <c r="B328" i="9"/>
  <c r="B329" i="9"/>
  <c r="B330" i="9"/>
  <c r="B331" i="9"/>
  <c r="B332" i="9"/>
  <c r="B333" i="9"/>
  <c r="B339" i="9"/>
  <c r="B340" i="9"/>
  <c r="B341" i="9"/>
  <c r="B351" i="9"/>
  <c r="B352" i="9"/>
  <c r="B353" i="9"/>
  <c r="B354" i="9"/>
  <c r="B355" i="9"/>
  <c r="B356" i="9"/>
  <c r="B357" i="9"/>
  <c r="B363" i="9"/>
  <c r="B364" i="9"/>
  <c r="B365" i="9"/>
  <c r="B369" i="9"/>
  <c r="B370" i="9"/>
  <c r="B371" i="9"/>
  <c r="B372" i="9"/>
  <c r="B375" i="9"/>
  <c r="B376" i="9"/>
  <c r="B377" i="9"/>
  <c r="B378" i="9"/>
  <c r="B382" i="9"/>
  <c r="B387" i="9"/>
  <c r="B388" i="9"/>
  <c r="B389" i="9"/>
  <c r="B390" i="9"/>
  <c r="B391" i="9"/>
  <c r="B399" i="9"/>
  <c r="B400" i="9"/>
  <c r="B401" i="9"/>
  <c r="B402" i="9"/>
  <c r="B403" i="9"/>
  <c r="B404" i="9"/>
  <c r="B411" i="9"/>
  <c r="B412" i="9"/>
  <c r="B413" i="9"/>
  <c r="B414" i="9"/>
  <c r="B415" i="9"/>
  <c r="B416" i="9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2" i="9" a="1"/>
  <c r="A2" i="9" s="1"/>
  <c r="A3" i="9" a="1"/>
  <c r="A3" i="9" s="1"/>
  <c r="A4" i="9" a="1"/>
  <c r="A4" i="9" s="1"/>
  <c r="A8" i="9" a="1"/>
  <c r="A8" i="9" s="1"/>
  <c r="A9" i="9" a="1"/>
  <c r="A9" i="9" s="1"/>
  <c r="A11" i="9" a="1"/>
  <c r="A11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B31" i="9"/>
  <c r="A32" i="9" a="1"/>
  <c r="A32" i="9" s="1"/>
  <c r="B32" i="9"/>
  <c r="A33" i="9" a="1"/>
  <c r="A33" i="9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B718" i="4" l="1"/>
  <c r="C720" i="2"/>
  <c r="B334" i="4"/>
  <c r="C336" i="2"/>
  <c r="B914" i="3"/>
  <c r="B758" i="3"/>
  <c r="B860" i="4"/>
  <c r="B862" i="3"/>
  <c r="B788" i="4"/>
  <c r="C790" i="2"/>
  <c r="B776" i="4"/>
  <c r="B778" i="3"/>
  <c r="B740" i="4"/>
  <c r="B742" i="3"/>
  <c r="B742" i="9"/>
  <c r="B716" i="4"/>
  <c r="C718" i="2"/>
  <c r="B718" i="9"/>
  <c r="B632" i="4"/>
  <c r="B634" i="9"/>
  <c r="B608" i="4"/>
  <c r="B610" i="3"/>
  <c r="B548" i="4"/>
  <c r="B550" i="9"/>
  <c r="B512" i="4"/>
  <c r="C514" i="2"/>
  <c r="B500" i="4"/>
  <c r="B502" i="3"/>
  <c r="B464" i="4"/>
  <c r="B466" i="9"/>
  <c r="B392" i="4"/>
  <c r="B394" i="9"/>
  <c r="B332" i="4"/>
  <c r="B334" i="3"/>
  <c r="C334" i="2"/>
  <c r="B284" i="4"/>
  <c r="B286" i="9"/>
  <c r="B589" i="3"/>
  <c r="B264" i="3"/>
  <c r="B967" i="4"/>
  <c r="C969" i="2"/>
  <c r="B919" i="4"/>
  <c r="C921" i="2"/>
  <c r="B859" i="4"/>
  <c r="B861" i="3"/>
  <c r="B823" i="4"/>
  <c r="B825" i="9"/>
  <c r="B787" i="4"/>
  <c r="C789" i="2"/>
  <c r="B775" i="4"/>
  <c r="B777" i="3"/>
  <c r="B739" i="4"/>
  <c r="B741" i="9"/>
  <c r="B741" i="3"/>
  <c r="B715" i="4"/>
  <c r="C717" i="2"/>
  <c r="B717" i="9"/>
  <c r="B547" i="4"/>
  <c r="B549" i="9"/>
  <c r="B499" i="4"/>
  <c r="B501" i="3"/>
  <c r="B465" i="3"/>
  <c r="B465" i="9"/>
  <c r="B391" i="4"/>
  <c r="B393" i="9"/>
  <c r="B331" i="4"/>
  <c r="C333" i="2"/>
  <c r="B259" i="4"/>
  <c r="B261" i="3"/>
  <c r="B768" i="4"/>
  <c r="B770" i="9"/>
  <c r="B336" i="4"/>
  <c r="B338" i="3"/>
  <c r="B710" i="9"/>
  <c r="B482" i="3"/>
  <c r="B626" i="9"/>
  <c r="C312" i="2"/>
  <c r="B978" i="4"/>
  <c r="B980" i="9"/>
  <c r="C980" i="2"/>
  <c r="C968" i="2"/>
  <c r="B968" i="3"/>
  <c r="B942" i="4"/>
  <c r="B944" i="3"/>
  <c r="B918" i="4"/>
  <c r="B920" i="9"/>
  <c r="C920" i="2"/>
  <c r="B906" i="4"/>
  <c r="B908" i="3"/>
  <c r="C908" i="2"/>
  <c r="B894" i="4"/>
  <c r="C896" i="2"/>
  <c r="B896" i="9"/>
  <c r="B896" i="3"/>
  <c r="B858" i="4"/>
  <c r="B860" i="9"/>
  <c r="B860" i="3"/>
  <c r="B822" i="4"/>
  <c r="C824" i="2"/>
  <c r="B824" i="9"/>
  <c r="B810" i="4"/>
  <c r="B812" i="3"/>
  <c r="B786" i="4"/>
  <c r="B788" i="9"/>
  <c r="C788" i="2"/>
  <c r="B774" i="4"/>
  <c r="C776" i="2"/>
  <c r="B776" i="3"/>
  <c r="B762" i="4"/>
  <c r="B764" i="9"/>
  <c r="B738" i="4"/>
  <c r="B740" i="3"/>
  <c r="B702" i="4"/>
  <c r="B704" i="3"/>
  <c r="B690" i="4"/>
  <c r="B692" i="9"/>
  <c r="B666" i="4"/>
  <c r="B668" i="9"/>
  <c r="C668" i="2"/>
  <c r="B654" i="4"/>
  <c r="B656" i="9"/>
  <c r="B656" i="3"/>
  <c r="B618" i="4"/>
  <c r="B620" i="9"/>
  <c r="B594" i="4"/>
  <c r="B596" i="9"/>
  <c r="C596" i="2"/>
  <c r="B582" i="4"/>
  <c r="C584" i="2"/>
  <c r="B584" i="3"/>
  <c r="B570" i="4"/>
  <c r="B572" i="9"/>
  <c r="C572" i="2"/>
  <c r="B572" i="3"/>
  <c r="B546" i="4"/>
  <c r="B548" i="9"/>
  <c r="B534" i="4"/>
  <c r="B536" i="3"/>
  <c r="B522" i="4"/>
  <c r="B524" i="9"/>
  <c r="B510" i="4"/>
  <c r="C512" i="2"/>
  <c r="B498" i="4"/>
  <c r="B500" i="3"/>
  <c r="C500" i="2"/>
  <c r="B486" i="4"/>
  <c r="C488" i="2"/>
  <c r="B488" i="9"/>
  <c r="B462" i="4"/>
  <c r="B464" i="9"/>
  <c r="B464" i="3"/>
  <c r="B438" i="4"/>
  <c r="B440" i="9"/>
  <c r="E440" i="9" s="1"/>
  <c r="B426" i="4"/>
  <c r="B428" i="3"/>
  <c r="C428" i="2"/>
  <c r="B414" i="4"/>
  <c r="C416" i="2"/>
  <c r="B390" i="4"/>
  <c r="C392" i="2"/>
  <c r="B392" i="9"/>
  <c r="B392" i="3"/>
  <c r="B378" i="4"/>
  <c r="B380" i="9"/>
  <c r="B380" i="3"/>
  <c r="B366" i="4"/>
  <c r="B368" i="9"/>
  <c r="B342" i="4"/>
  <c r="B344" i="9"/>
  <c r="B318" i="4"/>
  <c r="B320" i="9"/>
  <c r="B294" i="4"/>
  <c r="B296" i="3"/>
  <c r="B282" i="4"/>
  <c r="C284" i="2"/>
  <c r="B284" i="9"/>
  <c r="B270" i="4"/>
  <c r="C272" i="2"/>
  <c r="B258" i="4"/>
  <c r="B260" i="9"/>
  <c r="B260" i="3"/>
  <c r="B200" i="3"/>
  <c r="B200" i="9"/>
  <c r="B492" i="4"/>
  <c r="B494" i="9"/>
  <c r="B934" i="4"/>
  <c r="B936" i="3"/>
  <c r="B278" i="3"/>
  <c r="C861" i="2"/>
  <c r="B941" i="4"/>
  <c r="B943" i="3"/>
  <c r="B893" i="4"/>
  <c r="B895" i="9"/>
  <c r="B821" i="4"/>
  <c r="B823" i="9"/>
  <c r="B689" i="4"/>
  <c r="B691" i="9"/>
  <c r="B533" i="4"/>
  <c r="B535" i="3"/>
  <c r="B341" i="4"/>
  <c r="B343" i="9"/>
  <c r="B305" i="4"/>
  <c r="B307" i="3"/>
  <c r="B259" i="9"/>
  <c r="B259" i="3"/>
  <c r="B984" i="4"/>
  <c r="B986" i="9"/>
  <c r="B840" i="4"/>
  <c r="B842" i="9"/>
  <c r="B300" i="4"/>
  <c r="B302" i="3"/>
  <c r="B614" i="9"/>
  <c r="B635" i="4"/>
  <c r="B637" i="9"/>
  <c r="B945" i="4"/>
  <c r="B947" i="9"/>
  <c r="B789" i="4"/>
  <c r="B791" i="9"/>
  <c r="B828" i="9"/>
  <c r="B468" i="9"/>
  <c r="E524" i="9"/>
  <c r="B992" i="9"/>
  <c r="B956" i="9"/>
  <c r="B850" i="9"/>
  <c r="B622" i="9"/>
  <c r="B537" i="9"/>
  <c r="B500" i="9"/>
  <c r="B429" i="9"/>
  <c r="B980" i="3"/>
  <c r="B836" i="3"/>
  <c r="B728" i="3"/>
  <c r="B560" i="3"/>
  <c r="B512" i="3"/>
  <c r="B416" i="3"/>
  <c r="B248" i="3"/>
  <c r="C860" i="2"/>
  <c r="C698" i="2"/>
  <c r="C620" i="2"/>
  <c r="C380" i="2"/>
  <c r="B816" i="4"/>
  <c r="C818" i="2"/>
  <c r="B611" i="4"/>
  <c r="B613" i="3"/>
  <c r="B575" i="4"/>
  <c r="B577" i="9"/>
  <c r="B563" i="4"/>
  <c r="C563" i="1"/>
  <c r="C719" i="2"/>
  <c r="B719" i="9"/>
  <c r="B383" i="9"/>
  <c r="B938" i="9"/>
  <c r="B998" i="9"/>
  <c r="B852" i="9"/>
  <c r="B434" i="9"/>
  <c r="E8" i="9"/>
  <c r="B299" i="9"/>
  <c r="B991" i="9"/>
  <c r="B849" i="9"/>
  <c r="B826" i="9"/>
  <c r="B752" i="9"/>
  <c r="B621" i="9"/>
  <c r="B566" i="9"/>
  <c r="B536" i="9"/>
  <c r="B428" i="9"/>
  <c r="B979" i="3"/>
  <c r="B932" i="3"/>
  <c r="B884" i="3"/>
  <c r="B824" i="3"/>
  <c r="B670" i="3"/>
  <c r="B404" i="3"/>
  <c r="B356" i="3"/>
  <c r="B308" i="3"/>
  <c r="C956" i="2"/>
  <c r="C848" i="2"/>
  <c r="C793" i="2"/>
  <c r="C368" i="2"/>
  <c r="B666" i="9"/>
  <c r="B618" i="9"/>
  <c r="B702" i="3"/>
  <c r="B306" i="3"/>
  <c r="B366" i="9"/>
  <c r="B198" i="9"/>
  <c r="B894" i="9"/>
  <c r="B858" i="9"/>
  <c r="B462" i="3"/>
  <c r="C654" i="2"/>
  <c r="B342" i="9"/>
  <c r="B282" i="9"/>
  <c r="B546" i="9"/>
  <c r="B486" i="9"/>
  <c r="B966" i="3"/>
  <c r="B894" i="3"/>
  <c r="B738" i="3"/>
  <c r="B570" i="3"/>
  <c r="B534" i="3"/>
  <c r="B426" i="3"/>
  <c r="C966" i="2"/>
  <c r="C954" i="2"/>
  <c r="C426" i="2"/>
  <c r="C246" i="2"/>
  <c r="C875" i="1"/>
  <c r="B998" i="4"/>
  <c r="C988" i="2"/>
  <c r="B986" i="4"/>
  <c r="C851" i="1"/>
  <c r="B974" i="4"/>
  <c r="C839" i="1"/>
  <c r="B962" i="4"/>
  <c r="C952" i="2"/>
  <c r="B950" i="4"/>
  <c r="C815" i="1"/>
  <c r="B938" i="4"/>
  <c r="C916" i="2"/>
  <c r="B914" i="4"/>
  <c r="C892" i="2"/>
  <c r="B890" i="4"/>
  <c r="C755" i="1"/>
  <c r="B878" i="4"/>
  <c r="C743" i="1"/>
  <c r="B866" i="4"/>
  <c r="C856" i="2"/>
  <c r="B854" i="4"/>
  <c r="C844" i="2"/>
  <c r="B842" i="4"/>
  <c r="C820" i="2"/>
  <c r="B818" i="4"/>
  <c r="C671" i="1"/>
  <c r="B794" i="4"/>
  <c r="C784" i="2"/>
  <c r="B782" i="4"/>
  <c r="C635" i="1"/>
  <c r="B758" i="4"/>
  <c r="C623" i="1"/>
  <c r="B746" i="4"/>
  <c r="C611" i="1"/>
  <c r="B734" i="4"/>
  <c r="C712" i="2"/>
  <c r="B710" i="4"/>
  <c r="B700" i="3"/>
  <c r="B698" i="4"/>
  <c r="B686" i="4"/>
  <c r="C539" i="1"/>
  <c r="B662" i="4"/>
  <c r="C491" i="1"/>
  <c r="B614" i="4"/>
  <c r="C443" i="1"/>
  <c r="B566" i="4"/>
  <c r="B554" i="4"/>
  <c r="C419" i="1"/>
  <c r="B542" i="4"/>
  <c r="C383" i="1"/>
  <c r="B506" i="4"/>
  <c r="C496" i="2"/>
  <c r="B494" i="4"/>
  <c r="C335" i="1"/>
  <c r="B458" i="4"/>
  <c r="C323" i="1"/>
  <c r="B446" i="4"/>
  <c r="B434" i="4"/>
  <c r="C275" i="1"/>
  <c r="B398" i="4"/>
  <c r="B386" i="4"/>
  <c r="C364" i="2"/>
  <c r="B362" i="4"/>
  <c r="C352" i="2"/>
  <c r="B350" i="4"/>
  <c r="C316" i="2"/>
  <c r="B314" i="4"/>
  <c r="C304" i="2"/>
  <c r="B302" i="4"/>
  <c r="C292" i="2"/>
  <c r="B290" i="4"/>
  <c r="B254" i="4"/>
  <c r="C230" i="2"/>
  <c r="B230" i="4"/>
  <c r="B218" i="4"/>
  <c r="C218" i="2"/>
  <c r="B206" i="4"/>
  <c r="C206" i="2"/>
  <c r="B196" i="3"/>
  <c r="C194" i="2"/>
  <c r="B194" i="4"/>
  <c r="C182" i="2"/>
  <c r="B182" i="3"/>
  <c r="B182" i="4"/>
  <c r="B170" i="3"/>
  <c r="C170" i="2"/>
  <c r="B170" i="4"/>
  <c r="B978" i="9"/>
  <c r="B929" i="9"/>
  <c r="B905" i="9"/>
  <c r="B834" i="9"/>
  <c r="B761" i="9"/>
  <c r="B630" i="9"/>
  <c r="B534" i="9"/>
  <c r="B425" i="9"/>
  <c r="B990" i="3"/>
  <c r="B965" i="3"/>
  <c r="B942" i="3"/>
  <c r="B916" i="3"/>
  <c r="B858" i="3"/>
  <c r="B834" i="3"/>
  <c r="B808" i="3"/>
  <c r="B666" i="3"/>
  <c r="B640" i="3"/>
  <c r="B556" i="3"/>
  <c r="B474" i="3"/>
  <c r="B450" i="3"/>
  <c r="B424" i="3"/>
  <c r="B390" i="3"/>
  <c r="B364" i="3"/>
  <c r="B246" i="3"/>
  <c r="C918" i="2"/>
  <c r="C750" i="2"/>
  <c r="C594" i="2"/>
  <c r="C556" i="2"/>
  <c r="C378" i="2"/>
  <c r="C245" i="2"/>
  <c r="C862" i="1"/>
  <c r="B985" i="4"/>
  <c r="C850" i="1"/>
  <c r="B973" i="4"/>
  <c r="C838" i="1"/>
  <c r="B961" i="4"/>
  <c r="C814" i="1"/>
  <c r="B937" i="4"/>
  <c r="C790" i="1"/>
  <c r="B913" i="4"/>
  <c r="C766" i="1"/>
  <c r="B889" i="4"/>
  <c r="C754" i="1"/>
  <c r="B877" i="4"/>
  <c r="C742" i="1"/>
  <c r="B865" i="4"/>
  <c r="C718" i="1"/>
  <c r="B841" i="4"/>
  <c r="C670" i="1"/>
  <c r="B793" i="4"/>
  <c r="C646" i="1"/>
  <c r="B769" i="4"/>
  <c r="C747" i="2"/>
  <c r="B745" i="4"/>
  <c r="C610" i="1"/>
  <c r="B733" i="4"/>
  <c r="C598" i="1"/>
  <c r="B721" i="4"/>
  <c r="C574" i="1"/>
  <c r="B697" i="4"/>
  <c r="C562" i="1"/>
  <c r="B685" i="4"/>
  <c r="C550" i="1"/>
  <c r="B673" i="4"/>
  <c r="C526" i="1"/>
  <c r="B649" i="4"/>
  <c r="B615" i="3"/>
  <c r="B613" i="4"/>
  <c r="C478" i="1"/>
  <c r="B601" i="4"/>
  <c r="C454" i="1"/>
  <c r="B577" i="4"/>
  <c r="B507" i="3"/>
  <c r="B505" i="4"/>
  <c r="C358" i="1"/>
  <c r="B481" i="4"/>
  <c r="B459" i="9"/>
  <c r="B457" i="4"/>
  <c r="C310" i="1"/>
  <c r="B433" i="4"/>
  <c r="B423" i="3"/>
  <c r="B421" i="4"/>
  <c r="B399" i="3"/>
  <c r="B397" i="4"/>
  <c r="C262" i="1"/>
  <c r="B385" i="4"/>
  <c r="C238" i="1"/>
  <c r="B361" i="4"/>
  <c r="C214" i="1"/>
  <c r="B337" i="4"/>
  <c r="B327" i="3"/>
  <c r="B325" i="4"/>
  <c r="B315" i="3"/>
  <c r="B313" i="4"/>
  <c r="C166" i="1"/>
  <c r="B289" i="4"/>
  <c r="B279" i="3"/>
  <c r="B277" i="4"/>
  <c r="B267" i="3"/>
  <c r="B265" i="4"/>
  <c r="B253" i="4"/>
  <c r="B231" i="3"/>
  <c r="B229" i="4"/>
  <c r="C229" i="2"/>
  <c r="B219" i="3"/>
  <c r="B217" i="4"/>
  <c r="C217" i="2"/>
  <c r="B205" i="4"/>
  <c r="C205" i="2"/>
  <c r="B193" i="4"/>
  <c r="C193" i="2"/>
  <c r="B181" i="4"/>
  <c r="C181" i="2"/>
  <c r="B181" i="3"/>
  <c r="B169" i="4"/>
  <c r="B169" i="3"/>
  <c r="C169" i="2"/>
  <c r="B964" i="3"/>
  <c r="B941" i="3"/>
  <c r="B882" i="3"/>
  <c r="B724" i="3"/>
  <c r="B690" i="3"/>
  <c r="B665" i="3"/>
  <c r="B498" i="3"/>
  <c r="B448" i="3"/>
  <c r="B304" i="3"/>
  <c r="B270" i="3"/>
  <c r="C990" i="2"/>
  <c r="C868" i="2"/>
  <c r="C749" i="2"/>
  <c r="C424" i="2"/>
  <c r="C293" i="2"/>
  <c r="C244" i="2"/>
  <c r="C873" i="1"/>
  <c r="B996" i="4"/>
  <c r="C849" i="1"/>
  <c r="B972" i="4"/>
  <c r="B962" i="3"/>
  <c r="B960" i="4"/>
  <c r="C825" i="1"/>
  <c r="B948" i="4"/>
  <c r="C926" i="2"/>
  <c r="B924" i="4"/>
  <c r="B902" i="3"/>
  <c r="B900" i="4"/>
  <c r="B890" i="3"/>
  <c r="B888" i="4"/>
  <c r="B878" i="9"/>
  <c r="B876" i="4"/>
  <c r="C729" i="1"/>
  <c r="B852" i="4"/>
  <c r="C705" i="1"/>
  <c r="B828" i="4"/>
  <c r="C806" i="2"/>
  <c r="B804" i="4"/>
  <c r="C794" i="2"/>
  <c r="B792" i="4"/>
  <c r="C657" i="1"/>
  <c r="B780" i="4"/>
  <c r="C621" i="1"/>
  <c r="B744" i="4"/>
  <c r="B722" i="3"/>
  <c r="B720" i="4"/>
  <c r="C585" i="1"/>
  <c r="B708" i="4"/>
  <c r="C561" i="1"/>
  <c r="B684" i="4"/>
  <c r="C674" i="2"/>
  <c r="B672" i="4"/>
  <c r="C525" i="1"/>
  <c r="B648" i="4"/>
  <c r="C638" i="2"/>
  <c r="B636" i="4"/>
  <c r="C489" i="1"/>
  <c r="B612" i="4"/>
  <c r="C465" i="1"/>
  <c r="B588" i="4"/>
  <c r="C453" i="1"/>
  <c r="B576" i="4"/>
  <c r="C405" i="1"/>
  <c r="B528" i="4"/>
  <c r="C393" i="1"/>
  <c r="B516" i="4"/>
  <c r="C345" i="1"/>
  <c r="B468" i="4"/>
  <c r="C333" i="1"/>
  <c r="B456" i="4"/>
  <c r="B446" i="3"/>
  <c r="B444" i="4"/>
  <c r="C273" i="1"/>
  <c r="B396" i="4"/>
  <c r="B386" i="9"/>
  <c r="B384" i="4"/>
  <c r="B314" i="9"/>
  <c r="B312" i="4"/>
  <c r="B266" i="3"/>
  <c r="B264" i="4"/>
  <c r="B254" i="9"/>
  <c r="B252" i="4"/>
  <c r="C228" i="2"/>
  <c r="B228" i="4"/>
  <c r="B216" i="4"/>
  <c r="C216" i="2"/>
  <c r="B204" i="4"/>
  <c r="C204" i="2"/>
  <c r="C192" i="2"/>
  <c r="B192" i="3"/>
  <c r="B192" i="4"/>
  <c r="C180" i="2"/>
  <c r="B180" i="3"/>
  <c r="B180" i="4"/>
  <c r="B168" i="4"/>
  <c r="B168" i="3"/>
  <c r="C168" i="2"/>
  <c r="C444" i="1"/>
  <c r="B988" i="3"/>
  <c r="B940" i="3"/>
  <c r="B856" i="3"/>
  <c r="B832" i="3"/>
  <c r="B774" i="3"/>
  <c r="B664" i="3"/>
  <c r="B582" i="3"/>
  <c r="B472" i="3"/>
  <c r="B414" i="3"/>
  <c r="B388" i="3"/>
  <c r="B354" i="3"/>
  <c r="B328" i="3"/>
  <c r="B244" i="3"/>
  <c r="C906" i="2"/>
  <c r="C786" i="2"/>
  <c r="C748" i="2"/>
  <c r="C714" i="2"/>
  <c r="C591" i="2"/>
  <c r="C973" i="2"/>
  <c r="B971" i="4"/>
  <c r="B961" i="3"/>
  <c r="B959" i="4"/>
  <c r="B925" i="9"/>
  <c r="B923" i="4"/>
  <c r="B913" i="3"/>
  <c r="B911" i="4"/>
  <c r="C776" i="1"/>
  <c r="B899" i="4"/>
  <c r="B841" i="9"/>
  <c r="B839" i="4"/>
  <c r="B829" i="9"/>
  <c r="B827" i="4"/>
  <c r="C781" i="2"/>
  <c r="B779" i="4"/>
  <c r="C757" i="2"/>
  <c r="B755" i="4"/>
  <c r="C745" i="2"/>
  <c r="B743" i="4"/>
  <c r="C673" i="2"/>
  <c r="B671" i="4"/>
  <c r="B625" i="3"/>
  <c r="B623" i="4"/>
  <c r="B541" i="9"/>
  <c r="B539" i="4"/>
  <c r="B517" i="9"/>
  <c r="B515" i="4"/>
  <c r="C469" i="2"/>
  <c r="B467" i="4"/>
  <c r="B457" i="3"/>
  <c r="B455" i="4"/>
  <c r="B445" i="9"/>
  <c r="B443" i="4"/>
  <c r="B433" i="9"/>
  <c r="B431" i="4"/>
  <c r="B421" i="9"/>
  <c r="B419" i="4"/>
  <c r="B397" i="3"/>
  <c r="B395" i="4"/>
  <c r="B383" i="4"/>
  <c r="B361" i="9"/>
  <c r="B359" i="4"/>
  <c r="B301" i="3"/>
  <c r="B299" i="4"/>
  <c r="B289" i="3"/>
  <c r="B287" i="4"/>
  <c r="C265" i="2"/>
  <c r="B263" i="4"/>
  <c r="C227" i="2"/>
  <c r="B227" i="4"/>
  <c r="B215" i="4"/>
  <c r="C215" i="2"/>
  <c r="B203" i="4"/>
  <c r="C203" i="2"/>
  <c r="B191" i="4"/>
  <c r="C191" i="2"/>
  <c r="B191" i="3"/>
  <c r="B179" i="4"/>
  <c r="C179" i="2"/>
  <c r="B179" i="3"/>
  <c r="B167" i="4"/>
  <c r="B167" i="3"/>
  <c r="C167" i="2"/>
  <c r="C324" i="1"/>
  <c r="B974" i="9"/>
  <c r="B868" i="9"/>
  <c r="B830" i="9"/>
  <c r="B784" i="9"/>
  <c r="B698" i="9"/>
  <c r="B627" i="9"/>
  <c r="B592" i="9"/>
  <c r="B531" i="9"/>
  <c r="B506" i="9"/>
  <c r="B482" i="9"/>
  <c r="B422" i="9"/>
  <c r="B987" i="3"/>
  <c r="B906" i="3"/>
  <c r="B880" i="3"/>
  <c r="B854" i="3"/>
  <c r="B830" i="3"/>
  <c r="B773" i="3"/>
  <c r="B748" i="3"/>
  <c r="B688" i="3"/>
  <c r="B662" i="3"/>
  <c r="B630" i="3"/>
  <c r="B522" i="3"/>
  <c r="B496" i="3"/>
  <c r="B470" i="3"/>
  <c r="B353" i="3"/>
  <c r="B268" i="3"/>
  <c r="B242" i="3"/>
  <c r="C978" i="2"/>
  <c r="C942" i="2"/>
  <c r="C905" i="2"/>
  <c r="C713" i="2"/>
  <c r="C630" i="2"/>
  <c r="C546" i="2"/>
  <c r="C498" i="2"/>
  <c r="C414" i="2"/>
  <c r="C282" i="2"/>
  <c r="C996" i="2"/>
  <c r="B994" i="4"/>
  <c r="C984" i="2"/>
  <c r="B982" i="4"/>
  <c r="C924" i="2"/>
  <c r="B922" i="4"/>
  <c r="B900" i="3"/>
  <c r="B898" i="4"/>
  <c r="C888" i="2"/>
  <c r="B886" i="4"/>
  <c r="C852" i="2"/>
  <c r="B850" i="4"/>
  <c r="C840" i="2"/>
  <c r="B838" i="4"/>
  <c r="C667" i="1"/>
  <c r="B790" i="4"/>
  <c r="B780" i="3"/>
  <c r="B778" i="4"/>
  <c r="B768" i="9"/>
  <c r="B766" i="4"/>
  <c r="C756" i="2"/>
  <c r="B754" i="4"/>
  <c r="B744" i="3"/>
  <c r="B742" i="4"/>
  <c r="C732" i="2"/>
  <c r="B730" i="4"/>
  <c r="B708" i="9"/>
  <c r="B706" i="4"/>
  <c r="B672" i="9"/>
  <c r="B670" i="4"/>
  <c r="B660" i="9"/>
  <c r="B658" i="4"/>
  <c r="B648" i="9"/>
  <c r="B646" i="4"/>
  <c r="B636" i="3"/>
  <c r="B634" i="4"/>
  <c r="C624" i="2"/>
  <c r="B622" i="4"/>
  <c r="B612" i="3"/>
  <c r="B610" i="4"/>
  <c r="C463" i="1"/>
  <c r="B586" i="4"/>
  <c r="B576" i="9"/>
  <c r="B574" i="4"/>
  <c r="B564" i="9"/>
  <c r="B562" i="4"/>
  <c r="B540" i="3"/>
  <c r="B538" i="4"/>
  <c r="B492" i="9"/>
  <c r="B490" i="4"/>
  <c r="B432" i="9"/>
  <c r="B430" i="4"/>
  <c r="B396" i="3"/>
  <c r="B394" i="4"/>
  <c r="B384" i="3"/>
  <c r="B382" i="4"/>
  <c r="C372" i="2"/>
  <c r="B370" i="4"/>
  <c r="C324" i="2"/>
  <c r="B322" i="4"/>
  <c r="B300" i="3"/>
  <c r="B298" i="4"/>
  <c r="B288" i="3"/>
  <c r="B286" i="4"/>
  <c r="C276" i="2"/>
  <c r="B274" i="4"/>
  <c r="B252" i="3"/>
  <c r="B250" i="4"/>
  <c r="C226" i="2"/>
  <c r="B226" i="4"/>
  <c r="C214" i="2"/>
  <c r="B214" i="4"/>
  <c r="B202" i="4"/>
  <c r="C202" i="2"/>
  <c r="B192" i="9"/>
  <c r="B190" i="4"/>
  <c r="C190" i="2"/>
  <c r="B190" i="3"/>
  <c r="B180" i="9"/>
  <c r="B178" i="4"/>
  <c r="C178" i="2"/>
  <c r="B178" i="3"/>
  <c r="B166" i="4"/>
  <c r="B166" i="3"/>
  <c r="C166" i="2"/>
  <c r="C190" i="1"/>
  <c r="B878" i="3"/>
  <c r="B829" i="3"/>
  <c r="B798" i="3"/>
  <c r="B772" i="3"/>
  <c r="B714" i="3"/>
  <c r="B686" i="3"/>
  <c r="B629" i="3"/>
  <c r="B580" i="3"/>
  <c r="B378" i="3"/>
  <c r="B352" i="3"/>
  <c r="C977" i="2"/>
  <c r="C904" i="2"/>
  <c r="C858" i="2"/>
  <c r="C676" i="2"/>
  <c r="C629" i="2"/>
  <c r="C582" i="2"/>
  <c r="C543" i="2"/>
  <c r="C494" i="2"/>
  <c r="C450" i="2"/>
  <c r="C411" i="2"/>
  <c r="C318" i="2"/>
  <c r="C971" i="2"/>
  <c r="B969" i="4"/>
  <c r="C833" i="1"/>
  <c r="B957" i="4"/>
  <c r="C923" i="2"/>
  <c r="B921" i="4"/>
  <c r="B887" i="9"/>
  <c r="B885" i="4"/>
  <c r="C875" i="2"/>
  <c r="B873" i="4"/>
  <c r="B863" i="9"/>
  <c r="B861" i="4"/>
  <c r="C851" i="2"/>
  <c r="B849" i="4"/>
  <c r="C713" i="1"/>
  <c r="B837" i="4"/>
  <c r="C827" i="2"/>
  <c r="B825" i="4"/>
  <c r="B815" i="9"/>
  <c r="B813" i="4"/>
  <c r="B779" i="9"/>
  <c r="B777" i="4"/>
  <c r="C630" i="1"/>
  <c r="B753" i="4"/>
  <c r="C731" i="2"/>
  <c r="B729" i="4"/>
  <c r="C594" i="1"/>
  <c r="B717" i="4"/>
  <c r="C569" i="1"/>
  <c r="B693" i="4"/>
  <c r="B671" i="9"/>
  <c r="B669" i="4"/>
  <c r="C533" i="1"/>
  <c r="B657" i="4"/>
  <c r="C521" i="1"/>
  <c r="B645" i="4"/>
  <c r="C509" i="1"/>
  <c r="B633" i="4"/>
  <c r="C497" i="1"/>
  <c r="B621" i="4"/>
  <c r="B575" i="9"/>
  <c r="B573" i="4"/>
  <c r="B563" i="9"/>
  <c r="B561" i="4"/>
  <c r="C425" i="1"/>
  <c r="B549" i="4"/>
  <c r="B527" i="9"/>
  <c r="B525" i="4"/>
  <c r="B515" i="9"/>
  <c r="B513" i="4"/>
  <c r="C366" i="1"/>
  <c r="B489" i="4"/>
  <c r="C353" i="1"/>
  <c r="B477" i="4"/>
  <c r="C341" i="1"/>
  <c r="B465" i="4"/>
  <c r="C329" i="1"/>
  <c r="B453" i="4"/>
  <c r="B443" i="9"/>
  <c r="B441" i="4"/>
  <c r="C281" i="1"/>
  <c r="B405" i="4"/>
  <c r="C269" i="1"/>
  <c r="B393" i="4"/>
  <c r="C233" i="1"/>
  <c r="B357" i="4"/>
  <c r="B347" i="9"/>
  <c r="B345" i="4"/>
  <c r="C161" i="1"/>
  <c r="B285" i="4"/>
  <c r="B273" i="4"/>
  <c r="B261" i="4"/>
  <c r="B249" i="4"/>
  <c r="B239" i="9"/>
  <c r="C237" i="2"/>
  <c r="B237" i="4"/>
  <c r="B227" i="9"/>
  <c r="C225" i="2"/>
  <c r="B225" i="4"/>
  <c r="C213" i="2"/>
  <c r="B213" i="4"/>
  <c r="B203" i="9"/>
  <c r="B201" i="4"/>
  <c r="C201" i="2"/>
  <c r="B189" i="4"/>
  <c r="B189" i="3"/>
  <c r="C189" i="2"/>
  <c r="B179" i="9"/>
  <c r="C177" i="2"/>
  <c r="B177" i="4"/>
  <c r="B177" i="3"/>
  <c r="B165" i="4"/>
  <c r="C165" i="2"/>
  <c r="B165" i="3"/>
  <c r="C910" i="1"/>
  <c r="B942" i="9"/>
  <c r="B845" i="9"/>
  <c r="B713" i="9"/>
  <c r="B638" i="9"/>
  <c r="B624" i="9"/>
  <c r="B590" i="9"/>
  <c r="B568" i="9"/>
  <c r="B545" i="9"/>
  <c r="B474" i="9"/>
  <c r="B460" i="9"/>
  <c r="B904" i="3"/>
  <c r="B770" i="3"/>
  <c r="B654" i="3"/>
  <c r="B628" i="3"/>
  <c r="B604" i="3"/>
  <c r="B520" i="3"/>
  <c r="B486" i="3"/>
  <c r="B318" i="3"/>
  <c r="C938" i="2"/>
  <c r="C774" i="2"/>
  <c r="C738" i="2"/>
  <c r="C701" i="2"/>
  <c r="C628" i="2"/>
  <c r="C580" i="2"/>
  <c r="C542" i="2"/>
  <c r="C410" i="2"/>
  <c r="C354" i="2"/>
  <c r="C279" i="2"/>
  <c r="C934" i="2"/>
  <c r="B932" i="4"/>
  <c r="C898" i="2"/>
  <c r="B896" i="4"/>
  <c r="C886" i="2"/>
  <c r="B884" i="4"/>
  <c r="C689" i="1"/>
  <c r="B812" i="4"/>
  <c r="B766" i="9"/>
  <c r="B764" i="4"/>
  <c r="C754" i="2"/>
  <c r="B752" i="4"/>
  <c r="C605" i="1"/>
  <c r="B728" i="4"/>
  <c r="C581" i="1"/>
  <c r="B704" i="4"/>
  <c r="B682" i="3"/>
  <c r="B680" i="4"/>
  <c r="B646" i="9"/>
  <c r="B644" i="4"/>
  <c r="C586" i="2"/>
  <c r="B584" i="4"/>
  <c r="C538" i="2"/>
  <c r="B536" i="4"/>
  <c r="B478" i="9"/>
  <c r="B476" i="4"/>
  <c r="C442" i="2"/>
  <c r="B440" i="4"/>
  <c r="C406" i="2"/>
  <c r="B404" i="4"/>
  <c r="C382" i="2"/>
  <c r="B380" i="4"/>
  <c r="B358" i="3"/>
  <c r="B356" i="4"/>
  <c r="B272" i="4"/>
  <c r="B250" i="3"/>
  <c r="B248" i="4"/>
  <c r="C236" i="2"/>
  <c r="B236" i="4"/>
  <c r="B226" i="9"/>
  <c r="C224" i="2"/>
  <c r="B224" i="4"/>
  <c r="C212" i="2"/>
  <c r="B212" i="4"/>
  <c r="B200" i="4"/>
  <c r="C200" i="2"/>
  <c r="B188" i="3"/>
  <c r="B188" i="4"/>
  <c r="C188" i="2"/>
  <c r="B176" i="4"/>
  <c r="C176" i="2"/>
  <c r="B176" i="3"/>
  <c r="C164" i="2"/>
  <c r="B164" i="4"/>
  <c r="B164" i="3"/>
  <c r="C899" i="1"/>
  <c r="C894" i="2"/>
  <c r="C846" i="2"/>
  <c r="C700" i="2"/>
  <c r="C666" i="2"/>
  <c r="C534" i="2"/>
  <c r="C486" i="2"/>
  <c r="C447" i="2"/>
  <c r="C399" i="2"/>
  <c r="C315" i="2"/>
  <c r="C981" i="2"/>
  <c r="B979" i="4"/>
  <c r="B933" i="9"/>
  <c r="B931" i="4"/>
  <c r="B885" i="9"/>
  <c r="B883" i="4"/>
  <c r="B765" i="9"/>
  <c r="B763" i="4"/>
  <c r="C753" i="2"/>
  <c r="B751" i="4"/>
  <c r="B645" i="9"/>
  <c r="B643" i="4"/>
  <c r="B597" i="3"/>
  <c r="B595" i="4"/>
  <c r="C465" i="2"/>
  <c r="B463" i="4"/>
  <c r="B453" i="3"/>
  <c r="B451" i="4"/>
  <c r="B405" i="9"/>
  <c r="B403" i="4"/>
  <c r="C381" i="2"/>
  <c r="B379" i="4"/>
  <c r="B297" i="3"/>
  <c r="B295" i="4"/>
  <c r="B249" i="3"/>
  <c r="B247" i="4"/>
  <c r="B235" i="4"/>
  <c r="C235" i="2"/>
  <c r="C223" i="2"/>
  <c r="B223" i="4"/>
  <c r="C211" i="2"/>
  <c r="B211" i="4"/>
  <c r="B199" i="4"/>
  <c r="C199" i="2"/>
  <c r="B187" i="3"/>
  <c r="B187" i="4"/>
  <c r="C187" i="2"/>
  <c r="B175" i="4"/>
  <c r="B175" i="3"/>
  <c r="C175" i="2"/>
  <c r="B163" i="3"/>
  <c r="C163" i="2"/>
  <c r="B163" i="4"/>
  <c r="C843" i="1"/>
  <c r="B966" i="4"/>
  <c r="C234" i="2"/>
  <c r="B234" i="4"/>
  <c r="C222" i="2"/>
  <c r="B222" i="4"/>
  <c r="C210" i="2"/>
  <c r="B210" i="4"/>
  <c r="C198" i="2"/>
  <c r="B198" i="4"/>
  <c r="C186" i="2"/>
  <c r="B186" i="4"/>
  <c r="B186" i="3"/>
  <c r="C174" i="2"/>
  <c r="B174" i="4"/>
  <c r="B174" i="3"/>
  <c r="C162" i="2"/>
  <c r="B162" i="4"/>
  <c r="B162" i="3"/>
  <c r="C965" i="2"/>
  <c r="C884" i="2"/>
  <c r="C837" i="2"/>
  <c r="C800" i="2"/>
  <c r="C764" i="2"/>
  <c r="C724" i="2"/>
  <c r="C697" i="2"/>
  <c r="C656" i="2"/>
  <c r="C617" i="2"/>
  <c r="C562" i="2"/>
  <c r="C532" i="2"/>
  <c r="C477" i="2"/>
  <c r="C440" i="2"/>
  <c r="C390" i="2"/>
  <c r="C341" i="2"/>
  <c r="C308" i="2"/>
  <c r="C270" i="2"/>
  <c r="C853" i="1"/>
  <c r="B977" i="4"/>
  <c r="B919" i="3"/>
  <c r="B917" i="4"/>
  <c r="B883" i="9"/>
  <c r="B881" i="4"/>
  <c r="C871" i="2"/>
  <c r="B869" i="4"/>
  <c r="B859" i="3"/>
  <c r="B857" i="4"/>
  <c r="C835" i="2"/>
  <c r="B833" i="4"/>
  <c r="C661" i="1"/>
  <c r="B785" i="4"/>
  <c r="B763" i="9"/>
  <c r="B761" i="4"/>
  <c r="B751" i="3"/>
  <c r="B749" i="4"/>
  <c r="C601" i="1"/>
  <c r="B725" i="4"/>
  <c r="C589" i="1"/>
  <c r="B713" i="4"/>
  <c r="B703" i="3"/>
  <c r="B701" i="4"/>
  <c r="B655" i="3"/>
  <c r="B653" i="4"/>
  <c r="B619" i="3"/>
  <c r="B617" i="4"/>
  <c r="C571" i="2"/>
  <c r="B569" i="4"/>
  <c r="B511" i="3"/>
  <c r="B509" i="4"/>
  <c r="B499" i="9"/>
  <c r="E499" i="9" s="1"/>
  <c r="B497" i="4"/>
  <c r="B451" i="3"/>
  <c r="B449" i="4"/>
  <c r="B439" i="3"/>
  <c r="B437" i="4"/>
  <c r="C289" i="1"/>
  <c r="B413" i="4"/>
  <c r="C277" i="1"/>
  <c r="B401" i="4"/>
  <c r="C265" i="1"/>
  <c r="B389" i="4"/>
  <c r="B379" i="3"/>
  <c r="B377" i="4"/>
  <c r="C367" i="2"/>
  <c r="B365" i="4"/>
  <c r="B355" i="3"/>
  <c r="B353" i="4"/>
  <c r="C193" i="1"/>
  <c r="B317" i="4"/>
  <c r="C283" i="2"/>
  <c r="B281" i="4"/>
  <c r="B271" i="3"/>
  <c r="B269" i="4"/>
  <c r="C259" i="2"/>
  <c r="B257" i="4"/>
  <c r="B233" i="4"/>
  <c r="C233" i="2"/>
  <c r="B221" i="4"/>
  <c r="C221" i="2"/>
  <c r="C209" i="2"/>
  <c r="B209" i="4"/>
  <c r="C197" i="2"/>
  <c r="B197" i="4"/>
  <c r="B185" i="4"/>
  <c r="B185" i="3"/>
  <c r="C185" i="2"/>
  <c r="B173" i="3"/>
  <c r="C173" i="2"/>
  <c r="B173" i="4"/>
  <c r="B161" i="4"/>
  <c r="C161" i="2"/>
  <c r="B161" i="3"/>
  <c r="C745" i="1"/>
  <c r="B868" i="4"/>
  <c r="C822" i="2"/>
  <c r="B820" i="4"/>
  <c r="C762" i="2"/>
  <c r="B760" i="4"/>
  <c r="C625" i="1"/>
  <c r="B748" i="4"/>
  <c r="C726" i="2"/>
  <c r="B724" i="4"/>
  <c r="C702" i="2"/>
  <c r="B700" i="4"/>
  <c r="C565" i="1"/>
  <c r="B688" i="4"/>
  <c r="C678" i="2"/>
  <c r="B676" i="4"/>
  <c r="C642" i="2"/>
  <c r="B640" i="4"/>
  <c r="C606" i="2"/>
  <c r="B604" i="4"/>
  <c r="C570" i="2"/>
  <c r="B568" i="4"/>
  <c r="C421" i="1"/>
  <c r="B544" i="4"/>
  <c r="C397" i="1"/>
  <c r="B520" i="4"/>
  <c r="C385" i="1"/>
  <c r="B508" i="4"/>
  <c r="C373" i="1"/>
  <c r="B496" i="4"/>
  <c r="C462" i="2"/>
  <c r="B460" i="4"/>
  <c r="C438" i="2"/>
  <c r="B436" i="4"/>
  <c r="C402" i="2"/>
  <c r="B400" i="4"/>
  <c r="C241" i="1"/>
  <c r="B364" i="4"/>
  <c r="C330" i="2"/>
  <c r="B328" i="4"/>
  <c r="C294" i="2"/>
  <c r="B292" i="4"/>
  <c r="C258" i="2"/>
  <c r="B256" i="4"/>
  <c r="C232" i="2"/>
  <c r="B232" i="4"/>
  <c r="B220" i="4"/>
  <c r="C220" i="2"/>
  <c r="C208" i="2"/>
  <c r="B208" i="4"/>
  <c r="C196" i="2"/>
  <c r="B196" i="4"/>
  <c r="B184" i="4"/>
  <c r="B184" i="3"/>
  <c r="C184" i="2"/>
  <c r="B172" i="3"/>
  <c r="C172" i="2"/>
  <c r="B172" i="4"/>
  <c r="C863" i="1"/>
  <c r="B987" i="4"/>
  <c r="C953" i="2"/>
  <c r="B951" i="4"/>
  <c r="C816" i="1"/>
  <c r="B939" i="4"/>
  <c r="C803" i="1"/>
  <c r="B927" i="4"/>
  <c r="C917" i="2"/>
  <c r="B915" i="4"/>
  <c r="C779" i="1"/>
  <c r="B903" i="4"/>
  <c r="C767" i="1"/>
  <c r="B891" i="4"/>
  <c r="C756" i="1"/>
  <c r="B879" i="4"/>
  <c r="C744" i="1"/>
  <c r="B867" i="4"/>
  <c r="C731" i="1"/>
  <c r="B855" i="4"/>
  <c r="C833" i="2"/>
  <c r="B831" i="4"/>
  <c r="C695" i="1"/>
  <c r="B819" i="4"/>
  <c r="C684" i="1"/>
  <c r="B807" i="4"/>
  <c r="C672" i="1"/>
  <c r="B795" i="4"/>
  <c r="C660" i="1"/>
  <c r="B783" i="4"/>
  <c r="C647" i="1"/>
  <c r="B771" i="4"/>
  <c r="C624" i="1"/>
  <c r="B747" i="4"/>
  <c r="C612" i="1"/>
  <c r="B735" i="4"/>
  <c r="C599" i="1"/>
  <c r="B723" i="4"/>
  <c r="C588" i="1"/>
  <c r="B711" i="4"/>
  <c r="C564" i="1"/>
  <c r="B687" i="4"/>
  <c r="C551" i="1"/>
  <c r="B675" i="4"/>
  <c r="C665" i="2"/>
  <c r="B663" i="4"/>
  <c r="C528" i="1"/>
  <c r="B651" i="4"/>
  <c r="C515" i="1"/>
  <c r="B639" i="4"/>
  <c r="C605" i="2"/>
  <c r="B603" i="4"/>
  <c r="C468" i="1"/>
  <c r="B591" i="4"/>
  <c r="C455" i="1"/>
  <c r="B579" i="4"/>
  <c r="C569" i="2"/>
  <c r="B567" i="4"/>
  <c r="C431" i="1"/>
  <c r="B555" i="4"/>
  <c r="C420" i="1"/>
  <c r="B543" i="4"/>
  <c r="C407" i="1"/>
  <c r="B531" i="4"/>
  <c r="C396" i="1"/>
  <c r="B519" i="4"/>
  <c r="C509" i="2"/>
  <c r="B507" i="4"/>
  <c r="C371" i="1"/>
  <c r="B495" i="4"/>
  <c r="C359" i="1"/>
  <c r="B483" i="4"/>
  <c r="C473" i="2"/>
  <c r="B471" i="4"/>
  <c r="C336" i="1"/>
  <c r="B459" i="4"/>
  <c r="B449" i="3"/>
  <c r="B447" i="4"/>
  <c r="C311" i="1"/>
  <c r="B435" i="4"/>
  <c r="C300" i="1"/>
  <c r="B423" i="4"/>
  <c r="C413" i="2"/>
  <c r="B411" i="4"/>
  <c r="C276" i="1"/>
  <c r="B399" i="4"/>
  <c r="C263" i="1"/>
  <c r="B387" i="4"/>
  <c r="C252" i="1"/>
  <c r="B375" i="4"/>
  <c r="C240" i="1"/>
  <c r="B363" i="4"/>
  <c r="C192" i="1"/>
  <c r="B315" i="4"/>
  <c r="C180" i="1"/>
  <c r="B303" i="4"/>
  <c r="C167" i="1"/>
  <c r="B291" i="4"/>
  <c r="B279" i="4"/>
  <c r="B267" i="4"/>
  <c r="B255" i="4"/>
  <c r="B243" i="4"/>
  <c r="B231" i="4"/>
  <c r="C231" i="2"/>
  <c r="B219" i="4"/>
  <c r="C219" i="2"/>
  <c r="C207" i="2"/>
  <c r="B207" i="4"/>
  <c r="B195" i="4"/>
  <c r="C195" i="2"/>
  <c r="B183" i="4"/>
  <c r="B183" i="3"/>
  <c r="C183" i="2"/>
  <c r="B171" i="3"/>
  <c r="C171" i="2"/>
  <c r="B171" i="4"/>
  <c r="C757" i="1"/>
  <c r="H902" i="2"/>
  <c r="G902" i="2" s="1"/>
  <c r="H686" i="2"/>
  <c r="G686" i="2" s="1"/>
  <c r="H662" i="2"/>
  <c r="G662" i="2" s="1"/>
  <c r="H638" i="2"/>
  <c r="G638" i="2" s="1"/>
  <c r="H614" i="2"/>
  <c r="G614" i="2" s="1"/>
  <c r="H590" i="2"/>
  <c r="G590" i="2" s="1"/>
  <c r="H530" i="2"/>
  <c r="G530" i="2" s="1"/>
  <c r="H494" i="2"/>
  <c r="G494" i="2" s="1"/>
  <c r="H446" i="2"/>
  <c r="G446" i="2" s="1"/>
  <c r="H422" i="2"/>
  <c r="G422" i="2" s="1"/>
  <c r="H398" i="2"/>
  <c r="G398" i="2" s="1"/>
  <c r="H350" i="2"/>
  <c r="G350" i="2" s="1"/>
  <c r="H302" i="2"/>
  <c r="G302" i="2" s="1"/>
  <c r="H266" i="2"/>
  <c r="G266" i="2" s="1"/>
  <c r="H242" i="2"/>
  <c r="G242" i="2" s="1"/>
  <c r="H218" i="2"/>
  <c r="G218" i="2" s="1"/>
  <c r="H170" i="2"/>
  <c r="G170" i="2" s="1"/>
  <c r="H110" i="2"/>
  <c r="G110" i="2" s="1"/>
  <c r="H50" i="2"/>
  <c r="G50" i="2" s="1"/>
  <c r="H961" i="2"/>
  <c r="H985" i="2"/>
  <c r="G985" i="2" s="1"/>
  <c r="H698" i="2"/>
  <c r="G698" i="2" s="1"/>
  <c r="H674" i="2"/>
  <c r="G674" i="2" s="1"/>
  <c r="H650" i="2"/>
  <c r="G650" i="2" s="1"/>
  <c r="H626" i="2"/>
  <c r="G626" i="2" s="1"/>
  <c r="H602" i="2"/>
  <c r="G602" i="2" s="1"/>
  <c r="H554" i="2"/>
  <c r="G554" i="2" s="1"/>
  <c r="H482" i="2"/>
  <c r="G482" i="2" s="1"/>
  <c r="H458" i="2"/>
  <c r="G458" i="2" s="1"/>
  <c r="H410" i="2"/>
  <c r="G410" i="2" s="1"/>
  <c r="H386" i="2"/>
  <c r="G386" i="2" s="1"/>
  <c r="H338" i="2"/>
  <c r="G338" i="2" s="1"/>
  <c r="H290" i="2"/>
  <c r="G290" i="2" s="1"/>
  <c r="H254" i="2"/>
  <c r="G254" i="2" s="1"/>
  <c r="H230" i="2"/>
  <c r="G230" i="2" s="1"/>
  <c r="H182" i="2"/>
  <c r="G182" i="2" s="1"/>
  <c r="H122" i="2"/>
  <c r="G122" i="2" s="1"/>
  <c r="H86" i="2"/>
  <c r="G86" i="2" s="1"/>
  <c r="P693" i="1"/>
  <c r="P585" i="1"/>
  <c r="P297" i="1"/>
  <c r="P511" i="1"/>
  <c r="P355" i="1"/>
  <c r="P283" i="1"/>
  <c r="P223" i="1"/>
  <c r="P79" i="1"/>
  <c r="P891" i="1"/>
  <c r="P812" i="1"/>
  <c r="E558" i="9"/>
  <c r="E798" i="9"/>
  <c r="P489" i="1"/>
  <c r="P57" i="1"/>
  <c r="P715" i="1"/>
  <c r="P547" i="1"/>
  <c r="P487" i="1"/>
  <c r="P427" i="1"/>
  <c r="P295" i="1"/>
  <c r="P199" i="1"/>
  <c r="P31" i="1"/>
  <c r="P882" i="1"/>
  <c r="E787" i="9"/>
  <c r="E931" i="9"/>
  <c r="P633" i="1"/>
  <c r="P249" i="1"/>
  <c r="P475" i="1"/>
  <c r="P307" i="1"/>
  <c r="P247" i="1"/>
  <c r="P139" i="1"/>
  <c r="P67" i="1"/>
  <c r="P7" i="1"/>
  <c r="P956" i="1"/>
  <c r="P870" i="1"/>
  <c r="P774" i="1"/>
  <c r="E536" i="9"/>
  <c r="E728" i="9"/>
  <c r="E824" i="9"/>
  <c r="E932" i="9"/>
  <c r="P679" i="1"/>
  <c r="P607" i="1"/>
  <c r="P463" i="1"/>
  <c r="P331" i="1"/>
  <c r="P175" i="1"/>
  <c r="P103" i="1"/>
  <c r="P978" i="1"/>
  <c r="P930" i="1"/>
  <c r="P846" i="1"/>
  <c r="P786" i="1"/>
  <c r="H637" i="2"/>
  <c r="G637" i="2" s="1"/>
  <c r="H625" i="2"/>
  <c r="G625" i="2" s="1"/>
  <c r="H589" i="2"/>
  <c r="G589" i="2" s="1"/>
  <c r="H565" i="2"/>
  <c r="G565" i="2" s="1"/>
  <c r="H553" i="2"/>
  <c r="G553" i="2" s="1"/>
  <c r="H481" i="2"/>
  <c r="G481" i="2" s="1"/>
  <c r="H445" i="2"/>
  <c r="G445" i="2" s="1"/>
  <c r="H409" i="2"/>
  <c r="G409" i="2" s="1"/>
  <c r="H385" i="2"/>
  <c r="G385" i="2" s="1"/>
  <c r="H313" i="2"/>
  <c r="G313" i="2" s="1"/>
  <c r="H133" i="2"/>
  <c r="G133" i="2" s="1"/>
  <c r="H97" i="2"/>
  <c r="G97" i="2" s="1"/>
  <c r="H61" i="2"/>
  <c r="G61" i="2" s="1"/>
  <c r="H49" i="2"/>
  <c r="G49" i="2" s="1"/>
  <c r="H972" i="2"/>
  <c r="G972" i="2" s="1"/>
  <c r="H636" i="2"/>
  <c r="G636" i="2" s="1"/>
  <c r="H300" i="2"/>
  <c r="G300" i="2" s="1"/>
  <c r="H240" i="2"/>
  <c r="G240" i="2" s="1"/>
  <c r="H910" i="2"/>
  <c r="G910" i="2" s="1"/>
  <c r="H657" i="2"/>
  <c r="G657" i="2" s="1"/>
  <c r="H645" i="2"/>
  <c r="G645" i="2" s="1"/>
  <c r="H513" i="2"/>
  <c r="G513" i="2" s="1"/>
  <c r="H489" i="2"/>
  <c r="G489" i="2" s="1"/>
  <c r="H345" i="2"/>
  <c r="G345" i="2" s="1"/>
  <c r="H309" i="2"/>
  <c r="G309" i="2" s="1"/>
  <c r="H297" i="2"/>
  <c r="G297" i="2" s="1"/>
  <c r="H201" i="2"/>
  <c r="G201" i="2" s="1"/>
  <c r="H165" i="2"/>
  <c r="G165" i="2" s="1"/>
  <c r="H129" i="2"/>
  <c r="G129" i="2" s="1"/>
  <c r="H57" i="2"/>
  <c r="G57" i="2" s="1"/>
  <c r="H992" i="2"/>
  <c r="G992" i="2" s="1"/>
  <c r="H934" i="2"/>
  <c r="G934" i="2" s="1"/>
  <c r="H952" i="2"/>
  <c r="G952" i="2" s="1"/>
  <c r="H884" i="2"/>
  <c r="G884" i="2" s="1"/>
  <c r="H712" i="2"/>
  <c r="G712" i="2" s="1"/>
  <c r="H700" i="2"/>
  <c r="H664" i="2"/>
  <c r="G664" i="2" s="1"/>
  <c r="H652" i="2"/>
  <c r="G652" i="2" s="1"/>
  <c r="H640" i="2"/>
  <c r="G640" i="2" s="1"/>
  <c r="H580" i="2"/>
  <c r="G580" i="2" s="1"/>
  <c r="H556" i="2"/>
  <c r="G556" i="2" s="1"/>
  <c r="H412" i="2"/>
  <c r="G412" i="2" s="1"/>
  <c r="H388" i="2"/>
  <c r="G388" i="2" s="1"/>
  <c r="H364" i="2"/>
  <c r="G364" i="2" s="1"/>
  <c r="H352" i="2"/>
  <c r="G352" i="2" s="1"/>
  <c r="H328" i="2"/>
  <c r="G328" i="2" s="1"/>
  <c r="H280" i="2"/>
  <c r="G280" i="2" s="1"/>
  <c r="H160" i="2"/>
  <c r="G160" i="2" s="1"/>
  <c r="H124" i="2"/>
  <c r="G124" i="2" s="1"/>
  <c r="H100" i="2"/>
  <c r="G100" i="2" s="1"/>
  <c r="H76" i="2"/>
  <c r="G76" i="2" s="1"/>
  <c r="H52" i="2"/>
  <c r="G52" i="2" s="1"/>
  <c r="H940" i="2"/>
  <c r="G940" i="2" s="1"/>
  <c r="H938" i="2"/>
  <c r="G938" i="2" s="1"/>
  <c r="H423" i="2"/>
  <c r="G423" i="2" s="1"/>
  <c r="H363" i="2"/>
  <c r="G363" i="2" s="1"/>
  <c r="H926" i="2"/>
  <c r="G926" i="2" s="1"/>
  <c r="H982" i="2"/>
  <c r="G982" i="2" s="1"/>
  <c r="H958" i="2"/>
  <c r="G958" i="2" s="1"/>
  <c r="H912" i="2"/>
  <c r="G912" i="2" s="1"/>
  <c r="H970" i="2"/>
  <c r="G970" i="2" s="1"/>
  <c r="H994" i="2"/>
  <c r="G994" i="2" s="1"/>
  <c r="H922" i="2"/>
  <c r="G922" i="2" s="1"/>
  <c r="H898" i="2"/>
  <c r="G898" i="2" s="1"/>
  <c r="H886" i="2"/>
  <c r="G886" i="2" s="1"/>
  <c r="H718" i="2"/>
  <c r="G718" i="2" s="1"/>
  <c r="H682" i="2"/>
  <c r="G682" i="2" s="1"/>
  <c r="H658" i="2"/>
  <c r="G658" i="2" s="1"/>
  <c r="H562" i="2"/>
  <c r="G562" i="2" s="1"/>
  <c r="H526" i="2"/>
  <c r="G526" i="2" s="1"/>
  <c r="H502" i="2"/>
  <c r="G502" i="2" s="1"/>
  <c r="H382" i="2"/>
  <c r="G382" i="2" s="1"/>
  <c r="H358" i="2"/>
  <c r="G358" i="2" s="1"/>
  <c r="H274" i="2"/>
  <c r="G274" i="2" s="1"/>
  <c r="H250" i="2"/>
  <c r="G250" i="2" s="1"/>
  <c r="H238" i="2"/>
  <c r="G238" i="2" s="1"/>
  <c r="H214" i="2"/>
  <c r="G214" i="2" s="1"/>
  <c r="H166" i="2"/>
  <c r="G166" i="2" s="1"/>
  <c r="H106" i="2"/>
  <c r="G106" i="2" s="1"/>
  <c r="H94" i="2"/>
  <c r="G94" i="2" s="1"/>
  <c r="H58" i="2"/>
  <c r="G58" i="2" s="1"/>
  <c r="H953" i="2"/>
  <c r="G953" i="2" s="1"/>
  <c r="H668" i="2"/>
  <c r="G668" i="2" s="1"/>
  <c r="H596" i="2"/>
  <c r="G596" i="2" s="1"/>
  <c r="H584" i="2"/>
  <c r="G584" i="2" s="1"/>
  <c r="H560" i="2"/>
  <c r="G560" i="2" s="1"/>
  <c r="H500" i="2"/>
  <c r="G500" i="2" s="1"/>
  <c r="H464" i="2"/>
  <c r="G464" i="2" s="1"/>
  <c r="H440" i="2"/>
  <c r="G440" i="2" s="1"/>
  <c r="H416" i="2"/>
  <c r="G416" i="2" s="1"/>
  <c r="H380" i="2"/>
  <c r="G380" i="2" s="1"/>
  <c r="H272" i="2"/>
  <c r="G272" i="2" s="1"/>
  <c r="H200" i="2"/>
  <c r="G200" i="2" s="1"/>
  <c r="H188" i="2"/>
  <c r="G188" i="2" s="1"/>
  <c r="H140" i="2"/>
  <c r="G140" i="2" s="1"/>
  <c r="H104" i="2"/>
  <c r="G104" i="2" s="1"/>
  <c r="H44" i="2"/>
  <c r="G44" i="2" s="1"/>
  <c r="H391" i="2"/>
  <c r="G391" i="2" s="1"/>
  <c r="H929" i="2"/>
  <c r="G929" i="2" s="1"/>
  <c r="H905" i="2"/>
  <c r="G905" i="2" s="1"/>
  <c r="H293" i="2"/>
  <c r="G293" i="2" s="1"/>
  <c r="H964" i="2"/>
  <c r="G964" i="2" s="1"/>
  <c r="H941" i="2"/>
  <c r="G941" i="2" s="1"/>
  <c r="G64" i="4"/>
  <c r="C721" i="1"/>
  <c r="B847" i="3"/>
  <c r="C691" i="2"/>
  <c r="B691" i="3"/>
  <c r="B247" i="3"/>
  <c r="E428" i="9"/>
  <c r="B715" i="3"/>
  <c r="C654" i="1"/>
  <c r="B715" i="9"/>
  <c r="B583" i="3"/>
  <c r="B427" i="3"/>
  <c r="B499" i="3"/>
  <c r="B367" i="3"/>
  <c r="C834" i="1"/>
  <c r="B828" i="3"/>
  <c r="C319" i="2"/>
  <c r="C641" i="1"/>
  <c r="C767" i="2"/>
  <c r="E220" i="9"/>
  <c r="E208" i="9"/>
  <c r="E473" i="9"/>
  <c r="B835" i="3"/>
  <c r="B571" i="3"/>
  <c r="E243" i="9"/>
  <c r="E462" i="9"/>
  <c r="E486" i="9"/>
  <c r="E786" i="9"/>
  <c r="E834" i="9"/>
  <c r="E846" i="9"/>
  <c r="E942" i="9"/>
  <c r="B871" i="9"/>
  <c r="B835" i="9"/>
  <c r="C839" i="2"/>
  <c r="C828" i="1"/>
  <c r="C622" i="1"/>
  <c r="C516" i="1"/>
  <c r="C384" i="1"/>
  <c r="C827" i="1"/>
  <c r="C513" i="1"/>
  <c r="C261" i="1"/>
  <c r="P848" i="1"/>
  <c r="C382" i="1"/>
  <c r="C239" i="1"/>
  <c r="C820" i="1"/>
  <c r="C669" i="1"/>
  <c r="C597" i="1"/>
  <c r="C480" i="1"/>
  <c r="C381" i="1"/>
  <c r="C809" i="2"/>
  <c r="C581" i="2"/>
  <c r="C521" i="2"/>
  <c r="P630" i="1"/>
  <c r="P114" i="1"/>
  <c r="C659" i="1"/>
  <c r="C837" i="1"/>
  <c r="C777" i="1"/>
  <c r="C191" i="1"/>
  <c r="C913" i="1"/>
  <c r="C989" i="2"/>
  <c r="C893" i="2"/>
  <c r="C857" i="2"/>
  <c r="C797" i="2"/>
  <c r="C737" i="2"/>
  <c r="C688" i="2"/>
  <c r="C545" i="2"/>
  <c r="C365" i="2"/>
  <c r="C269" i="2"/>
  <c r="C484" i="1"/>
  <c r="C321" i="1"/>
  <c r="C189" i="1"/>
  <c r="C821" i="2"/>
  <c r="C641" i="2"/>
  <c r="C544" i="2"/>
  <c r="C510" i="2"/>
  <c r="C437" i="2"/>
  <c r="C401" i="2"/>
  <c r="C747" i="1"/>
  <c r="C615" i="1"/>
  <c r="C555" i="1"/>
  <c r="C411" i="1"/>
  <c r="C315" i="1"/>
  <c r="C231" i="1"/>
  <c r="C207" i="1"/>
  <c r="C753" i="1"/>
  <c r="C257" i="2"/>
  <c r="C866" i="1"/>
  <c r="C854" i="1"/>
  <c r="C842" i="1"/>
  <c r="C830" i="1"/>
  <c r="C818" i="1"/>
  <c r="C806" i="1"/>
  <c r="C794" i="1"/>
  <c r="C782" i="1"/>
  <c r="C770" i="1"/>
  <c r="C746" i="1"/>
  <c r="C734" i="1"/>
  <c r="C722" i="1"/>
  <c r="C710" i="1"/>
  <c r="C698" i="1"/>
  <c r="C674" i="1"/>
  <c r="C662" i="1"/>
  <c r="C650" i="1"/>
  <c r="C638" i="1"/>
  <c r="C626" i="1"/>
  <c r="C614" i="1"/>
  <c r="C602" i="1"/>
  <c r="C590" i="1"/>
  <c r="C578" i="1"/>
  <c r="C566" i="1"/>
  <c r="C554" i="1"/>
  <c r="C542" i="1"/>
  <c r="C530" i="1"/>
  <c r="C518" i="1"/>
  <c r="C506" i="1"/>
  <c r="C494" i="1"/>
  <c r="C482" i="1"/>
  <c r="C470" i="1"/>
  <c r="C458" i="1"/>
  <c r="C446" i="1"/>
  <c r="C434" i="1"/>
  <c r="C422" i="1"/>
  <c r="C386" i="1"/>
  <c r="C374" i="1"/>
  <c r="C362" i="1"/>
  <c r="C350" i="1"/>
  <c r="C338" i="1"/>
  <c r="C326" i="1"/>
  <c r="C314" i="1"/>
  <c r="C302" i="1"/>
  <c r="C290" i="1"/>
  <c r="C266" i="1"/>
  <c r="C254" i="1"/>
  <c r="C242" i="1"/>
  <c r="C218" i="1"/>
  <c r="C194" i="1"/>
  <c r="C182" i="1"/>
  <c r="C170" i="1"/>
  <c r="C748" i="1"/>
  <c r="C549" i="1"/>
  <c r="C274" i="1"/>
  <c r="C179" i="1"/>
  <c r="C540" i="1"/>
  <c r="H945" i="2"/>
  <c r="G945" i="2" s="1"/>
  <c r="G199" i="4"/>
  <c r="G163" i="4"/>
  <c r="C914" i="1"/>
  <c r="H957" i="2"/>
  <c r="G957" i="2" s="1"/>
  <c r="H987" i="2"/>
  <c r="G987" i="2" s="1"/>
  <c r="H963" i="2"/>
  <c r="G963" i="2" s="1"/>
  <c r="H939" i="2"/>
  <c r="G939" i="2" s="1"/>
  <c r="H927" i="2"/>
  <c r="G927" i="2" s="1"/>
  <c r="H915" i="2"/>
  <c r="G915" i="2" s="1"/>
  <c r="H903" i="2"/>
  <c r="G903" i="2" s="1"/>
  <c r="H891" i="2"/>
  <c r="G891" i="2" s="1"/>
  <c r="H843" i="2"/>
  <c r="G843" i="2" s="1"/>
  <c r="H711" i="2"/>
  <c r="G711" i="2" s="1"/>
  <c r="H699" i="2"/>
  <c r="G699" i="2" s="1"/>
  <c r="H675" i="2"/>
  <c r="G675" i="2" s="1"/>
  <c r="H663" i="2"/>
  <c r="G663" i="2" s="1"/>
  <c r="H651" i="2"/>
  <c r="G651" i="2" s="1"/>
  <c r="H639" i="2"/>
  <c r="G639" i="2" s="1"/>
  <c r="H627" i="2"/>
  <c r="G627" i="2" s="1"/>
  <c r="H615" i="2"/>
  <c r="G615" i="2" s="1"/>
  <c r="H603" i="2"/>
  <c r="G603" i="2" s="1"/>
  <c r="H598" i="2"/>
  <c r="G598" i="2" s="1"/>
  <c r="H202" i="2"/>
  <c r="G202" i="2" s="1"/>
  <c r="H844" i="2"/>
  <c r="G844" i="2" s="1"/>
  <c r="H604" i="2"/>
  <c r="G604" i="2" s="1"/>
  <c r="H508" i="2"/>
  <c r="G508" i="2" s="1"/>
  <c r="H460" i="2"/>
  <c r="G460" i="2" s="1"/>
  <c r="H424" i="2"/>
  <c r="G424" i="2" s="1"/>
  <c r="H591" i="2"/>
  <c r="G591" i="2" s="1"/>
  <c r="H579" i="2"/>
  <c r="G579" i="2" s="1"/>
  <c r="H567" i="2"/>
  <c r="G567" i="2" s="1"/>
  <c r="H555" i="2"/>
  <c r="G555" i="2" s="1"/>
  <c r="H531" i="2"/>
  <c r="G531" i="2" s="1"/>
  <c r="H519" i="2"/>
  <c r="G519" i="2" s="1"/>
  <c r="H507" i="2"/>
  <c r="G507" i="2" s="1"/>
  <c r="H483" i="2"/>
  <c r="G483" i="2" s="1"/>
  <c r="H459" i="2"/>
  <c r="G459" i="2" s="1"/>
  <c r="H435" i="2"/>
  <c r="G435" i="2" s="1"/>
  <c r="H399" i="2"/>
  <c r="G399" i="2" s="1"/>
  <c r="H387" i="2"/>
  <c r="G387" i="2" s="1"/>
  <c r="H375" i="2"/>
  <c r="G375" i="2" s="1"/>
  <c r="H351" i="2"/>
  <c r="G351" i="2" s="1"/>
  <c r="H339" i="2"/>
  <c r="G339" i="2" s="1"/>
  <c r="H327" i="2"/>
  <c r="G327" i="2" s="1"/>
  <c r="H315" i="2"/>
  <c r="G315" i="2" s="1"/>
  <c r="H303" i="2"/>
  <c r="G303" i="2" s="1"/>
  <c r="H291" i="2"/>
  <c r="G291" i="2" s="1"/>
  <c r="H279" i="2"/>
  <c r="G279" i="2" s="1"/>
  <c r="H267" i="2"/>
  <c r="G267" i="2" s="1"/>
  <c r="H255" i="2"/>
  <c r="G255" i="2" s="1"/>
  <c r="H243" i="2"/>
  <c r="G243" i="2" s="1"/>
  <c r="H946" i="2"/>
  <c r="G946" i="2" s="1"/>
  <c r="F997" i="9"/>
  <c r="G997" i="4"/>
  <c r="F985" i="9"/>
  <c r="G985" i="4"/>
  <c r="F973" i="9"/>
  <c r="G973" i="4"/>
  <c r="F961" i="9"/>
  <c r="G961" i="4"/>
  <c r="F949" i="9"/>
  <c r="G949" i="4"/>
  <c r="F937" i="9"/>
  <c r="G937" i="4"/>
  <c r="F925" i="9"/>
  <c r="G925" i="4"/>
  <c r="F913" i="9"/>
  <c r="G913" i="4"/>
  <c r="F901" i="9"/>
  <c r="G901" i="4"/>
  <c r="F889" i="9"/>
  <c r="G889" i="4"/>
  <c r="F877" i="9"/>
  <c r="G877" i="4"/>
  <c r="F865" i="9"/>
  <c r="G865" i="4"/>
  <c r="F853" i="9"/>
  <c r="G853" i="4"/>
  <c r="F841" i="9"/>
  <c r="G841" i="4"/>
  <c r="F829" i="9"/>
  <c r="G829" i="4"/>
  <c r="F817" i="9"/>
  <c r="G817" i="4"/>
  <c r="F805" i="9"/>
  <c r="G805" i="4"/>
  <c r="F793" i="9"/>
  <c r="G793" i="4"/>
  <c r="F781" i="9"/>
  <c r="G781" i="4"/>
  <c r="F769" i="9"/>
  <c r="G769" i="4"/>
  <c r="F757" i="9"/>
  <c r="G757" i="4"/>
  <c r="F745" i="9"/>
  <c r="G745" i="4"/>
  <c r="F733" i="9"/>
  <c r="G733" i="4"/>
  <c r="F721" i="9"/>
  <c r="G721" i="4"/>
  <c r="F709" i="9"/>
  <c r="G709" i="4"/>
  <c r="F697" i="9"/>
  <c r="G697" i="4"/>
  <c r="F685" i="9"/>
  <c r="G685" i="4"/>
  <c r="F673" i="9"/>
  <c r="G673" i="4"/>
  <c r="F661" i="9"/>
  <c r="G661" i="4"/>
  <c r="F649" i="9"/>
  <c r="G649" i="4"/>
  <c r="F637" i="9"/>
  <c r="G637" i="4"/>
  <c r="F625" i="9"/>
  <c r="G625" i="4"/>
  <c r="F613" i="9"/>
  <c r="G613" i="4"/>
  <c r="F601" i="9"/>
  <c r="G601" i="4"/>
  <c r="F589" i="9"/>
  <c r="G589" i="4"/>
  <c r="F565" i="9"/>
  <c r="G565" i="4"/>
  <c r="F553" i="9"/>
  <c r="G553" i="4"/>
  <c r="F541" i="9"/>
  <c r="G541" i="4"/>
  <c r="F529" i="9"/>
  <c r="G529" i="4"/>
  <c r="F517" i="9"/>
  <c r="G517" i="4"/>
  <c r="F505" i="9"/>
  <c r="G505" i="4"/>
  <c r="F493" i="9"/>
  <c r="G493" i="4"/>
  <c r="F481" i="9"/>
  <c r="G481" i="4"/>
  <c r="F469" i="9"/>
  <c r="G469" i="4"/>
  <c r="F457" i="9"/>
  <c r="G457" i="4"/>
  <c r="F445" i="9"/>
  <c r="G445" i="4"/>
  <c r="F433" i="9"/>
  <c r="G433" i="4"/>
  <c r="F421" i="9"/>
  <c r="G421" i="4"/>
  <c r="F409" i="9"/>
  <c r="G409" i="4"/>
  <c r="F397" i="9"/>
  <c r="G397" i="4"/>
  <c r="F385" i="9"/>
  <c r="G385" i="4"/>
  <c r="F373" i="9"/>
  <c r="G373" i="4"/>
  <c r="F361" i="9"/>
  <c r="G361" i="4"/>
  <c r="F349" i="9"/>
  <c r="G349" i="4"/>
  <c r="F337" i="9"/>
  <c r="G337" i="4"/>
  <c r="F325" i="9"/>
  <c r="G325" i="4"/>
  <c r="F313" i="9"/>
  <c r="G313" i="4"/>
  <c r="F301" i="9"/>
  <c r="G301" i="4"/>
  <c r="F289" i="9"/>
  <c r="G289" i="4"/>
  <c r="F277" i="9"/>
  <c r="G277" i="4"/>
  <c r="F265" i="9"/>
  <c r="G265" i="4"/>
  <c r="F253" i="9"/>
  <c r="G253" i="4"/>
  <c r="F241" i="9"/>
  <c r="G241" i="4"/>
  <c r="F229" i="9"/>
  <c r="G229" i="4"/>
  <c r="F217" i="9"/>
  <c r="G217" i="4"/>
  <c r="F205" i="9"/>
  <c r="G205" i="4"/>
  <c r="F193" i="9"/>
  <c r="G193" i="4"/>
  <c r="F181" i="9"/>
  <c r="G181" i="4"/>
  <c r="F169" i="9"/>
  <c r="G169" i="4"/>
  <c r="F157" i="9"/>
  <c r="G157" i="4"/>
  <c r="F145" i="9"/>
  <c r="G145" i="4"/>
  <c r="F133" i="9"/>
  <c r="G133" i="4"/>
  <c r="F121" i="9"/>
  <c r="G121" i="4"/>
  <c r="F109" i="9"/>
  <c r="G109" i="4"/>
  <c r="F97" i="9"/>
  <c r="G97" i="4"/>
  <c r="F996" i="9"/>
  <c r="G996" i="4"/>
  <c r="F984" i="9"/>
  <c r="G984" i="4"/>
  <c r="F972" i="9"/>
  <c r="G972" i="4"/>
  <c r="F960" i="9"/>
  <c r="G960" i="4"/>
  <c r="F948" i="9"/>
  <c r="G948" i="4"/>
  <c r="F936" i="9"/>
  <c r="G936" i="4"/>
  <c r="F924" i="9"/>
  <c r="G924" i="4"/>
  <c r="F912" i="9"/>
  <c r="G912" i="4"/>
  <c r="F900" i="9"/>
  <c r="G900" i="4"/>
  <c r="F888" i="9"/>
  <c r="G888" i="4"/>
  <c r="F876" i="9"/>
  <c r="G876" i="4"/>
  <c r="F864" i="9"/>
  <c r="G864" i="4"/>
  <c r="F852" i="9"/>
  <c r="G852" i="4"/>
  <c r="F840" i="9"/>
  <c r="G840" i="4"/>
  <c r="F828" i="9"/>
  <c r="G828" i="4"/>
  <c r="F816" i="9"/>
  <c r="G816" i="4"/>
  <c r="F804" i="9"/>
  <c r="G804" i="4"/>
  <c r="F792" i="9"/>
  <c r="G792" i="4"/>
  <c r="F780" i="9"/>
  <c r="G780" i="4"/>
  <c r="F768" i="9"/>
  <c r="G768" i="4"/>
  <c r="F756" i="9"/>
  <c r="G756" i="4"/>
  <c r="F744" i="9"/>
  <c r="G744" i="4"/>
  <c r="F732" i="9"/>
  <c r="G732" i="4"/>
  <c r="F720" i="9"/>
  <c r="G720" i="4"/>
  <c r="F708" i="9"/>
  <c r="G708" i="4"/>
  <c r="F696" i="9"/>
  <c r="G696" i="4"/>
  <c r="F684" i="9"/>
  <c r="G684" i="4"/>
  <c r="F672" i="9"/>
  <c r="G672" i="4"/>
  <c r="F660" i="9"/>
  <c r="G660" i="4"/>
  <c r="F648" i="9"/>
  <c r="G648" i="4"/>
  <c r="F636" i="9"/>
  <c r="G636" i="4"/>
  <c r="F624" i="9"/>
  <c r="G624" i="4"/>
  <c r="F612" i="9"/>
  <c r="G612" i="4"/>
  <c r="F600" i="9"/>
  <c r="G600" i="4"/>
  <c r="F588" i="9"/>
  <c r="G588" i="4"/>
  <c r="F576" i="9"/>
  <c r="G576" i="4"/>
  <c r="F564" i="9"/>
  <c r="G564" i="4"/>
  <c r="F552" i="9"/>
  <c r="G552" i="4"/>
  <c r="F540" i="9"/>
  <c r="G540" i="4"/>
  <c r="F528" i="9"/>
  <c r="G528" i="4"/>
  <c r="F516" i="9"/>
  <c r="G516" i="4"/>
  <c r="F504" i="9"/>
  <c r="G504" i="4"/>
  <c r="F492" i="9"/>
  <c r="G492" i="4"/>
  <c r="F480" i="9"/>
  <c r="G480" i="4"/>
  <c r="F468" i="9"/>
  <c r="G468" i="4"/>
  <c r="F456" i="9"/>
  <c r="G456" i="4"/>
  <c r="F444" i="9"/>
  <c r="G444" i="4"/>
  <c r="F432" i="9"/>
  <c r="G432" i="4"/>
  <c r="F420" i="9"/>
  <c r="G420" i="4"/>
  <c r="F408" i="9"/>
  <c r="G408" i="4"/>
  <c r="F396" i="9"/>
  <c r="G396" i="4"/>
  <c r="F384" i="9"/>
  <c r="G384" i="4"/>
  <c r="F372" i="9"/>
  <c r="G372" i="4"/>
  <c r="F360" i="9"/>
  <c r="G360" i="4"/>
  <c r="F348" i="9"/>
  <c r="G348" i="4"/>
  <c r="F336" i="9"/>
  <c r="G336" i="4"/>
  <c r="F324" i="9"/>
  <c r="G324" i="4"/>
  <c r="F312" i="9"/>
  <c r="G312" i="4"/>
  <c r="F300" i="9"/>
  <c r="G300" i="4"/>
  <c r="F288" i="9"/>
  <c r="G288" i="4"/>
  <c r="F276" i="9"/>
  <c r="G276" i="4"/>
  <c r="F264" i="9"/>
  <c r="G264" i="4"/>
  <c r="F252" i="9"/>
  <c r="G252" i="4"/>
  <c r="F240" i="9"/>
  <c r="G240" i="4"/>
  <c r="F228" i="9"/>
  <c r="G228" i="4"/>
  <c r="F216" i="9"/>
  <c r="G216" i="4"/>
  <c r="F204" i="9"/>
  <c r="G204" i="4"/>
  <c r="F192" i="9"/>
  <c r="G192" i="4"/>
  <c r="F180" i="9"/>
  <c r="G180" i="4"/>
  <c r="F168" i="9"/>
  <c r="G168" i="4"/>
  <c r="F156" i="9"/>
  <c r="G156" i="4"/>
  <c r="F144" i="9"/>
  <c r="G144" i="4"/>
  <c r="F132" i="9"/>
  <c r="G132" i="4"/>
  <c r="F120" i="9"/>
  <c r="G120" i="4"/>
  <c r="F108" i="9"/>
  <c r="G108" i="4"/>
  <c r="F96" i="9"/>
  <c r="G96" i="4"/>
  <c r="F84" i="9"/>
  <c r="G84" i="4"/>
  <c r="F72" i="9"/>
  <c r="G72" i="4"/>
  <c r="F60" i="9"/>
  <c r="G60" i="4"/>
  <c r="F31" i="9"/>
  <c r="G31" i="4"/>
  <c r="F995" i="9"/>
  <c r="G995" i="4"/>
  <c r="F983" i="9"/>
  <c r="G983" i="4"/>
  <c r="F971" i="9"/>
  <c r="G971" i="4"/>
  <c r="F959" i="9"/>
  <c r="G959" i="4"/>
  <c r="F947" i="9"/>
  <c r="G947" i="4"/>
  <c r="F935" i="9"/>
  <c r="G935" i="4"/>
  <c r="F923" i="9"/>
  <c r="G923" i="4"/>
  <c r="F911" i="9"/>
  <c r="G911" i="4"/>
  <c r="F899" i="9"/>
  <c r="G899" i="4"/>
  <c r="F887" i="9"/>
  <c r="G887" i="4"/>
  <c r="F875" i="9"/>
  <c r="G875" i="4"/>
  <c r="F863" i="9"/>
  <c r="G863" i="4"/>
  <c r="F851" i="9"/>
  <c r="G851" i="4"/>
  <c r="F839" i="9"/>
  <c r="G839" i="4"/>
  <c r="F827" i="9"/>
  <c r="G827" i="4"/>
  <c r="F815" i="9"/>
  <c r="G815" i="4"/>
  <c r="F803" i="9"/>
  <c r="G803" i="4"/>
  <c r="F791" i="9"/>
  <c r="G791" i="4"/>
  <c r="F779" i="9"/>
  <c r="G779" i="4"/>
  <c r="F767" i="9"/>
  <c r="G767" i="4"/>
  <c r="F755" i="9"/>
  <c r="G755" i="4"/>
  <c r="F743" i="9"/>
  <c r="G743" i="4"/>
  <c r="F731" i="9"/>
  <c r="G731" i="4"/>
  <c r="F719" i="9"/>
  <c r="G719" i="4"/>
  <c r="F707" i="9"/>
  <c r="G707" i="4"/>
  <c r="F695" i="9"/>
  <c r="G695" i="4"/>
  <c r="F683" i="9"/>
  <c r="G683" i="4"/>
  <c r="F671" i="9"/>
  <c r="G671" i="4"/>
  <c r="F659" i="9"/>
  <c r="G659" i="4"/>
  <c r="F647" i="9"/>
  <c r="G647" i="4"/>
  <c r="F635" i="9"/>
  <c r="G635" i="4"/>
  <c r="F623" i="9"/>
  <c r="G623" i="4"/>
  <c r="F611" i="9"/>
  <c r="G611" i="4"/>
  <c r="F599" i="9"/>
  <c r="G599" i="4"/>
  <c r="F587" i="9"/>
  <c r="G587" i="4"/>
  <c r="F575" i="9"/>
  <c r="G575" i="4"/>
  <c r="F563" i="9"/>
  <c r="G563" i="4"/>
  <c r="F551" i="9"/>
  <c r="G551" i="4"/>
  <c r="F539" i="9"/>
  <c r="G539" i="4"/>
  <c r="F527" i="9"/>
  <c r="G527" i="4"/>
  <c r="F515" i="9"/>
  <c r="G515" i="4"/>
  <c r="F503" i="9"/>
  <c r="G503" i="4"/>
  <c r="F491" i="9"/>
  <c r="G491" i="4"/>
  <c r="F479" i="9"/>
  <c r="G479" i="4"/>
  <c r="F467" i="9"/>
  <c r="G467" i="4"/>
  <c r="F455" i="9"/>
  <c r="G455" i="4"/>
  <c r="F443" i="9"/>
  <c r="G443" i="4"/>
  <c r="F431" i="9"/>
  <c r="G431" i="4"/>
  <c r="F419" i="9"/>
  <c r="G419" i="4"/>
  <c r="F407" i="9"/>
  <c r="G407" i="4"/>
  <c r="F395" i="9"/>
  <c r="G395" i="4"/>
  <c r="F383" i="9"/>
  <c r="G383" i="4"/>
  <c r="F371" i="9"/>
  <c r="G371" i="4"/>
  <c r="F359" i="9"/>
  <c r="G359" i="4"/>
  <c r="F347" i="9"/>
  <c r="G347" i="4"/>
  <c r="F335" i="9"/>
  <c r="G335" i="4"/>
  <c r="F994" i="9"/>
  <c r="G994" i="4"/>
  <c r="F982" i="9"/>
  <c r="G982" i="4"/>
  <c r="F970" i="9"/>
  <c r="G970" i="4"/>
  <c r="F958" i="9"/>
  <c r="G958" i="4"/>
  <c r="F946" i="9"/>
  <c r="G946" i="4"/>
  <c r="F934" i="9"/>
  <c r="G934" i="4"/>
  <c r="F922" i="9"/>
  <c r="G922" i="4"/>
  <c r="F910" i="9"/>
  <c r="G910" i="4"/>
  <c r="F898" i="9"/>
  <c r="G898" i="4"/>
  <c r="F886" i="9"/>
  <c r="G886" i="4"/>
  <c r="F874" i="9"/>
  <c r="G874" i="4"/>
  <c r="F862" i="9"/>
  <c r="G862" i="4"/>
  <c r="F850" i="9"/>
  <c r="G850" i="4"/>
  <c r="F838" i="9"/>
  <c r="G838" i="4"/>
  <c r="F826" i="9"/>
  <c r="G826" i="4"/>
  <c r="F814" i="9"/>
  <c r="G814" i="4"/>
  <c r="F802" i="9"/>
  <c r="G802" i="4"/>
  <c r="F790" i="9"/>
  <c r="G790" i="4"/>
  <c r="F778" i="9"/>
  <c r="G778" i="4"/>
  <c r="F766" i="9"/>
  <c r="G766" i="4"/>
  <c r="F754" i="9"/>
  <c r="G754" i="4"/>
  <c r="F742" i="9"/>
  <c r="G742" i="4"/>
  <c r="F730" i="9"/>
  <c r="G730" i="4"/>
  <c r="F718" i="9"/>
  <c r="G718" i="4"/>
  <c r="F706" i="9"/>
  <c r="G706" i="4"/>
  <c r="F694" i="9"/>
  <c r="G694" i="4"/>
  <c r="F682" i="9"/>
  <c r="G682" i="4"/>
  <c r="F670" i="9"/>
  <c r="G670" i="4"/>
  <c r="F658" i="9"/>
  <c r="G658" i="4"/>
  <c r="F646" i="9"/>
  <c r="G646" i="4"/>
  <c r="F634" i="9"/>
  <c r="G634" i="4"/>
  <c r="F622" i="9"/>
  <c r="G622" i="4"/>
  <c r="F610" i="9"/>
  <c r="G610" i="4"/>
  <c r="F598" i="9"/>
  <c r="G598" i="4"/>
  <c r="F586" i="9"/>
  <c r="G586" i="4"/>
  <c r="F574" i="9"/>
  <c r="G574" i="4"/>
  <c r="F562" i="9"/>
  <c r="G562" i="4"/>
  <c r="F550" i="9"/>
  <c r="G550" i="4"/>
  <c r="F538" i="9"/>
  <c r="G538" i="4"/>
  <c r="F526" i="9"/>
  <c r="G526" i="4"/>
  <c r="F514" i="9"/>
  <c r="G514" i="4"/>
  <c r="F502" i="9"/>
  <c r="G502" i="4"/>
  <c r="F490" i="9"/>
  <c r="G490" i="4"/>
  <c r="F478" i="9"/>
  <c r="G478" i="4"/>
  <c r="F466" i="9"/>
  <c r="G466" i="4"/>
  <c r="F454" i="9"/>
  <c r="G454" i="4"/>
  <c r="F442" i="9"/>
  <c r="G442" i="4"/>
  <c r="F430" i="9"/>
  <c r="G430" i="4"/>
  <c r="F418" i="9"/>
  <c r="G418" i="4"/>
  <c r="F406" i="9"/>
  <c r="G406" i="4"/>
  <c r="F394" i="9"/>
  <c r="G394" i="4"/>
  <c r="F382" i="9"/>
  <c r="G382" i="4"/>
  <c r="F370" i="9"/>
  <c r="G370" i="4"/>
  <c r="F358" i="9"/>
  <c r="G358" i="4"/>
  <c r="F346" i="9"/>
  <c r="G346" i="4"/>
  <c r="F334" i="9"/>
  <c r="G334" i="4"/>
  <c r="F322" i="9"/>
  <c r="G322" i="4"/>
  <c r="F310" i="9"/>
  <c r="G310" i="4"/>
  <c r="F298" i="9"/>
  <c r="G298" i="4"/>
  <c r="F286" i="9"/>
  <c r="G286" i="4"/>
  <c r="F274" i="9"/>
  <c r="G274" i="4"/>
  <c r="F262" i="9"/>
  <c r="G262" i="4"/>
  <c r="F250" i="9"/>
  <c r="G250" i="4"/>
  <c r="F238" i="9"/>
  <c r="G238" i="4"/>
  <c r="F226" i="9"/>
  <c r="G226" i="4"/>
  <c r="F214" i="9"/>
  <c r="G214" i="4"/>
  <c r="F202" i="9"/>
  <c r="G202" i="4"/>
  <c r="F190" i="9"/>
  <c r="G190" i="4"/>
  <c r="F178" i="9"/>
  <c r="G178" i="4"/>
  <c r="F166" i="9"/>
  <c r="G166" i="4"/>
  <c r="F154" i="9"/>
  <c r="G154" i="4"/>
  <c r="F142" i="9"/>
  <c r="G142" i="4"/>
  <c r="F130" i="9"/>
  <c r="G130" i="4"/>
  <c r="F118" i="9"/>
  <c r="G118" i="4"/>
  <c r="F106" i="9"/>
  <c r="G106" i="4"/>
  <c r="F993" i="9"/>
  <c r="G993" i="4"/>
  <c r="F981" i="9"/>
  <c r="G981" i="4"/>
  <c r="F969" i="9"/>
  <c r="G969" i="4"/>
  <c r="F957" i="9"/>
  <c r="G957" i="4"/>
  <c r="F945" i="9"/>
  <c r="G945" i="4"/>
  <c r="F933" i="9"/>
  <c r="G933" i="4"/>
  <c r="F921" i="9"/>
  <c r="G921" i="4"/>
  <c r="F909" i="9"/>
  <c r="G909" i="4"/>
  <c r="F897" i="9"/>
  <c r="G897" i="4"/>
  <c r="F885" i="9"/>
  <c r="G885" i="4"/>
  <c r="F873" i="9"/>
  <c r="G873" i="4"/>
  <c r="F861" i="9"/>
  <c r="G861" i="4"/>
  <c r="F849" i="9"/>
  <c r="G849" i="4"/>
  <c r="F837" i="9"/>
  <c r="G837" i="4"/>
  <c r="F825" i="9"/>
  <c r="G825" i="4"/>
  <c r="F813" i="9"/>
  <c r="G813" i="4"/>
  <c r="F801" i="9"/>
  <c r="G801" i="4"/>
  <c r="F789" i="9"/>
  <c r="G789" i="4"/>
  <c r="F777" i="9"/>
  <c r="G777" i="4"/>
  <c r="F765" i="9"/>
  <c r="G765" i="4"/>
  <c r="F753" i="9"/>
  <c r="G753" i="4"/>
  <c r="F741" i="9"/>
  <c r="G741" i="4"/>
  <c r="F729" i="9"/>
  <c r="G729" i="4"/>
  <c r="F717" i="9"/>
  <c r="G717" i="4"/>
  <c r="F705" i="9"/>
  <c r="G705" i="4"/>
  <c r="F693" i="9"/>
  <c r="G693" i="4"/>
  <c r="F681" i="9"/>
  <c r="G681" i="4"/>
  <c r="F669" i="9"/>
  <c r="G669" i="4"/>
  <c r="F657" i="9"/>
  <c r="G657" i="4"/>
  <c r="F645" i="9"/>
  <c r="G645" i="4"/>
  <c r="F633" i="9"/>
  <c r="G633" i="4"/>
  <c r="F621" i="9"/>
  <c r="G621" i="4"/>
  <c r="F609" i="9"/>
  <c r="G609" i="4"/>
  <c r="F597" i="9"/>
  <c r="G597" i="4"/>
  <c r="F585" i="9"/>
  <c r="G585" i="4"/>
  <c r="F573" i="9"/>
  <c r="G573" i="4"/>
  <c r="F561" i="9"/>
  <c r="G561" i="4"/>
  <c r="F549" i="9"/>
  <c r="G549" i="4"/>
  <c r="F537" i="9"/>
  <c r="G537" i="4"/>
  <c r="F525" i="9"/>
  <c r="G525" i="4"/>
  <c r="F513" i="9"/>
  <c r="G513" i="4"/>
  <c r="F501" i="9"/>
  <c r="G501" i="4"/>
  <c r="F489" i="9"/>
  <c r="G489" i="4"/>
  <c r="F477" i="9"/>
  <c r="G477" i="4"/>
  <c r="F465" i="9"/>
  <c r="G465" i="4"/>
  <c r="F453" i="9"/>
  <c r="G453" i="4"/>
  <c r="F441" i="9"/>
  <c r="G441" i="4"/>
  <c r="F429" i="9"/>
  <c r="G429" i="4"/>
  <c r="F417" i="9"/>
  <c r="G417" i="4"/>
  <c r="F405" i="9"/>
  <c r="G405" i="4"/>
  <c r="F393" i="9"/>
  <c r="G393" i="4"/>
  <c r="F381" i="9"/>
  <c r="G381" i="4"/>
  <c r="F369" i="9"/>
  <c r="G369" i="4"/>
  <c r="F357" i="9"/>
  <c r="G357" i="4"/>
  <c r="F345" i="9"/>
  <c r="G345" i="4"/>
  <c r="F333" i="9"/>
  <c r="G333" i="4"/>
  <c r="F321" i="9"/>
  <c r="G321" i="4"/>
  <c r="F309" i="9"/>
  <c r="G309" i="4"/>
  <c r="F297" i="9"/>
  <c r="G297" i="4"/>
  <c r="F285" i="9"/>
  <c r="G285" i="4"/>
  <c r="F273" i="9"/>
  <c r="G273" i="4"/>
  <c r="F261" i="9"/>
  <c r="G261" i="4"/>
  <c r="F249" i="9"/>
  <c r="G249" i="4"/>
  <c r="F237" i="9"/>
  <c r="G237" i="4"/>
  <c r="F225" i="9"/>
  <c r="G225" i="4"/>
  <c r="F213" i="9"/>
  <c r="G213" i="4"/>
  <c r="F201" i="9"/>
  <c r="G201" i="4"/>
  <c r="F189" i="9"/>
  <c r="G189" i="4"/>
  <c r="F177" i="9"/>
  <c r="G177" i="4"/>
  <c r="F165" i="9"/>
  <c r="G165" i="4"/>
  <c r="F153" i="9"/>
  <c r="G153" i="4"/>
  <c r="F980" i="9"/>
  <c r="G980" i="4"/>
  <c r="F944" i="9"/>
  <c r="G944" i="4"/>
  <c r="F908" i="9"/>
  <c r="G908" i="4"/>
  <c r="F872" i="9"/>
  <c r="G872" i="4"/>
  <c r="F848" i="9"/>
  <c r="G848" i="4"/>
  <c r="F812" i="9"/>
  <c r="G812" i="4"/>
  <c r="F776" i="9"/>
  <c r="G776" i="4"/>
  <c r="F740" i="9"/>
  <c r="G740" i="4"/>
  <c r="F692" i="9"/>
  <c r="G692" i="4"/>
  <c r="F644" i="9"/>
  <c r="G644" i="4"/>
  <c r="F596" i="9"/>
  <c r="G596" i="4"/>
  <c r="F536" i="9"/>
  <c r="G536" i="4"/>
  <c r="F440" i="9"/>
  <c r="G440" i="4"/>
  <c r="F248" i="9"/>
  <c r="G248" i="4"/>
  <c r="F992" i="9"/>
  <c r="G992" i="4"/>
  <c r="F968" i="9"/>
  <c r="G968" i="4"/>
  <c r="F956" i="9"/>
  <c r="G956" i="4"/>
  <c r="F932" i="9"/>
  <c r="G932" i="4"/>
  <c r="F920" i="9"/>
  <c r="G920" i="4"/>
  <c r="F896" i="9"/>
  <c r="G896" i="4"/>
  <c r="F884" i="9"/>
  <c r="G884" i="4"/>
  <c r="F860" i="9"/>
  <c r="G860" i="4"/>
  <c r="F836" i="9"/>
  <c r="G836" i="4"/>
  <c r="F824" i="9"/>
  <c r="G824" i="4"/>
  <c r="F800" i="9"/>
  <c r="G800" i="4"/>
  <c r="F788" i="9"/>
  <c r="G788" i="4"/>
  <c r="F764" i="9"/>
  <c r="G764" i="4"/>
  <c r="F752" i="9"/>
  <c r="G752" i="4"/>
  <c r="F728" i="9"/>
  <c r="G728" i="4"/>
  <c r="F716" i="9"/>
  <c r="G716" i="4"/>
  <c r="F704" i="9"/>
  <c r="G704" i="4"/>
  <c r="F680" i="9"/>
  <c r="G680" i="4"/>
  <c r="F668" i="9"/>
  <c r="G668" i="4"/>
  <c r="F656" i="9"/>
  <c r="G656" i="4"/>
  <c r="F632" i="9"/>
  <c r="G632" i="4"/>
  <c r="F620" i="9"/>
  <c r="G620" i="4"/>
  <c r="F608" i="9"/>
  <c r="G608" i="4"/>
  <c r="F584" i="9"/>
  <c r="G584" i="4"/>
  <c r="F572" i="9"/>
  <c r="G572" i="4"/>
  <c r="F560" i="9"/>
  <c r="G560" i="4"/>
  <c r="F548" i="9"/>
  <c r="G548" i="4"/>
  <c r="F524" i="9"/>
  <c r="G524" i="4"/>
  <c r="F512" i="9"/>
  <c r="G512" i="4"/>
  <c r="F500" i="9"/>
  <c r="G500" i="4"/>
  <c r="F488" i="9"/>
  <c r="G488" i="4"/>
  <c r="F476" i="9"/>
  <c r="G476" i="4"/>
  <c r="F464" i="9"/>
  <c r="G464" i="4"/>
  <c r="F452" i="9"/>
  <c r="G452" i="4"/>
  <c r="F428" i="9"/>
  <c r="G428" i="4"/>
  <c r="F416" i="9"/>
  <c r="G416" i="4"/>
  <c r="F404" i="9"/>
  <c r="G404" i="4"/>
  <c r="F392" i="9"/>
  <c r="G392" i="4"/>
  <c r="F380" i="9"/>
  <c r="G380" i="4"/>
  <c r="F368" i="9"/>
  <c r="G368" i="4"/>
  <c r="F356" i="9"/>
  <c r="G356" i="4"/>
  <c r="F344" i="9"/>
  <c r="G344" i="4"/>
  <c r="F332" i="9"/>
  <c r="G332" i="4"/>
  <c r="F320" i="9"/>
  <c r="G320" i="4"/>
  <c r="F308" i="9"/>
  <c r="G308" i="4"/>
  <c r="F296" i="9"/>
  <c r="G296" i="4"/>
  <c r="F284" i="9"/>
  <c r="G284" i="4"/>
  <c r="F272" i="9"/>
  <c r="G272" i="4"/>
  <c r="F260" i="9"/>
  <c r="G260" i="4"/>
  <c r="F236" i="9"/>
  <c r="G236" i="4"/>
  <c r="F224" i="9"/>
  <c r="G224" i="4"/>
  <c r="F212" i="9"/>
  <c r="G212" i="4"/>
  <c r="F200" i="9"/>
  <c r="G200" i="4"/>
  <c r="F188" i="9"/>
  <c r="G188" i="4"/>
  <c r="F176" i="9"/>
  <c r="G176" i="4"/>
  <c r="F164" i="9"/>
  <c r="G164" i="4"/>
  <c r="F152" i="9"/>
  <c r="G152" i="4"/>
  <c r="F140" i="9"/>
  <c r="G140" i="4"/>
  <c r="F128" i="9"/>
  <c r="G128" i="4"/>
  <c r="F116" i="9"/>
  <c r="G116" i="4"/>
  <c r="F991" i="9"/>
  <c r="G991" i="4"/>
  <c r="F979" i="9"/>
  <c r="G979" i="4"/>
  <c r="F967" i="9"/>
  <c r="G967" i="4"/>
  <c r="F955" i="9"/>
  <c r="G955" i="4"/>
  <c r="F943" i="9"/>
  <c r="G943" i="4"/>
  <c r="F931" i="9"/>
  <c r="G931" i="4"/>
  <c r="F919" i="9"/>
  <c r="G919" i="4"/>
  <c r="F907" i="9"/>
  <c r="G907" i="4"/>
  <c r="F895" i="9"/>
  <c r="G895" i="4"/>
  <c r="F883" i="9"/>
  <c r="G883" i="4"/>
  <c r="F871" i="9"/>
  <c r="G871" i="4"/>
  <c r="F859" i="9"/>
  <c r="G859" i="4"/>
  <c r="F847" i="9"/>
  <c r="G847" i="4"/>
  <c r="F835" i="9"/>
  <c r="G835" i="4"/>
  <c r="F823" i="9"/>
  <c r="G823" i="4"/>
  <c r="F811" i="9"/>
  <c r="G811" i="4"/>
  <c r="F799" i="9"/>
  <c r="G799" i="4"/>
  <c r="F787" i="9"/>
  <c r="G787" i="4"/>
  <c r="F775" i="9"/>
  <c r="G775" i="4"/>
  <c r="F763" i="9"/>
  <c r="G763" i="4"/>
  <c r="F751" i="9"/>
  <c r="G751" i="4"/>
  <c r="F739" i="9"/>
  <c r="G739" i="4"/>
  <c r="F727" i="9"/>
  <c r="G727" i="4"/>
  <c r="F715" i="9"/>
  <c r="G715" i="4"/>
  <c r="F703" i="9"/>
  <c r="G703" i="4"/>
  <c r="F691" i="9"/>
  <c r="G691" i="4"/>
  <c r="F679" i="9"/>
  <c r="G679" i="4"/>
  <c r="F667" i="9"/>
  <c r="G667" i="4"/>
  <c r="F655" i="9"/>
  <c r="G655" i="4"/>
  <c r="F643" i="9"/>
  <c r="G643" i="4"/>
  <c r="F631" i="9"/>
  <c r="G631" i="4"/>
  <c r="F619" i="9"/>
  <c r="G619" i="4"/>
  <c r="F607" i="9"/>
  <c r="G607" i="4"/>
  <c r="F595" i="9"/>
  <c r="G595" i="4"/>
  <c r="F583" i="9"/>
  <c r="G583" i="4"/>
  <c r="F571" i="9"/>
  <c r="G571" i="4"/>
  <c r="F559" i="9"/>
  <c r="G559" i="4"/>
  <c r="F547" i="9"/>
  <c r="G547" i="4"/>
  <c r="F535" i="9"/>
  <c r="G535" i="4"/>
  <c r="F523" i="9"/>
  <c r="G523" i="4"/>
  <c r="F511" i="9"/>
  <c r="G511" i="4"/>
  <c r="F499" i="9"/>
  <c r="G499" i="4"/>
  <c r="F487" i="9"/>
  <c r="G487" i="4"/>
  <c r="F475" i="9"/>
  <c r="G475" i="4"/>
  <c r="F463" i="9"/>
  <c r="G463" i="4"/>
  <c r="F451" i="9"/>
  <c r="G451" i="4"/>
  <c r="F439" i="9"/>
  <c r="G439" i="4"/>
  <c r="F427" i="9"/>
  <c r="G427" i="4"/>
  <c r="F415" i="9"/>
  <c r="G415" i="4"/>
  <c r="F403" i="9"/>
  <c r="G403" i="4"/>
  <c r="F391" i="9"/>
  <c r="G391" i="4"/>
  <c r="F379" i="9"/>
  <c r="G379" i="4"/>
  <c r="F367" i="9"/>
  <c r="G367" i="4"/>
  <c r="F355" i="9"/>
  <c r="G355" i="4"/>
  <c r="F343" i="9"/>
  <c r="G343" i="4"/>
  <c r="F331" i="9"/>
  <c r="G331" i="4"/>
  <c r="F319" i="9"/>
  <c r="G319" i="4"/>
  <c r="F990" i="9"/>
  <c r="G990" i="4"/>
  <c r="F978" i="9"/>
  <c r="G978" i="4"/>
  <c r="F966" i="9"/>
  <c r="G966" i="4"/>
  <c r="F954" i="9"/>
  <c r="G954" i="4"/>
  <c r="F942" i="9"/>
  <c r="G942" i="4"/>
  <c r="F930" i="9"/>
  <c r="G930" i="4"/>
  <c r="F918" i="9"/>
  <c r="G918" i="4"/>
  <c r="F906" i="9"/>
  <c r="G906" i="4"/>
  <c r="F894" i="9"/>
  <c r="G894" i="4"/>
  <c r="F882" i="9"/>
  <c r="G882" i="4"/>
  <c r="F870" i="9"/>
  <c r="G870" i="4"/>
  <c r="F858" i="9"/>
  <c r="G858" i="4"/>
  <c r="F846" i="9"/>
  <c r="G846" i="4"/>
  <c r="F834" i="9"/>
  <c r="G834" i="4"/>
  <c r="F822" i="9"/>
  <c r="G822" i="4"/>
  <c r="F810" i="9"/>
  <c r="G810" i="4"/>
  <c r="F798" i="9"/>
  <c r="G798" i="4"/>
  <c r="F786" i="9"/>
  <c r="G786" i="4"/>
  <c r="F774" i="9"/>
  <c r="G774" i="4"/>
  <c r="F762" i="9"/>
  <c r="G762" i="4"/>
  <c r="F750" i="9"/>
  <c r="G750" i="4"/>
  <c r="F738" i="9"/>
  <c r="G738" i="4"/>
  <c r="F726" i="9"/>
  <c r="G726" i="4"/>
  <c r="F714" i="9"/>
  <c r="G714" i="4"/>
  <c r="F702" i="9"/>
  <c r="G702" i="4"/>
  <c r="F690" i="9"/>
  <c r="G690" i="4"/>
  <c r="F678" i="9"/>
  <c r="G678" i="4"/>
  <c r="F666" i="9"/>
  <c r="G666" i="4"/>
  <c r="F654" i="9"/>
  <c r="G654" i="4"/>
  <c r="F642" i="9"/>
  <c r="G642" i="4"/>
  <c r="F630" i="9"/>
  <c r="G630" i="4"/>
  <c r="F618" i="9"/>
  <c r="G618" i="4"/>
  <c r="F606" i="9"/>
  <c r="G606" i="4"/>
  <c r="F594" i="9"/>
  <c r="G594" i="4"/>
  <c r="F582" i="9"/>
  <c r="G582" i="4"/>
  <c r="F570" i="9"/>
  <c r="G570" i="4"/>
  <c r="F558" i="9"/>
  <c r="G558" i="4"/>
  <c r="F546" i="9"/>
  <c r="G546" i="4"/>
  <c r="F534" i="9"/>
  <c r="G534" i="4"/>
  <c r="F522" i="9"/>
  <c r="G522" i="4"/>
  <c r="F510" i="9"/>
  <c r="G510" i="4"/>
  <c r="F498" i="9"/>
  <c r="G498" i="4"/>
  <c r="F486" i="9"/>
  <c r="G486" i="4"/>
  <c r="F474" i="9"/>
  <c r="G474" i="4"/>
  <c r="F462" i="9"/>
  <c r="G462" i="4"/>
  <c r="F450" i="9"/>
  <c r="G450" i="4"/>
  <c r="F438" i="9"/>
  <c r="G438" i="4"/>
  <c r="F426" i="9"/>
  <c r="G426" i="4"/>
  <c r="F414" i="9"/>
  <c r="G414" i="4"/>
  <c r="F402" i="9"/>
  <c r="G402" i="4"/>
  <c r="F390" i="9"/>
  <c r="G390" i="4"/>
  <c r="F378" i="9"/>
  <c r="G378" i="4"/>
  <c r="F366" i="9"/>
  <c r="G366" i="4"/>
  <c r="F354" i="9"/>
  <c r="G354" i="4"/>
  <c r="F342" i="9"/>
  <c r="G342" i="4"/>
  <c r="F330" i="9"/>
  <c r="G330" i="4"/>
  <c r="F318" i="9"/>
  <c r="G318" i="4"/>
  <c r="F306" i="9"/>
  <c r="G306" i="4"/>
  <c r="F294" i="9"/>
  <c r="G294" i="4"/>
  <c r="F282" i="9"/>
  <c r="G282" i="4"/>
  <c r="F270" i="9"/>
  <c r="G270" i="4"/>
  <c r="F258" i="9"/>
  <c r="G258" i="4"/>
  <c r="F246" i="9"/>
  <c r="G246" i="4"/>
  <c r="F234" i="9"/>
  <c r="G234" i="4"/>
  <c r="F222" i="9"/>
  <c r="G222" i="4"/>
  <c r="F210" i="9"/>
  <c r="G210" i="4"/>
  <c r="F198" i="9"/>
  <c r="G198" i="4"/>
  <c r="F186" i="9"/>
  <c r="G186" i="4"/>
  <c r="F174" i="9"/>
  <c r="G174" i="4"/>
  <c r="F162" i="9"/>
  <c r="G162" i="4"/>
  <c r="F150" i="9"/>
  <c r="G150" i="4"/>
  <c r="F138" i="9"/>
  <c r="G138" i="4"/>
  <c r="F126" i="9"/>
  <c r="G126" i="4"/>
  <c r="F989" i="9"/>
  <c r="G989" i="4"/>
  <c r="F977" i="9"/>
  <c r="G977" i="4"/>
  <c r="F965" i="9"/>
  <c r="G965" i="4"/>
  <c r="F953" i="9"/>
  <c r="G953" i="4"/>
  <c r="F941" i="9"/>
  <c r="G941" i="4"/>
  <c r="F929" i="9"/>
  <c r="G929" i="4"/>
  <c r="F917" i="9"/>
  <c r="G917" i="4"/>
  <c r="F905" i="9"/>
  <c r="G905" i="4"/>
  <c r="F893" i="9"/>
  <c r="G893" i="4"/>
  <c r="F881" i="9"/>
  <c r="G881" i="4"/>
  <c r="F869" i="9"/>
  <c r="G869" i="4"/>
  <c r="F857" i="9"/>
  <c r="G857" i="4"/>
  <c r="F845" i="9"/>
  <c r="G845" i="4"/>
  <c r="F833" i="9"/>
  <c r="G833" i="4"/>
  <c r="F821" i="9"/>
  <c r="G821" i="4"/>
  <c r="F809" i="9"/>
  <c r="G809" i="4"/>
  <c r="F797" i="9"/>
  <c r="G797" i="4"/>
  <c r="F785" i="9"/>
  <c r="G785" i="4"/>
  <c r="F773" i="9"/>
  <c r="G773" i="4"/>
  <c r="F761" i="9"/>
  <c r="G761" i="4"/>
  <c r="F749" i="9"/>
  <c r="G749" i="4"/>
  <c r="F737" i="9"/>
  <c r="G737" i="4"/>
  <c r="F725" i="9"/>
  <c r="G725" i="4"/>
  <c r="F713" i="9"/>
  <c r="G713" i="4"/>
  <c r="F701" i="9"/>
  <c r="G701" i="4"/>
  <c r="F689" i="9"/>
  <c r="G689" i="4"/>
  <c r="F677" i="9"/>
  <c r="G677" i="4"/>
  <c r="F665" i="9"/>
  <c r="G665" i="4"/>
  <c r="F653" i="9"/>
  <c r="G653" i="4"/>
  <c r="F641" i="9"/>
  <c r="G641" i="4"/>
  <c r="F629" i="9"/>
  <c r="G629" i="4"/>
  <c r="F617" i="9"/>
  <c r="G617" i="4"/>
  <c r="F605" i="9"/>
  <c r="G605" i="4"/>
  <c r="F593" i="9"/>
  <c r="G593" i="4"/>
  <c r="F581" i="9"/>
  <c r="G581" i="4"/>
  <c r="F569" i="9"/>
  <c r="G569" i="4"/>
  <c r="F557" i="9"/>
  <c r="G557" i="4"/>
  <c r="F545" i="9"/>
  <c r="G545" i="4"/>
  <c r="F533" i="9"/>
  <c r="G533" i="4"/>
  <c r="F521" i="9"/>
  <c r="G521" i="4"/>
  <c r="F509" i="9"/>
  <c r="G509" i="4"/>
  <c r="F497" i="9"/>
  <c r="G497" i="4"/>
  <c r="F485" i="9"/>
  <c r="G485" i="4"/>
  <c r="F473" i="9"/>
  <c r="G473" i="4"/>
  <c r="F461" i="9"/>
  <c r="G461" i="4"/>
  <c r="F449" i="9"/>
  <c r="G449" i="4"/>
  <c r="F437" i="9"/>
  <c r="G437" i="4"/>
  <c r="F425" i="9"/>
  <c r="G425" i="4"/>
  <c r="F413" i="9"/>
  <c r="G413" i="4"/>
  <c r="F401" i="9"/>
  <c r="G401" i="4"/>
  <c r="F389" i="9"/>
  <c r="G389" i="4"/>
  <c r="F377" i="9"/>
  <c r="G377" i="4"/>
  <c r="F365" i="9"/>
  <c r="G365" i="4"/>
  <c r="F353" i="9"/>
  <c r="G353" i="4"/>
  <c r="F341" i="9"/>
  <c r="G341" i="4"/>
  <c r="F329" i="9"/>
  <c r="G329" i="4"/>
  <c r="F317" i="9"/>
  <c r="G317" i="4"/>
  <c r="F305" i="9"/>
  <c r="G305" i="4"/>
  <c r="F293" i="9"/>
  <c r="G293" i="4"/>
  <c r="F281" i="9"/>
  <c r="G281" i="4"/>
  <c r="F269" i="9"/>
  <c r="G269" i="4"/>
  <c r="F257" i="9"/>
  <c r="G257" i="4"/>
  <c r="F245" i="9"/>
  <c r="G245" i="4"/>
  <c r="F233" i="9"/>
  <c r="G233" i="4"/>
  <c r="F221" i="9"/>
  <c r="G221" i="4"/>
  <c r="F209" i="9"/>
  <c r="G209" i="4"/>
  <c r="F197" i="9"/>
  <c r="G197" i="4"/>
  <c r="F185" i="9"/>
  <c r="G185" i="4"/>
  <c r="F173" i="9"/>
  <c r="G173" i="4"/>
  <c r="F161" i="9"/>
  <c r="G161" i="4"/>
  <c r="F149" i="9"/>
  <c r="G149" i="4"/>
  <c r="F137" i="9"/>
  <c r="G137" i="4"/>
  <c r="F125" i="9"/>
  <c r="G125" i="4"/>
  <c r="F113" i="9"/>
  <c r="G113" i="4"/>
  <c r="F101" i="9"/>
  <c r="G101" i="4"/>
  <c r="F89" i="9"/>
  <c r="G89" i="4"/>
  <c r="F77" i="9"/>
  <c r="G77" i="4"/>
  <c r="F65" i="9"/>
  <c r="G65" i="4"/>
  <c r="F53" i="9"/>
  <c r="G53" i="4"/>
  <c r="F577" i="9"/>
  <c r="G577" i="4"/>
  <c r="F1000" i="9"/>
  <c r="G1000" i="4"/>
  <c r="F988" i="9"/>
  <c r="G988" i="4"/>
  <c r="F976" i="9"/>
  <c r="G976" i="4"/>
  <c r="F964" i="9"/>
  <c r="G964" i="4"/>
  <c r="F952" i="9"/>
  <c r="G952" i="4"/>
  <c r="F940" i="9"/>
  <c r="G940" i="4"/>
  <c r="F928" i="9"/>
  <c r="G928" i="4"/>
  <c r="F916" i="9"/>
  <c r="G916" i="4"/>
  <c r="F904" i="9"/>
  <c r="G904" i="4"/>
  <c r="F892" i="9"/>
  <c r="G892" i="4"/>
  <c r="F880" i="9"/>
  <c r="G880" i="4"/>
  <c r="F868" i="9"/>
  <c r="G868" i="4"/>
  <c r="F856" i="9"/>
  <c r="G856" i="4"/>
  <c r="F844" i="9"/>
  <c r="G844" i="4"/>
  <c r="F832" i="9"/>
  <c r="G832" i="4"/>
  <c r="F820" i="9"/>
  <c r="G820" i="4"/>
  <c r="F808" i="9"/>
  <c r="G808" i="4"/>
  <c r="F796" i="9"/>
  <c r="G796" i="4"/>
  <c r="F784" i="9"/>
  <c r="G784" i="4"/>
  <c r="F772" i="9"/>
  <c r="G772" i="4"/>
  <c r="F760" i="9"/>
  <c r="G760" i="4"/>
  <c r="F748" i="9"/>
  <c r="G748" i="4"/>
  <c r="F736" i="9"/>
  <c r="G736" i="4"/>
  <c r="F724" i="9"/>
  <c r="G724" i="4"/>
  <c r="F712" i="9"/>
  <c r="G712" i="4"/>
  <c r="F700" i="9"/>
  <c r="G700" i="4"/>
  <c r="F688" i="9"/>
  <c r="G688" i="4"/>
  <c r="F676" i="9"/>
  <c r="G676" i="4"/>
  <c r="F664" i="9"/>
  <c r="G664" i="4"/>
  <c r="F652" i="9"/>
  <c r="G652" i="4"/>
  <c r="F640" i="9"/>
  <c r="G640" i="4"/>
  <c r="F628" i="9"/>
  <c r="G628" i="4"/>
  <c r="F616" i="9"/>
  <c r="G616" i="4"/>
  <c r="F604" i="9"/>
  <c r="G604" i="4"/>
  <c r="F592" i="9"/>
  <c r="G592" i="4"/>
  <c r="F580" i="9"/>
  <c r="G580" i="4"/>
  <c r="F568" i="9"/>
  <c r="G568" i="4"/>
  <c r="F556" i="9"/>
  <c r="G556" i="4"/>
  <c r="F544" i="9"/>
  <c r="G544" i="4"/>
  <c r="F532" i="9"/>
  <c r="G532" i="4"/>
  <c r="F520" i="9"/>
  <c r="G520" i="4"/>
  <c r="F508" i="9"/>
  <c r="G508" i="4"/>
  <c r="F496" i="9"/>
  <c r="G496" i="4"/>
  <c r="F484" i="9"/>
  <c r="G484" i="4"/>
  <c r="F472" i="9"/>
  <c r="G472" i="4"/>
  <c r="F460" i="9"/>
  <c r="G460" i="4"/>
  <c r="F448" i="9"/>
  <c r="G448" i="4"/>
  <c r="F436" i="9"/>
  <c r="G436" i="4"/>
  <c r="F424" i="9"/>
  <c r="G424" i="4"/>
  <c r="F412" i="9"/>
  <c r="G412" i="4"/>
  <c r="F400" i="9"/>
  <c r="G400" i="4"/>
  <c r="F388" i="9"/>
  <c r="G388" i="4"/>
  <c r="F376" i="9"/>
  <c r="G376" i="4"/>
  <c r="F364" i="9"/>
  <c r="G364" i="4"/>
  <c r="F352" i="9"/>
  <c r="G352" i="4"/>
  <c r="F340" i="9"/>
  <c r="G340" i="4"/>
  <c r="F328" i="9"/>
  <c r="G328" i="4"/>
  <c r="F987" i="9"/>
  <c r="G987" i="4"/>
  <c r="F939" i="9"/>
  <c r="G939" i="4"/>
  <c r="F879" i="9"/>
  <c r="G879" i="4"/>
  <c r="F831" i="9"/>
  <c r="G831" i="4"/>
  <c r="F795" i="9"/>
  <c r="G795" i="4"/>
  <c r="F747" i="9"/>
  <c r="G747" i="4"/>
  <c r="F699" i="9"/>
  <c r="G699" i="4"/>
  <c r="F663" i="9"/>
  <c r="G663" i="4"/>
  <c r="F615" i="9"/>
  <c r="G615" i="4"/>
  <c r="F591" i="9"/>
  <c r="G591" i="4"/>
  <c r="F567" i="9"/>
  <c r="G567" i="4"/>
  <c r="F555" i="9"/>
  <c r="G555" i="4"/>
  <c r="F543" i="9"/>
  <c r="G543" i="4"/>
  <c r="F519" i="9"/>
  <c r="G519" i="4"/>
  <c r="F507" i="9"/>
  <c r="G507" i="4"/>
  <c r="F495" i="9"/>
  <c r="G495" i="4"/>
  <c r="F483" i="9"/>
  <c r="G483" i="4"/>
  <c r="F471" i="9"/>
  <c r="G471" i="4"/>
  <c r="F459" i="9"/>
  <c r="G459" i="4"/>
  <c r="F447" i="9"/>
  <c r="G447" i="4"/>
  <c r="F423" i="9"/>
  <c r="G423" i="4"/>
  <c r="F411" i="9"/>
  <c r="G411" i="4"/>
  <c r="F399" i="9"/>
  <c r="G399" i="4"/>
  <c r="F387" i="9"/>
  <c r="G387" i="4"/>
  <c r="F375" i="9"/>
  <c r="G375" i="4"/>
  <c r="F363" i="9"/>
  <c r="G363" i="4"/>
  <c r="F351" i="9"/>
  <c r="G351" i="4"/>
  <c r="F339" i="9"/>
  <c r="G339" i="4"/>
  <c r="F327" i="9"/>
  <c r="G327" i="4"/>
  <c r="F315" i="9"/>
  <c r="G315" i="4"/>
  <c r="F303" i="9"/>
  <c r="G303" i="4"/>
  <c r="F291" i="9"/>
  <c r="G291" i="4"/>
  <c r="F279" i="9"/>
  <c r="G279" i="4"/>
  <c r="F267" i="9"/>
  <c r="G267" i="4"/>
  <c r="F255" i="9"/>
  <c r="G255" i="4"/>
  <c r="F243" i="9"/>
  <c r="G243" i="4"/>
  <c r="F231" i="9"/>
  <c r="G231" i="4"/>
  <c r="F219" i="9"/>
  <c r="G219" i="4"/>
  <c r="F207" i="9"/>
  <c r="G207" i="4"/>
  <c r="F195" i="9"/>
  <c r="G195" i="4"/>
  <c r="F183" i="9"/>
  <c r="G183" i="4"/>
  <c r="F171" i="9"/>
  <c r="G171" i="4"/>
  <c r="F159" i="9"/>
  <c r="G159" i="4"/>
  <c r="F147" i="9"/>
  <c r="G147" i="4"/>
  <c r="F135" i="9"/>
  <c r="G135" i="4"/>
  <c r="F123" i="9"/>
  <c r="G123" i="4"/>
  <c r="F99" i="9"/>
  <c r="G99" i="4"/>
  <c r="F87" i="9"/>
  <c r="G87" i="4"/>
  <c r="F75" i="9"/>
  <c r="G75" i="4"/>
  <c r="F63" i="9"/>
  <c r="G63" i="4"/>
  <c r="F51" i="9"/>
  <c r="G51" i="4"/>
  <c r="F999" i="9"/>
  <c r="G999" i="4"/>
  <c r="F975" i="9"/>
  <c r="G975" i="4"/>
  <c r="F963" i="9"/>
  <c r="G963" i="4"/>
  <c r="F951" i="9"/>
  <c r="G951" i="4"/>
  <c r="F927" i="9"/>
  <c r="G927" i="4"/>
  <c r="F915" i="9"/>
  <c r="G915" i="4"/>
  <c r="F903" i="9"/>
  <c r="G903" i="4"/>
  <c r="F891" i="9"/>
  <c r="G891" i="4"/>
  <c r="F867" i="9"/>
  <c r="G867" i="4"/>
  <c r="F855" i="9"/>
  <c r="G855" i="4"/>
  <c r="F843" i="9"/>
  <c r="G843" i="4"/>
  <c r="F819" i="9"/>
  <c r="G819" i="4"/>
  <c r="F807" i="9"/>
  <c r="G807" i="4"/>
  <c r="F783" i="9"/>
  <c r="G783" i="4"/>
  <c r="F771" i="9"/>
  <c r="G771" i="4"/>
  <c r="F759" i="9"/>
  <c r="G759" i="4"/>
  <c r="F735" i="9"/>
  <c r="G735" i="4"/>
  <c r="F723" i="9"/>
  <c r="G723" i="4"/>
  <c r="F711" i="9"/>
  <c r="G711" i="4"/>
  <c r="F687" i="9"/>
  <c r="G687" i="4"/>
  <c r="F675" i="9"/>
  <c r="G675" i="4"/>
  <c r="F651" i="9"/>
  <c r="G651" i="4"/>
  <c r="F639" i="9"/>
  <c r="G639" i="4"/>
  <c r="F627" i="9"/>
  <c r="G627" i="4"/>
  <c r="F603" i="9"/>
  <c r="G603" i="4"/>
  <c r="F579" i="9"/>
  <c r="G579" i="4"/>
  <c r="F531" i="9"/>
  <c r="G531" i="4"/>
  <c r="F435" i="9"/>
  <c r="G435" i="4"/>
  <c r="F111" i="9"/>
  <c r="G111" i="4"/>
  <c r="F998" i="9"/>
  <c r="G998" i="4"/>
  <c r="F986" i="9"/>
  <c r="G986" i="4"/>
  <c r="F974" i="9"/>
  <c r="G974" i="4"/>
  <c r="F962" i="9"/>
  <c r="G962" i="4"/>
  <c r="F950" i="9"/>
  <c r="G950" i="4"/>
  <c r="F938" i="9"/>
  <c r="G938" i="4"/>
  <c r="F926" i="9"/>
  <c r="G926" i="4"/>
  <c r="F914" i="9"/>
  <c r="G914" i="4"/>
  <c r="F902" i="9"/>
  <c r="G902" i="4"/>
  <c r="F890" i="9"/>
  <c r="G890" i="4"/>
  <c r="F878" i="9"/>
  <c r="G878" i="4"/>
  <c r="F866" i="9"/>
  <c r="G866" i="4"/>
  <c r="F854" i="9"/>
  <c r="G854" i="4"/>
  <c r="F842" i="9"/>
  <c r="G842" i="4"/>
  <c r="F830" i="9"/>
  <c r="G830" i="4"/>
  <c r="F818" i="9"/>
  <c r="G818" i="4"/>
  <c r="F806" i="9"/>
  <c r="G806" i="4"/>
  <c r="F794" i="9"/>
  <c r="G794" i="4"/>
  <c r="F782" i="9"/>
  <c r="G782" i="4"/>
  <c r="F770" i="9"/>
  <c r="G770" i="4"/>
  <c r="F758" i="9"/>
  <c r="G758" i="4"/>
  <c r="F746" i="9"/>
  <c r="G746" i="4"/>
  <c r="F734" i="9"/>
  <c r="G734" i="4"/>
  <c r="F722" i="9"/>
  <c r="G722" i="4"/>
  <c r="F710" i="9"/>
  <c r="G710" i="4"/>
  <c r="F698" i="9"/>
  <c r="G698" i="4"/>
  <c r="F686" i="9"/>
  <c r="G686" i="4"/>
  <c r="F674" i="9"/>
  <c r="G674" i="4"/>
  <c r="F662" i="9"/>
  <c r="G662" i="4"/>
  <c r="F650" i="9"/>
  <c r="G650" i="4"/>
  <c r="F638" i="9"/>
  <c r="G638" i="4"/>
  <c r="F626" i="9"/>
  <c r="G626" i="4"/>
  <c r="F614" i="9"/>
  <c r="G614" i="4"/>
  <c r="F602" i="9"/>
  <c r="G602" i="4"/>
  <c r="F590" i="9"/>
  <c r="G590" i="4"/>
  <c r="F578" i="9"/>
  <c r="G578" i="4"/>
  <c r="F566" i="9"/>
  <c r="G566" i="4"/>
  <c r="F554" i="9"/>
  <c r="G554" i="4"/>
  <c r="F542" i="9"/>
  <c r="G542" i="4"/>
  <c r="F530" i="9"/>
  <c r="G530" i="4"/>
  <c r="F518" i="9"/>
  <c r="G518" i="4"/>
  <c r="F506" i="9"/>
  <c r="G506" i="4"/>
  <c r="F494" i="9"/>
  <c r="G494" i="4"/>
  <c r="F482" i="9"/>
  <c r="G482" i="4"/>
  <c r="F470" i="9"/>
  <c r="G470" i="4"/>
  <c r="F458" i="9"/>
  <c r="G458" i="4"/>
  <c r="F446" i="9"/>
  <c r="G446" i="4"/>
  <c r="F434" i="9"/>
  <c r="G434" i="4"/>
  <c r="F422" i="9"/>
  <c r="G422" i="4"/>
  <c r="F410" i="9"/>
  <c r="G410" i="4"/>
  <c r="F398" i="9"/>
  <c r="G398" i="4"/>
  <c r="F386" i="9"/>
  <c r="G386" i="4"/>
  <c r="F374" i="9"/>
  <c r="G374" i="4"/>
  <c r="F362" i="9"/>
  <c r="G362" i="4"/>
  <c r="F350" i="9"/>
  <c r="G350" i="4"/>
  <c r="F338" i="9"/>
  <c r="G338" i="4"/>
  <c r="F326" i="9"/>
  <c r="G326" i="4"/>
  <c r="F314" i="9"/>
  <c r="G314" i="4"/>
  <c r="F302" i="9"/>
  <c r="G302" i="4"/>
  <c r="F290" i="9"/>
  <c r="G290" i="4"/>
  <c r="F278" i="9"/>
  <c r="G278" i="4"/>
  <c r="F266" i="9"/>
  <c r="G266" i="4"/>
  <c r="F254" i="9"/>
  <c r="G254" i="4"/>
  <c r="F242" i="9"/>
  <c r="G242" i="4"/>
  <c r="F230" i="9"/>
  <c r="G230" i="4"/>
  <c r="F218" i="9"/>
  <c r="G218" i="4"/>
  <c r="F206" i="9"/>
  <c r="G206" i="4"/>
  <c r="F194" i="9"/>
  <c r="G194" i="4"/>
  <c r="F182" i="9"/>
  <c r="G182" i="4"/>
  <c r="F170" i="9"/>
  <c r="G170" i="4"/>
  <c r="F158" i="9"/>
  <c r="G158" i="4"/>
  <c r="F146" i="9"/>
  <c r="G146" i="4"/>
  <c r="F134" i="9"/>
  <c r="G134" i="4"/>
  <c r="F122" i="9"/>
  <c r="G122" i="4"/>
  <c r="F110" i="9"/>
  <c r="G110" i="4"/>
  <c r="F98" i="9"/>
  <c r="G98" i="4"/>
  <c r="F86" i="9"/>
  <c r="G86" i="4"/>
  <c r="F74" i="9"/>
  <c r="G74" i="4"/>
  <c r="F62" i="9"/>
  <c r="G62" i="4"/>
  <c r="F50" i="9"/>
  <c r="G50" i="4"/>
  <c r="G114" i="4"/>
  <c r="G92" i="4"/>
  <c r="G57" i="4"/>
  <c r="F85" i="9"/>
  <c r="G85" i="4"/>
  <c r="H670" i="2"/>
  <c r="G670" i="2" s="1"/>
  <c r="G304" i="4"/>
  <c r="G283" i="4"/>
  <c r="G184" i="4"/>
  <c r="G141" i="4"/>
  <c r="G78" i="4"/>
  <c r="G70" i="4"/>
  <c r="G49" i="4"/>
  <c r="G247" i="4"/>
  <c r="G127" i="4"/>
  <c r="G105" i="4"/>
  <c r="G91" i="4"/>
  <c r="G56" i="4"/>
  <c r="F323" i="9"/>
  <c r="G323" i="4"/>
  <c r="F311" i="9"/>
  <c r="G311" i="4"/>
  <c r="F299" i="9"/>
  <c r="G299" i="4"/>
  <c r="F287" i="9"/>
  <c r="G287" i="4"/>
  <c r="F275" i="9"/>
  <c r="G275" i="4"/>
  <c r="F263" i="9"/>
  <c r="G263" i="4"/>
  <c r="F251" i="9"/>
  <c r="G251" i="4"/>
  <c r="F239" i="9"/>
  <c r="G239" i="4"/>
  <c r="F227" i="9"/>
  <c r="G227" i="4"/>
  <c r="F215" i="9"/>
  <c r="G215" i="4"/>
  <c r="F203" i="9"/>
  <c r="G203" i="4"/>
  <c r="F191" i="9"/>
  <c r="G191" i="4"/>
  <c r="F179" i="9"/>
  <c r="G179" i="4"/>
  <c r="F167" i="9"/>
  <c r="G167" i="4"/>
  <c r="F155" i="9"/>
  <c r="G155" i="4"/>
  <c r="F143" i="9"/>
  <c r="G143" i="4"/>
  <c r="F131" i="9"/>
  <c r="G131" i="4"/>
  <c r="F119" i="9"/>
  <c r="G119" i="4"/>
  <c r="F107" i="9"/>
  <c r="G107" i="4"/>
  <c r="F95" i="9"/>
  <c r="G95" i="4"/>
  <c r="F83" i="9"/>
  <c r="G83" i="4"/>
  <c r="F71" i="9"/>
  <c r="G71" i="4"/>
  <c r="F59" i="9"/>
  <c r="G59" i="4"/>
  <c r="H586" i="2"/>
  <c r="G586" i="2" s="1"/>
  <c r="H454" i="2"/>
  <c r="G454" i="2" s="1"/>
  <c r="G232" i="4"/>
  <c r="G211" i="4"/>
  <c r="G112" i="4"/>
  <c r="G69" i="4"/>
  <c r="G37" i="4"/>
  <c r="G175" i="4"/>
  <c r="G104" i="4"/>
  <c r="G90" i="4"/>
  <c r="G55" i="4"/>
  <c r="G316" i="4"/>
  <c r="G295" i="4"/>
  <c r="G160" i="4"/>
  <c r="G139" i="4"/>
  <c r="G82" i="4"/>
  <c r="G68" i="4"/>
  <c r="G61" i="4"/>
  <c r="G280" i="4"/>
  <c r="G259" i="4"/>
  <c r="G117" i="4"/>
  <c r="G103" i="4"/>
  <c r="G54" i="4"/>
  <c r="G35" i="4"/>
  <c r="H550" i="2"/>
  <c r="G550" i="2" s="1"/>
  <c r="H298" i="2"/>
  <c r="G298" i="2" s="1"/>
  <c r="G244" i="4"/>
  <c r="G223" i="4"/>
  <c r="G88" i="4"/>
  <c r="G81" i="4"/>
  <c r="G67" i="4"/>
  <c r="H418" i="2"/>
  <c r="G418" i="2" s="1"/>
  <c r="G307" i="4"/>
  <c r="G208" i="4"/>
  <c r="G187" i="4"/>
  <c r="G102" i="4"/>
  <c r="G94" i="4"/>
  <c r="G172" i="4"/>
  <c r="G151" i="4"/>
  <c r="G80" i="4"/>
  <c r="G73" i="4"/>
  <c r="G66" i="4"/>
  <c r="G42" i="4"/>
  <c r="F292" i="9"/>
  <c r="G292" i="4"/>
  <c r="F268" i="9"/>
  <c r="G268" i="4"/>
  <c r="F220" i="9"/>
  <c r="G220" i="4"/>
  <c r="F196" i="9"/>
  <c r="G196" i="4"/>
  <c r="F148" i="9"/>
  <c r="G148" i="4"/>
  <c r="F124" i="9"/>
  <c r="G124" i="4"/>
  <c r="F76" i="9"/>
  <c r="G76" i="4"/>
  <c r="F52" i="9"/>
  <c r="G52" i="4"/>
  <c r="G271" i="4"/>
  <c r="G235" i="4"/>
  <c r="G136" i="4"/>
  <c r="G129" i="4"/>
  <c r="G115" i="4"/>
  <c r="G93" i="4"/>
  <c r="G58" i="4"/>
  <c r="G32" i="4"/>
  <c r="G256" i="4"/>
  <c r="G100" i="4"/>
  <c r="G79" i="4"/>
  <c r="F48" i="9"/>
  <c r="G41" i="4"/>
  <c r="F47" i="9"/>
  <c r="F46" i="9"/>
  <c r="G40" i="4"/>
  <c r="G45" i="4"/>
  <c r="G44" i="4"/>
  <c r="G43" i="4"/>
  <c r="G39" i="4"/>
  <c r="G38" i="4"/>
  <c r="B721" i="9"/>
  <c r="B673" i="9"/>
  <c r="B625" i="9"/>
  <c r="B469" i="9"/>
  <c r="C925" i="2"/>
  <c r="C859" i="1"/>
  <c r="B985" i="3"/>
  <c r="B949" i="9"/>
  <c r="B949" i="3"/>
  <c r="B937" i="9"/>
  <c r="C877" i="2"/>
  <c r="B877" i="3"/>
  <c r="B865" i="3"/>
  <c r="C841" i="2"/>
  <c r="B841" i="3"/>
  <c r="B817" i="3"/>
  <c r="B817" i="9"/>
  <c r="E817" i="9" s="1"/>
  <c r="C805" i="2"/>
  <c r="B805" i="3"/>
  <c r="C769" i="2"/>
  <c r="C644" i="1"/>
  <c r="B769" i="3"/>
  <c r="B733" i="9"/>
  <c r="B733" i="3"/>
  <c r="C571" i="1"/>
  <c r="B697" i="9"/>
  <c r="B697" i="3"/>
  <c r="C685" i="2"/>
  <c r="B685" i="9"/>
  <c r="C548" i="1"/>
  <c r="B673" i="3"/>
  <c r="B661" i="3"/>
  <c r="C613" i="2"/>
  <c r="B613" i="9"/>
  <c r="B601" i="3"/>
  <c r="B601" i="9"/>
  <c r="C601" i="2"/>
  <c r="C464" i="1"/>
  <c r="B589" i="9"/>
  <c r="C565" i="2"/>
  <c r="B565" i="3"/>
  <c r="B553" i="9"/>
  <c r="C553" i="2"/>
  <c r="C529" i="2"/>
  <c r="B529" i="3"/>
  <c r="B529" i="9"/>
  <c r="C493" i="2"/>
  <c r="B481" i="3"/>
  <c r="C295" i="1"/>
  <c r="C421" i="2"/>
  <c r="B421" i="3"/>
  <c r="C373" i="2"/>
  <c r="B373" i="9"/>
  <c r="C223" i="1"/>
  <c r="B349" i="9"/>
  <c r="C337" i="2"/>
  <c r="B337" i="3"/>
  <c r="B337" i="9"/>
  <c r="E337" i="9" s="1"/>
  <c r="B325" i="3"/>
  <c r="C277" i="2"/>
  <c r="B229" i="3"/>
  <c r="B229" i="9"/>
  <c r="B217" i="9"/>
  <c r="B217" i="3"/>
  <c r="C426" i="1"/>
  <c r="B552" i="3"/>
  <c r="C552" i="2"/>
  <c r="B205" i="9"/>
  <c r="C810" i="1"/>
  <c r="C811" i="1"/>
  <c r="C936" i="2"/>
  <c r="B936" i="9"/>
  <c r="C618" i="1"/>
  <c r="C744" i="2"/>
  <c r="B744" i="9"/>
  <c r="B600" i="3"/>
  <c r="B600" i="9"/>
  <c r="E600" i="9" s="1"/>
  <c r="C462" i="1"/>
  <c r="C588" i="2"/>
  <c r="B588" i="3"/>
  <c r="B588" i="9"/>
  <c r="B528" i="3"/>
  <c r="B528" i="9"/>
  <c r="C318" i="1"/>
  <c r="C444" i="2"/>
  <c r="B444" i="9"/>
  <c r="C294" i="1"/>
  <c r="C420" i="2"/>
  <c r="B420" i="9"/>
  <c r="C282" i="1"/>
  <c r="C348" i="2"/>
  <c r="B348" i="9"/>
  <c r="B204" i="9"/>
  <c r="B672" i="3"/>
  <c r="B228" i="9"/>
  <c r="E228" i="9" s="1"/>
  <c r="B973" i="3"/>
  <c r="P687" i="1"/>
  <c r="P603" i="1"/>
  <c r="P543" i="1"/>
  <c r="P483" i="1"/>
  <c r="P339" i="1"/>
  <c r="P171" i="1"/>
  <c r="C701" i="1"/>
  <c r="C826" i="2"/>
  <c r="B826" i="3"/>
  <c r="C653" i="1"/>
  <c r="C580" i="1"/>
  <c r="C706" i="2"/>
  <c r="C658" i="2"/>
  <c r="B658" i="3"/>
  <c r="C472" i="1"/>
  <c r="B598" i="3"/>
  <c r="C598" i="2"/>
  <c r="C388" i="1"/>
  <c r="C389" i="1"/>
  <c r="B514" i="9"/>
  <c r="E514" i="9" s="1"/>
  <c r="C340" i="1"/>
  <c r="C466" i="2"/>
  <c r="C292" i="1"/>
  <c r="C418" i="2"/>
  <c r="B418" i="3"/>
  <c r="B418" i="9"/>
  <c r="C244" i="1"/>
  <c r="C245" i="1"/>
  <c r="C370" i="2"/>
  <c r="C173" i="1"/>
  <c r="C298" i="2"/>
  <c r="B298" i="9"/>
  <c r="E298" i="9" s="1"/>
  <c r="B190" i="9"/>
  <c r="B277" i="3"/>
  <c r="C582" i="1"/>
  <c r="C707" i="2"/>
  <c r="C377" i="1"/>
  <c r="B503" i="9"/>
  <c r="B241" i="9"/>
  <c r="E241" i="9" s="1"/>
  <c r="P663" i="1"/>
  <c r="P591" i="1"/>
  <c r="P531" i="1"/>
  <c r="P435" i="1"/>
  <c r="P267" i="1"/>
  <c r="P207" i="1"/>
  <c r="P123" i="1"/>
  <c r="C982" i="2"/>
  <c r="B982" i="3"/>
  <c r="C922" i="2"/>
  <c r="B922" i="9"/>
  <c r="E922" i="9" s="1"/>
  <c r="C850" i="2"/>
  <c r="C616" i="1"/>
  <c r="C742" i="2"/>
  <c r="B574" i="9"/>
  <c r="C574" i="2"/>
  <c r="C400" i="1"/>
  <c r="B526" i="3"/>
  <c r="C365" i="1"/>
  <c r="B490" i="3"/>
  <c r="B490" i="9"/>
  <c r="C304" i="1"/>
  <c r="B430" i="9"/>
  <c r="C268" i="1"/>
  <c r="C394" i="2"/>
  <c r="B394" i="3"/>
  <c r="C220" i="1"/>
  <c r="C346" i="2"/>
  <c r="B346" i="3"/>
  <c r="B214" i="3"/>
  <c r="B767" i="9"/>
  <c r="E767" i="9" s="1"/>
  <c r="C300" i="2"/>
  <c r="H999" i="2"/>
  <c r="G999" i="2" s="1"/>
  <c r="C675" i="1"/>
  <c r="C676" i="1"/>
  <c r="B801" i="3"/>
  <c r="B801" i="9"/>
  <c r="C591" i="1"/>
  <c r="C435" i="1"/>
  <c r="B561" i="3"/>
  <c r="B561" i="9"/>
  <c r="B972" i="9"/>
  <c r="B958" i="9"/>
  <c r="B900" i="9"/>
  <c r="B865" i="9"/>
  <c r="E865" i="9" s="1"/>
  <c r="B781" i="9"/>
  <c r="E781" i="9" s="1"/>
  <c r="B731" i="9"/>
  <c r="E731" i="9" s="1"/>
  <c r="B681" i="9"/>
  <c r="B970" i="3"/>
  <c r="B922" i="3"/>
  <c r="B708" i="3"/>
  <c r="B538" i="3"/>
  <c r="B408" i="3"/>
  <c r="B298" i="3"/>
  <c r="B276" i="3"/>
  <c r="C853" i="2"/>
  <c r="C801" i="2"/>
  <c r="C779" i="2"/>
  <c r="C222" i="1"/>
  <c r="B969" i="3"/>
  <c r="C844" i="1"/>
  <c r="C795" i="1"/>
  <c r="B921" i="9"/>
  <c r="C735" i="1"/>
  <c r="B861" i="9"/>
  <c r="C663" i="1"/>
  <c r="B789" i="9"/>
  <c r="B789" i="3"/>
  <c r="C567" i="1"/>
  <c r="B693" i="3"/>
  <c r="C423" i="1"/>
  <c r="C261" i="2"/>
  <c r="B780" i="9"/>
  <c r="B921" i="3"/>
  <c r="B901" i="3"/>
  <c r="B816" i="3"/>
  <c r="B706" i="3"/>
  <c r="B537" i="3"/>
  <c r="B517" i="3"/>
  <c r="B433" i="3"/>
  <c r="B405" i="3"/>
  <c r="B385" i="3"/>
  <c r="B274" i="3"/>
  <c r="C874" i="2"/>
  <c r="C778" i="2"/>
  <c r="C730" i="2"/>
  <c r="C648" i="2"/>
  <c r="C409" i="2"/>
  <c r="C428" i="1"/>
  <c r="C221" i="1"/>
  <c r="E692" i="9"/>
  <c r="B552" i="9"/>
  <c r="E552" i="9" s="1"/>
  <c r="B193" i="3"/>
  <c r="B193" i="9"/>
  <c r="B409" i="9"/>
  <c r="C240" i="2"/>
  <c r="B961" i="9"/>
  <c r="B888" i="9"/>
  <c r="B805" i="9"/>
  <c r="B769" i="9"/>
  <c r="B349" i="3"/>
  <c r="C869" i="1"/>
  <c r="C995" i="2"/>
  <c r="B995" i="9"/>
  <c r="C857" i="1"/>
  <c r="C983" i="2"/>
  <c r="C858" i="1"/>
  <c r="C821" i="1"/>
  <c r="C947" i="2"/>
  <c r="C797" i="1"/>
  <c r="B923" i="9"/>
  <c r="C773" i="1"/>
  <c r="C899" i="2"/>
  <c r="C749" i="1"/>
  <c r="B875" i="9"/>
  <c r="C557" i="1"/>
  <c r="B683" i="9"/>
  <c r="C485" i="1"/>
  <c r="C486" i="1"/>
  <c r="C473" i="1"/>
  <c r="B599" i="9"/>
  <c r="E599" i="9" s="1"/>
  <c r="C437" i="1"/>
  <c r="C438" i="1"/>
  <c r="C413" i="1"/>
  <c r="B539" i="9"/>
  <c r="C209" i="1"/>
  <c r="C210" i="1"/>
  <c r="B335" i="9"/>
  <c r="C185" i="1"/>
  <c r="B311" i="9"/>
  <c r="B191" i="9"/>
  <c r="B313" i="9"/>
  <c r="B479" i="9"/>
  <c r="C937" i="2"/>
  <c r="P821" i="1"/>
  <c r="P675" i="1"/>
  <c r="P579" i="1"/>
  <c r="P507" i="1"/>
  <c r="P459" i="1"/>
  <c r="P411" i="1"/>
  <c r="P303" i="1"/>
  <c r="P243" i="1"/>
  <c r="C994" i="2"/>
  <c r="B994" i="9"/>
  <c r="C946" i="2"/>
  <c r="B946" i="3"/>
  <c r="C736" i="1"/>
  <c r="C862" i="2"/>
  <c r="B862" i="9"/>
  <c r="E862" i="9" s="1"/>
  <c r="C628" i="1"/>
  <c r="C629" i="1"/>
  <c r="C568" i="1"/>
  <c r="B694" i="3"/>
  <c r="C634" i="2"/>
  <c r="B634" i="3"/>
  <c r="C328" i="1"/>
  <c r="B454" i="3"/>
  <c r="C208" i="1"/>
  <c r="B334" i="9"/>
  <c r="E334" i="9" s="1"/>
  <c r="C310" i="2"/>
  <c r="B310" i="3"/>
  <c r="B310" i="9"/>
  <c r="B286" i="3"/>
  <c r="B262" i="3"/>
  <c r="C262" i="2"/>
  <c r="B253" i="9"/>
  <c r="E253" i="9" s="1"/>
  <c r="B973" i="9"/>
  <c r="B901" i="9"/>
  <c r="B682" i="9"/>
  <c r="C958" i="2"/>
  <c r="C755" i="2"/>
  <c r="C541" i="2"/>
  <c r="C867" i="1"/>
  <c r="B993" i="9"/>
  <c r="E993" i="9" s="1"/>
  <c r="C993" i="2"/>
  <c r="C831" i="1"/>
  <c r="C957" i="2"/>
  <c r="C832" i="1"/>
  <c r="C783" i="1"/>
  <c r="C784" i="1"/>
  <c r="C909" i="2"/>
  <c r="B909" i="3"/>
  <c r="B909" i="9"/>
  <c r="C699" i="1"/>
  <c r="C700" i="1"/>
  <c r="C825" i="2"/>
  <c r="B825" i="3"/>
  <c r="C579" i="1"/>
  <c r="C705" i="2"/>
  <c r="C519" i="1"/>
  <c r="C645" i="2"/>
  <c r="C483" i="1"/>
  <c r="C609" i="2"/>
  <c r="B513" i="9"/>
  <c r="E513" i="9" s="1"/>
  <c r="B513" i="3"/>
  <c r="C375" i="1"/>
  <c r="C501" i="2"/>
  <c r="B501" i="9"/>
  <c r="C363" i="1"/>
  <c r="B489" i="3"/>
  <c r="B489" i="9"/>
  <c r="C351" i="1"/>
  <c r="B477" i="9"/>
  <c r="C339" i="1"/>
  <c r="C327" i="1"/>
  <c r="C453" i="2"/>
  <c r="C267" i="1"/>
  <c r="C393" i="2"/>
  <c r="C171" i="1"/>
  <c r="C297" i="2"/>
  <c r="B297" i="9"/>
  <c r="B177" i="9"/>
  <c r="B225" i="9"/>
  <c r="B277" i="9"/>
  <c r="B251" i="9"/>
  <c r="B238" i="9"/>
  <c r="B971" i="9"/>
  <c r="E971" i="9" s="1"/>
  <c r="B957" i="9"/>
  <c r="E957" i="9" s="1"/>
  <c r="B899" i="9"/>
  <c r="B659" i="9"/>
  <c r="B526" i="9"/>
  <c r="B491" i="9"/>
  <c r="B276" i="9"/>
  <c r="B263" i="9"/>
  <c r="B250" i="9"/>
  <c r="B237" i="9"/>
  <c r="B169" i="9"/>
  <c r="B985" i="9"/>
  <c r="B970" i="9"/>
  <c r="E970" i="9" s="1"/>
  <c r="B898" i="9"/>
  <c r="B695" i="9"/>
  <c r="B658" i="9"/>
  <c r="B598" i="9"/>
  <c r="E598" i="9" s="1"/>
  <c r="B814" i="3"/>
  <c r="B792" i="3"/>
  <c r="B705" i="3"/>
  <c r="B685" i="3"/>
  <c r="B576" i="3"/>
  <c r="B514" i="3"/>
  <c r="B430" i="3"/>
  <c r="B273" i="3"/>
  <c r="C873" i="2"/>
  <c r="C408" i="2"/>
  <c r="B228" i="3"/>
  <c r="B481" i="9"/>
  <c r="B889" i="3"/>
  <c r="C241" i="2"/>
  <c r="C846" i="1"/>
  <c r="C972" i="2"/>
  <c r="C690" i="1"/>
  <c r="B816" i="9"/>
  <c r="B804" i="3"/>
  <c r="B804" i="9"/>
  <c r="E804" i="9" s="1"/>
  <c r="C643" i="1"/>
  <c r="B768" i="3"/>
  <c r="C558" i="1"/>
  <c r="B684" i="3"/>
  <c r="C684" i="2"/>
  <c r="B684" i="9"/>
  <c r="C564" i="2"/>
  <c r="C439" i="1"/>
  <c r="C258" i="1"/>
  <c r="C259" i="1"/>
  <c r="C234" i="1"/>
  <c r="B360" i="9"/>
  <c r="B360" i="3"/>
  <c r="C211" i="1"/>
  <c r="B336" i="9"/>
  <c r="E336" i="9" s="1"/>
  <c r="B324" i="9"/>
  <c r="B324" i="3"/>
  <c r="C264" i="2"/>
  <c r="B757" i="3"/>
  <c r="C360" i="2"/>
  <c r="C785" i="1"/>
  <c r="C911" i="2"/>
  <c r="C737" i="1"/>
  <c r="C863" i="2"/>
  <c r="C41" i="1"/>
  <c r="B167" i="9"/>
  <c r="C716" i="1"/>
  <c r="B960" i="9"/>
  <c r="C959" i="2"/>
  <c r="C733" i="2"/>
  <c r="P711" i="1"/>
  <c r="P651" i="1"/>
  <c r="P555" i="1"/>
  <c r="P495" i="1"/>
  <c r="P399" i="1"/>
  <c r="P363" i="1"/>
  <c r="P315" i="1"/>
  <c r="P255" i="1"/>
  <c r="P195" i="1"/>
  <c r="C910" i="2"/>
  <c r="B910" i="3"/>
  <c r="B910" i="9"/>
  <c r="E910" i="9" s="1"/>
  <c r="C838" i="2"/>
  <c r="B838" i="3"/>
  <c r="C664" i="1"/>
  <c r="B790" i="9"/>
  <c r="C592" i="1"/>
  <c r="C593" i="1"/>
  <c r="C544" i="1"/>
  <c r="C545" i="1"/>
  <c r="C670" i="2"/>
  <c r="B670" i="9"/>
  <c r="E670" i="9" s="1"/>
  <c r="C496" i="1"/>
  <c r="C622" i="2"/>
  <c r="B622" i="3"/>
  <c r="C436" i="1"/>
  <c r="B562" i="3"/>
  <c r="B562" i="9"/>
  <c r="C256" i="1"/>
  <c r="C257" i="1"/>
  <c r="B382" i="3"/>
  <c r="C40" i="1"/>
  <c r="B166" i="9"/>
  <c r="E166" i="9" s="1"/>
  <c r="B406" i="9"/>
  <c r="E406" i="9" s="1"/>
  <c r="B312" i="9"/>
  <c r="E312" i="9" s="1"/>
  <c r="B959" i="9"/>
  <c r="B754" i="3"/>
  <c r="C985" i="2"/>
  <c r="C780" i="2"/>
  <c r="C384" i="2"/>
  <c r="H951" i="2"/>
  <c r="G951" i="2" s="1"/>
  <c r="P266" i="1"/>
  <c r="C819" i="1"/>
  <c r="B945" i="3"/>
  <c r="C771" i="1"/>
  <c r="C772" i="1"/>
  <c r="C897" i="2"/>
  <c r="B897" i="3"/>
  <c r="C723" i="1"/>
  <c r="C724" i="1"/>
  <c r="B849" i="3"/>
  <c r="C849" i="2"/>
  <c r="C687" i="1"/>
  <c r="C688" i="1"/>
  <c r="C651" i="1"/>
  <c r="C777" i="2"/>
  <c r="C652" i="1"/>
  <c r="B777" i="9"/>
  <c r="C627" i="1"/>
  <c r="B753" i="3"/>
  <c r="C603" i="1"/>
  <c r="B729" i="3"/>
  <c r="B729" i="9"/>
  <c r="E729" i="9" s="1"/>
  <c r="C729" i="2"/>
  <c r="C543" i="1"/>
  <c r="C669" i="2"/>
  <c r="B669" i="9"/>
  <c r="C471" i="1"/>
  <c r="C597" i="2"/>
  <c r="C303" i="1"/>
  <c r="B429" i="3"/>
  <c r="C279" i="1"/>
  <c r="C405" i="2"/>
  <c r="C255" i="1"/>
  <c r="B381" i="3"/>
  <c r="C243" i="1"/>
  <c r="C369" i="2"/>
  <c r="C219" i="1"/>
  <c r="B345" i="3"/>
  <c r="C195" i="1"/>
  <c r="B321" i="3"/>
  <c r="B321" i="9"/>
  <c r="C285" i="2"/>
  <c r="B285" i="3"/>
  <c r="B285" i="9"/>
  <c r="E285" i="9" s="1"/>
  <c r="B213" i="3"/>
  <c r="C39" i="1"/>
  <c r="B165" i="9"/>
  <c r="B346" i="9"/>
  <c r="B252" i="9"/>
  <c r="B189" i="9"/>
  <c r="B168" i="9"/>
  <c r="E168" i="9" s="1"/>
  <c r="E426" i="9"/>
  <c r="E438" i="9"/>
  <c r="E449" i="9"/>
  <c r="E593" i="9"/>
  <c r="B983" i="9"/>
  <c r="B969" i="9"/>
  <c r="E969" i="9" s="1"/>
  <c r="B913" i="9"/>
  <c r="B897" i="9"/>
  <c r="B814" i="9"/>
  <c r="B793" i="9"/>
  <c r="B778" i="9"/>
  <c r="B694" i="9"/>
  <c r="B597" i="9"/>
  <c r="B505" i="9"/>
  <c r="B457" i="9"/>
  <c r="B442" i="9"/>
  <c r="B898" i="3"/>
  <c r="B813" i="3"/>
  <c r="B790" i="3"/>
  <c r="B574" i="3"/>
  <c r="B553" i="3"/>
  <c r="B469" i="3"/>
  <c r="B357" i="3"/>
  <c r="C610" i="2"/>
  <c r="C526" i="2"/>
  <c r="C490" i="2"/>
  <c r="C250" i="2"/>
  <c r="C512" i="1"/>
  <c r="C320" i="1"/>
  <c r="B707" i="9"/>
  <c r="E707" i="9" s="1"/>
  <c r="B649" i="9"/>
  <c r="B996" i="3"/>
  <c r="B948" i="9"/>
  <c r="E948" i="9" s="1"/>
  <c r="B948" i="3"/>
  <c r="B924" i="3"/>
  <c r="B924" i="9"/>
  <c r="E924" i="9" s="1"/>
  <c r="C786" i="1"/>
  <c r="B912" i="3"/>
  <c r="C912" i="2"/>
  <c r="C876" i="2"/>
  <c r="B876" i="3"/>
  <c r="C666" i="1"/>
  <c r="C792" i="2"/>
  <c r="C607" i="1"/>
  <c r="B732" i="3"/>
  <c r="B660" i="3"/>
  <c r="C660" i="2"/>
  <c r="C522" i="1"/>
  <c r="C612" i="2"/>
  <c r="C487" i="1"/>
  <c r="C414" i="1"/>
  <c r="C540" i="2"/>
  <c r="B516" i="3"/>
  <c r="B516" i="9"/>
  <c r="E516" i="9" s="1"/>
  <c r="C504" i="2"/>
  <c r="B492" i="3"/>
  <c r="B480" i="3"/>
  <c r="C330" i="1"/>
  <c r="B456" i="3"/>
  <c r="B216" i="9"/>
  <c r="B216" i="3"/>
  <c r="B408" i="9"/>
  <c r="E408" i="9" s="1"/>
  <c r="B480" i="9"/>
  <c r="B888" i="3"/>
  <c r="B648" i="3"/>
  <c r="C809" i="1"/>
  <c r="B935" i="9"/>
  <c r="C761" i="1"/>
  <c r="C887" i="2"/>
  <c r="C677" i="1"/>
  <c r="C803" i="2"/>
  <c r="B803" i="9"/>
  <c r="E803" i="9" s="1"/>
  <c r="C665" i="1"/>
  <c r="C791" i="2"/>
  <c r="C617" i="1"/>
  <c r="C743" i="2"/>
  <c r="B743" i="9"/>
  <c r="C461" i="1"/>
  <c r="B587" i="9"/>
  <c r="C305" i="1"/>
  <c r="B431" i="9"/>
  <c r="C293" i="1"/>
  <c r="B419" i="9"/>
  <c r="E419" i="9" s="1"/>
  <c r="C197" i="1"/>
  <c r="B323" i="9"/>
  <c r="E323" i="9" s="1"/>
  <c r="B407" i="9"/>
  <c r="B647" i="9"/>
  <c r="B756" i="3"/>
  <c r="B541" i="3"/>
  <c r="B348" i="3"/>
  <c r="C301" i="2"/>
  <c r="P699" i="1"/>
  <c r="P639" i="1"/>
  <c r="P447" i="1"/>
  <c r="P387" i="1"/>
  <c r="P291" i="1"/>
  <c r="P219" i="1"/>
  <c r="C845" i="1"/>
  <c r="C970" i="2"/>
  <c r="C808" i="1"/>
  <c r="B934" i="3"/>
  <c r="B934" i="9"/>
  <c r="E934" i="9" s="1"/>
  <c r="B874" i="3"/>
  <c r="B874" i="9"/>
  <c r="C802" i="2"/>
  <c r="B802" i="9"/>
  <c r="E802" i="9" s="1"/>
  <c r="C640" i="1"/>
  <c r="B766" i="3"/>
  <c r="C766" i="2"/>
  <c r="B730" i="3"/>
  <c r="B730" i="9"/>
  <c r="E730" i="9" s="1"/>
  <c r="C556" i="1"/>
  <c r="C682" i="2"/>
  <c r="C520" i="1"/>
  <c r="C646" i="2"/>
  <c r="C460" i="1"/>
  <c r="B586" i="9"/>
  <c r="C424" i="1"/>
  <c r="C550" i="2"/>
  <c r="C502" i="2"/>
  <c r="B502" i="9"/>
  <c r="C478" i="2"/>
  <c r="C280" i="1"/>
  <c r="B406" i="3"/>
  <c r="C322" i="2"/>
  <c r="B322" i="3"/>
  <c r="B322" i="9"/>
  <c r="C238" i="2"/>
  <c r="B178" i="9"/>
  <c r="C715" i="1"/>
  <c r="C449" i="1"/>
  <c r="B240" i="9"/>
  <c r="B886" i="9"/>
  <c r="E886" i="9" s="1"/>
  <c r="B661" i="9"/>
  <c r="E661" i="9" s="1"/>
  <c r="B565" i="9"/>
  <c r="B493" i="9"/>
  <c r="B972" i="3"/>
  <c r="B409" i="3"/>
  <c r="C935" i="2"/>
  <c r="C589" i="2"/>
  <c r="C855" i="1"/>
  <c r="C856" i="1"/>
  <c r="B981" i="3"/>
  <c r="B981" i="9"/>
  <c r="E981" i="9" s="1"/>
  <c r="C807" i="1"/>
  <c r="C933" i="2"/>
  <c r="C759" i="1"/>
  <c r="B885" i="3"/>
  <c r="C760" i="1"/>
  <c r="C711" i="1"/>
  <c r="B837" i="3"/>
  <c r="C712" i="1"/>
  <c r="C639" i="1"/>
  <c r="B765" i="3"/>
  <c r="C765" i="2"/>
  <c r="C531" i="1"/>
  <c r="B657" i="3"/>
  <c r="B657" i="9"/>
  <c r="C507" i="1"/>
  <c r="C495" i="1"/>
  <c r="C621" i="2"/>
  <c r="B621" i="3"/>
  <c r="C459" i="1"/>
  <c r="C585" i="2"/>
  <c r="B585" i="3"/>
  <c r="C447" i="1"/>
  <c r="B573" i="9"/>
  <c r="E573" i="9" s="1"/>
  <c r="C399" i="1"/>
  <c r="C525" i="2"/>
  <c r="B525" i="9"/>
  <c r="C291" i="1"/>
  <c r="B417" i="3"/>
  <c r="C183" i="1"/>
  <c r="B309" i="9"/>
  <c r="C796" i="1"/>
  <c r="B265" i="9"/>
  <c r="B417" i="9"/>
  <c r="E417" i="9" s="1"/>
  <c r="B345" i="9"/>
  <c r="B264" i="9"/>
  <c r="B359" i="9"/>
  <c r="E359" i="9" s="1"/>
  <c r="B325" i="9"/>
  <c r="B289" i="9"/>
  <c r="B275" i="9"/>
  <c r="B262" i="9"/>
  <c r="B249" i="9"/>
  <c r="E249" i="9" s="1"/>
  <c r="B358" i="9"/>
  <c r="E358" i="9" s="1"/>
  <c r="B288" i="9"/>
  <c r="B274" i="9"/>
  <c r="B261" i="9"/>
  <c r="E221" i="9"/>
  <c r="B202" i="9"/>
  <c r="E534" i="9"/>
  <c r="E582" i="9"/>
  <c r="E594" i="9"/>
  <c r="E606" i="9"/>
  <c r="E857" i="9"/>
  <c r="B982" i="9"/>
  <c r="B912" i="9"/>
  <c r="E912" i="9" s="1"/>
  <c r="B813" i="9"/>
  <c r="B792" i="9"/>
  <c r="B693" i="9"/>
  <c r="B504" i="9"/>
  <c r="B456" i="9"/>
  <c r="B441" i="9"/>
  <c r="E441" i="9" s="1"/>
  <c r="B873" i="3"/>
  <c r="B745" i="3"/>
  <c r="B718" i="3"/>
  <c r="B681" i="3"/>
  <c r="B633" i="3"/>
  <c r="B573" i="3"/>
  <c r="B550" i="3"/>
  <c r="B468" i="3"/>
  <c r="B336" i="3"/>
  <c r="B309" i="3"/>
  <c r="C549" i="2"/>
  <c r="C489" i="2"/>
  <c r="C457" i="2"/>
  <c r="C499" i="1"/>
  <c r="C401" i="1"/>
  <c r="C317" i="1"/>
  <c r="E753" i="9"/>
  <c r="B806" i="3"/>
  <c r="C891" i="2"/>
  <c r="C423" i="2"/>
  <c r="H370" i="2"/>
  <c r="G370" i="2" s="1"/>
  <c r="C765" i="1"/>
  <c r="C334" i="1"/>
  <c r="B19" i="9"/>
  <c r="C807" i="2"/>
  <c r="C682" i="1"/>
  <c r="C627" i="2"/>
  <c r="C502" i="1"/>
  <c r="B591" i="3"/>
  <c r="C466" i="1"/>
  <c r="B567" i="3"/>
  <c r="C567" i="2"/>
  <c r="B567" i="9"/>
  <c r="E567" i="9" s="1"/>
  <c r="B555" i="3"/>
  <c r="C430" i="1"/>
  <c r="B543" i="3"/>
  <c r="C418" i="1"/>
  <c r="B531" i="3"/>
  <c r="C531" i="2"/>
  <c r="B519" i="3"/>
  <c r="C519" i="2"/>
  <c r="B471" i="3"/>
  <c r="C471" i="2"/>
  <c r="B447" i="3"/>
  <c r="C322" i="1"/>
  <c r="B411" i="3"/>
  <c r="C286" i="1"/>
  <c r="B375" i="3"/>
  <c r="C375" i="2"/>
  <c r="B303" i="3"/>
  <c r="C178" i="1"/>
  <c r="B255" i="3"/>
  <c r="C255" i="2"/>
  <c r="B243" i="3"/>
  <c r="C243" i="2"/>
  <c r="C912" i="1"/>
  <c r="C406" i="1"/>
  <c r="P571" i="1"/>
  <c r="H694" i="2"/>
  <c r="G694" i="2" s="1"/>
  <c r="P451" i="1"/>
  <c r="H574" i="2"/>
  <c r="G574" i="2" s="1"/>
  <c r="P319" i="1"/>
  <c r="H442" i="2"/>
  <c r="G442" i="2" s="1"/>
  <c r="P942" i="1"/>
  <c r="H46" i="2"/>
  <c r="G46" i="2" s="1"/>
  <c r="C872" i="1"/>
  <c r="C861" i="1"/>
  <c r="C813" i="1"/>
  <c r="C800" i="1"/>
  <c r="C801" i="1"/>
  <c r="C788" i="1"/>
  <c r="C789" i="1"/>
  <c r="B866" i="3"/>
  <c r="C741" i="1"/>
  <c r="C728" i="1"/>
  <c r="C842" i="2"/>
  <c r="C717" i="1"/>
  <c r="C692" i="1"/>
  <c r="C680" i="1"/>
  <c r="C681" i="1"/>
  <c r="C668" i="1"/>
  <c r="C656" i="1"/>
  <c r="C645" i="1"/>
  <c r="C758" i="2"/>
  <c r="C633" i="1"/>
  <c r="B746" i="3"/>
  <c r="C746" i="2"/>
  <c r="C608" i="1"/>
  <c r="C609" i="1"/>
  <c r="B734" i="3"/>
  <c r="C572" i="1"/>
  <c r="C573" i="1"/>
  <c r="C560" i="1"/>
  <c r="B662" i="9"/>
  <c r="C537" i="1"/>
  <c r="C626" i="2"/>
  <c r="C501" i="1"/>
  <c r="C488" i="1"/>
  <c r="B602" i="3"/>
  <c r="C477" i="1"/>
  <c r="C602" i="2"/>
  <c r="C441" i="1"/>
  <c r="B554" i="9"/>
  <c r="C429" i="1"/>
  <c r="C416" i="1"/>
  <c r="C417" i="1"/>
  <c r="B494" i="3"/>
  <c r="C369" i="1"/>
  <c r="C356" i="1"/>
  <c r="C357" i="1"/>
  <c r="B458" i="9"/>
  <c r="C458" i="2"/>
  <c r="C434" i="2"/>
  <c r="C309" i="1"/>
  <c r="C296" i="1"/>
  <c r="C297" i="1"/>
  <c r="C284" i="1"/>
  <c r="C285" i="1"/>
  <c r="C272" i="1"/>
  <c r="C398" i="2"/>
  <c r="B374" i="9"/>
  <c r="C249" i="1"/>
  <c r="B374" i="3"/>
  <c r="B362" i="9"/>
  <c r="B362" i="3"/>
  <c r="C237" i="1"/>
  <c r="C224" i="1"/>
  <c r="C225" i="1"/>
  <c r="C212" i="1"/>
  <c r="C213" i="1"/>
  <c r="B326" i="9"/>
  <c r="C201" i="1"/>
  <c r="C176" i="1"/>
  <c r="C177" i="1"/>
  <c r="C302" i="2"/>
  <c r="C164" i="1"/>
  <c r="C165" i="1"/>
  <c r="C290" i="2"/>
  <c r="C242" i="2"/>
  <c r="B230" i="9"/>
  <c r="E230" i="9" s="1"/>
  <c r="B206" i="3"/>
  <c r="B194" i="9"/>
  <c r="B194" i="3"/>
  <c r="B182" i="9"/>
  <c r="B170" i="9"/>
  <c r="C693" i="1"/>
  <c r="C976" i="2"/>
  <c r="C881" i="2"/>
  <c r="C689" i="2"/>
  <c r="C497" i="2"/>
  <c r="C377" i="2"/>
  <c r="C372" i="1"/>
  <c r="C707" i="1"/>
  <c r="C708" i="1"/>
  <c r="C227" i="1"/>
  <c r="C353" i="2"/>
  <c r="C329" i="2"/>
  <c r="B329" i="3"/>
  <c r="C228" i="1"/>
  <c r="C864" i="1"/>
  <c r="C874" i="1"/>
  <c r="C1000" i="2"/>
  <c r="C826" i="1"/>
  <c r="C802" i="1"/>
  <c r="C778" i="1"/>
  <c r="C730" i="1"/>
  <c r="C706" i="1"/>
  <c r="C694" i="1"/>
  <c r="C808" i="2"/>
  <c r="C683" i="1"/>
  <c r="B784" i="3"/>
  <c r="C634" i="1"/>
  <c r="C586" i="1"/>
  <c r="C538" i="1"/>
  <c r="B652" i="3"/>
  <c r="C527" i="1"/>
  <c r="C514" i="1"/>
  <c r="C490" i="1"/>
  <c r="B616" i="3"/>
  <c r="C604" i="2"/>
  <c r="C479" i="1"/>
  <c r="C592" i="2"/>
  <c r="C467" i="1"/>
  <c r="C442" i="1"/>
  <c r="B532" i="3"/>
  <c r="C394" i="1"/>
  <c r="C395" i="1"/>
  <c r="C484" i="2"/>
  <c r="C346" i="1"/>
  <c r="C347" i="1"/>
  <c r="C460" i="2"/>
  <c r="C298" i="1"/>
  <c r="C299" i="1"/>
  <c r="C412" i="2"/>
  <c r="B412" i="3"/>
  <c r="C250" i="1"/>
  <c r="C251" i="1"/>
  <c r="C202" i="1"/>
  <c r="C203" i="1"/>
  <c r="C328" i="2"/>
  <c r="B280" i="3"/>
  <c r="C780" i="1"/>
  <c r="C732" i="1"/>
  <c r="C587" i="1"/>
  <c r="P685" i="1"/>
  <c r="P661" i="1"/>
  <c r="P649" i="1"/>
  <c r="P625" i="1"/>
  <c r="P601" i="1"/>
  <c r="P577" i="1"/>
  <c r="P553" i="1"/>
  <c r="P529" i="1"/>
  <c r="P493" i="1"/>
  <c r="P469" i="1"/>
  <c r="P421" i="1"/>
  <c r="P409" i="1"/>
  <c r="P385" i="1"/>
  <c r="P373" i="1"/>
  <c r="P349" i="1"/>
  <c r="P337" i="1"/>
  <c r="P325" i="1"/>
  <c r="P313" i="1"/>
  <c r="P277" i="1"/>
  <c r="P253" i="1"/>
  <c r="P217" i="1"/>
  <c r="P205" i="1"/>
  <c r="P181" i="1"/>
  <c r="P157" i="1"/>
  <c r="P145" i="1"/>
  <c r="P133" i="1"/>
  <c r="P121" i="1"/>
  <c r="P109" i="1"/>
  <c r="P73" i="1"/>
  <c r="P61" i="1"/>
  <c r="P49" i="1"/>
  <c r="P25" i="1"/>
  <c r="P13" i="1"/>
  <c r="P972" i="1"/>
  <c r="P960" i="1"/>
  <c r="P985" i="1"/>
  <c r="P936" i="1"/>
  <c r="P924" i="1"/>
  <c r="P888" i="1"/>
  <c r="P876" i="1"/>
  <c r="P863" i="1"/>
  <c r="P804" i="1"/>
  <c r="P825" i="1"/>
  <c r="P780" i="1"/>
  <c r="P792" i="1"/>
  <c r="C410" i="1"/>
  <c r="C536" i="2"/>
  <c r="C230" i="1"/>
  <c r="C356" i="2"/>
  <c r="C206" i="1"/>
  <c r="C332" i="2"/>
  <c r="H676" i="2"/>
  <c r="G676" i="2" s="1"/>
  <c r="H532" i="2"/>
  <c r="G532" i="2" s="1"/>
  <c r="P720" i="1"/>
  <c r="P708" i="1"/>
  <c r="P684" i="1"/>
  <c r="P672" i="1"/>
  <c r="P648" i="1"/>
  <c r="P636" i="1"/>
  <c r="P624" i="1"/>
  <c r="P612" i="1"/>
  <c r="P588" i="1"/>
  <c r="P576" i="1"/>
  <c r="P552" i="1"/>
  <c r="P540" i="1"/>
  <c r="P516" i="1"/>
  <c r="P480" i="1"/>
  <c r="P468" i="1"/>
  <c r="P444" i="1"/>
  <c r="P420" i="1"/>
  <c r="P408" i="1"/>
  <c r="P396" i="1"/>
  <c r="P372" i="1"/>
  <c r="P360" i="1"/>
  <c r="P324" i="1"/>
  <c r="P312" i="1"/>
  <c r="P288" i="1"/>
  <c r="P276" i="1"/>
  <c r="P264" i="1"/>
  <c r="P204" i="1"/>
  <c r="P192" i="1"/>
  <c r="P180" i="1"/>
  <c r="P168" i="1"/>
  <c r="P156" i="1"/>
  <c r="P132" i="1"/>
  <c r="P108" i="1"/>
  <c r="P60" i="1"/>
  <c r="P36" i="1"/>
  <c r="P12" i="1"/>
  <c r="P997" i="1"/>
  <c r="P971" i="1"/>
  <c r="P983" i="1"/>
  <c r="P947" i="1"/>
  <c r="P914" i="1"/>
  <c r="P899" i="1"/>
  <c r="P851" i="1"/>
  <c r="P864" i="1"/>
  <c r="P860" i="1"/>
  <c r="H85" i="2"/>
  <c r="G85" i="2" s="1"/>
  <c r="P767" i="1"/>
  <c r="P791" i="1"/>
  <c r="P695" i="1"/>
  <c r="P635" i="1"/>
  <c r="P587" i="1"/>
  <c r="P491" i="1"/>
  <c r="P407" i="1"/>
  <c r="P359" i="1"/>
  <c r="P23" i="1"/>
  <c r="P982" i="1"/>
  <c r="C852" i="1"/>
  <c r="C840" i="1"/>
  <c r="C804" i="1"/>
  <c r="C792" i="1"/>
  <c r="C768" i="1"/>
  <c r="C720" i="1"/>
  <c r="C696" i="1"/>
  <c r="C648" i="1"/>
  <c r="C636" i="1"/>
  <c r="C600" i="1"/>
  <c r="C576" i="1"/>
  <c r="C552" i="1"/>
  <c r="C504" i="1"/>
  <c r="C492" i="1"/>
  <c r="C456" i="1"/>
  <c r="C432" i="1"/>
  <c r="C408" i="1"/>
  <c r="C360" i="1"/>
  <c r="C348" i="1"/>
  <c r="C312" i="1"/>
  <c r="C288" i="1"/>
  <c r="C264" i="1"/>
  <c r="C216" i="1"/>
  <c r="C204" i="1"/>
  <c r="C168" i="1"/>
  <c r="E522" i="9"/>
  <c r="E196" i="9"/>
  <c r="H975" i="2"/>
  <c r="G975" i="2" s="1"/>
  <c r="H687" i="2"/>
  <c r="G687" i="2" s="1"/>
  <c r="H533" i="2"/>
  <c r="G533" i="2" s="1"/>
  <c r="P218" i="1"/>
  <c r="H341" i="2"/>
  <c r="G341" i="2" s="1"/>
  <c r="H411" i="2"/>
  <c r="G411" i="2" s="1"/>
  <c r="H257" i="2"/>
  <c r="G257" i="2" s="1"/>
  <c r="E546" i="9"/>
  <c r="E618" i="9"/>
  <c r="E630" i="9"/>
  <c r="E845" i="9"/>
  <c r="B410" i="9"/>
  <c r="B398" i="9"/>
  <c r="B350" i="9"/>
  <c r="E350" i="9" s="1"/>
  <c r="B338" i="9"/>
  <c r="B302" i="9"/>
  <c r="B290" i="9"/>
  <c r="E290" i="9" s="1"/>
  <c r="B278" i="9"/>
  <c r="E278" i="9" s="1"/>
  <c r="B266" i="9"/>
  <c r="B242" i="9"/>
  <c r="E242" i="9" s="1"/>
  <c r="B218" i="9"/>
  <c r="B206" i="9"/>
  <c r="E500" i="9"/>
  <c r="E512" i="9"/>
  <c r="E858" i="9"/>
  <c r="E870" i="9"/>
  <c r="E882" i="9"/>
  <c r="B602" i="9"/>
  <c r="B986" i="3"/>
  <c r="B842" i="3"/>
  <c r="B698" i="3"/>
  <c r="B506" i="3"/>
  <c r="B422" i="3"/>
  <c r="C554" i="2"/>
  <c r="H802" i="2"/>
  <c r="G802" i="2" s="1"/>
  <c r="P348" i="1"/>
  <c r="H471" i="2"/>
  <c r="G471" i="2" s="1"/>
  <c r="P839" i="1"/>
  <c r="H962" i="2"/>
  <c r="G962" i="2" s="1"/>
  <c r="C991" i="2"/>
  <c r="C865" i="1"/>
  <c r="C967" i="2"/>
  <c r="C841" i="1"/>
  <c r="B967" i="3"/>
  <c r="B955" i="9"/>
  <c r="B955" i="3"/>
  <c r="C817" i="1"/>
  <c r="B943" i="9"/>
  <c r="E943" i="9" s="1"/>
  <c r="C931" i="2"/>
  <c r="C805" i="1"/>
  <c r="C919" i="2"/>
  <c r="C793" i="1"/>
  <c r="B919" i="9"/>
  <c r="C907" i="2"/>
  <c r="B907" i="3"/>
  <c r="C781" i="1"/>
  <c r="C769" i="1"/>
  <c r="B895" i="3"/>
  <c r="C883" i="2"/>
  <c r="B883" i="3"/>
  <c r="C859" i="2"/>
  <c r="C733" i="1"/>
  <c r="C823" i="2"/>
  <c r="C697" i="1"/>
  <c r="B823" i="3"/>
  <c r="C685" i="1"/>
  <c r="B811" i="9"/>
  <c r="B811" i="3"/>
  <c r="C673" i="1"/>
  <c r="B799" i="9"/>
  <c r="E799" i="9" s="1"/>
  <c r="C775" i="2"/>
  <c r="C649" i="1"/>
  <c r="B775" i="9"/>
  <c r="E775" i="9" s="1"/>
  <c r="C637" i="1"/>
  <c r="B763" i="3"/>
  <c r="C613" i="1"/>
  <c r="B739" i="3"/>
  <c r="C703" i="2"/>
  <c r="C577" i="1"/>
  <c r="C553" i="1"/>
  <c r="B679" i="3"/>
  <c r="B667" i="9"/>
  <c r="E667" i="9" s="1"/>
  <c r="C541" i="1"/>
  <c r="B667" i="3"/>
  <c r="C655" i="2"/>
  <c r="C529" i="1"/>
  <c r="B655" i="9"/>
  <c r="E655" i="9" s="1"/>
  <c r="C643" i="2"/>
  <c r="C517" i="1"/>
  <c r="C505" i="1"/>
  <c r="B631" i="9"/>
  <c r="C493" i="1"/>
  <c r="B619" i="9"/>
  <c r="E619" i="9" s="1"/>
  <c r="C607" i="2"/>
  <c r="C481" i="1"/>
  <c r="B607" i="3"/>
  <c r="B607" i="9"/>
  <c r="E607" i="9" s="1"/>
  <c r="C469" i="1"/>
  <c r="C595" i="2"/>
  <c r="B595" i="3"/>
  <c r="B595" i="9"/>
  <c r="C457" i="1"/>
  <c r="B583" i="9"/>
  <c r="E583" i="9" s="1"/>
  <c r="C445" i="1"/>
  <c r="B571" i="9"/>
  <c r="E571" i="9" s="1"/>
  <c r="C433" i="1"/>
  <c r="C559" i="2"/>
  <c r="B559" i="9"/>
  <c r="E559" i="9" s="1"/>
  <c r="C547" i="2"/>
  <c r="B547" i="3"/>
  <c r="B547" i="9"/>
  <c r="C535" i="2"/>
  <c r="C409" i="1"/>
  <c r="B535" i="9"/>
  <c r="B523" i="9"/>
  <c r="E523" i="9" s="1"/>
  <c r="C511" i="2"/>
  <c r="B511" i="9"/>
  <c r="E511" i="9" s="1"/>
  <c r="C361" i="1"/>
  <c r="B487" i="9"/>
  <c r="E487" i="9" s="1"/>
  <c r="C349" i="1"/>
  <c r="B475" i="3"/>
  <c r="B475" i="9"/>
  <c r="E475" i="9" s="1"/>
  <c r="C463" i="2"/>
  <c r="B463" i="3"/>
  <c r="B463" i="9"/>
  <c r="C325" i="1"/>
  <c r="B451" i="9"/>
  <c r="C313" i="1"/>
  <c r="B439" i="9"/>
  <c r="E439" i="9" s="1"/>
  <c r="C427" i="2"/>
  <c r="C301" i="1"/>
  <c r="B427" i="9"/>
  <c r="C253" i="1"/>
  <c r="C355" i="2"/>
  <c r="C229" i="1"/>
  <c r="C217" i="1"/>
  <c r="C343" i="2"/>
  <c r="C331" i="2"/>
  <c r="C205" i="1"/>
  <c r="B331" i="3"/>
  <c r="C307" i="2"/>
  <c r="C181" i="1"/>
  <c r="C169" i="1"/>
  <c r="B295" i="3"/>
  <c r="B283" i="3"/>
  <c r="C271" i="2"/>
  <c r="B211" i="3"/>
  <c r="C500" i="1"/>
  <c r="C368" i="1"/>
  <c r="C860" i="1"/>
  <c r="E539" i="9"/>
  <c r="P703" i="1"/>
  <c r="P583" i="1"/>
  <c r="H706" i="2"/>
  <c r="G706" i="2" s="1"/>
  <c r="P415" i="1"/>
  <c r="H538" i="2"/>
  <c r="G538" i="2" s="1"/>
  <c r="P211" i="1"/>
  <c r="H334" i="2"/>
  <c r="G334" i="2" s="1"/>
  <c r="P187" i="1"/>
  <c r="H310" i="2"/>
  <c r="G310" i="2" s="1"/>
  <c r="P163" i="1"/>
  <c r="H286" i="2"/>
  <c r="G286" i="2" s="1"/>
  <c r="C824" i="1"/>
  <c r="C950" i="2"/>
  <c r="C476" i="1"/>
  <c r="C440" i="1"/>
  <c r="B566" i="3"/>
  <c r="C530" i="2"/>
  <c r="C404" i="1"/>
  <c r="C374" i="2"/>
  <c r="C248" i="1"/>
  <c r="C326" i="2"/>
  <c r="C200" i="1"/>
  <c r="B326" i="3"/>
  <c r="E311" i="9"/>
  <c r="B950" i="9"/>
  <c r="E950" i="9" s="1"/>
  <c r="B806" i="9"/>
  <c r="B530" i="9"/>
  <c r="E530" i="9" s="1"/>
  <c r="B818" i="3"/>
  <c r="B674" i="3"/>
  <c r="B626" i="3"/>
  <c r="B398" i="3"/>
  <c r="B350" i="3"/>
  <c r="C686" i="2"/>
  <c r="H629" i="2"/>
  <c r="G629" i="2" s="1"/>
  <c r="C871" i="1"/>
  <c r="C997" i="2"/>
  <c r="B997" i="3"/>
  <c r="B997" i="9"/>
  <c r="C847" i="1"/>
  <c r="C835" i="1"/>
  <c r="C961" i="2"/>
  <c r="C823" i="1"/>
  <c r="C949" i="2"/>
  <c r="B937" i="3"/>
  <c r="C799" i="1"/>
  <c r="B925" i="3"/>
  <c r="C787" i="1"/>
  <c r="C913" i="2"/>
  <c r="C901" i="2"/>
  <c r="C775" i="1"/>
  <c r="C763" i="1"/>
  <c r="C889" i="2"/>
  <c r="B889" i="9"/>
  <c r="E889" i="9" s="1"/>
  <c r="C751" i="1"/>
  <c r="B877" i="9"/>
  <c r="E877" i="9" s="1"/>
  <c r="C727" i="1"/>
  <c r="B853" i="3"/>
  <c r="B853" i="9"/>
  <c r="C829" i="2"/>
  <c r="C703" i="1"/>
  <c r="C691" i="1"/>
  <c r="C817" i="2"/>
  <c r="C679" i="1"/>
  <c r="B793" i="3"/>
  <c r="C655" i="1"/>
  <c r="B781" i="3"/>
  <c r="C631" i="1"/>
  <c r="C619" i="1"/>
  <c r="B745" i="9"/>
  <c r="C595" i="1"/>
  <c r="C721" i="2"/>
  <c r="B721" i="3"/>
  <c r="C709" i="2"/>
  <c r="B709" i="3"/>
  <c r="B709" i="9"/>
  <c r="E709" i="9" s="1"/>
  <c r="C583" i="1"/>
  <c r="C559" i="1"/>
  <c r="C547" i="1"/>
  <c r="C535" i="1"/>
  <c r="C661" i="2"/>
  <c r="C523" i="1"/>
  <c r="C649" i="2"/>
  <c r="B649" i="3"/>
  <c r="C511" i="1"/>
  <c r="B637" i="3"/>
  <c r="C625" i="2"/>
  <c r="C475" i="1"/>
  <c r="C451" i="1"/>
  <c r="C577" i="2"/>
  <c r="B577" i="3"/>
  <c r="C427" i="1"/>
  <c r="C415" i="1"/>
  <c r="C403" i="1"/>
  <c r="C391" i="1"/>
  <c r="C517" i="2"/>
  <c r="C379" i="1"/>
  <c r="C505" i="2"/>
  <c r="B505" i="3"/>
  <c r="C367" i="1"/>
  <c r="B493" i="3"/>
  <c r="C355" i="1"/>
  <c r="C481" i="2"/>
  <c r="C343" i="1"/>
  <c r="C331" i="1"/>
  <c r="C445" i="2"/>
  <c r="B445" i="3"/>
  <c r="C319" i="1"/>
  <c r="C307" i="1"/>
  <c r="C433" i="2"/>
  <c r="C283" i="1"/>
  <c r="C271" i="1"/>
  <c r="C397" i="2"/>
  <c r="C247" i="1"/>
  <c r="B373" i="3"/>
  <c r="C235" i="1"/>
  <c r="C361" i="2"/>
  <c r="B361" i="3"/>
  <c r="C199" i="1"/>
  <c r="C325" i="2"/>
  <c r="C187" i="1"/>
  <c r="C313" i="2"/>
  <c r="B313" i="3"/>
  <c r="C175" i="1"/>
  <c r="C163" i="1"/>
  <c r="C289" i="2"/>
  <c r="B265" i="3"/>
  <c r="B253" i="3"/>
  <c r="B241" i="3"/>
  <c r="C709" i="1"/>
  <c r="E575" i="9"/>
  <c r="P523" i="1"/>
  <c r="H646" i="2"/>
  <c r="G646" i="2" s="1"/>
  <c r="P391" i="1"/>
  <c r="H514" i="2"/>
  <c r="G514" i="2" s="1"/>
  <c r="C974" i="2"/>
  <c r="C848" i="1"/>
  <c r="C764" i="1"/>
  <c r="C890" i="2"/>
  <c r="B890" i="9"/>
  <c r="E890" i="9" s="1"/>
  <c r="C866" i="2"/>
  <c r="B866" i="9"/>
  <c r="C740" i="1"/>
  <c r="B794" i="3"/>
  <c r="C620" i="1"/>
  <c r="B746" i="9"/>
  <c r="C710" i="2"/>
  <c r="C584" i="1"/>
  <c r="C392" i="1"/>
  <c r="C518" i="2"/>
  <c r="B518" i="3"/>
  <c r="C470" i="2"/>
  <c r="C344" i="1"/>
  <c r="C386" i="2"/>
  <c r="C260" i="1"/>
  <c r="B386" i="3"/>
  <c r="C362" i="2"/>
  <c r="C236" i="1"/>
  <c r="B254" i="3"/>
  <c r="E212" i="9"/>
  <c r="B734" i="9"/>
  <c r="E734" i="9" s="1"/>
  <c r="B542" i="9"/>
  <c r="E542" i="9" s="1"/>
  <c r="B542" i="3"/>
  <c r="C350" i="2"/>
  <c r="H130" i="2"/>
  <c r="G130" i="2" s="1"/>
  <c r="P545" i="1"/>
  <c r="P449" i="1"/>
  <c r="P233" i="1"/>
  <c r="P772" i="1"/>
  <c r="D994" i="10"/>
  <c r="C870" i="1"/>
  <c r="B984" i="3"/>
  <c r="B984" i="9"/>
  <c r="E984" i="9" s="1"/>
  <c r="C960" i="2"/>
  <c r="C822" i="1"/>
  <c r="C948" i="2"/>
  <c r="D922" i="10"/>
  <c r="C798" i="1"/>
  <c r="C774" i="1"/>
  <c r="C900" i="2"/>
  <c r="C750" i="1"/>
  <c r="B876" i="9"/>
  <c r="B864" i="3"/>
  <c r="C864" i="2"/>
  <c r="B864" i="9"/>
  <c r="E864" i="9" s="1"/>
  <c r="C738" i="1"/>
  <c r="D850" i="10"/>
  <c r="C726" i="1"/>
  <c r="C714" i="1"/>
  <c r="B840" i="3"/>
  <c r="B840" i="9"/>
  <c r="E840" i="9" s="1"/>
  <c r="C828" i="2"/>
  <c r="C702" i="1"/>
  <c r="D802" i="10"/>
  <c r="C678" i="1"/>
  <c r="C804" i="2"/>
  <c r="D778" i="10"/>
  <c r="C768" i="2"/>
  <c r="C642" i="1"/>
  <c r="D730" i="10"/>
  <c r="B732" i="9"/>
  <c r="E732" i="9" s="1"/>
  <c r="C606" i="1"/>
  <c r="B720" i="3"/>
  <c r="B720" i="9"/>
  <c r="D706" i="10"/>
  <c r="C708" i="2"/>
  <c r="C570" i="1"/>
  <c r="C696" i="2"/>
  <c r="B696" i="3"/>
  <c r="B696" i="9"/>
  <c r="C546" i="1"/>
  <c r="C672" i="2"/>
  <c r="D658" i="10"/>
  <c r="C534" i="1"/>
  <c r="D634" i="10"/>
  <c r="C510" i="1"/>
  <c r="C636" i="2"/>
  <c r="C498" i="1"/>
  <c r="B624" i="3"/>
  <c r="C474" i="1"/>
  <c r="C600" i="2"/>
  <c r="C576" i="2"/>
  <c r="C450" i="1"/>
  <c r="D562" i="10"/>
  <c r="B564" i="3"/>
  <c r="C402" i="1"/>
  <c r="C528" i="2"/>
  <c r="D514" i="10"/>
  <c r="C390" i="1"/>
  <c r="C516" i="2"/>
  <c r="C378" i="1"/>
  <c r="B504" i="3"/>
  <c r="D490" i="10"/>
  <c r="C492" i="2"/>
  <c r="C354" i="1"/>
  <c r="C480" i="2"/>
  <c r="C342" i="1"/>
  <c r="C468" i="2"/>
  <c r="C432" i="2"/>
  <c r="B432" i="3"/>
  <c r="D418" i="10"/>
  <c r="B420" i="3"/>
  <c r="D394" i="10"/>
  <c r="C270" i="1"/>
  <c r="C396" i="2"/>
  <c r="D370" i="10"/>
  <c r="C246" i="1"/>
  <c r="B372" i="3"/>
  <c r="D346" i="10"/>
  <c r="D322" i="10"/>
  <c r="C198" i="1"/>
  <c r="C186" i="1"/>
  <c r="B312" i="3"/>
  <c r="D298" i="10"/>
  <c r="C174" i="1"/>
  <c r="C288" i="2"/>
  <c r="C162" i="1"/>
  <c r="D274" i="10"/>
  <c r="C252" i="2"/>
  <c r="B240" i="3"/>
  <c r="B204" i="3"/>
  <c r="C762" i="1"/>
  <c r="C337" i="1"/>
  <c r="P499" i="1"/>
  <c r="H622" i="2"/>
  <c r="G622" i="2" s="1"/>
  <c r="C836" i="1"/>
  <c r="C962" i="2"/>
  <c r="C812" i="1"/>
  <c r="B938" i="3"/>
  <c r="C902" i="2"/>
  <c r="B902" i="9"/>
  <c r="E902" i="9" s="1"/>
  <c r="C752" i="1"/>
  <c r="C878" i="2"/>
  <c r="C704" i="1"/>
  <c r="C830" i="2"/>
  <c r="C632" i="1"/>
  <c r="B758" i="9"/>
  <c r="E758" i="9" s="1"/>
  <c r="C722" i="2"/>
  <c r="C596" i="1"/>
  <c r="B722" i="9"/>
  <c r="C536" i="1"/>
  <c r="C662" i="2"/>
  <c r="C524" i="1"/>
  <c r="C650" i="2"/>
  <c r="B650" i="3"/>
  <c r="C452" i="1"/>
  <c r="C578" i="2"/>
  <c r="B578" i="3"/>
  <c r="C380" i="1"/>
  <c r="C506" i="2"/>
  <c r="C332" i="1"/>
  <c r="C308" i="1"/>
  <c r="B434" i="3"/>
  <c r="C188" i="1"/>
  <c r="C314" i="2"/>
  <c r="B218" i="3"/>
  <c r="E698" i="9"/>
  <c r="B962" i="9"/>
  <c r="B818" i="9"/>
  <c r="E818" i="9" s="1"/>
  <c r="B674" i="9"/>
  <c r="E674" i="9" s="1"/>
  <c r="B926" i="3"/>
  <c r="B782" i="3"/>
  <c r="B638" i="3"/>
  <c r="B410" i="3"/>
  <c r="C986" i="2"/>
  <c r="C865" i="2"/>
  <c r="C782" i="2"/>
  <c r="C734" i="2"/>
  <c r="C422" i="2"/>
  <c r="C385" i="2"/>
  <c r="C349" i="2"/>
  <c r="C295" i="2"/>
  <c r="C253" i="2"/>
  <c r="H478" i="2"/>
  <c r="G478" i="2" s="1"/>
  <c r="C829" i="1"/>
  <c r="C739" i="1"/>
  <c r="C306" i="1"/>
  <c r="P637" i="1"/>
  <c r="P445" i="1"/>
  <c r="H568" i="2"/>
  <c r="G568" i="2" s="1"/>
  <c r="P397" i="1"/>
  <c r="H520" i="2"/>
  <c r="G520" i="2" s="1"/>
  <c r="P361" i="1"/>
  <c r="H484" i="2"/>
  <c r="G484" i="2" s="1"/>
  <c r="P169" i="1"/>
  <c r="H292" i="2"/>
  <c r="G292" i="2" s="1"/>
  <c r="E764" i="9"/>
  <c r="E776" i="9"/>
  <c r="E517" i="9"/>
  <c r="H472" i="2"/>
  <c r="G472" i="2" s="1"/>
  <c r="H993" i="2"/>
  <c r="G993" i="2" s="1"/>
  <c r="H981" i="2"/>
  <c r="G981" i="2" s="1"/>
  <c r="H969" i="2"/>
  <c r="G969" i="2" s="1"/>
  <c r="H933" i="2"/>
  <c r="G933" i="2" s="1"/>
  <c r="H921" i="2"/>
  <c r="G921" i="2" s="1"/>
  <c r="H909" i="2"/>
  <c r="G909" i="2" s="1"/>
  <c r="H897" i="2"/>
  <c r="G897" i="2" s="1"/>
  <c r="H885" i="2"/>
  <c r="G885" i="2" s="1"/>
  <c r="P712" i="1"/>
  <c r="P700" i="1"/>
  <c r="P688" i="1"/>
  <c r="P676" i="1"/>
  <c r="P664" i="1"/>
  <c r="P652" i="1"/>
  <c r="P628" i="1"/>
  <c r="P616" i="1"/>
  <c r="P604" i="1"/>
  <c r="P592" i="1"/>
  <c r="P580" i="1"/>
  <c r="P568" i="1"/>
  <c r="P556" i="1"/>
  <c r="P544" i="1"/>
  <c r="P532" i="1"/>
  <c r="P520" i="1"/>
  <c r="P508" i="1"/>
  <c r="P496" i="1"/>
  <c r="P472" i="1"/>
  <c r="P460" i="1"/>
  <c r="P436" i="1"/>
  <c r="P424" i="1"/>
  <c r="P412" i="1"/>
  <c r="P400" i="1"/>
  <c r="P388" i="1"/>
  <c r="P376" i="1"/>
  <c r="P352" i="1"/>
  <c r="P340" i="1"/>
  <c r="P328" i="1"/>
  <c r="P316" i="1"/>
  <c r="P304" i="1"/>
  <c r="P292" i="1"/>
  <c r="P280" i="1"/>
  <c r="P256" i="1"/>
  <c r="P244" i="1"/>
  <c r="P232" i="1"/>
  <c r="P184" i="1"/>
  <c r="P136" i="1"/>
  <c r="P112" i="1"/>
  <c r="P100" i="1"/>
  <c r="P76" i="1"/>
  <c r="P64" i="1"/>
  <c r="P52" i="1"/>
  <c r="P40" i="1"/>
  <c r="P16" i="1"/>
  <c r="P976" i="1"/>
  <c r="P963" i="1"/>
  <c r="P987" i="1"/>
  <c r="P954" i="1"/>
  <c r="P939" i="1"/>
  <c r="P892" i="1"/>
  <c r="P879" i="1"/>
  <c r="P852" i="1"/>
  <c r="P843" i="1"/>
  <c r="P867" i="1"/>
  <c r="P827" i="1"/>
  <c r="P796" i="1"/>
  <c r="P718" i="1"/>
  <c r="P706" i="1"/>
  <c r="H634" i="2"/>
  <c r="G634" i="2" s="1"/>
  <c r="H610" i="2"/>
  <c r="G610" i="2" s="1"/>
  <c r="H490" i="2"/>
  <c r="G490" i="2" s="1"/>
  <c r="H466" i="2"/>
  <c r="G466" i="2" s="1"/>
  <c r="H430" i="2"/>
  <c r="G430" i="2" s="1"/>
  <c r="H406" i="2"/>
  <c r="G406" i="2" s="1"/>
  <c r="H394" i="2"/>
  <c r="G394" i="2" s="1"/>
  <c r="H346" i="2"/>
  <c r="G346" i="2" s="1"/>
  <c r="H322" i="2"/>
  <c r="G322" i="2" s="1"/>
  <c r="H262" i="2"/>
  <c r="G262" i="2" s="1"/>
  <c r="H226" i="2"/>
  <c r="G226" i="2" s="1"/>
  <c r="H190" i="2"/>
  <c r="G190" i="2" s="1"/>
  <c r="H178" i="2"/>
  <c r="G178" i="2" s="1"/>
  <c r="H154" i="2"/>
  <c r="G154" i="2" s="1"/>
  <c r="H118" i="2"/>
  <c r="G118" i="2" s="1"/>
  <c r="P834" i="1"/>
  <c r="H82" i="2"/>
  <c r="G82" i="2" s="1"/>
  <c r="H70" i="2"/>
  <c r="G70" i="2" s="1"/>
  <c r="C658" i="1"/>
  <c r="P694" i="1"/>
  <c r="P682" i="1"/>
  <c r="P670" i="1"/>
  <c r="P658" i="1"/>
  <c r="P646" i="1"/>
  <c r="P634" i="1"/>
  <c r="P622" i="1"/>
  <c r="P610" i="1"/>
  <c r="P598" i="1"/>
  <c r="P586" i="1"/>
  <c r="P562" i="1"/>
  <c r="P550" i="1"/>
  <c r="P538" i="1"/>
  <c r="P526" i="1"/>
  <c r="P514" i="1"/>
  <c r="P502" i="1"/>
  <c r="P490" i="1"/>
  <c r="P478" i="1"/>
  <c r="P466" i="1"/>
  <c r="P454" i="1"/>
  <c r="P442" i="1"/>
  <c r="P430" i="1"/>
  <c r="P418" i="1"/>
  <c r="P406" i="1"/>
  <c r="P394" i="1"/>
  <c r="P382" i="1"/>
  <c r="P370" i="1"/>
  <c r="P346" i="1"/>
  <c r="P334" i="1"/>
  <c r="P322" i="1"/>
  <c r="P310" i="1"/>
  <c r="P298" i="1"/>
  <c r="P286" i="1"/>
  <c r="P274" i="1"/>
  <c r="P262" i="1"/>
  <c r="P250" i="1"/>
  <c r="P238" i="1"/>
  <c r="D915" i="10"/>
  <c r="C791" i="1"/>
  <c r="D843" i="10"/>
  <c r="C719" i="1"/>
  <c r="D699" i="10"/>
  <c r="D627" i="10"/>
  <c r="C503" i="1"/>
  <c r="D411" i="10"/>
  <c r="D339" i="10"/>
  <c r="C215" i="1"/>
  <c r="C370" i="1"/>
  <c r="C226" i="1"/>
  <c r="C575" i="1"/>
  <c r="C287" i="1"/>
  <c r="P111" i="1"/>
  <c r="H376" i="2"/>
  <c r="G376" i="2" s="1"/>
  <c r="P75" i="1"/>
  <c r="H316" i="2"/>
  <c r="G316" i="2" s="1"/>
  <c r="P27" i="1"/>
  <c r="P15" i="1"/>
  <c r="P986" i="1"/>
  <c r="H232" i="2"/>
  <c r="G232" i="2" s="1"/>
  <c r="H220" i="2"/>
  <c r="G220" i="2" s="1"/>
  <c r="P916" i="1"/>
  <c r="H184" i="2"/>
  <c r="G184" i="2" s="1"/>
  <c r="H172" i="2"/>
  <c r="G172" i="2" s="1"/>
  <c r="P903" i="1"/>
  <c r="P855" i="1"/>
  <c r="H136" i="2"/>
  <c r="G136" i="2" s="1"/>
  <c r="P809" i="1"/>
  <c r="P819" i="1"/>
  <c r="H88" i="2"/>
  <c r="G88" i="2" s="1"/>
  <c r="P770" i="1"/>
  <c r="P794" i="1"/>
  <c r="C604" i="1"/>
  <c r="C532" i="1"/>
  <c r="C508" i="1"/>
  <c r="C448" i="1"/>
  <c r="C412" i="1"/>
  <c r="C376" i="1"/>
  <c r="C364" i="1"/>
  <c r="C352" i="1"/>
  <c r="C316" i="1"/>
  <c r="C232" i="1"/>
  <c r="C196" i="1"/>
  <c r="C184" i="1"/>
  <c r="C172" i="1"/>
  <c r="H231" i="2"/>
  <c r="G231" i="2" s="1"/>
  <c r="H219" i="2"/>
  <c r="G219" i="2" s="1"/>
  <c r="P949" i="1"/>
  <c r="H195" i="2"/>
  <c r="G195" i="2" s="1"/>
  <c r="H183" i="2"/>
  <c r="G183" i="2" s="1"/>
  <c r="H171" i="2"/>
  <c r="G171" i="2" s="1"/>
  <c r="H159" i="2"/>
  <c r="G159" i="2" s="1"/>
  <c r="H147" i="2"/>
  <c r="G147" i="2" s="1"/>
  <c r="H135" i="2"/>
  <c r="G135" i="2" s="1"/>
  <c r="H123" i="2"/>
  <c r="G123" i="2" s="1"/>
  <c r="H111" i="2"/>
  <c r="G111" i="2" s="1"/>
  <c r="H99" i="2"/>
  <c r="G99" i="2" s="1"/>
  <c r="H87" i="2"/>
  <c r="G87" i="2" s="1"/>
  <c r="H75" i="2"/>
  <c r="G75" i="2" s="1"/>
  <c r="H63" i="2"/>
  <c r="G63" i="2" s="1"/>
  <c r="H51" i="2"/>
  <c r="G51" i="2" s="1"/>
  <c r="C513" i="2"/>
  <c r="C387" i="1"/>
  <c r="C249" i="2"/>
  <c r="C868" i="1"/>
  <c r="C758" i="1"/>
  <c r="C686" i="1"/>
  <c r="C398" i="1"/>
  <c r="C404" i="2"/>
  <c r="C278" i="1"/>
  <c r="C260" i="2"/>
  <c r="D162" i="10"/>
  <c r="C38" i="1"/>
  <c r="E505" i="9"/>
  <c r="E644" i="9"/>
  <c r="E671" i="9"/>
  <c r="E835" i="9"/>
  <c r="H653" i="2"/>
  <c r="G653" i="2" s="1"/>
  <c r="H137" i="2"/>
  <c r="G137" i="2" s="1"/>
  <c r="E328" i="9"/>
  <c r="E894" i="9"/>
  <c r="E906" i="9"/>
  <c r="H684" i="2"/>
  <c r="G684" i="2" s="1"/>
  <c r="E452" i="9"/>
  <c r="E476" i="9"/>
  <c r="E510" i="9"/>
  <c r="E591" i="9"/>
  <c r="E603" i="9"/>
  <c r="E918" i="9"/>
  <c r="H893" i="2"/>
  <c r="G893" i="2" s="1"/>
  <c r="E185" i="9"/>
  <c r="E919" i="9"/>
  <c r="E954" i="9"/>
  <c r="E966" i="9"/>
  <c r="E978" i="9"/>
  <c r="H928" i="2"/>
  <c r="G928" i="2" s="1"/>
  <c r="H892" i="2"/>
  <c r="G892" i="2" s="1"/>
  <c r="H677" i="2"/>
  <c r="G677" i="2" s="1"/>
  <c r="H268" i="2"/>
  <c r="G268" i="2" s="1"/>
  <c r="P537" i="1"/>
  <c r="E456" i="9"/>
  <c r="E468" i="9"/>
  <c r="E479" i="9"/>
  <c r="E491" i="9"/>
  <c r="E737" i="9"/>
  <c r="E933" i="9"/>
  <c r="H916" i="2"/>
  <c r="G916" i="2" s="1"/>
  <c r="H713" i="2"/>
  <c r="G713" i="2" s="1"/>
  <c r="H495" i="2"/>
  <c r="G495" i="2" s="1"/>
  <c r="H447" i="2"/>
  <c r="G447" i="2" s="1"/>
  <c r="H400" i="2"/>
  <c r="G400" i="2" s="1"/>
  <c r="H112" i="2"/>
  <c r="G112" i="2" s="1"/>
  <c r="E654" i="9"/>
  <c r="E678" i="9"/>
  <c r="E690" i="9"/>
  <c r="E702" i="9"/>
  <c r="E714" i="9"/>
  <c r="E726" i="9"/>
  <c r="E750" i="9"/>
  <c r="E854" i="9"/>
  <c r="H914" i="2"/>
  <c r="G914" i="2" s="1"/>
  <c r="H544" i="2"/>
  <c r="G544" i="2" s="1"/>
  <c r="H235" i="2"/>
  <c r="G235" i="2" s="1"/>
  <c r="H187" i="2"/>
  <c r="G187" i="2" s="1"/>
  <c r="H139" i="2"/>
  <c r="G139" i="2" s="1"/>
  <c r="H91" i="2"/>
  <c r="G91" i="2" s="1"/>
  <c r="H43" i="2"/>
  <c r="G43" i="2" s="1"/>
  <c r="E201" i="9"/>
  <c r="E703" i="9"/>
  <c r="E762" i="9"/>
  <c r="E774" i="9"/>
  <c r="E959" i="9"/>
  <c r="E983" i="9"/>
  <c r="H318" i="2"/>
  <c r="G318" i="2" s="1"/>
  <c r="H777" i="2"/>
  <c r="G777" i="2" s="1"/>
  <c r="H717" i="2"/>
  <c r="G717" i="2" s="1"/>
  <c r="H705" i="2"/>
  <c r="G705" i="2" s="1"/>
  <c r="H693" i="2"/>
  <c r="G693" i="2" s="1"/>
  <c r="H681" i="2"/>
  <c r="G681" i="2" s="1"/>
  <c r="H669" i="2"/>
  <c r="G669" i="2" s="1"/>
  <c r="H633" i="2"/>
  <c r="G633" i="2" s="1"/>
  <c r="H621" i="2"/>
  <c r="G621" i="2" s="1"/>
  <c r="H609" i="2"/>
  <c r="G609" i="2" s="1"/>
  <c r="H597" i="2"/>
  <c r="G597" i="2" s="1"/>
  <c r="H585" i="2"/>
  <c r="G585" i="2" s="1"/>
  <c r="H573" i="2"/>
  <c r="G573" i="2" s="1"/>
  <c r="H561" i="2"/>
  <c r="G561" i="2" s="1"/>
  <c r="H549" i="2"/>
  <c r="G549" i="2" s="1"/>
  <c r="H537" i="2"/>
  <c r="G537" i="2" s="1"/>
  <c r="H525" i="2"/>
  <c r="G525" i="2" s="1"/>
  <c r="H501" i="2"/>
  <c r="G501" i="2" s="1"/>
  <c r="H477" i="2"/>
  <c r="G477" i="2" s="1"/>
  <c r="H465" i="2"/>
  <c r="G465" i="2" s="1"/>
  <c r="H453" i="2"/>
  <c r="G453" i="2" s="1"/>
  <c r="H441" i="2"/>
  <c r="G441" i="2" s="1"/>
  <c r="H429" i="2"/>
  <c r="G429" i="2" s="1"/>
  <c r="H417" i="2"/>
  <c r="G417" i="2" s="1"/>
  <c r="H405" i="2"/>
  <c r="G405" i="2" s="1"/>
  <c r="H393" i="2"/>
  <c r="G393" i="2" s="1"/>
  <c r="H381" i="2"/>
  <c r="G381" i="2" s="1"/>
  <c r="H369" i="2"/>
  <c r="G369" i="2" s="1"/>
  <c r="H357" i="2"/>
  <c r="G357" i="2" s="1"/>
  <c r="H333" i="2"/>
  <c r="G333" i="2" s="1"/>
  <c r="H321" i="2"/>
  <c r="G321" i="2" s="1"/>
  <c r="H285" i="2"/>
  <c r="G285" i="2" s="1"/>
  <c r="H273" i="2"/>
  <c r="G273" i="2" s="1"/>
  <c r="H261" i="2"/>
  <c r="G261" i="2" s="1"/>
  <c r="H249" i="2"/>
  <c r="G249" i="2" s="1"/>
  <c r="H237" i="2"/>
  <c r="G237" i="2" s="1"/>
  <c r="H225" i="2"/>
  <c r="G225" i="2" s="1"/>
  <c r="H213" i="2"/>
  <c r="G213" i="2" s="1"/>
  <c r="H189" i="2"/>
  <c r="G189" i="2" s="1"/>
  <c r="H177" i="2"/>
  <c r="G177" i="2" s="1"/>
  <c r="H153" i="2"/>
  <c r="G153" i="2" s="1"/>
  <c r="H141" i="2"/>
  <c r="G141" i="2" s="1"/>
  <c r="H117" i="2"/>
  <c r="G117" i="2" s="1"/>
  <c r="H105" i="2"/>
  <c r="G105" i="2" s="1"/>
  <c r="H93" i="2"/>
  <c r="G93" i="2" s="1"/>
  <c r="H81" i="2"/>
  <c r="G81" i="2" s="1"/>
  <c r="H69" i="2"/>
  <c r="G69" i="2" s="1"/>
  <c r="H45" i="2"/>
  <c r="G45" i="2" s="1"/>
  <c r="E173" i="9"/>
  <c r="E757" i="9"/>
  <c r="E405" i="9"/>
  <c r="P702" i="1"/>
  <c r="H979" i="2"/>
  <c r="G979" i="2" s="1"/>
  <c r="P642" i="1"/>
  <c r="H919" i="2"/>
  <c r="G919" i="2" s="1"/>
  <c r="P594" i="1"/>
  <c r="P498" i="1"/>
  <c r="P450" i="1"/>
  <c r="P414" i="1"/>
  <c r="H691" i="2"/>
  <c r="G691" i="2" s="1"/>
  <c r="P366" i="1"/>
  <c r="H643" i="2"/>
  <c r="G643" i="2" s="1"/>
  <c r="P354" i="1"/>
  <c r="H631" i="2"/>
  <c r="G631" i="2" s="1"/>
  <c r="P318" i="1"/>
  <c r="H595" i="2"/>
  <c r="G595" i="2" s="1"/>
  <c r="P234" i="1"/>
  <c r="H511" i="2"/>
  <c r="G511" i="2" s="1"/>
  <c r="P198" i="1"/>
  <c r="H475" i="2"/>
  <c r="G475" i="2" s="1"/>
  <c r="P138" i="1"/>
  <c r="H415" i="2"/>
  <c r="G415" i="2" s="1"/>
  <c r="P90" i="1"/>
  <c r="H367" i="2"/>
  <c r="G367" i="2" s="1"/>
  <c r="P6" i="1"/>
  <c r="H283" i="2"/>
  <c r="G283" i="2" s="1"/>
  <c r="P965" i="1"/>
  <c r="H259" i="2"/>
  <c r="G259" i="2" s="1"/>
  <c r="P881" i="1"/>
  <c r="H175" i="2"/>
  <c r="G175" i="2" s="1"/>
  <c r="P811" i="1"/>
  <c r="H103" i="2"/>
  <c r="G103" i="2" s="1"/>
  <c r="D997" i="10"/>
  <c r="C999" i="2"/>
  <c r="B999" i="9"/>
  <c r="E999" i="9" s="1"/>
  <c r="C987" i="2"/>
  <c r="B987" i="9"/>
  <c r="E987" i="9" s="1"/>
  <c r="B975" i="3"/>
  <c r="C975" i="2"/>
  <c r="B975" i="9"/>
  <c r="E975" i="9" s="1"/>
  <c r="B963" i="3"/>
  <c r="C963" i="2"/>
  <c r="B963" i="9"/>
  <c r="E963" i="9" s="1"/>
  <c r="B951" i="3"/>
  <c r="B951" i="9"/>
  <c r="B939" i="3"/>
  <c r="C939" i="2"/>
  <c r="B939" i="9"/>
  <c r="B927" i="3"/>
  <c r="C927" i="2"/>
  <c r="B927" i="9"/>
  <c r="E927" i="9" s="1"/>
  <c r="B915" i="3"/>
  <c r="B915" i="9"/>
  <c r="E915" i="9" s="1"/>
  <c r="C915" i="2"/>
  <c r="B903" i="9"/>
  <c r="E903" i="9" s="1"/>
  <c r="C903" i="2"/>
  <c r="B891" i="3"/>
  <c r="B891" i="9"/>
  <c r="E891" i="9" s="1"/>
  <c r="C879" i="2"/>
  <c r="B879" i="3"/>
  <c r="B879" i="9"/>
  <c r="E879" i="9" s="1"/>
  <c r="C867" i="2"/>
  <c r="B867" i="9"/>
  <c r="B867" i="3"/>
  <c r="C855" i="2"/>
  <c r="B855" i="9"/>
  <c r="E855" i="9" s="1"/>
  <c r="B855" i="3"/>
  <c r="C843" i="2"/>
  <c r="B843" i="9"/>
  <c r="E843" i="9" s="1"/>
  <c r="B831" i="3"/>
  <c r="C831" i="2"/>
  <c r="B831" i="9"/>
  <c r="E831" i="9" s="1"/>
  <c r="B819" i="3"/>
  <c r="C819" i="2"/>
  <c r="B819" i="9"/>
  <c r="E819" i="9" s="1"/>
  <c r="B807" i="3"/>
  <c r="B807" i="9"/>
  <c r="E807" i="9" s="1"/>
  <c r="B795" i="3"/>
  <c r="C795" i="2"/>
  <c r="B795" i="9"/>
  <c r="E795" i="9" s="1"/>
  <c r="B783" i="3"/>
  <c r="C783" i="2"/>
  <c r="B783" i="9"/>
  <c r="E783" i="9" s="1"/>
  <c r="B771" i="3"/>
  <c r="B771" i="9"/>
  <c r="E771" i="9" s="1"/>
  <c r="C771" i="2"/>
  <c r="B759" i="9"/>
  <c r="C759" i="2"/>
  <c r="B747" i="3"/>
  <c r="B747" i="9"/>
  <c r="E747" i="9" s="1"/>
  <c r="C735" i="2"/>
  <c r="B735" i="3"/>
  <c r="B735" i="9"/>
  <c r="C723" i="2"/>
  <c r="B723" i="9"/>
  <c r="B723" i="3"/>
  <c r="C711" i="2"/>
  <c r="B711" i="9"/>
  <c r="E711" i="9" s="1"/>
  <c r="B711" i="3"/>
  <c r="C699" i="2"/>
  <c r="B699" i="9"/>
  <c r="E699" i="9" s="1"/>
  <c r="B687" i="3"/>
  <c r="C687" i="2"/>
  <c r="B687" i="9"/>
  <c r="E687" i="9" s="1"/>
  <c r="B675" i="3"/>
  <c r="C675" i="2"/>
  <c r="B675" i="9"/>
  <c r="B663" i="3"/>
  <c r="C663" i="2"/>
  <c r="B663" i="9"/>
  <c r="E663" i="9" s="1"/>
  <c r="C651" i="2"/>
  <c r="B651" i="3"/>
  <c r="B651" i="9"/>
  <c r="C639" i="2"/>
  <c r="B639" i="3"/>
  <c r="B639" i="9"/>
  <c r="E639" i="9" s="1"/>
  <c r="E209" i="9"/>
  <c r="E197" i="9"/>
  <c r="E174" i="9"/>
  <c r="P574" i="1"/>
  <c r="P358" i="1"/>
  <c r="H635" i="2"/>
  <c r="G635" i="2" s="1"/>
  <c r="C979" i="2"/>
  <c r="C955" i="2"/>
  <c r="C943" i="2"/>
  <c r="C895" i="2"/>
  <c r="C847" i="2"/>
  <c r="C811" i="2"/>
  <c r="C799" i="2"/>
  <c r="C787" i="2"/>
  <c r="C763" i="2"/>
  <c r="C751" i="2"/>
  <c r="C739" i="2"/>
  <c r="C727" i="2"/>
  <c r="C715" i="2"/>
  <c r="C679" i="2"/>
  <c r="C631" i="2"/>
  <c r="C487" i="2"/>
  <c r="C415" i="2"/>
  <c r="C403" i="2"/>
  <c r="C391" i="2"/>
  <c r="E820" i="9"/>
  <c r="H956" i="2"/>
  <c r="G956" i="2" s="1"/>
  <c r="H632" i="2"/>
  <c r="G632" i="2" s="1"/>
  <c r="H476" i="2"/>
  <c r="G476" i="2" s="1"/>
  <c r="E381" i="9"/>
  <c r="E297" i="9"/>
  <c r="E237" i="9"/>
  <c r="E494" i="9"/>
  <c r="E504" i="9"/>
  <c r="B931" i="3"/>
  <c r="B787" i="3"/>
  <c r="B643" i="3"/>
  <c r="B559" i="3"/>
  <c r="B487" i="3"/>
  <c r="B415" i="3"/>
  <c r="B343" i="3"/>
  <c r="C940" i="2"/>
  <c r="C914" i="2"/>
  <c r="C796" i="2"/>
  <c r="C770" i="2"/>
  <c r="C583" i="2"/>
  <c r="C523" i="2"/>
  <c r="C507" i="2"/>
  <c r="C475" i="2"/>
  <c r="C379" i="2"/>
  <c r="C267" i="2"/>
  <c r="H800" i="2"/>
  <c r="G800" i="2" s="1"/>
  <c r="H692" i="2"/>
  <c r="G692" i="2" s="1"/>
  <c r="H510" i="2"/>
  <c r="G510" i="2" s="1"/>
  <c r="H344" i="2"/>
  <c r="G344" i="2" s="1"/>
  <c r="E876" i="9"/>
  <c r="P691" i="1"/>
  <c r="H968" i="2"/>
  <c r="G968" i="2" s="1"/>
  <c r="P667" i="1"/>
  <c r="H944" i="2"/>
  <c r="G944" i="2" s="1"/>
  <c r="P655" i="1"/>
  <c r="H932" i="2"/>
  <c r="G932" i="2" s="1"/>
  <c r="P643" i="1"/>
  <c r="H920" i="2"/>
  <c r="G920" i="2" s="1"/>
  <c r="P631" i="1"/>
  <c r="H908" i="2"/>
  <c r="G908" i="2" s="1"/>
  <c r="P619" i="1"/>
  <c r="H896" i="2"/>
  <c r="G896" i="2" s="1"/>
  <c r="P595" i="1"/>
  <c r="P559" i="1"/>
  <c r="P535" i="1"/>
  <c r="P439" i="1"/>
  <c r="H716" i="2"/>
  <c r="G716" i="2" s="1"/>
  <c r="P403" i="1"/>
  <c r="H680" i="2"/>
  <c r="G680" i="2" s="1"/>
  <c r="P379" i="1"/>
  <c r="H656" i="2"/>
  <c r="G656" i="2" s="1"/>
  <c r="P367" i="1"/>
  <c r="H644" i="2"/>
  <c r="G644" i="2" s="1"/>
  <c r="P343" i="1"/>
  <c r="H620" i="2"/>
  <c r="G620" i="2" s="1"/>
  <c r="P271" i="1"/>
  <c r="H548" i="2"/>
  <c r="G548" i="2" s="1"/>
  <c r="P259" i="1"/>
  <c r="H536" i="2"/>
  <c r="G536" i="2" s="1"/>
  <c r="P235" i="1"/>
  <c r="H512" i="2"/>
  <c r="G512" i="2" s="1"/>
  <c r="P151" i="1"/>
  <c r="H428" i="2"/>
  <c r="G428" i="2" s="1"/>
  <c r="P127" i="1"/>
  <c r="H404" i="2"/>
  <c r="G404" i="2" s="1"/>
  <c r="P115" i="1"/>
  <c r="H392" i="2"/>
  <c r="G392" i="2" s="1"/>
  <c r="P91" i="1"/>
  <c r="H368" i="2"/>
  <c r="G368" i="2" s="1"/>
  <c r="P55" i="1"/>
  <c r="H332" i="2"/>
  <c r="G332" i="2" s="1"/>
  <c r="P43" i="1"/>
  <c r="H320" i="2"/>
  <c r="G320" i="2" s="1"/>
  <c r="P19" i="1"/>
  <c r="H296" i="2"/>
  <c r="G296" i="2" s="1"/>
  <c r="P966" i="1"/>
  <c r="H260" i="2"/>
  <c r="G260" i="2" s="1"/>
  <c r="P990" i="1"/>
  <c r="H248" i="2"/>
  <c r="G248" i="2" s="1"/>
  <c r="P918" i="1"/>
  <c r="H212" i="2"/>
  <c r="G212" i="2" s="1"/>
  <c r="P906" i="1"/>
  <c r="H164" i="2"/>
  <c r="G164" i="2" s="1"/>
  <c r="P858" i="1"/>
  <c r="H152" i="2"/>
  <c r="G152" i="2" s="1"/>
  <c r="P831" i="1"/>
  <c r="H116" i="2"/>
  <c r="G116" i="2" s="1"/>
  <c r="P830" i="1"/>
  <c r="H92" i="2"/>
  <c r="G92" i="2" s="1"/>
  <c r="P798" i="1"/>
  <c r="H80" i="2"/>
  <c r="G80" i="2" s="1"/>
  <c r="P762" i="1"/>
  <c r="H56" i="2"/>
  <c r="G56" i="2" s="1"/>
  <c r="C652" i="2"/>
  <c r="C640" i="2"/>
  <c r="C616" i="2"/>
  <c r="C508" i="2"/>
  <c r="C472" i="2"/>
  <c r="C448" i="2"/>
  <c r="C400" i="2"/>
  <c r="C376" i="2"/>
  <c r="C280" i="2"/>
  <c r="C268" i="2"/>
  <c r="C603" i="2"/>
  <c r="B603" i="3"/>
  <c r="C579" i="2"/>
  <c r="B579" i="3"/>
  <c r="C495" i="2"/>
  <c r="B495" i="3"/>
  <c r="C483" i="2"/>
  <c r="B483" i="3"/>
  <c r="C459" i="2"/>
  <c r="B459" i="3"/>
  <c r="C435" i="2"/>
  <c r="B435" i="3"/>
  <c r="C387" i="2"/>
  <c r="B387" i="3"/>
  <c r="C363" i="2"/>
  <c r="B363" i="3"/>
  <c r="C351" i="2"/>
  <c r="B351" i="3"/>
  <c r="C339" i="2"/>
  <c r="B339" i="3"/>
  <c r="C291" i="2"/>
  <c r="B291" i="3"/>
  <c r="B207" i="3"/>
  <c r="B195" i="3"/>
  <c r="P629" i="1"/>
  <c r="P485" i="1"/>
  <c r="H762" i="2"/>
  <c r="G762" i="2" s="1"/>
  <c r="P353" i="1"/>
  <c r="H630" i="2"/>
  <c r="G630" i="2" s="1"/>
  <c r="P341" i="1"/>
  <c r="H618" i="2"/>
  <c r="G618" i="2" s="1"/>
  <c r="P269" i="1"/>
  <c r="H546" i="2"/>
  <c r="G546" i="2" s="1"/>
  <c r="C614" i="2"/>
  <c r="C590" i="2"/>
  <c r="C566" i="2"/>
  <c r="C482" i="2"/>
  <c r="C446" i="2"/>
  <c r="C278" i="2"/>
  <c r="C266" i="2"/>
  <c r="C254" i="2"/>
  <c r="E913" i="9"/>
  <c r="C439" i="2"/>
  <c r="H980" i="2"/>
  <c r="G980" i="2" s="1"/>
  <c r="H176" i="2"/>
  <c r="G176" i="2" s="1"/>
  <c r="H128" i="2"/>
  <c r="G128" i="2" s="1"/>
  <c r="E602" i="9"/>
  <c r="E613" i="9"/>
  <c r="E625" i="9"/>
  <c r="E648" i="9"/>
  <c r="E925" i="9"/>
  <c r="H572" i="2"/>
  <c r="G572" i="2" s="1"/>
  <c r="H452" i="2"/>
  <c r="G452" i="2" s="1"/>
  <c r="H284" i="2"/>
  <c r="G284" i="2" s="1"/>
  <c r="H68" i="2"/>
  <c r="G68" i="2" s="1"/>
  <c r="E637" i="9"/>
  <c r="E649" i="9"/>
  <c r="E684" i="9"/>
  <c r="E719" i="9"/>
  <c r="E937" i="9"/>
  <c r="E961" i="9"/>
  <c r="E973" i="9"/>
  <c r="E997" i="9"/>
  <c r="H608" i="2"/>
  <c r="G608" i="2" s="1"/>
  <c r="H488" i="2"/>
  <c r="G488" i="2" s="1"/>
  <c r="H236" i="2"/>
  <c r="G236" i="2" s="1"/>
  <c r="H66" i="2"/>
  <c r="G66" i="2" s="1"/>
  <c r="B995" i="3"/>
  <c r="B983" i="3"/>
  <c r="B971" i="3"/>
  <c r="B959" i="3"/>
  <c r="B947" i="3"/>
  <c r="B935" i="3"/>
  <c r="B923" i="3"/>
  <c r="B911" i="3"/>
  <c r="B899" i="3"/>
  <c r="B887" i="3"/>
  <c r="B875" i="3"/>
  <c r="B863" i="3"/>
  <c r="B851" i="3"/>
  <c r="B839" i="3"/>
  <c r="B827" i="3"/>
  <c r="B815" i="3"/>
  <c r="B803" i="3"/>
  <c r="B791" i="3"/>
  <c r="B779" i="3"/>
  <c r="B767" i="3"/>
  <c r="B755" i="3"/>
  <c r="B743" i="3"/>
  <c r="B731" i="3"/>
  <c r="B719" i="3"/>
  <c r="B707" i="3"/>
  <c r="B695" i="3"/>
  <c r="C683" i="2"/>
  <c r="B683" i="3"/>
  <c r="C671" i="2"/>
  <c r="B671" i="3"/>
  <c r="C659" i="2"/>
  <c r="B659" i="3"/>
  <c r="C647" i="2"/>
  <c r="B647" i="3"/>
  <c r="C635" i="2"/>
  <c r="B635" i="3"/>
  <c r="C623" i="2"/>
  <c r="B623" i="3"/>
  <c r="C611" i="2"/>
  <c r="B611" i="3"/>
  <c r="C599" i="2"/>
  <c r="B599" i="3"/>
  <c r="C587" i="2"/>
  <c r="B587" i="3"/>
  <c r="C575" i="2"/>
  <c r="B575" i="3"/>
  <c r="C563" i="2"/>
  <c r="B563" i="3"/>
  <c r="C551" i="2"/>
  <c r="B551" i="3"/>
  <c r="C539" i="2"/>
  <c r="B539" i="3"/>
  <c r="C527" i="2"/>
  <c r="B527" i="3"/>
  <c r="C515" i="2"/>
  <c r="B515" i="3"/>
  <c r="C503" i="2"/>
  <c r="B503" i="3"/>
  <c r="C491" i="2"/>
  <c r="B491" i="3"/>
  <c r="C479" i="2"/>
  <c r="B479" i="3"/>
  <c r="C467" i="2"/>
  <c r="B467" i="3"/>
  <c r="C455" i="2"/>
  <c r="B455" i="3"/>
  <c r="C443" i="2"/>
  <c r="B443" i="3"/>
  <c r="C431" i="2"/>
  <c r="B431" i="3"/>
  <c r="C419" i="2"/>
  <c r="B419" i="3"/>
  <c r="C407" i="2"/>
  <c r="B407" i="3"/>
  <c r="C395" i="2"/>
  <c r="B395" i="3"/>
  <c r="C383" i="2"/>
  <c r="B383" i="3"/>
  <c r="C371" i="2"/>
  <c r="B371" i="3"/>
  <c r="C359" i="2"/>
  <c r="B359" i="3"/>
  <c r="C347" i="2"/>
  <c r="B347" i="3"/>
  <c r="C335" i="2"/>
  <c r="B335" i="3"/>
  <c r="C323" i="2"/>
  <c r="B323" i="3"/>
  <c r="C311" i="2"/>
  <c r="B311" i="3"/>
  <c r="C299" i="2"/>
  <c r="B299" i="3"/>
  <c r="C287" i="2"/>
  <c r="B287" i="3"/>
  <c r="C275" i="2"/>
  <c r="B275" i="3"/>
  <c r="C263" i="2"/>
  <c r="B263" i="3"/>
  <c r="C251" i="2"/>
  <c r="B251" i="3"/>
  <c r="C239" i="2"/>
  <c r="B239" i="3"/>
  <c r="B227" i="3"/>
  <c r="B215" i="3"/>
  <c r="B203" i="3"/>
  <c r="E236" i="9"/>
  <c r="E662" i="9"/>
  <c r="E696" i="9"/>
  <c r="E744" i="9"/>
  <c r="E938" i="9"/>
  <c r="B871" i="3"/>
  <c r="B727" i="3"/>
  <c r="C998" i="2"/>
  <c r="C880" i="2"/>
  <c r="C854" i="2"/>
  <c r="C736" i="2"/>
  <c r="C499" i="2"/>
  <c r="C451" i="2"/>
  <c r="C338" i="2"/>
  <c r="E307" i="9"/>
  <c r="E305" i="9"/>
  <c r="E443" i="9"/>
  <c r="E478" i="9"/>
  <c r="E721" i="9"/>
  <c r="E791" i="9"/>
  <c r="E825" i="9"/>
  <c r="C667" i="2"/>
  <c r="C619" i="2"/>
  <c r="H704" i="2"/>
  <c r="G704" i="2" s="1"/>
  <c r="H524" i="2"/>
  <c r="G524" i="2" s="1"/>
  <c r="H356" i="2"/>
  <c r="G356" i="2" s="1"/>
  <c r="H308" i="2"/>
  <c r="G308" i="2" s="1"/>
  <c r="H224" i="2"/>
  <c r="G224" i="2" s="1"/>
  <c r="P696" i="1"/>
  <c r="H973" i="2"/>
  <c r="G973" i="2" s="1"/>
  <c r="P600" i="1"/>
  <c r="P564" i="1"/>
  <c r="P492" i="1"/>
  <c r="P456" i="1"/>
  <c r="P432" i="1"/>
  <c r="H709" i="2"/>
  <c r="G709" i="2" s="1"/>
  <c r="P336" i="1"/>
  <c r="H613" i="2"/>
  <c r="G613" i="2" s="1"/>
  <c r="P300" i="1"/>
  <c r="H577" i="2"/>
  <c r="G577" i="2" s="1"/>
  <c r="P240" i="1"/>
  <c r="H517" i="2"/>
  <c r="G517" i="2" s="1"/>
  <c r="P228" i="1"/>
  <c r="H505" i="2"/>
  <c r="G505" i="2" s="1"/>
  <c r="P216" i="1"/>
  <c r="H493" i="2"/>
  <c r="G493" i="2" s="1"/>
  <c r="P120" i="1"/>
  <c r="H397" i="2"/>
  <c r="G397" i="2" s="1"/>
  <c r="P96" i="1"/>
  <c r="H373" i="2"/>
  <c r="G373" i="2" s="1"/>
  <c r="P84" i="1"/>
  <c r="H361" i="2"/>
  <c r="G361" i="2" s="1"/>
  <c r="P72" i="1"/>
  <c r="H349" i="2"/>
  <c r="G349" i="2" s="1"/>
  <c r="P48" i="1"/>
  <c r="H325" i="2"/>
  <c r="G325" i="2" s="1"/>
  <c r="P24" i="1"/>
  <c r="H301" i="2"/>
  <c r="G301" i="2" s="1"/>
  <c r="P923" i="1"/>
  <c r="H217" i="2"/>
  <c r="G217" i="2" s="1"/>
  <c r="P912" i="1"/>
  <c r="H169" i="2"/>
  <c r="G169" i="2" s="1"/>
  <c r="P776" i="1"/>
  <c r="H73" i="2"/>
  <c r="G73" i="2" s="1"/>
  <c r="C681" i="2"/>
  <c r="C657" i="2"/>
  <c r="C573" i="2"/>
  <c r="C561" i="2"/>
  <c r="C537" i="2"/>
  <c r="C429" i="2"/>
  <c r="C417" i="2"/>
  <c r="C345" i="2"/>
  <c r="C309" i="2"/>
  <c r="C273" i="2"/>
  <c r="P709" i="1"/>
  <c r="H986" i="2"/>
  <c r="G986" i="2" s="1"/>
  <c r="P673" i="1"/>
  <c r="H950" i="2"/>
  <c r="G950" i="2" s="1"/>
  <c r="P613" i="1"/>
  <c r="H890" i="2"/>
  <c r="G890" i="2" s="1"/>
  <c r="P589" i="1"/>
  <c r="P541" i="1"/>
  <c r="P517" i="1"/>
  <c r="P505" i="1"/>
  <c r="P481" i="1"/>
  <c r="P457" i="1"/>
  <c r="P433" i="1"/>
  <c r="H710" i="2"/>
  <c r="G710" i="2" s="1"/>
  <c r="P301" i="1"/>
  <c r="H578" i="2"/>
  <c r="G578" i="2" s="1"/>
  <c r="P265" i="1"/>
  <c r="H542" i="2"/>
  <c r="G542" i="2" s="1"/>
  <c r="P241" i="1"/>
  <c r="H518" i="2"/>
  <c r="G518" i="2" s="1"/>
  <c r="P193" i="1"/>
  <c r="H470" i="2"/>
  <c r="G470" i="2" s="1"/>
  <c r="P97" i="1"/>
  <c r="H374" i="2"/>
  <c r="G374" i="2" s="1"/>
  <c r="P911" i="1"/>
  <c r="H194" i="2"/>
  <c r="G194" i="2" s="1"/>
  <c r="C430" i="2"/>
  <c r="C286" i="2"/>
  <c r="P479" i="1"/>
  <c r="P155" i="1"/>
  <c r="H432" i="2"/>
  <c r="G432" i="2" s="1"/>
  <c r="P131" i="1"/>
  <c r="H408" i="2"/>
  <c r="G408" i="2" s="1"/>
  <c r="P913" i="1"/>
  <c r="H192" i="2"/>
  <c r="G192" i="2" s="1"/>
  <c r="P823" i="1"/>
  <c r="H84" i="2"/>
  <c r="G84" i="2" s="1"/>
  <c r="C247" i="2"/>
  <c r="E435" i="9"/>
  <c r="E457" i="9"/>
  <c r="E469" i="9"/>
  <c r="E548" i="9"/>
  <c r="E770" i="9"/>
  <c r="E816" i="9"/>
  <c r="H434" i="2"/>
  <c r="G434" i="2" s="1"/>
  <c r="H326" i="2"/>
  <c r="G326" i="2" s="1"/>
  <c r="H74" i="2"/>
  <c r="G74" i="2" s="1"/>
  <c r="E231" i="9"/>
  <c r="E219" i="9"/>
  <c r="E207" i="9"/>
  <c r="E195" i="9"/>
  <c r="E503" i="9"/>
  <c r="E515" i="9"/>
  <c r="E584" i="9"/>
  <c r="E794" i="9"/>
  <c r="E873" i="9"/>
  <c r="E895" i="9"/>
  <c r="E881" i="9"/>
  <c r="E761" i="9"/>
  <c r="D474" i="10"/>
  <c r="D771" i="10"/>
  <c r="D483" i="10"/>
  <c r="E184" i="9"/>
  <c r="E481" i="9"/>
  <c r="E525" i="9"/>
  <c r="E592" i="9"/>
  <c r="E604" i="9"/>
  <c r="E627" i="9"/>
  <c r="E673" i="9"/>
  <c r="E695" i="9"/>
  <c r="E705" i="9"/>
  <c r="E716" i="9"/>
  <c r="E793" i="9"/>
  <c r="E868" i="9"/>
  <c r="E944" i="9"/>
  <c r="E956" i="9"/>
  <c r="H959" i="2"/>
  <c r="G959" i="2" s="1"/>
  <c r="H901" i="2"/>
  <c r="G901" i="2" s="1"/>
  <c r="H685" i="2"/>
  <c r="G685" i="2" s="1"/>
  <c r="H541" i="2"/>
  <c r="G541" i="2" s="1"/>
  <c r="H469" i="2"/>
  <c r="G469" i="2" s="1"/>
  <c r="H277" i="2"/>
  <c r="G277" i="2" s="1"/>
  <c r="H193" i="2"/>
  <c r="G193" i="2" s="1"/>
  <c r="P721" i="1"/>
  <c r="H998" i="2"/>
  <c r="G998" i="2" s="1"/>
  <c r="P697" i="1"/>
  <c r="H974" i="2"/>
  <c r="G974" i="2" s="1"/>
  <c r="P565" i="1"/>
  <c r="P289" i="1"/>
  <c r="H566" i="2"/>
  <c r="G566" i="2" s="1"/>
  <c r="P229" i="1"/>
  <c r="H506" i="2"/>
  <c r="G506" i="2" s="1"/>
  <c r="P85" i="1"/>
  <c r="H362" i="2"/>
  <c r="G362" i="2" s="1"/>
  <c r="P37" i="1"/>
  <c r="H314" i="2"/>
  <c r="G314" i="2" s="1"/>
  <c r="P998" i="1"/>
  <c r="H278" i="2"/>
  <c r="G278" i="2" s="1"/>
  <c r="P948" i="1"/>
  <c r="H206" i="2"/>
  <c r="G206" i="2" s="1"/>
  <c r="P900" i="1"/>
  <c r="H158" i="2"/>
  <c r="G158" i="2" s="1"/>
  <c r="P840" i="1"/>
  <c r="H134" i="2"/>
  <c r="G134" i="2" s="1"/>
  <c r="P768" i="1"/>
  <c r="H62" i="2"/>
  <c r="G62" i="2" s="1"/>
  <c r="E471" i="9"/>
  <c r="E616" i="9"/>
  <c r="E628" i="9"/>
  <c r="E772" i="9"/>
  <c r="E815" i="9"/>
  <c r="P660" i="1"/>
  <c r="H937" i="2"/>
  <c r="G937" i="2" s="1"/>
  <c r="P528" i="1"/>
  <c r="P504" i="1"/>
  <c r="P384" i="1"/>
  <c r="H661" i="2"/>
  <c r="G661" i="2" s="1"/>
  <c r="P252" i="1"/>
  <c r="H529" i="2"/>
  <c r="G529" i="2" s="1"/>
  <c r="P144" i="1"/>
  <c r="H421" i="2"/>
  <c r="G421" i="2" s="1"/>
  <c r="P959" i="1"/>
  <c r="H253" i="2"/>
  <c r="G253" i="2" s="1"/>
  <c r="P932" i="1"/>
  <c r="H229" i="2"/>
  <c r="G229" i="2" s="1"/>
  <c r="P887" i="1"/>
  <c r="H181" i="2"/>
  <c r="G181" i="2" s="1"/>
  <c r="P803" i="1"/>
  <c r="H109" i="2"/>
  <c r="G109" i="2" s="1"/>
  <c r="E448" i="9"/>
  <c r="E472" i="9"/>
  <c r="E495" i="9"/>
  <c r="E527" i="9"/>
  <c r="E560" i="9"/>
  <c r="E572" i="9"/>
  <c r="E652" i="9"/>
  <c r="E740" i="9"/>
  <c r="E805" i="9"/>
  <c r="H913" i="2"/>
  <c r="G913" i="2" s="1"/>
  <c r="H623" i="2"/>
  <c r="G623" i="2" s="1"/>
  <c r="H581" i="2"/>
  <c r="G581" i="2" s="1"/>
  <c r="H557" i="2"/>
  <c r="G557" i="2" s="1"/>
  <c r="H413" i="2"/>
  <c r="G413" i="2" s="1"/>
  <c r="H389" i="2"/>
  <c r="G389" i="2" s="1"/>
  <c r="H241" i="2"/>
  <c r="G241" i="2" s="1"/>
  <c r="P311" i="1"/>
  <c r="H588" i="2"/>
  <c r="G588" i="2" s="1"/>
  <c r="P227" i="1"/>
  <c r="H504" i="2"/>
  <c r="G504" i="2" s="1"/>
  <c r="P83" i="1"/>
  <c r="H360" i="2"/>
  <c r="G360" i="2" s="1"/>
  <c r="P993" i="1"/>
  <c r="H276" i="2"/>
  <c r="G276" i="2" s="1"/>
  <c r="E676" i="9"/>
  <c r="E496" i="9"/>
  <c r="E892" i="9"/>
  <c r="E32" i="9"/>
  <c r="E414" i="9"/>
  <c r="E402" i="9"/>
  <c r="E390" i="9"/>
  <c r="E378" i="9"/>
  <c r="E366" i="9"/>
  <c r="E354" i="9"/>
  <c r="E342" i="9"/>
  <c r="E282" i="9"/>
  <c r="E429" i="9"/>
  <c r="E529" i="9"/>
  <c r="E608" i="9"/>
  <c r="E688" i="9"/>
  <c r="E785" i="9"/>
  <c r="E836" i="9"/>
  <c r="E848" i="9"/>
  <c r="E904" i="9"/>
  <c r="E996" i="9"/>
  <c r="E562" i="9"/>
  <c r="H997" i="2"/>
  <c r="G997" i="2" s="1"/>
  <c r="H911" i="2"/>
  <c r="G911" i="2" s="1"/>
  <c r="H601" i="2"/>
  <c r="G601" i="2" s="1"/>
  <c r="H457" i="2"/>
  <c r="G457" i="2" s="1"/>
  <c r="H433" i="2"/>
  <c r="G433" i="2" s="1"/>
  <c r="H157" i="2"/>
  <c r="G157" i="2" s="1"/>
  <c r="E400" i="9"/>
  <c r="E553" i="9"/>
  <c r="H949" i="2"/>
  <c r="G949" i="2" s="1"/>
  <c r="H721" i="2"/>
  <c r="G721" i="2" s="1"/>
  <c r="H697" i="2"/>
  <c r="G697" i="2" s="1"/>
  <c r="H337" i="2"/>
  <c r="G337" i="2" s="1"/>
  <c r="H289" i="2"/>
  <c r="G289" i="2" s="1"/>
  <c r="H265" i="2"/>
  <c r="G265" i="2" s="1"/>
  <c r="H207" i="2"/>
  <c r="G207" i="2" s="1"/>
  <c r="E507" i="9"/>
  <c r="E412" i="9"/>
  <c r="E364" i="9"/>
  <c r="E519" i="9"/>
  <c r="E633" i="9"/>
  <c r="E411" i="9"/>
  <c r="E363" i="9"/>
  <c r="E303" i="9"/>
  <c r="E245" i="9"/>
  <c r="E188" i="9"/>
  <c r="E432" i="9"/>
  <c r="E465" i="9"/>
  <c r="E477" i="9"/>
  <c r="E532" i="9"/>
  <c r="E543" i="9"/>
  <c r="E565" i="9"/>
  <c r="E576" i="9"/>
  <c r="E611" i="9"/>
  <c r="E657" i="9"/>
  <c r="E668" i="9"/>
  <c r="E733" i="9"/>
  <c r="E745" i="9"/>
  <c r="E851" i="9"/>
  <c r="E863" i="9"/>
  <c r="E875" i="9"/>
  <c r="E896" i="9"/>
  <c r="E951" i="9"/>
  <c r="H925" i="2"/>
  <c r="G925" i="2" s="1"/>
  <c r="H889" i="2"/>
  <c r="G889" i="2" s="1"/>
  <c r="H617" i="2"/>
  <c r="G617" i="2" s="1"/>
  <c r="H304" i="2"/>
  <c r="G304" i="2" s="1"/>
  <c r="H205" i="2"/>
  <c r="G205" i="2" s="1"/>
  <c r="H173" i="2"/>
  <c r="G173" i="2" s="1"/>
  <c r="H148" i="2"/>
  <c r="G148" i="2" s="1"/>
  <c r="H64" i="2"/>
  <c r="G64" i="2" s="1"/>
  <c r="P546" i="1"/>
  <c r="P270" i="1"/>
  <c r="H547" i="2"/>
  <c r="G547" i="2" s="1"/>
  <c r="P66" i="1"/>
  <c r="H343" i="2"/>
  <c r="G343" i="2" s="1"/>
  <c r="E743" i="9"/>
  <c r="E827" i="9"/>
  <c r="E916" i="9"/>
  <c r="E388" i="9"/>
  <c r="E376" i="9"/>
  <c r="E352" i="9"/>
  <c r="E431" i="9"/>
  <c r="E508" i="9"/>
  <c r="E531" i="9"/>
  <c r="E621" i="9"/>
  <c r="E384" i="9"/>
  <c r="E348" i="9"/>
  <c r="E240" i="9"/>
  <c r="E192" i="9"/>
  <c r="E399" i="9"/>
  <c r="E387" i="9"/>
  <c r="E375" i="9"/>
  <c r="E351" i="9"/>
  <c r="E339" i="9"/>
  <c r="E327" i="9"/>
  <c r="E315" i="9"/>
  <c r="E291" i="9"/>
  <c r="E279" i="9"/>
  <c r="E233" i="9"/>
  <c r="E251" i="9"/>
  <c r="E410" i="9"/>
  <c r="E398" i="9"/>
  <c r="E267" i="9"/>
  <c r="E433" i="9"/>
  <c r="E489" i="9"/>
  <c r="E544" i="9"/>
  <c r="E555" i="9"/>
  <c r="E577" i="9"/>
  <c r="E589" i="9"/>
  <c r="E646" i="9"/>
  <c r="E712" i="9"/>
  <c r="E724" i="9"/>
  <c r="E852" i="9"/>
  <c r="E885" i="9"/>
  <c r="H988" i="2"/>
  <c r="G988" i="2" s="1"/>
  <c r="H965" i="2"/>
  <c r="G965" i="2" s="1"/>
  <c r="H673" i="2"/>
  <c r="G673" i="2" s="1"/>
  <c r="H649" i="2"/>
  <c r="G649" i="2" s="1"/>
  <c r="H616" i="2"/>
  <c r="G616" i="2" s="1"/>
  <c r="H496" i="2"/>
  <c r="G496" i="2" s="1"/>
  <c r="H448" i="2"/>
  <c r="G448" i="2" s="1"/>
  <c r="H353" i="2"/>
  <c r="G353" i="2" s="1"/>
  <c r="H145" i="2"/>
  <c r="G145" i="2" s="1"/>
  <c r="H121" i="2"/>
  <c r="G121" i="2" s="1"/>
  <c r="E186" i="9"/>
  <c r="E455" i="9"/>
  <c r="E467" i="9"/>
  <c r="E556" i="9"/>
  <c r="E601" i="9"/>
  <c r="E635" i="9"/>
  <c r="E647" i="9"/>
  <c r="E659" i="9"/>
  <c r="E681" i="9"/>
  <c r="E1000" i="9"/>
  <c r="P640" i="1"/>
  <c r="H917" i="2"/>
  <c r="G917" i="2" s="1"/>
  <c r="P484" i="1"/>
  <c r="H761" i="2"/>
  <c r="G761" i="2" s="1"/>
  <c r="P448" i="1"/>
  <c r="P364" i="1"/>
  <c r="H641" i="2"/>
  <c r="G641" i="2" s="1"/>
  <c r="P268" i="1"/>
  <c r="H545" i="2"/>
  <c r="G545" i="2" s="1"/>
  <c r="P208" i="1"/>
  <c r="H485" i="2"/>
  <c r="G485" i="2" s="1"/>
  <c r="P124" i="1"/>
  <c r="H401" i="2"/>
  <c r="G401" i="2" s="1"/>
  <c r="D267" i="10"/>
  <c r="E213" i="9"/>
  <c r="P627" i="1"/>
  <c r="H904" i="2"/>
  <c r="G904" i="2" s="1"/>
  <c r="P351" i="1"/>
  <c r="H628" i="2"/>
  <c r="G628" i="2" s="1"/>
  <c r="P159" i="1"/>
  <c r="H436" i="2"/>
  <c r="G436" i="2" s="1"/>
  <c r="P63" i="1"/>
  <c r="H340" i="2"/>
  <c r="G340" i="2" s="1"/>
  <c r="P962" i="1"/>
  <c r="H256" i="2"/>
  <c r="G256" i="2" s="1"/>
  <c r="P950" i="1"/>
  <c r="H208" i="2"/>
  <c r="G208" i="2" s="1"/>
  <c r="P802" i="1"/>
  <c r="D985" i="10"/>
  <c r="D973" i="10"/>
  <c r="D961" i="10"/>
  <c r="D949" i="10"/>
  <c r="D937" i="10"/>
  <c r="D925" i="10"/>
  <c r="D913" i="10"/>
  <c r="D901" i="10"/>
  <c r="D889" i="10"/>
  <c r="D877" i="10"/>
  <c r="D865" i="10"/>
  <c r="D853" i="10"/>
  <c r="D841" i="10"/>
  <c r="D829" i="10"/>
  <c r="D817" i="10"/>
  <c r="D805" i="10"/>
  <c r="D793" i="10"/>
  <c r="D781" i="10"/>
  <c r="D769" i="10"/>
  <c r="D757" i="10"/>
  <c r="D745" i="10"/>
  <c r="D733" i="10"/>
  <c r="D721" i="10"/>
  <c r="D709" i="10"/>
  <c r="D697" i="10"/>
  <c r="D685" i="10"/>
  <c r="D673" i="10"/>
  <c r="D661" i="10"/>
  <c r="D649" i="10"/>
  <c r="D637" i="10"/>
  <c r="D625" i="10"/>
  <c r="D613" i="10"/>
  <c r="D601" i="10"/>
  <c r="D589" i="10"/>
  <c r="D577" i="10"/>
  <c r="D565" i="10"/>
  <c r="D553" i="10"/>
  <c r="D541" i="10"/>
  <c r="D529" i="10"/>
  <c r="D517" i="10"/>
  <c r="D505" i="10"/>
  <c r="D493" i="10"/>
  <c r="D481" i="10"/>
  <c r="D469" i="10"/>
  <c r="D457" i="10"/>
  <c r="D445" i="10"/>
  <c r="D433" i="10"/>
  <c r="D421" i="10"/>
  <c r="D409" i="10"/>
  <c r="D397" i="10"/>
  <c r="D385" i="10"/>
  <c r="D373" i="10"/>
  <c r="D361" i="10"/>
  <c r="D349" i="10"/>
  <c r="D337" i="10"/>
  <c r="D325" i="10"/>
  <c r="D313" i="10"/>
  <c r="D301" i="10"/>
  <c r="D289" i="10"/>
  <c r="D277" i="10"/>
  <c r="D265" i="10"/>
  <c r="D253" i="10"/>
  <c r="D241" i="10"/>
  <c r="D229" i="10"/>
  <c r="D217" i="10"/>
  <c r="D205" i="10"/>
  <c r="D193" i="10"/>
  <c r="D181" i="10"/>
  <c r="D169" i="10"/>
  <c r="D252" i="10"/>
  <c r="D161" i="10"/>
  <c r="P714" i="1"/>
  <c r="H991" i="2"/>
  <c r="G991" i="2" s="1"/>
  <c r="P690" i="1"/>
  <c r="H967" i="2"/>
  <c r="G967" i="2" s="1"/>
  <c r="P678" i="1"/>
  <c r="H955" i="2"/>
  <c r="G955" i="2" s="1"/>
  <c r="P666" i="1"/>
  <c r="H943" i="2"/>
  <c r="G943" i="2" s="1"/>
  <c r="P654" i="1"/>
  <c r="H931" i="2"/>
  <c r="G931" i="2" s="1"/>
  <c r="P618" i="1"/>
  <c r="H895" i="2"/>
  <c r="G895" i="2" s="1"/>
  <c r="P606" i="1"/>
  <c r="P582" i="1"/>
  <c r="P570" i="1"/>
  <c r="P558" i="1"/>
  <c r="P534" i="1"/>
  <c r="P522" i="1"/>
  <c r="P510" i="1"/>
  <c r="P486" i="1"/>
  <c r="P474" i="1"/>
  <c r="P438" i="1"/>
  <c r="H715" i="2"/>
  <c r="G715" i="2" s="1"/>
  <c r="P426" i="1"/>
  <c r="H703" i="2"/>
  <c r="G703" i="2" s="1"/>
  <c r="P402" i="1"/>
  <c r="H679" i="2"/>
  <c r="G679" i="2" s="1"/>
  <c r="P390" i="1"/>
  <c r="H667" i="2"/>
  <c r="G667" i="2" s="1"/>
  <c r="P378" i="1"/>
  <c r="H655" i="2"/>
  <c r="G655" i="2" s="1"/>
  <c r="P342" i="1"/>
  <c r="H619" i="2"/>
  <c r="G619" i="2" s="1"/>
  <c r="P330" i="1"/>
  <c r="H607" i="2"/>
  <c r="G607" i="2" s="1"/>
  <c r="P306" i="1"/>
  <c r="H583" i="2"/>
  <c r="G583" i="2" s="1"/>
  <c r="P294" i="1"/>
  <c r="H571" i="2"/>
  <c r="G571" i="2" s="1"/>
  <c r="P282" i="1"/>
  <c r="H559" i="2"/>
  <c r="G559" i="2" s="1"/>
  <c r="P258" i="1"/>
  <c r="H535" i="2"/>
  <c r="G535" i="2" s="1"/>
  <c r="P246" i="1"/>
  <c r="H523" i="2"/>
  <c r="G523" i="2" s="1"/>
  <c r="P222" i="1"/>
  <c r="H499" i="2"/>
  <c r="G499" i="2" s="1"/>
  <c r="P210" i="1"/>
  <c r="H487" i="2"/>
  <c r="G487" i="2" s="1"/>
  <c r="P186" i="1"/>
  <c r="H463" i="2"/>
  <c r="G463" i="2" s="1"/>
  <c r="P174" i="1"/>
  <c r="H451" i="2"/>
  <c r="G451" i="2" s="1"/>
  <c r="P162" i="1"/>
  <c r="H439" i="2"/>
  <c r="G439" i="2" s="1"/>
  <c r="P150" i="1"/>
  <c r="H427" i="2"/>
  <c r="G427" i="2" s="1"/>
  <c r="P126" i="1"/>
  <c r="H403" i="2"/>
  <c r="G403" i="2" s="1"/>
  <c r="P102" i="1"/>
  <c r="H379" i="2"/>
  <c r="G379" i="2" s="1"/>
  <c r="P78" i="1"/>
  <c r="H355" i="2"/>
  <c r="G355" i="2" s="1"/>
  <c r="P54" i="1"/>
  <c r="H331" i="2"/>
  <c r="G331" i="2" s="1"/>
  <c r="P42" i="1"/>
  <c r="H319" i="2"/>
  <c r="G319" i="2" s="1"/>
  <c r="P30" i="1"/>
  <c r="H307" i="2"/>
  <c r="G307" i="2" s="1"/>
  <c r="P18" i="1"/>
  <c r="H295" i="2"/>
  <c r="G295" i="2" s="1"/>
  <c r="P977" i="1"/>
  <c r="H271" i="2"/>
  <c r="G271" i="2" s="1"/>
  <c r="P989" i="1"/>
  <c r="H247" i="2"/>
  <c r="G247" i="2" s="1"/>
  <c r="P929" i="1"/>
  <c r="H223" i="2"/>
  <c r="G223" i="2" s="1"/>
  <c r="P917" i="1"/>
  <c r="H211" i="2"/>
  <c r="G211" i="2" s="1"/>
  <c r="P941" i="1"/>
  <c r="H199" i="2"/>
  <c r="G199" i="2" s="1"/>
  <c r="P905" i="1"/>
  <c r="H163" i="2"/>
  <c r="G163" i="2" s="1"/>
  <c r="P857" i="1"/>
  <c r="H151" i="2"/>
  <c r="G151" i="2" s="1"/>
  <c r="P869" i="1"/>
  <c r="H127" i="2"/>
  <c r="G127" i="2" s="1"/>
  <c r="P999" i="1"/>
  <c r="H79" i="2"/>
  <c r="G79" i="2" s="1"/>
  <c r="P761" i="1"/>
  <c r="H55" i="2"/>
  <c r="G55" i="2" s="1"/>
  <c r="P462" i="1"/>
  <c r="P713" i="1"/>
  <c r="H990" i="2"/>
  <c r="G990" i="2" s="1"/>
  <c r="P701" i="1"/>
  <c r="H978" i="2"/>
  <c r="G978" i="2" s="1"/>
  <c r="P689" i="1"/>
  <c r="H966" i="2"/>
  <c r="G966" i="2" s="1"/>
  <c r="P677" i="1"/>
  <c r="H954" i="2"/>
  <c r="G954" i="2" s="1"/>
  <c r="P665" i="1"/>
  <c r="H942" i="2"/>
  <c r="G942" i="2" s="1"/>
  <c r="P653" i="1"/>
  <c r="H930" i="2"/>
  <c r="G930" i="2" s="1"/>
  <c r="P641" i="1"/>
  <c r="H918" i="2"/>
  <c r="G918" i="2" s="1"/>
  <c r="P617" i="1"/>
  <c r="H894" i="2"/>
  <c r="G894" i="2" s="1"/>
  <c r="P605" i="1"/>
  <c r="P593" i="1"/>
  <c r="P581" i="1"/>
  <c r="P569" i="1"/>
  <c r="P557" i="1"/>
  <c r="P533" i="1"/>
  <c r="P521" i="1"/>
  <c r="H798" i="2"/>
  <c r="G798" i="2" s="1"/>
  <c r="P509" i="1"/>
  <c r="P497" i="1"/>
  <c r="P473" i="1"/>
  <c r="P461" i="1"/>
  <c r="P437" i="1"/>
  <c r="H714" i="2"/>
  <c r="G714" i="2" s="1"/>
  <c r="P425" i="1"/>
  <c r="H702" i="2"/>
  <c r="G702" i="2" s="1"/>
  <c r="P413" i="1"/>
  <c r="H690" i="2"/>
  <c r="G690" i="2" s="1"/>
  <c r="P401" i="1"/>
  <c r="H678" i="2"/>
  <c r="G678" i="2" s="1"/>
  <c r="P389" i="1"/>
  <c r="H666" i="2"/>
  <c r="G666" i="2" s="1"/>
  <c r="P377" i="1"/>
  <c r="H654" i="2"/>
  <c r="G654" i="2" s="1"/>
  <c r="P365" i="1"/>
  <c r="H642" i="2"/>
  <c r="G642" i="2" s="1"/>
  <c r="P329" i="1"/>
  <c r="H606" i="2"/>
  <c r="G606" i="2" s="1"/>
  <c r="P317" i="1"/>
  <c r="H594" i="2"/>
  <c r="G594" i="2" s="1"/>
  <c r="P305" i="1"/>
  <c r="H582" i="2"/>
  <c r="G582" i="2" s="1"/>
  <c r="P293" i="1"/>
  <c r="H570" i="2"/>
  <c r="G570" i="2" s="1"/>
  <c r="P281" i="1"/>
  <c r="H558" i="2"/>
  <c r="G558" i="2" s="1"/>
  <c r="P257" i="1"/>
  <c r="H534" i="2"/>
  <c r="G534" i="2" s="1"/>
  <c r="P245" i="1"/>
  <c r="H522" i="2"/>
  <c r="G522" i="2" s="1"/>
  <c r="P221" i="1"/>
  <c r="H498" i="2"/>
  <c r="G498" i="2" s="1"/>
  <c r="P209" i="1"/>
  <c r="H486" i="2"/>
  <c r="G486" i="2" s="1"/>
  <c r="P719" i="1"/>
  <c r="H996" i="2"/>
  <c r="G996" i="2" s="1"/>
  <c r="P707" i="1"/>
  <c r="H984" i="2"/>
  <c r="G984" i="2" s="1"/>
  <c r="P683" i="1"/>
  <c r="H960" i="2"/>
  <c r="G960" i="2" s="1"/>
  <c r="P671" i="1"/>
  <c r="H948" i="2"/>
  <c r="G948" i="2" s="1"/>
  <c r="P659" i="1"/>
  <c r="H936" i="2"/>
  <c r="G936" i="2" s="1"/>
  <c r="P647" i="1"/>
  <c r="H924" i="2"/>
  <c r="G924" i="2" s="1"/>
  <c r="P623" i="1"/>
  <c r="H900" i="2"/>
  <c r="G900" i="2" s="1"/>
  <c r="P611" i="1"/>
  <c r="H888" i="2"/>
  <c r="G888" i="2" s="1"/>
  <c r="P599" i="1"/>
  <c r="P575" i="1"/>
  <c r="P563" i="1"/>
  <c r="H840" i="2"/>
  <c r="G840" i="2" s="1"/>
  <c r="P551" i="1"/>
  <c r="P539" i="1"/>
  <c r="P527" i="1"/>
  <c r="P515" i="1"/>
  <c r="P503" i="1"/>
  <c r="P467" i="1"/>
  <c r="P455" i="1"/>
  <c r="P443" i="1"/>
  <c r="H720" i="2"/>
  <c r="G720" i="2" s="1"/>
  <c r="P431" i="1"/>
  <c r="H708" i="2"/>
  <c r="G708" i="2" s="1"/>
  <c r="P419" i="1"/>
  <c r="H696" i="2"/>
  <c r="G696" i="2" s="1"/>
  <c r="P395" i="1"/>
  <c r="H672" i="2"/>
  <c r="G672" i="2" s="1"/>
  <c r="P383" i="1"/>
  <c r="H660" i="2"/>
  <c r="G660" i="2" s="1"/>
  <c r="P371" i="1"/>
  <c r="H648" i="2"/>
  <c r="G648" i="2" s="1"/>
  <c r="P347" i="1"/>
  <c r="H624" i="2"/>
  <c r="G624" i="2" s="1"/>
  <c r="P335" i="1"/>
  <c r="H612" i="2"/>
  <c r="G612" i="2" s="1"/>
  <c r="P323" i="1"/>
  <c r="H600" i="2"/>
  <c r="G600" i="2" s="1"/>
  <c r="P299" i="1"/>
  <c r="H576" i="2"/>
  <c r="G576" i="2" s="1"/>
  <c r="P287" i="1"/>
  <c r="H564" i="2"/>
  <c r="G564" i="2" s="1"/>
  <c r="P275" i="1"/>
  <c r="H552" i="2"/>
  <c r="G552" i="2" s="1"/>
  <c r="P263" i="1"/>
  <c r="H540" i="2"/>
  <c r="G540" i="2" s="1"/>
  <c r="P251" i="1"/>
  <c r="H528" i="2"/>
  <c r="G528" i="2" s="1"/>
  <c r="P239" i="1"/>
  <c r="H516" i="2"/>
  <c r="G516" i="2" s="1"/>
  <c r="P215" i="1"/>
  <c r="H492" i="2"/>
  <c r="G492" i="2" s="1"/>
  <c r="P203" i="1"/>
  <c r="H480" i="2"/>
  <c r="G480" i="2" s="1"/>
  <c r="P191" i="1"/>
  <c r="H468" i="2"/>
  <c r="G468" i="2" s="1"/>
  <c r="P179" i="1"/>
  <c r="H456" i="2"/>
  <c r="G456" i="2" s="1"/>
  <c r="P167" i="1"/>
  <c r="H444" i="2"/>
  <c r="G444" i="2" s="1"/>
  <c r="P143" i="1"/>
  <c r="H420" i="2"/>
  <c r="G420" i="2" s="1"/>
  <c r="P119" i="1"/>
  <c r="H396" i="2"/>
  <c r="G396" i="2" s="1"/>
  <c r="P107" i="1"/>
  <c r="H384" i="2"/>
  <c r="G384" i="2" s="1"/>
  <c r="P95" i="1"/>
  <c r="H372" i="2"/>
  <c r="G372" i="2" s="1"/>
  <c r="P71" i="1"/>
  <c r="H348" i="2"/>
  <c r="G348" i="2" s="1"/>
  <c r="P59" i="1"/>
  <c r="H336" i="2"/>
  <c r="G336" i="2" s="1"/>
  <c r="P47" i="1"/>
  <c r="H324" i="2"/>
  <c r="G324" i="2" s="1"/>
  <c r="P35" i="1"/>
  <c r="H312" i="2"/>
  <c r="G312" i="2" s="1"/>
  <c r="P11" i="1"/>
  <c r="H288" i="2"/>
  <c r="G288" i="2" s="1"/>
  <c r="P970" i="1"/>
  <c r="H264" i="2"/>
  <c r="G264" i="2" s="1"/>
  <c r="P958" i="1"/>
  <c r="H252" i="2"/>
  <c r="G252" i="2" s="1"/>
  <c r="P935" i="1"/>
  <c r="H228" i="2"/>
  <c r="G228" i="2" s="1"/>
  <c r="P922" i="1"/>
  <c r="H216" i="2"/>
  <c r="G216" i="2" s="1"/>
  <c r="P946" i="1"/>
  <c r="H204" i="2"/>
  <c r="G204" i="2" s="1"/>
  <c r="P886" i="1"/>
  <c r="H180" i="2"/>
  <c r="G180" i="2" s="1"/>
  <c r="P910" i="1"/>
  <c r="H168" i="2"/>
  <c r="G168" i="2" s="1"/>
  <c r="P898" i="1"/>
  <c r="H156" i="2"/>
  <c r="G156" i="2" s="1"/>
  <c r="P850" i="1"/>
  <c r="H144" i="2"/>
  <c r="G144" i="2" s="1"/>
  <c r="P838" i="1"/>
  <c r="H132" i="2"/>
  <c r="G132" i="2" s="1"/>
  <c r="P862" i="1"/>
  <c r="H120" i="2"/>
  <c r="G120" i="2" s="1"/>
  <c r="P813" i="1"/>
  <c r="H108" i="2"/>
  <c r="G108" i="2" s="1"/>
  <c r="P859" i="1"/>
  <c r="H96" i="2"/>
  <c r="G96" i="2" s="1"/>
  <c r="P779" i="1"/>
  <c r="H72" i="2"/>
  <c r="G72" i="2" s="1"/>
  <c r="P766" i="1"/>
  <c r="H60" i="2"/>
  <c r="G60" i="2" s="1"/>
  <c r="P790" i="1"/>
  <c r="H48" i="2"/>
  <c r="G48" i="2" s="1"/>
  <c r="H515" i="2"/>
  <c r="G515" i="2" s="1"/>
  <c r="H995" i="2"/>
  <c r="G995" i="2" s="1"/>
  <c r="H803" i="2"/>
  <c r="G803" i="2" s="1"/>
  <c r="H707" i="2"/>
  <c r="G707" i="2" s="1"/>
  <c r="H665" i="2"/>
  <c r="G665" i="2" s="1"/>
  <c r="H569" i="2"/>
  <c r="G569" i="2" s="1"/>
  <c r="H269" i="2"/>
  <c r="G269" i="2" s="1"/>
  <c r="H185" i="2"/>
  <c r="G185" i="2" s="1"/>
  <c r="H77" i="2"/>
  <c r="G77" i="2" s="1"/>
  <c r="H317" i="2"/>
  <c r="G317" i="2" s="1"/>
  <c r="H233" i="2"/>
  <c r="G233" i="2" s="1"/>
  <c r="H149" i="2"/>
  <c r="G149" i="2" s="1"/>
  <c r="H977" i="2"/>
  <c r="G977" i="2" s="1"/>
  <c r="H923" i="2"/>
  <c r="G923" i="2" s="1"/>
  <c r="H689" i="2"/>
  <c r="G689" i="2" s="1"/>
  <c r="H647" i="2"/>
  <c r="G647" i="2" s="1"/>
  <c r="H593" i="2"/>
  <c r="G593" i="2" s="1"/>
  <c r="H509" i="2"/>
  <c r="G509" i="2" s="1"/>
  <c r="H461" i="2"/>
  <c r="G461" i="2" s="1"/>
  <c r="H245" i="2"/>
  <c r="G245" i="2" s="1"/>
  <c r="H197" i="2"/>
  <c r="G197" i="2" s="1"/>
  <c r="H89" i="2"/>
  <c r="G89" i="2" s="1"/>
  <c r="H976" i="2"/>
  <c r="G976" i="2" s="1"/>
  <c r="H935" i="2"/>
  <c r="G935" i="2" s="1"/>
  <c r="H688" i="2"/>
  <c r="G688" i="2" s="1"/>
  <c r="H659" i="2"/>
  <c r="G659" i="2" s="1"/>
  <c r="H592" i="2"/>
  <c r="G592" i="2" s="1"/>
  <c r="H563" i="2"/>
  <c r="G563" i="2" s="1"/>
  <c r="H521" i="2"/>
  <c r="G521" i="2" s="1"/>
  <c r="H377" i="2"/>
  <c r="G377" i="2" s="1"/>
  <c r="H329" i="2"/>
  <c r="G329" i="2" s="1"/>
  <c r="H244" i="2"/>
  <c r="G244" i="2" s="1"/>
  <c r="H196" i="2"/>
  <c r="G196" i="2" s="1"/>
  <c r="H142" i="2"/>
  <c r="G142" i="2" s="1"/>
  <c r="H125" i="2"/>
  <c r="G125" i="2" s="1"/>
  <c r="H989" i="2"/>
  <c r="G989" i="2" s="1"/>
  <c r="H947" i="2"/>
  <c r="G947" i="2" s="1"/>
  <c r="H701" i="2"/>
  <c r="G701" i="2" s="1"/>
  <c r="H605" i="2"/>
  <c r="G605" i="2" s="1"/>
  <c r="H899" i="2"/>
  <c r="G899" i="2" s="1"/>
  <c r="H611" i="2"/>
  <c r="G611" i="2" s="1"/>
  <c r="E972" i="9"/>
  <c r="H671" i="2"/>
  <c r="G671" i="2" s="1"/>
  <c r="H527" i="2"/>
  <c r="G527" i="2" s="1"/>
  <c r="E261" i="9"/>
  <c r="E296" i="9"/>
  <c r="E718" i="9"/>
  <c r="H971" i="2"/>
  <c r="G971" i="2" s="1"/>
  <c r="H683" i="2"/>
  <c r="G683" i="2" s="1"/>
  <c r="H539" i="2"/>
  <c r="G539" i="2" s="1"/>
  <c r="E273" i="9"/>
  <c r="E284" i="9"/>
  <c r="H983" i="2"/>
  <c r="G983" i="2" s="1"/>
  <c r="H839" i="2"/>
  <c r="G839" i="2" s="1"/>
  <c r="H695" i="2"/>
  <c r="G695" i="2" s="1"/>
  <c r="H551" i="2"/>
  <c r="G551" i="2" s="1"/>
  <c r="H719" i="2"/>
  <c r="G719" i="2" s="1"/>
  <c r="H575" i="2"/>
  <c r="G575" i="2" s="1"/>
  <c r="P938" i="1"/>
  <c r="P926" i="1"/>
  <c r="P890" i="1"/>
  <c r="P878" i="1"/>
  <c r="P842" i="1"/>
  <c r="P866" i="1"/>
  <c r="P826" i="1"/>
  <c r="P782" i="1"/>
  <c r="H587" i="2"/>
  <c r="G587" i="2" s="1"/>
  <c r="H887" i="2"/>
  <c r="G887" i="2" s="1"/>
  <c r="H599" i="2"/>
  <c r="G599" i="2" s="1"/>
  <c r="G1000" i="2"/>
  <c r="G700" i="2"/>
  <c r="E294" i="9"/>
  <c r="E453" i="9"/>
  <c r="E463" i="9"/>
  <c r="E492" i="9"/>
  <c r="E501" i="9"/>
  <c r="E528" i="9"/>
  <c r="E660" i="9"/>
  <c r="E669" i="9"/>
  <c r="E679" i="9"/>
  <c r="E788" i="9"/>
  <c r="E800" i="9"/>
  <c r="E849" i="9"/>
  <c r="E888" i="9"/>
  <c r="E979" i="9"/>
  <c r="E369" i="9"/>
  <c r="E321" i="9"/>
  <c r="E368" i="9"/>
  <c r="E332" i="9"/>
  <c r="E418" i="9"/>
  <c r="E444" i="9"/>
  <c r="E454" i="9"/>
  <c r="E464" i="9"/>
  <c r="E483" i="9"/>
  <c r="E540" i="9"/>
  <c r="E549" i="9"/>
  <c r="E680" i="9"/>
  <c r="E720" i="9"/>
  <c r="E738" i="9"/>
  <c r="E768" i="9"/>
  <c r="E778" i="9"/>
  <c r="E801" i="9"/>
  <c r="E810" i="9"/>
  <c r="E829" i="9"/>
  <c r="E859" i="9"/>
  <c r="E871" i="9"/>
  <c r="E898" i="9"/>
  <c r="E908" i="9"/>
  <c r="E936" i="9"/>
  <c r="E968" i="9"/>
  <c r="E980" i="9"/>
  <c r="E990" i="9"/>
  <c r="E917" i="9"/>
  <c r="E624" i="9"/>
  <c r="E210" i="9"/>
  <c r="E183" i="9"/>
  <c r="E392" i="9"/>
  <c r="E380" i="9"/>
  <c r="E356" i="9"/>
  <c r="E344" i="9"/>
  <c r="E320" i="9"/>
  <c r="E3" i="9"/>
  <c r="E403" i="9"/>
  <c r="E367" i="9"/>
  <c r="E355" i="9"/>
  <c r="E172" i="9"/>
  <c r="E427" i="9"/>
  <c r="E445" i="9"/>
  <c r="E502" i="9"/>
  <c r="E550" i="9"/>
  <c r="E570" i="9"/>
  <c r="E596" i="9"/>
  <c r="E691" i="9"/>
  <c r="E739" i="9"/>
  <c r="E749" i="9"/>
  <c r="E769" i="9"/>
  <c r="E860" i="9"/>
  <c r="E909" i="9"/>
  <c r="E947" i="9"/>
  <c r="E664" i="9"/>
  <c r="E520" i="9"/>
  <c r="E708" i="9"/>
  <c r="E420" i="9"/>
  <c r="E588" i="9"/>
  <c r="E597" i="9"/>
  <c r="E780" i="9"/>
  <c r="E861" i="9"/>
  <c r="E872" i="9"/>
  <c r="E900" i="9"/>
  <c r="E276" i="9"/>
  <c r="E585" i="9"/>
  <c r="E302" i="9"/>
  <c r="E266" i="9"/>
  <c r="E413" i="9"/>
  <c r="E401" i="9"/>
  <c r="E389" i="9"/>
  <c r="E377" i="9"/>
  <c r="E365" i="9"/>
  <c r="E353" i="9"/>
  <c r="E341" i="9"/>
  <c r="E329" i="9"/>
  <c r="E281" i="9"/>
  <c r="E270" i="9"/>
  <c r="E224" i="9"/>
  <c r="E466" i="9"/>
  <c r="E561" i="9"/>
  <c r="E609" i="9"/>
  <c r="E631" i="9"/>
  <c r="E642" i="9"/>
  <c r="E741" i="9"/>
  <c r="E751" i="9"/>
  <c r="E812" i="9"/>
  <c r="E822" i="9"/>
  <c r="E841" i="9"/>
  <c r="E901" i="9"/>
  <c r="E921" i="9"/>
  <c r="E930" i="9"/>
  <c r="E949" i="9"/>
  <c r="E960" i="9"/>
  <c r="E992" i="9"/>
  <c r="E300" i="9"/>
  <c r="E164" i="9"/>
  <c r="E346" i="9"/>
  <c r="E756" i="9"/>
  <c r="E385" i="9"/>
  <c r="E361" i="9"/>
  <c r="E325" i="9"/>
  <c r="E313" i="9"/>
  <c r="E301" i="9"/>
  <c r="E610" i="9"/>
  <c r="E620" i="9"/>
  <c r="E632" i="9"/>
  <c r="E694" i="9"/>
  <c r="E723" i="9"/>
  <c r="E742" i="9"/>
  <c r="E752" i="9"/>
  <c r="E813" i="9"/>
  <c r="E939" i="9"/>
  <c r="E994" i="9"/>
  <c r="E612" i="9"/>
  <c r="E488" i="9"/>
  <c r="E564" i="9"/>
  <c r="E574" i="9"/>
  <c r="E622" i="9"/>
  <c r="E645" i="9"/>
  <c r="E656" i="9"/>
  <c r="E666" i="9"/>
  <c r="E675" i="9"/>
  <c r="E685" i="9"/>
  <c r="E853" i="9"/>
  <c r="E883" i="9"/>
  <c r="E941" i="9"/>
  <c r="E985" i="9"/>
  <c r="E442" i="9"/>
  <c r="E480" i="9"/>
  <c r="E537" i="9"/>
  <c r="E547" i="9"/>
  <c r="E636" i="9"/>
  <c r="E717" i="9"/>
  <c r="E847" i="9"/>
  <c r="E955" i="9"/>
  <c r="H543" i="2"/>
  <c r="G543" i="2" s="1"/>
  <c r="P220" i="1"/>
  <c r="H497" i="2"/>
  <c r="G497" i="2" s="1"/>
  <c r="P196" i="1"/>
  <c r="H473" i="2"/>
  <c r="G473" i="2" s="1"/>
  <c r="P172" i="1"/>
  <c r="H449" i="2"/>
  <c r="G449" i="2" s="1"/>
  <c r="P160" i="1"/>
  <c r="H437" i="2"/>
  <c r="G437" i="2" s="1"/>
  <c r="P148" i="1"/>
  <c r="H425" i="2"/>
  <c r="G425" i="2" s="1"/>
  <c r="P88" i="1"/>
  <c r="H365" i="2"/>
  <c r="G365" i="2" s="1"/>
  <c r="P28" i="1"/>
  <c r="H305" i="2"/>
  <c r="G305" i="2" s="1"/>
  <c r="P4" i="1"/>
  <c r="H281" i="2"/>
  <c r="G281" i="2" s="1"/>
  <c r="P927" i="1"/>
  <c r="H221" i="2"/>
  <c r="G221" i="2" s="1"/>
  <c r="P951" i="1"/>
  <c r="H209" i="2"/>
  <c r="G209" i="2" s="1"/>
  <c r="P902" i="1"/>
  <c r="H161" i="2"/>
  <c r="G161" i="2" s="1"/>
  <c r="P806" i="1"/>
  <c r="H113" i="2"/>
  <c r="G113" i="2" s="1"/>
  <c r="P771" i="1"/>
  <c r="H65" i="2"/>
  <c r="G65" i="2" s="1"/>
  <c r="P795" i="1"/>
  <c r="H53" i="2"/>
  <c r="G53" i="2" s="1"/>
  <c r="P808" i="1"/>
  <c r="H115" i="2"/>
  <c r="G115" i="2" s="1"/>
  <c r="P773" i="1"/>
  <c r="H67" i="2"/>
  <c r="G67" i="2" s="1"/>
  <c r="P1000" i="1"/>
  <c r="H54" i="2"/>
  <c r="G54" i="2" s="1"/>
  <c r="D987" i="10"/>
  <c r="D555" i="10"/>
  <c r="D183" i="10"/>
  <c r="P853" i="1"/>
  <c r="H146" i="2"/>
  <c r="G146" i="2" s="1"/>
  <c r="P817" i="1"/>
  <c r="H98" i="2"/>
  <c r="G98" i="2" s="1"/>
  <c r="D984" i="10"/>
  <c r="D946" i="10"/>
  <c r="D442" i="10"/>
  <c r="P952" i="1"/>
  <c r="P894" i="1"/>
  <c r="P845" i="1"/>
  <c r="P829" i="1"/>
  <c r="P785" i="1"/>
  <c r="B42" i="9"/>
  <c r="E42" i="9" s="1"/>
  <c r="E415" i="9"/>
  <c r="E409" i="9"/>
  <c r="E265" i="9"/>
  <c r="E31" i="9"/>
  <c r="E258" i="9"/>
  <c r="E650" i="9"/>
  <c r="E878" i="9"/>
  <c r="E304" i="9"/>
  <c r="E292" i="9"/>
  <c r="E280" i="9"/>
  <c r="E269" i="9"/>
  <c r="E257" i="9"/>
  <c r="E246" i="9"/>
  <c r="E234" i="9"/>
  <c r="E171" i="9"/>
  <c r="E459" i="9"/>
  <c r="E551" i="9"/>
  <c r="E595" i="9"/>
  <c r="E623" i="9"/>
  <c r="E651" i="9"/>
  <c r="E715" i="9"/>
  <c r="E811" i="9"/>
  <c r="E830" i="9"/>
  <c r="E839" i="9"/>
  <c r="E887" i="9"/>
  <c r="E897" i="9"/>
  <c r="E578" i="9"/>
  <c r="E926" i="9"/>
  <c r="E986" i="9"/>
  <c r="E268" i="9"/>
  <c r="E256" i="9"/>
  <c r="E180" i="9"/>
  <c r="E244" i="9"/>
  <c r="E614" i="9"/>
  <c r="E643" i="9"/>
  <c r="E763" i="9"/>
  <c r="E935" i="9"/>
  <c r="E945" i="9"/>
  <c r="E958" i="9"/>
  <c r="E946" i="9"/>
  <c r="E874" i="9"/>
  <c r="E706" i="9"/>
  <c r="E658" i="9"/>
  <c r="E586" i="9"/>
  <c r="E386" i="9"/>
  <c r="E182" i="9"/>
  <c r="E170" i="9"/>
  <c r="E277" i="9"/>
  <c r="E255" i="9"/>
  <c r="E232" i="9"/>
  <c r="E198" i="9"/>
  <c r="E470" i="9"/>
  <c r="E518" i="9"/>
  <c r="E535" i="9"/>
  <c r="E615" i="9"/>
  <c r="E689" i="9"/>
  <c r="E735" i="9"/>
  <c r="E755" i="9"/>
  <c r="E842" i="9"/>
  <c r="E967" i="9"/>
  <c r="E391" i="9"/>
  <c r="E379" i="9"/>
  <c r="E345" i="9"/>
  <c r="E287" i="9"/>
  <c r="E275" i="9"/>
  <c r="E446" i="9"/>
  <c r="E274" i="9"/>
  <c r="E343" i="9"/>
  <c r="E217" i="9"/>
  <c r="E710" i="9"/>
  <c r="E991" i="9"/>
  <c r="E989" i="9"/>
  <c r="E893" i="9"/>
  <c r="E713" i="9"/>
  <c r="E629" i="9"/>
  <c r="E605" i="9"/>
  <c r="E569" i="9"/>
  <c r="E497" i="9"/>
  <c r="E333" i="9"/>
  <c r="E177" i="9"/>
  <c r="E331" i="9"/>
  <c r="E216" i="9"/>
  <c r="E422" i="9"/>
  <c r="E566" i="9"/>
  <c r="E866" i="9"/>
  <c r="E914" i="9"/>
  <c r="E357" i="9"/>
  <c r="E165" i="9"/>
  <c r="E319" i="9"/>
  <c r="E238" i="9"/>
  <c r="E330" i="9"/>
  <c r="E318" i="9"/>
  <c r="E226" i="9"/>
  <c r="E482" i="9"/>
  <c r="E638" i="9"/>
  <c r="E962" i="9"/>
  <c r="E867" i="9"/>
  <c r="E447" i="9"/>
  <c r="E416" i="9"/>
  <c r="E404" i="9"/>
  <c r="E176" i="9"/>
  <c r="E340" i="9"/>
  <c r="E214" i="9"/>
  <c r="E424" i="9"/>
  <c r="E450" i="9"/>
  <c r="E458" i="9"/>
  <c r="E474" i="9"/>
  <c r="E579" i="9"/>
  <c r="E587" i="9"/>
  <c r="E672" i="9"/>
  <c r="E704" i="9"/>
  <c r="E765" i="9"/>
  <c r="E792" i="9"/>
  <c r="E828" i="9"/>
  <c r="E837" i="9"/>
  <c r="E884" i="9"/>
  <c r="E911" i="9"/>
  <c r="E953" i="9"/>
  <c r="E995" i="9"/>
  <c r="E425" i="9"/>
  <c r="E451" i="9"/>
  <c r="E498" i="9"/>
  <c r="E521" i="9"/>
  <c r="E554" i="9"/>
  <c r="E563" i="9"/>
  <c r="E580" i="9"/>
  <c r="E665" i="9"/>
  <c r="E722" i="9"/>
  <c r="E748" i="9"/>
  <c r="E920" i="9"/>
  <c r="E928" i="9"/>
  <c r="E683" i="9"/>
  <c r="E759" i="9"/>
  <c r="E777" i="9"/>
  <c r="E814" i="9"/>
  <c r="E823" i="9"/>
  <c r="E923" i="9"/>
  <c r="E998" i="9"/>
  <c r="E693" i="9"/>
  <c r="E727" i="9"/>
  <c r="E779" i="9"/>
  <c r="E806" i="9"/>
  <c r="E899" i="9"/>
  <c r="E907" i="9"/>
  <c r="E686" i="9"/>
  <c r="E789" i="9"/>
  <c r="E976" i="9"/>
  <c r="E952" i="9"/>
  <c r="E880" i="9"/>
  <c r="E844" i="9"/>
  <c r="E808" i="9"/>
  <c r="E760" i="9"/>
  <c r="E736" i="9"/>
  <c r="E460" i="9"/>
  <c r="E526" i="9"/>
  <c r="E490" i="9"/>
  <c r="E430" i="9"/>
  <c r="D899" i="10"/>
  <c r="D539" i="10"/>
  <c r="G961" i="2"/>
  <c r="H462" i="2"/>
  <c r="G462" i="2" s="1"/>
  <c r="P185" i="1"/>
  <c r="H222" i="2"/>
  <c r="G222" i="2" s="1"/>
  <c r="P928" i="1"/>
  <c r="P615" i="1"/>
  <c r="P567" i="1"/>
  <c r="P519" i="1"/>
  <c r="P471" i="1"/>
  <c r="P423" i="1"/>
  <c r="P375" i="1"/>
  <c r="P327" i="1"/>
  <c r="P279" i="1"/>
  <c r="P231" i="1"/>
  <c r="P183" i="1"/>
  <c r="P147" i="1"/>
  <c r="P135" i="1"/>
  <c r="P99" i="1"/>
  <c r="P87" i="1"/>
  <c r="P51" i="1"/>
  <c r="P39" i="1"/>
  <c r="P3" i="1"/>
  <c r="P975" i="1"/>
  <c r="P833" i="1"/>
  <c r="H101" i="2"/>
  <c r="G101" i="2" s="1"/>
  <c r="P820" i="1"/>
  <c r="P710" i="1"/>
  <c r="P698" i="1"/>
  <c r="P686" i="1"/>
  <c r="P674" i="1"/>
  <c r="P662" i="1"/>
  <c r="P650" i="1"/>
  <c r="P41" i="1"/>
  <c r="D438" i="10"/>
  <c r="P681" i="1"/>
  <c r="P441" i="1"/>
  <c r="P393" i="1"/>
  <c r="P345" i="1"/>
  <c r="P201" i="1"/>
  <c r="P153" i="1"/>
  <c r="P105" i="1"/>
  <c r="P9" i="1"/>
  <c r="P980" i="1"/>
  <c r="P896" i="1"/>
  <c r="P787" i="1"/>
  <c r="D940" i="10"/>
  <c r="D868" i="10"/>
  <c r="D808" i="10"/>
  <c r="D796" i="10"/>
  <c r="D772" i="10"/>
  <c r="D760" i="10"/>
  <c r="D748" i="10"/>
  <c r="D736" i="10"/>
  <c r="D724" i="10"/>
  <c r="D700" i="10"/>
  <c r="D364" i="10"/>
  <c r="D352" i="10"/>
  <c r="D340" i="10"/>
  <c r="D874" i="10"/>
  <c r="D586" i="10"/>
  <c r="D540" i="10"/>
  <c r="D538" i="10"/>
  <c r="D466" i="10"/>
  <c r="P638" i="1"/>
  <c r="P626" i="1"/>
  <c r="P614" i="1"/>
  <c r="P602" i="1"/>
  <c r="P590" i="1"/>
  <c r="P578" i="1"/>
  <c r="P566" i="1"/>
  <c r="P554" i="1"/>
  <c r="P542" i="1"/>
  <c r="P530" i="1"/>
  <c r="P518" i="1"/>
  <c r="P506" i="1"/>
  <c r="P494" i="1"/>
  <c r="P482" i="1"/>
  <c r="P470" i="1"/>
  <c r="P458" i="1"/>
  <c r="P446" i="1"/>
  <c r="P434" i="1"/>
  <c r="P422" i="1"/>
  <c r="P410" i="1"/>
  <c r="P398" i="1"/>
  <c r="P386" i="1"/>
  <c r="P374" i="1"/>
  <c r="P362" i="1"/>
  <c r="P350" i="1"/>
  <c r="P338" i="1"/>
  <c r="P326" i="1"/>
  <c r="P314" i="1"/>
  <c r="P302" i="1"/>
  <c r="P290" i="1"/>
  <c r="P278" i="1"/>
  <c r="P254" i="1"/>
  <c r="P242" i="1"/>
  <c r="P230" i="1"/>
  <c r="P206" i="1"/>
  <c r="P194" i="1"/>
  <c r="P182" i="1"/>
  <c r="P170" i="1"/>
  <c r="P158" i="1"/>
  <c r="P146" i="1"/>
  <c r="P134" i="1"/>
  <c r="P122" i="1"/>
  <c r="P110" i="1"/>
  <c r="P98" i="1"/>
  <c r="P86" i="1"/>
  <c r="P74" i="1"/>
  <c r="P62" i="1"/>
  <c r="P50" i="1"/>
  <c r="P38" i="1"/>
  <c r="P26" i="1"/>
  <c r="P14" i="1"/>
  <c r="P2" i="1"/>
  <c r="P974" i="1"/>
  <c r="P961" i="1"/>
  <c r="P984" i="1"/>
  <c r="P937" i="1"/>
  <c r="P925" i="1"/>
  <c r="P915" i="1"/>
  <c r="P889" i="1"/>
  <c r="P877" i="1"/>
  <c r="P901" i="1"/>
  <c r="P854" i="1"/>
  <c r="P841" i="1"/>
  <c r="P865" i="1"/>
  <c r="P805" i="1"/>
  <c r="P818" i="1"/>
  <c r="P824" i="1"/>
  <c r="P781" i="1"/>
  <c r="P769" i="1"/>
  <c r="P793" i="1"/>
  <c r="D957" i="10"/>
  <c r="D885" i="10"/>
  <c r="D813" i="10"/>
  <c r="D741" i="10"/>
  <c r="D681" i="10"/>
  <c r="D633" i="10"/>
  <c r="D525" i="10"/>
  <c r="D489" i="10"/>
  <c r="D667" i="10"/>
  <c r="D619" i="10"/>
  <c r="D379" i="10"/>
  <c r="D509" i="10"/>
  <c r="D473" i="10"/>
  <c r="D437" i="10"/>
  <c r="D401" i="10"/>
  <c r="D292" i="10"/>
  <c r="D244" i="10"/>
  <c r="D218" i="10"/>
  <c r="D196" i="10"/>
  <c r="D172" i="10"/>
  <c r="D250" i="10"/>
  <c r="D182" i="10"/>
  <c r="D226" i="10"/>
  <c r="D956" i="10"/>
  <c r="D884" i="10"/>
  <c r="D812" i="10"/>
  <c r="D740" i="10"/>
  <c r="D572" i="10"/>
  <c r="D524" i="10"/>
  <c r="E227" i="9"/>
  <c r="E218" i="9"/>
  <c r="E393" i="9"/>
  <c r="E179" i="9"/>
  <c r="E314" i="9"/>
  <c r="E254" i="9"/>
  <c r="E206" i="9"/>
  <c r="E335" i="9"/>
  <c r="E324" i="9"/>
  <c r="E178" i="9"/>
  <c r="E977" i="9"/>
  <c r="E215" i="9"/>
  <c r="E169" i="9"/>
  <c r="E225" i="9"/>
  <c r="E289" i="9"/>
  <c r="E322" i="9"/>
  <c r="E310" i="9"/>
  <c r="E299" i="9"/>
  <c r="E288" i="9"/>
  <c r="E205" i="9"/>
  <c r="E309" i="9"/>
  <c r="E821" i="9"/>
  <c r="E929" i="9"/>
  <c r="E189" i="9"/>
  <c r="E264" i="9"/>
  <c r="E461" i="9"/>
  <c r="E248" i="9"/>
  <c r="E397" i="9"/>
  <c r="E396" i="9"/>
  <c r="E374" i="9"/>
  <c r="E362" i="9"/>
  <c r="E437" i="9"/>
  <c r="E485" i="9"/>
  <c r="E557" i="9"/>
  <c r="E617" i="9"/>
  <c r="E653" i="9"/>
  <c r="E260" i="9"/>
  <c r="E308" i="9"/>
  <c r="E373" i="9"/>
  <c r="E349" i="9"/>
  <c r="E229" i="9"/>
  <c r="E200" i="9"/>
  <c r="E191" i="9"/>
  <c r="E509" i="9"/>
  <c r="E833" i="9"/>
  <c r="E372" i="9"/>
  <c r="E250" i="9"/>
  <c r="E190" i="9"/>
  <c r="E181" i="9"/>
  <c r="E533" i="9"/>
  <c r="E701" i="9"/>
  <c r="E784" i="9"/>
  <c r="E964" i="9"/>
  <c r="E988" i="9"/>
  <c r="E754" i="9"/>
  <c r="E965" i="9"/>
  <c r="E905" i="9"/>
  <c r="E725" i="9"/>
  <c r="E982" i="9"/>
  <c r="E869" i="9"/>
  <c r="E581" i="9"/>
  <c r="E773" i="9"/>
  <c r="E809" i="9"/>
  <c r="E832" i="9"/>
  <c r="E856" i="9"/>
  <c r="E286" i="9"/>
  <c r="E545" i="9"/>
  <c r="E383" i="9"/>
  <c r="E436" i="9"/>
  <c r="E538" i="9"/>
  <c r="E677" i="9"/>
  <c r="E797" i="9"/>
  <c r="E826" i="9"/>
  <c r="E850" i="9"/>
  <c r="E222" i="9"/>
  <c r="E395" i="9"/>
  <c r="E204" i="9"/>
  <c r="E317" i="9"/>
  <c r="E252" i="9"/>
  <c r="E167" i="9"/>
  <c r="E394" i="9"/>
  <c r="E382" i="9"/>
  <c r="E371" i="9"/>
  <c r="E338" i="9"/>
  <c r="E316" i="9"/>
  <c r="E262" i="9"/>
  <c r="E202" i="9"/>
  <c r="E194" i="9"/>
  <c r="E423" i="9"/>
  <c r="E568" i="9"/>
  <c r="E641" i="9"/>
  <c r="E790" i="9"/>
  <c r="E940" i="9"/>
  <c r="E407" i="9"/>
  <c r="E360" i="9"/>
  <c r="E306" i="9"/>
  <c r="E263" i="9"/>
  <c r="E203" i="9"/>
  <c r="E370" i="9"/>
  <c r="E347" i="9"/>
  <c r="E326" i="9"/>
  <c r="E293" i="9"/>
  <c r="E272" i="9"/>
  <c r="E239" i="9"/>
  <c r="E193" i="9"/>
  <c r="E484" i="9"/>
  <c r="E634" i="9"/>
  <c r="E700" i="9"/>
  <c r="E766" i="9"/>
  <c r="E421" i="9"/>
  <c r="E434" i="9"/>
  <c r="E493" i="9"/>
  <c r="E506" i="9"/>
  <c r="E541" i="9"/>
  <c r="E590" i="9"/>
  <c r="E626" i="9"/>
  <c r="E640" i="9"/>
  <c r="E682" i="9"/>
  <c r="E746" i="9"/>
  <c r="E796" i="9"/>
  <c r="E838" i="9"/>
  <c r="E974" i="9"/>
  <c r="E697" i="9"/>
  <c r="E782" i="9"/>
  <c r="P226" i="1"/>
  <c r="H503" i="2"/>
  <c r="G503" i="2" s="1"/>
  <c r="P214" i="1"/>
  <c r="H491" i="2"/>
  <c r="G491" i="2" s="1"/>
  <c r="P202" i="1"/>
  <c r="H479" i="2"/>
  <c r="G479" i="2" s="1"/>
  <c r="P190" i="1"/>
  <c r="H467" i="2"/>
  <c r="G467" i="2" s="1"/>
  <c r="P178" i="1"/>
  <c r="H455" i="2"/>
  <c r="G455" i="2" s="1"/>
  <c r="P166" i="1"/>
  <c r="H443" i="2"/>
  <c r="G443" i="2" s="1"/>
  <c r="P154" i="1"/>
  <c r="H431" i="2"/>
  <c r="G431" i="2" s="1"/>
  <c r="P142" i="1"/>
  <c r="H419" i="2"/>
  <c r="G419" i="2" s="1"/>
  <c r="P130" i="1"/>
  <c r="H407" i="2"/>
  <c r="G407" i="2" s="1"/>
  <c r="P118" i="1"/>
  <c r="H395" i="2"/>
  <c r="G395" i="2" s="1"/>
  <c r="P106" i="1"/>
  <c r="H383" i="2"/>
  <c r="G383" i="2" s="1"/>
  <c r="P94" i="1"/>
  <c r="H371" i="2"/>
  <c r="G371" i="2" s="1"/>
  <c r="P82" i="1"/>
  <c r="H359" i="2"/>
  <c r="G359" i="2" s="1"/>
  <c r="P70" i="1"/>
  <c r="H347" i="2"/>
  <c r="G347" i="2" s="1"/>
  <c r="P58" i="1"/>
  <c r="H335" i="2"/>
  <c r="G335" i="2" s="1"/>
  <c r="P46" i="1"/>
  <c r="H323" i="2"/>
  <c r="G323" i="2" s="1"/>
  <c r="P34" i="1"/>
  <c r="H311" i="2"/>
  <c r="G311" i="2" s="1"/>
  <c r="P22" i="1"/>
  <c r="H299" i="2"/>
  <c r="G299" i="2" s="1"/>
  <c r="P10" i="1"/>
  <c r="H287" i="2"/>
  <c r="G287" i="2" s="1"/>
  <c r="P996" i="1"/>
  <c r="H275" i="2"/>
  <c r="G275" i="2" s="1"/>
  <c r="P969" i="1"/>
  <c r="H263" i="2"/>
  <c r="G263" i="2" s="1"/>
  <c r="P994" i="1"/>
  <c r="H251" i="2"/>
  <c r="G251" i="2" s="1"/>
  <c r="P981" i="1"/>
  <c r="H239" i="2"/>
  <c r="G239" i="2" s="1"/>
  <c r="P934" i="1"/>
  <c r="H227" i="2"/>
  <c r="G227" i="2" s="1"/>
  <c r="P921" i="1"/>
  <c r="H215" i="2"/>
  <c r="G215" i="2" s="1"/>
  <c r="P945" i="1"/>
  <c r="H203" i="2"/>
  <c r="G203" i="2" s="1"/>
  <c r="P897" i="1"/>
  <c r="H191" i="2"/>
  <c r="G191" i="2" s="1"/>
  <c r="P885" i="1"/>
  <c r="H179" i="2"/>
  <c r="G179" i="2" s="1"/>
  <c r="P909" i="1"/>
  <c r="H167" i="2"/>
  <c r="G167" i="2" s="1"/>
  <c r="P874" i="1"/>
  <c r="H155" i="2"/>
  <c r="G155" i="2" s="1"/>
  <c r="P849" i="1"/>
  <c r="H143" i="2"/>
  <c r="G143" i="2" s="1"/>
  <c r="P837" i="1"/>
  <c r="H131" i="2"/>
  <c r="G131" i="2" s="1"/>
  <c r="P861" i="1"/>
  <c r="H119" i="2"/>
  <c r="G119" i="2" s="1"/>
  <c r="P816" i="1"/>
  <c r="H107" i="2"/>
  <c r="G107" i="2" s="1"/>
  <c r="P835" i="1"/>
  <c r="H95" i="2"/>
  <c r="G95" i="2" s="1"/>
  <c r="P801" i="1"/>
  <c r="H83" i="2"/>
  <c r="G83" i="2" s="1"/>
  <c r="P778" i="1"/>
  <c r="H71" i="2"/>
  <c r="G71" i="2" s="1"/>
  <c r="P765" i="1"/>
  <c r="H59" i="2"/>
  <c r="G59" i="2" s="1"/>
  <c r="P789" i="1"/>
  <c r="H47" i="2"/>
  <c r="G47" i="2" s="1"/>
  <c r="P197" i="1"/>
  <c r="H474" i="2"/>
  <c r="G474" i="2" s="1"/>
  <c r="P173" i="1"/>
  <c r="H450" i="2"/>
  <c r="G450" i="2" s="1"/>
  <c r="P161" i="1"/>
  <c r="H438" i="2"/>
  <c r="G438" i="2" s="1"/>
  <c r="P149" i="1"/>
  <c r="H426" i="2"/>
  <c r="G426" i="2" s="1"/>
  <c r="P137" i="1"/>
  <c r="H414" i="2"/>
  <c r="G414" i="2" s="1"/>
  <c r="P125" i="1"/>
  <c r="H402" i="2"/>
  <c r="G402" i="2" s="1"/>
  <c r="P113" i="1"/>
  <c r="H390" i="2"/>
  <c r="G390" i="2" s="1"/>
  <c r="P101" i="1"/>
  <c r="H378" i="2"/>
  <c r="G378" i="2" s="1"/>
  <c r="P89" i="1"/>
  <c r="H366" i="2"/>
  <c r="G366" i="2" s="1"/>
  <c r="P77" i="1"/>
  <c r="H354" i="2"/>
  <c r="G354" i="2" s="1"/>
  <c r="P65" i="1"/>
  <c r="H342" i="2"/>
  <c r="G342" i="2" s="1"/>
  <c r="P53" i="1"/>
  <c r="H330" i="2"/>
  <c r="G330" i="2" s="1"/>
  <c r="P29" i="1"/>
  <c r="H306" i="2"/>
  <c r="G306" i="2" s="1"/>
  <c r="P17" i="1"/>
  <c r="H294" i="2"/>
  <c r="G294" i="2" s="1"/>
  <c r="P5" i="1"/>
  <c r="H282" i="2"/>
  <c r="G282" i="2" s="1"/>
  <c r="P973" i="1"/>
  <c r="H270" i="2"/>
  <c r="G270" i="2" s="1"/>
  <c r="P964" i="1"/>
  <c r="H258" i="2"/>
  <c r="G258" i="2" s="1"/>
  <c r="P988" i="1"/>
  <c r="H246" i="2"/>
  <c r="G246" i="2" s="1"/>
  <c r="P955" i="1"/>
  <c r="H234" i="2"/>
  <c r="G234" i="2" s="1"/>
  <c r="P953" i="1"/>
  <c r="H210" i="2"/>
  <c r="G210" i="2" s="1"/>
  <c r="P940" i="1"/>
  <c r="H198" i="2"/>
  <c r="G198" i="2" s="1"/>
  <c r="P893" i="1"/>
  <c r="H186" i="2"/>
  <c r="G186" i="2" s="1"/>
  <c r="P880" i="1"/>
  <c r="H174" i="2"/>
  <c r="G174" i="2" s="1"/>
  <c r="P904" i="1"/>
  <c r="H162" i="2"/>
  <c r="G162" i="2" s="1"/>
  <c r="P856" i="1"/>
  <c r="H150" i="2"/>
  <c r="G150" i="2" s="1"/>
  <c r="P844" i="1"/>
  <c r="H138" i="2"/>
  <c r="G138" i="2" s="1"/>
  <c r="H126" i="2"/>
  <c r="G126" i="2" s="1"/>
  <c r="P868" i="1"/>
  <c r="P807" i="1"/>
  <c r="H114" i="2"/>
  <c r="G114" i="2" s="1"/>
  <c r="P810" i="1"/>
  <c r="H102" i="2"/>
  <c r="G102" i="2" s="1"/>
  <c r="P828" i="1"/>
  <c r="H90" i="2"/>
  <c r="G90" i="2" s="1"/>
  <c r="P797" i="1"/>
  <c r="H78" i="2"/>
  <c r="G78" i="2" s="1"/>
  <c r="D990" i="10"/>
  <c r="D978" i="10"/>
  <c r="D966" i="10"/>
  <c r="D954" i="10"/>
  <c r="D942" i="10"/>
  <c r="D930" i="10"/>
  <c r="D918" i="10"/>
  <c r="D906" i="10"/>
  <c r="D894" i="10"/>
  <c r="D882" i="10"/>
  <c r="D870" i="10"/>
  <c r="D858" i="10"/>
  <c r="D846" i="10"/>
  <c r="D834" i="10"/>
  <c r="D822" i="10"/>
  <c r="D810" i="10"/>
  <c r="D798" i="10"/>
  <c r="D786" i="10"/>
  <c r="D774" i="10"/>
  <c r="D762" i="10"/>
  <c r="D750" i="10"/>
  <c r="D738" i="10"/>
  <c r="D726" i="10"/>
  <c r="D714" i="10"/>
  <c r="D702" i="10"/>
  <c r="D690" i="10"/>
  <c r="D678" i="10"/>
  <c r="D666" i="10"/>
  <c r="D654" i="10"/>
  <c r="D642" i="10"/>
  <c r="D630" i="10"/>
  <c r="D618" i="10"/>
  <c r="D606" i="10"/>
  <c r="D594" i="10"/>
  <c r="D582" i="10"/>
  <c r="D570" i="10"/>
  <c r="D558" i="10"/>
  <c r="D546" i="10"/>
  <c r="D534" i="10"/>
  <c r="D522" i="10"/>
  <c r="D510" i="10"/>
  <c r="D498" i="10"/>
  <c r="P717" i="1"/>
  <c r="P705" i="1"/>
  <c r="P669" i="1"/>
  <c r="P657" i="1"/>
  <c r="P645" i="1"/>
  <c r="P621" i="1"/>
  <c r="P609" i="1"/>
  <c r="P597" i="1"/>
  <c r="P573" i="1"/>
  <c r="P561" i="1"/>
  <c r="P549" i="1"/>
  <c r="P525" i="1"/>
  <c r="P513" i="1"/>
  <c r="P501" i="1"/>
  <c r="P477" i="1"/>
  <c r="P465" i="1"/>
  <c r="P453" i="1"/>
  <c r="P429" i="1"/>
  <c r="P417" i="1"/>
  <c r="P405" i="1"/>
  <c r="P381" i="1"/>
  <c r="P369" i="1"/>
  <c r="P357" i="1"/>
  <c r="P333" i="1"/>
  <c r="P321" i="1"/>
  <c r="P309" i="1"/>
  <c r="P285" i="1"/>
  <c r="P273" i="1"/>
  <c r="P261" i="1"/>
  <c r="P237" i="1"/>
  <c r="P225" i="1"/>
  <c r="P213" i="1"/>
  <c r="P189" i="1"/>
  <c r="P177" i="1"/>
  <c r="P165" i="1"/>
  <c r="P141" i="1"/>
  <c r="P129" i="1"/>
  <c r="P117" i="1"/>
  <c r="P93" i="1"/>
  <c r="P81" i="1"/>
  <c r="P69" i="1"/>
  <c r="P45" i="1"/>
  <c r="P33" i="1"/>
  <c r="P21" i="1"/>
  <c r="P995" i="1"/>
  <c r="P968" i="1"/>
  <c r="P992" i="1"/>
  <c r="P933" i="1"/>
  <c r="P920" i="1"/>
  <c r="P943" i="1"/>
  <c r="P884" i="1"/>
  <c r="P908" i="1"/>
  <c r="P873" i="1"/>
  <c r="P875" i="1"/>
  <c r="P836" i="1"/>
  <c r="P815" i="1"/>
  <c r="P800" i="1"/>
  <c r="P777" i="1"/>
  <c r="P764" i="1"/>
  <c r="P716" i="1"/>
  <c r="P704" i="1"/>
  <c r="P692" i="1"/>
  <c r="P680" i="1"/>
  <c r="P668" i="1"/>
  <c r="P656" i="1"/>
  <c r="P644" i="1"/>
  <c r="P632" i="1"/>
  <c r="P620" i="1"/>
  <c r="P608" i="1"/>
  <c r="P596" i="1"/>
  <c r="P584" i="1"/>
  <c r="P572" i="1"/>
  <c r="P560" i="1"/>
  <c r="P548" i="1"/>
  <c r="P536" i="1"/>
  <c r="P524" i="1"/>
  <c r="P512" i="1"/>
  <c r="P500" i="1"/>
  <c r="P488" i="1"/>
  <c r="P476" i="1"/>
  <c r="P464" i="1"/>
  <c r="P452" i="1"/>
  <c r="P440" i="1"/>
  <c r="P428" i="1"/>
  <c r="P416" i="1"/>
  <c r="P404" i="1"/>
  <c r="P392" i="1"/>
  <c r="P380" i="1"/>
  <c r="P368" i="1"/>
  <c r="P356" i="1"/>
  <c r="P344" i="1"/>
  <c r="P332" i="1"/>
  <c r="P320" i="1"/>
  <c r="P308" i="1"/>
  <c r="P296" i="1"/>
  <c r="P284" i="1"/>
  <c r="P272" i="1"/>
  <c r="P260" i="1"/>
  <c r="P248" i="1"/>
  <c r="P236" i="1"/>
  <c r="P224" i="1"/>
  <c r="P212" i="1"/>
  <c r="P200" i="1"/>
  <c r="P188" i="1"/>
  <c r="P176" i="1"/>
  <c r="P164" i="1"/>
  <c r="P152" i="1"/>
  <c r="P140" i="1"/>
  <c r="P128" i="1"/>
  <c r="P116" i="1"/>
  <c r="P104" i="1"/>
  <c r="P92" i="1"/>
  <c r="P80" i="1"/>
  <c r="P68" i="1"/>
  <c r="P56" i="1"/>
  <c r="P44" i="1"/>
  <c r="P32" i="1"/>
  <c r="P20" i="1"/>
  <c r="P8" i="1"/>
  <c r="P979" i="1"/>
  <c r="P967" i="1"/>
  <c r="P991" i="1"/>
  <c r="P957" i="1"/>
  <c r="D999" i="10"/>
  <c r="D975" i="10"/>
  <c r="D951" i="10"/>
  <c r="D927" i="10"/>
  <c r="D903" i="10"/>
  <c r="D879" i="10"/>
  <c r="D855" i="10"/>
  <c r="D831" i="10"/>
  <c r="D807" i="10"/>
  <c r="D783" i="10"/>
  <c r="D759" i="10"/>
  <c r="D735" i="10"/>
  <c r="D711" i="10"/>
  <c r="D687" i="10"/>
  <c r="D663" i="10"/>
  <c r="D639" i="10"/>
  <c r="D615" i="10"/>
  <c r="D591" i="10"/>
  <c r="D567" i="10"/>
  <c r="D543" i="10"/>
  <c r="D519" i="10"/>
  <c r="D495" i="10"/>
  <c r="D471" i="10"/>
  <c r="D447" i="10"/>
  <c r="D423" i="10"/>
  <c r="D399" i="10"/>
  <c r="D375" i="10"/>
  <c r="D351" i="10"/>
  <c r="D327" i="10"/>
  <c r="D303" i="10"/>
  <c r="D279" i="10"/>
  <c r="D255" i="10"/>
  <c r="D231" i="10"/>
  <c r="D219" i="10"/>
  <c r="D207" i="10"/>
  <c r="D195" i="10"/>
  <c r="D171" i="10"/>
  <c r="D998" i="10"/>
  <c r="D986" i="10"/>
  <c r="D974" i="10"/>
  <c r="D962" i="10"/>
  <c r="D950" i="10"/>
  <c r="D938" i="10"/>
  <c r="D926" i="10"/>
  <c r="D914" i="10"/>
  <c r="D902" i="10"/>
  <c r="D890" i="10"/>
  <c r="D878" i="10"/>
  <c r="D866" i="10"/>
  <c r="D854" i="10"/>
  <c r="D842" i="10"/>
  <c r="D830" i="10"/>
  <c r="D818" i="10"/>
  <c r="D806" i="10"/>
  <c r="D794" i="10"/>
  <c r="D782" i="10"/>
  <c r="D770" i="10"/>
  <c r="D758" i="10"/>
  <c r="D746" i="10"/>
  <c r="D734" i="10"/>
  <c r="D722" i="10"/>
  <c r="D710" i="10"/>
  <c r="D698" i="10"/>
  <c r="D686" i="10"/>
  <c r="D674" i="10"/>
  <c r="D662" i="10"/>
  <c r="D650" i="10"/>
  <c r="D638" i="10"/>
  <c r="D626" i="10"/>
  <c r="D614" i="10"/>
  <c r="D602" i="10"/>
  <c r="D590" i="10"/>
  <c r="D578" i="10"/>
  <c r="D566" i="10"/>
  <c r="D554" i="10"/>
  <c r="D542" i="10"/>
  <c r="D530" i="10"/>
  <c r="D518" i="10"/>
  <c r="D506" i="10"/>
  <c r="D494" i="10"/>
  <c r="D482" i="10"/>
  <c r="D470" i="10"/>
  <c r="D458" i="10"/>
  <c r="D446" i="10"/>
  <c r="D434" i="10"/>
  <c r="D422" i="10"/>
  <c r="D410" i="10"/>
  <c r="D398" i="10"/>
  <c r="D386" i="10"/>
  <c r="D374" i="10"/>
  <c r="D362" i="10"/>
  <c r="D350" i="10"/>
  <c r="D338" i="10"/>
  <c r="D326" i="10"/>
  <c r="D314" i="10"/>
  <c r="D302" i="10"/>
  <c r="D290" i="10"/>
  <c r="D278" i="10"/>
  <c r="D266" i="10"/>
  <c r="D254" i="10"/>
  <c r="D242" i="10"/>
  <c r="D230" i="10"/>
  <c r="D206" i="10"/>
  <c r="D194" i="10"/>
  <c r="D170" i="10"/>
  <c r="P931" i="1"/>
  <c r="P919" i="1"/>
  <c r="P944" i="1"/>
  <c r="P895" i="1"/>
  <c r="P883" i="1"/>
  <c r="P907" i="1"/>
  <c r="P872" i="1"/>
  <c r="P847" i="1"/>
  <c r="P871" i="1"/>
  <c r="P832" i="1"/>
  <c r="P814" i="1"/>
  <c r="P822" i="1"/>
  <c r="P799" i="1"/>
  <c r="P775" i="1"/>
  <c r="P763" i="1"/>
  <c r="P788" i="1"/>
  <c r="D970" i="10"/>
  <c r="D898" i="10"/>
  <c r="D826" i="10"/>
  <c r="D754" i="10"/>
  <c r="D682" i="10"/>
  <c r="D610" i="10"/>
  <c r="D996" i="10"/>
  <c r="D972" i="10"/>
  <c r="D960" i="10"/>
  <c r="D948" i="10"/>
  <c r="D936" i="10"/>
  <c r="D924" i="10"/>
  <c r="D912" i="10"/>
  <c r="D900" i="10"/>
  <c r="D888" i="10"/>
  <c r="D876" i="10"/>
  <c r="D864" i="10"/>
  <c r="D852" i="10"/>
  <c r="D840" i="10"/>
  <c r="D828" i="10"/>
  <c r="D816" i="10"/>
  <c r="D804" i="10"/>
  <c r="D792" i="10"/>
  <c r="D780" i="10"/>
  <c r="D768" i="10"/>
  <c r="D756" i="10"/>
  <c r="D744" i="10"/>
  <c r="D732" i="10"/>
  <c r="D720" i="10"/>
  <c r="D708" i="10"/>
  <c r="D696" i="10"/>
  <c r="D684" i="10"/>
  <c r="D672" i="10"/>
  <c r="D660" i="10"/>
  <c r="D648" i="10"/>
  <c r="D636" i="10"/>
  <c r="D624" i="10"/>
  <c r="D612" i="10"/>
  <c r="D600" i="10"/>
  <c r="D588" i="10"/>
  <c r="D576" i="10"/>
  <c r="D564" i="10"/>
  <c r="D552" i="10"/>
  <c r="D528" i="10"/>
  <c r="D516" i="10"/>
  <c r="D504" i="10"/>
  <c r="D492" i="10"/>
  <c r="D480" i="10"/>
  <c r="D468" i="10"/>
  <c r="D456" i="10"/>
  <c r="D444" i="10"/>
  <c r="D432" i="10"/>
  <c r="D420" i="10"/>
  <c r="D408" i="10"/>
  <c r="D396" i="10"/>
  <c r="D384" i="10"/>
  <c r="D372" i="10"/>
  <c r="D360" i="10"/>
  <c r="D348" i="10"/>
  <c r="D336" i="10"/>
  <c r="D324" i="10"/>
  <c r="D312" i="10"/>
  <c r="D300" i="10"/>
  <c r="D288" i="10"/>
  <c r="D276" i="10"/>
  <c r="D264" i="10"/>
  <c r="D963" i="10"/>
  <c r="D891" i="10"/>
  <c r="D819" i="10"/>
  <c r="D747" i="10"/>
  <c r="D675" i="10"/>
  <c r="D603" i="10"/>
  <c r="D531" i="10"/>
  <c r="D459" i="10"/>
  <c r="D387" i="10"/>
  <c r="D315" i="10"/>
  <c r="D243" i="10"/>
  <c r="D995" i="10"/>
  <c r="D983" i="10"/>
  <c r="D971" i="10"/>
  <c r="D959" i="10"/>
  <c r="D947" i="10"/>
  <c r="D935" i="10"/>
  <c r="D923" i="10"/>
  <c r="D911" i="10"/>
  <c r="D887" i="10"/>
  <c r="D875" i="10"/>
  <c r="D863" i="10"/>
  <c r="D851" i="10"/>
  <c r="D839" i="10"/>
  <c r="D827" i="10"/>
  <c r="D815" i="10"/>
  <c r="D803" i="10"/>
  <c r="D791" i="10"/>
  <c r="D779" i="10"/>
  <c r="D767" i="10"/>
  <c r="D755" i="10"/>
  <c r="D743" i="10"/>
  <c r="D731" i="10"/>
  <c r="D719" i="10"/>
  <c r="D707" i="10"/>
  <c r="D695" i="10"/>
  <c r="D683" i="10"/>
  <c r="D671" i="10"/>
  <c r="D659" i="10"/>
  <c r="D647" i="10"/>
  <c r="D635" i="10"/>
  <c r="D623" i="10"/>
  <c r="D611" i="10"/>
  <c r="D599" i="10"/>
  <c r="D587" i="10"/>
  <c r="D575" i="10"/>
  <c r="D563" i="10"/>
  <c r="D551" i="10"/>
  <c r="D527" i="10"/>
  <c r="D515" i="10"/>
  <c r="D503" i="10"/>
  <c r="D491" i="10"/>
  <c r="D479" i="10"/>
  <c r="D467" i="10"/>
  <c r="D455" i="10"/>
  <c r="D443" i="10"/>
  <c r="D431" i="10"/>
  <c r="D419" i="10"/>
  <c r="D407" i="10"/>
  <c r="D395" i="10"/>
  <c r="D982" i="10"/>
  <c r="D958" i="10"/>
  <c r="D934" i="10"/>
  <c r="D910" i="10"/>
  <c r="D886" i="10"/>
  <c r="D862" i="10"/>
  <c r="D838" i="10"/>
  <c r="D814" i="10"/>
  <c r="D790" i="10"/>
  <c r="D766" i="10"/>
  <c r="D742" i="10"/>
  <c r="D718" i="10"/>
  <c r="D694" i="10"/>
  <c r="D670" i="10"/>
  <c r="D646" i="10"/>
  <c r="D622" i="10"/>
  <c r="D598" i="10"/>
  <c r="D939" i="10"/>
  <c r="D867" i="10"/>
  <c r="D795" i="10"/>
  <c r="D723" i="10"/>
  <c r="D651" i="10"/>
  <c r="D579" i="10"/>
  <c r="D507" i="10"/>
  <c r="D435" i="10"/>
  <c r="D363" i="10"/>
  <c r="D291" i="10"/>
  <c r="D216" i="10"/>
  <c r="D215" i="10"/>
  <c r="D180" i="10"/>
  <c r="D203" i="10"/>
  <c r="D191" i="10"/>
  <c r="D179" i="10"/>
  <c r="D167" i="10"/>
  <c r="D240" i="10"/>
  <c r="D238" i="10"/>
  <c r="D214" i="10"/>
  <c r="D202" i="10"/>
  <c r="D190" i="10"/>
  <c r="D178" i="10"/>
  <c r="D166" i="10"/>
  <c r="D383" i="10"/>
  <c r="D359" i="10"/>
  <c r="D335" i="10"/>
  <c r="D311" i="10"/>
  <c r="D287" i="10"/>
  <c r="D263" i="10"/>
  <c r="D239" i="10"/>
  <c r="D993" i="10"/>
  <c r="D981" i="10"/>
  <c r="D969" i="10"/>
  <c r="D945" i="10"/>
  <c r="D933" i="10"/>
  <c r="D921" i="10"/>
  <c r="D909" i="10"/>
  <c r="D897" i="10"/>
  <c r="D873" i="10"/>
  <c r="D861" i="10"/>
  <c r="D849" i="10"/>
  <c r="D837" i="10"/>
  <c r="D825" i="10"/>
  <c r="D801" i="10"/>
  <c r="D789" i="10"/>
  <c r="D777" i="10"/>
  <c r="D765" i="10"/>
  <c r="D753" i="10"/>
  <c r="D729" i="10"/>
  <c r="D717" i="10"/>
  <c r="D705" i="10"/>
  <c r="D693" i="10"/>
  <c r="D669" i="10"/>
  <c r="D657" i="10"/>
  <c r="D645" i="10"/>
  <c r="D621" i="10"/>
  <c r="D609" i="10"/>
  <c r="D597" i="10"/>
  <c r="D585" i="10"/>
  <c r="D573" i="10"/>
  <c r="D561" i="10"/>
  <c r="D549" i="10"/>
  <c r="D537" i="10"/>
  <c r="D513" i="10"/>
  <c r="D501" i="10"/>
  <c r="D477" i="10"/>
  <c r="D465" i="10"/>
  <c r="D453" i="10"/>
  <c r="D441" i="10"/>
  <c r="D429" i="10"/>
  <c r="D417" i="10"/>
  <c r="D405" i="10"/>
  <c r="D393" i="10"/>
  <c r="D381" i="10"/>
  <c r="D369" i="10"/>
  <c r="D357" i="10"/>
  <c r="D345" i="10"/>
  <c r="D333" i="10"/>
  <c r="D321" i="10"/>
  <c r="D309" i="10"/>
  <c r="D297" i="10"/>
  <c r="D285" i="10"/>
  <c r="D273" i="10"/>
  <c r="D261" i="10"/>
  <c r="D249" i="10"/>
  <c r="D237" i="10"/>
  <c r="D225" i="10"/>
  <c r="D213" i="10"/>
  <c r="D201" i="10"/>
  <c r="D189" i="10"/>
  <c r="D177" i="10"/>
  <c r="D165" i="10"/>
  <c r="D574" i="10"/>
  <c r="D550" i="10"/>
  <c r="D526" i="10"/>
  <c r="D502" i="10"/>
  <c r="D478" i="10"/>
  <c r="D454" i="10"/>
  <c r="D430" i="10"/>
  <c r="D406" i="10"/>
  <c r="D382" i="10"/>
  <c r="D358" i="10"/>
  <c r="D334" i="10"/>
  <c r="D310" i="10"/>
  <c r="D286" i="10"/>
  <c r="D262" i="10"/>
  <c r="D992" i="10"/>
  <c r="D980" i="10"/>
  <c r="D968" i="10"/>
  <c r="D944" i="10"/>
  <c r="D932" i="10"/>
  <c r="D920" i="10"/>
  <c r="D908" i="10"/>
  <c r="D896" i="10"/>
  <c r="D872" i="10"/>
  <c r="D860" i="10"/>
  <c r="D848" i="10"/>
  <c r="D836" i="10"/>
  <c r="D824" i="10"/>
  <c r="D800" i="10"/>
  <c r="D788" i="10"/>
  <c r="D776" i="10"/>
  <c r="D764" i="10"/>
  <c r="D752" i="10"/>
  <c r="D728" i="10"/>
  <c r="D716" i="10"/>
  <c r="D704" i="10"/>
  <c r="D692" i="10"/>
  <c r="D680" i="10"/>
  <c r="D668" i="10"/>
  <c r="D656" i="10"/>
  <c r="D644" i="10"/>
  <c r="D632" i="10"/>
  <c r="D620" i="10"/>
  <c r="D608" i="10"/>
  <c r="D596" i="10"/>
  <c r="D584" i="10"/>
  <c r="D560" i="10"/>
  <c r="D548" i="10"/>
  <c r="D536" i="10"/>
  <c r="D512" i="10"/>
  <c r="D500" i="10"/>
  <c r="D488" i="10"/>
  <c r="D476" i="10"/>
  <c r="D464" i="10"/>
  <c r="D452" i="10"/>
  <c r="D440" i="10"/>
  <c r="D428" i="10"/>
  <c r="D416" i="10"/>
  <c r="D404" i="10"/>
  <c r="D392" i="10"/>
  <c r="D380" i="10"/>
  <c r="D368" i="10"/>
  <c r="D356" i="10"/>
  <c r="D344" i="10"/>
  <c r="D332" i="10"/>
  <c r="D320" i="10"/>
  <c r="D308" i="10"/>
  <c r="D296" i="10"/>
  <c r="D284" i="10"/>
  <c r="D272" i="10"/>
  <c r="D260" i="10"/>
  <c r="D248" i="10"/>
  <c r="D236" i="10"/>
  <c r="D224" i="10"/>
  <c r="D212" i="10"/>
  <c r="D200" i="10"/>
  <c r="D188" i="10"/>
  <c r="D176" i="10"/>
  <c r="D164" i="10"/>
  <c r="D204" i="10"/>
  <c r="D168" i="10"/>
  <c r="D991" i="10"/>
  <c r="D979" i="10"/>
  <c r="D967" i="10"/>
  <c r="D955" i="10"/>
  <c r="D943" i="10"/>
  <c r="D931" i="10"/>
  <c r="D919" i="10"/>
  <c r="D907" i="10"/>
  <c r="D895" i="10"/>
  <c r="D883" i="10"/>
  <c r="D871" i="10"/>
  <c r="D859" i="10"/>
  <c r="D847" i="10"/>
  <c r="D835" i="10"/>
  <c r="D823" i="10"/>
  <c r="D811" i="10"/>
  <c r="D799" i="10"/>
  <c r="D787" i="10"/>
  <c r="D775" i="10"/>
  <c r="D763" i="10"/>
  <c r="D751" i="10"/>
  <c r="D739" i="10"/>
  <c r="D727" i="10"/>
  <c r="D715" i="10"/>
  <c r="D703" i="10"/>
  <c r="D691" i="10"/>
  <c r="D679" i="10"/>
  <c r="D655" i="10"/>
  <c r="D643" i="10"/>
  <c r="D631" i="10"/>
  <c r="D607" i="10"/>
  <c r="D595" i="10"/>
  <c r="D583" i="10"/>
  <c r="D571" i="10"/>
  <c r="D559" i="10"/>
  <c r="D547" i="10"/>
  <c r="D535" i="10"/>
  <c r="D523" i="10"/>
  <c r="D511" i="10"/>
  <c r="D499" i="10"/>
  <c r="D487" i="10"/>
  <c r="D475" i="10"/>
  <c r="D463" i="10"/>
  <c r="D451" i="10"/>
  <c r="D439" i="10"/>
  <c r="D427" i="10"/>
  <c r="D415" i="10"/>
  <c r="D403" i="10"/>
  <c r="D391" i="10"/>
  <c r="D367" i="10"/>
  <c r="D355" i="10"/>
  <c r="D343" i="10"/>
  <c r="D331" i="10"/>
  <c r="D319" i="10"/>
  <c r="D307" i="10"/>
  <c r="D295" i="10"/>
  <c r="D283" i="10"/>
  <c r="D271" i="10"/>
  <c r="D259" i="10"/>
  <c r="D247" i="10"/>
  <c r="D235" i="10"/>
  <c r="D223" i="10"/>
  <c r="D211" i="10"/>
  <c r="D199" i="10"/>
  <c r="D187" i="10"/>
  <c r="D175" i="10"/>
  <c r="D163" i="10"/>
  <c r="D486" i="10"/>
  <c r="D462" i="10"/>
  <c r="D450" i="10"/>
  <c r="D426" i="10"/>
  <c r="D414" i="10"/>
  <c r="D402" i="10"/>
  <c r="D390" i="10"/>
  <c r="D378" i="10"/>
  <c r="D366" i="10"/>
  <c r="D354" i="10"/>
  <c r="D342" i="10"/>
  <c r="D330" i="10"/>
  <c r="D318" i="10"/>
  <c r="D306" i="10"/>
  <c r="D294" i="10"/>
  <c r="D282" i="10"/>
  <c r="D270" i="10"/>
  <c r="D258" i="10"/>
  <c r="D246" i="10"/>
  <c r="D234" i="10"/>
  <c r="D222" i="10"/>
  <c r="D210" i="10"/>
  <c r="D198" i="10"/>
  <c r="D186" i="10"/>
  <c r="D174" i="10"/>
  <c r="D228" i="10"/>
  <c r="D989" i="10"/>
  <c r="D977" i="10"/>
  <c r="D965" i="10"/>
  <c r="D953" i="10"/>
  <c r="D941" i="10"/>
  <c r="D929" i="10"/>
  <c r="D917" i="10"/>
  <c r="D905" i="10"/>
  <c r="D893" i="10"/>
  <c r="D881" i="10"/>
  <c r="D869" i="10"/>
  <c r="D857" i="10"/>
  <c r="D845" i="10"/>
  <c r="D833" i="10"/>
  <c r="D821" i="10"/>
  <c r="D809" i="10"/>
  <c r="D797" i="10"/>
  <c r="D785" i="10"/>
  <c r="D773" i="10"/>
  <c r="D761" i="10"/>
  <c r="D749" i="10"/>
  <c r="D737" i="10"/>
  <c r="D725" i="10"/>
  <c r="D713" i="10"/>
  <c r="D701" i="10"/>
  <c r="D689" i="10"/>
  <c r="D677" i="10"/>
  <c r="D665" i="10"/>
  <c r="D653" i="10"/>
  <c r="D641" i="10"/>
  <c r="D629" i="10"/>
  <c r="D617" i="10"/>
  <c r="D605" i="10"/>
  <c r="D593" i="10"/>
  <c r="D581" i="10"/>
  <c r="D569" i="10"/>
  <c r="D557" i="10"/>
  <c r="D545" i="10"/>
  <c r="D533" i="10"/>
  <c r="D521" i="10"/>
  <c r="D497" i="10"/>
  <c r="D485" i="10"/>
  <c r="D461" i="10"/>
  <c r="D449" i="10"/>
  <c r="D425" i="10"/>
  <c r="D413" i="10"/>
  <c r="D389" i="10"/>
  <c r="D377" i="10"/>
  <c r="D365" i="10"/>
  <c r="D353" i="10"/>
  <c r="D341" i="10"/>
  <c r="D329" i="10"/>
  <c r="D317" i="10"/>
  <c r="D305" i="10"/>
  <c r="D293" i="10"/>
  <c r="D281" i="10"/>
  <c r="D269" i="10"/>
  <c r="D257" i="10"/>
  <c r="D245" i="10"/>
  <c r="D233" i="10"/>
  <c r="D221" i="10"/>
  <c r="D209" i="10"/>
  <c r="D197" i="10"/>
  <c r="D185" i="10"/>
  <c r="D173" i="10"/>
  <c r="D227" i="10"/>
  <c r="D1000" i="10"/>
  <c r="D988" i="10"/>
  <c r="D976" i="10"/>
  <c r="D964" i="10"/>
  <c r="D952" i="10"/>
  <c r="D928" i="10"/>
  <c r="D916" i="10"/>
  <c r="D904" i="10"/>
  <c r="D892" i="10"/>
  <c r="D880" i="10"/>
  <c r="D856" i="10"/>
  <c r="D844" i="10"/>
  <c r="D832" i="10"/>
  <c r="D820" i="10"/>
  <c r="D371" i="10"/>
  <c r="D347" i="10"/>
  <c r="D323" i="10"/>
  <c r="D299" i="10"/>
  <c r="D275" i="10"/>
  <c r="D251" i="10"/>
  <c r="D192" i="10"/>
  <c r="D784" i="10"/>
  <c r="D712" i="10"/>
  <c r="D688" i="10"/>
  <c r="D676" i="10"/>
  <c r="D664" i="10"/>
  <c r="D652" i="10"/>
  <c r="D640" i="10"/>
  <c r="D628" i="10"/>
  <c r="D616" i="10"/>
  <c r="D604" i="10"/>
  <c r="D592" i="10"/>
  <c r="D580" i="10"/>
  <c r="D568" i="10"/>
  <c r="D556" i="10"/>
  <c r="D544" i="10"/>
  <c r="D532" i="10"/>
  <c r="D520" i="10"/>
  <c r="D508" i="10"/>
  <c r="D496" i="10"/>
  <c r="D484" i="10"/>
  <c r="D472" i="10"/>
  <c r="D460" i="10"/>
  <c r="D448" i="10"/>
  <c r="D436" i="10"/>
  <c r="D424" i="10"/>
  <c r="D412" i="10"/>
  <c r="D400" i="10"/>
  <c r="D388" i="10"/>
  <c r="D376" i="10"/>
  <c r="D328" i="10"/>
  <c r="D316" i="10"/>
  <c r="D304" i="10"/>
  <c r="D280" i="10"/>
  <c r="D268" i="10"/>
  <c r="D256" i="10"/>
  <c r="D232" i="10"/>
  <c r="D220" i="10"/>
  <c r="D208" i="10"/>
  <c r="D184" i="10"/>
  <c r="E295" i="9"/>
  <c r="E259" i="9"/>
  <c r="E223" i="9"/>
  <c r="E199" i="9"/>
  <c r="E175" i="9"/>
  <c r="E283" i="9"/>
  <c r="E247" i="9"/>
  <c r="E211" i="9"/>
  <c r="E187" i="9"/>
  <c r="E163" i="9"/>
  <c r="E271" i="9"/>
  <c r="E235" i="9"/>
  <c r="C879" i="1"/>
  <c r="C880" i="1"/>
  <c r="C885" i="1"/>
  <c r="C886" i="1"/>
  <c r="C895" i="1"/>
  <c r="C893" i="1"/>
  <c r="C876" i="1"/>
  <c r="C877" i="1"/>
  <c r="C878" i="1"/>
  <c r="C888" i="1"/>
  <c r="G14" i="3"/>
  <c r="G13" i="3"/>
  <c r="K21" i="2"/>
  <c r="K22" i="2"/>
  <c r="K23" i="2"/>
  <c r="K24" i="2"/>
  <c r="K25" i="2"/>
  <c r="K26" i="2"/>
  <c r="K27" i="2"/>
  <c r="K28" i="2"/>
  <c r="K29" i="2"/>
  <c r="J21" i="2"/>
  <c r="J22" i="2"/>
  <c r="J23" i="2"/>
  <c r="J24" i="2"/>
  <c r="J25" i="2"/>
  <c r="J26" i="2"/>
  <c r="J27" i="2"/>
  <c r="J28" i="2"/>
  <c r="J29" i="2"/>
  <c r="I21" i="2"/>
  <c r="I22" i="2"/>
  <c r="I23" i="2"/>
  <c r="I24" i="2"/>
  <c r="I25" i="2"/>
  <c r="I26" i="2"/>
  <c r="I27" i="2"/>
  <c r="I28" i="2"/>
  <c r="I29" i="2"/>
  <c r="D14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D3" i="10"/>
  <c r="C3" i="10"/>
  <c r="C4" i="10"/>
  <c r="C5" i="10"/>
  <c r="C2" i="10"/>
  <c r="B5" i="10" a="1"/>
  <c r="B5" i="10" s="1"/>
  <c r="B4" i="10" a="1"/>
  <c r="B4" i="10" s="1"/>
  <c r="B3" i="10" a="1"/>
  <c r="B3" i="10" s="1"/>
  <c r="B2" i="10" a="1"/>
  <c r="B2" i="10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A735" i="1"/>
  <c r="A736" i="1"/>
  <c r="A738" i="1"/>
  <c r="A739" i="1"/>
  <c r="A740" i="1"/>
  <c r="A737" i="1"/>
  <c r="A741" i="1"/>
  <c r="A742" i="1"/>
  <c r="A743" i="1"/>
  <c r="A757" i="1"/>
  <c r="A758" i="1"/>
  <c r="A759" i="1"/>
  <c r="A783" i="1"/>
  <c r="A784" i="1"/>
  <c r="B735" i="1" a="1"/>
  <c r="B735" i="1" s="1"/>
  <c r="B736" i="1" a="1"/>
  <c r="B736" i="1" s="1"/>
  <c r="B738" i="1" a="1"/>
  <c r="B738" i="1" s="1"/>
  <c r="B739" i="1" a="1"/>
  <c r="B739" i="1" s="1"/>
  <c r="B740" i="1" a="1"/>
  <c r="B740" i="1" s="1"/>
  <c r="B737" i="1" a="1"/>
  <c r="B737" i="1" s="1"/>
  <c r="B741" i="1" a="1"/>
  <c r="B741" i="1" s="1"/>
  <c r="B742" i="1" a="1"/>
  <c r="B742" i="1" s="1"/>
  <c r="B743" i="1" a="1"/>
  <c r="B743" i="1" s="1"/>
  <c r="B757" i="1" a="1"/>
  <c r="B757" i="1" s="1"/>
  <c r="B758" i="1" a="1"/>
  <c r="B758" i="1" s="1"/>
  <c r="B759" i="1" a="1"/>
  <c r="B759" i="1" s="1"/>
  <c r="B783" i="1" a="1"/>
  <c r="B783" i="1" s="1"/>
  <c r="B784" i="1" a="1"/>
  <c r="B784" i="1" s="1"/>
  <c r="N735" i="1"/>
  <c r="H29" i="2" s="1"/>
  <c r="G29" i="2" s="1"/>
  <c r="N736" i="1"/>
  <c r="H30" i="2" s="1"/>
  <c r="G30" i="2" s="1"/>
  <c r="N738" i="1"/>
  <c r="H861" i="2" s="1"/>
  <c r="G861" i="2" s="1"/>
  <c r="N739" i="1"/>
  <c r="H862" i="2" s="1"/>
  <c r="G862" i="2" s="1"/>
  <c r="N740" i="1"/>
  <c r="H863" i="2" s="1"/>
  <c r="G863" i="2" s="1"/>
  <c r="N737" i="1"/>
  <c r="H860" i="2" s="1"/>
  <c r="G860" i="2" s="1"/>
  <c r="N741" i="1"/>
  <c r="H864" i="2" s="1"/>
  <c r="G864" i="2" s="1"/>
  <c r="N742" i="1"/>
  <c r="H742" i="2" s="1"/>
  <c r="G742" i="2" s="1"/>
  <c r="N743" i="1"/>
  <c r="H825" i="2" s="1"/>
  <c r="G825" i="2" s="1"/>
  <c r="N757" i="1"/>
  <c r="H880" i="2" s="1"/>
  <c r="G880" i="2" s="1"/>
  <c r="N758" i="1"/>
  <c r="H881" i="2" s="1"/>
  <c r="G881" i="2" s="1"/>
  <c r="N759" i="1"/>
  <c r="H882" i="2" s="1"/>
  <c r="G882" i="2" s="1"/>
  <c r="N783" i="1"/>
  <c r="H906" i="2" s="1"/>
  <c r="G906" i="2" s="1"/>
  <c r="N784" i="1"/>
  <c r="H907" i="2" s="1"/>
  <c r="G907" i="2" s="1"/>
  <c r="O735" i="1"/>
  <c r="O736" i="1"/>
  <c r="O738" i="1"/>
  <c r="O739" i="1"/>
  <c r="O740" i="1"/>
  <c r="O737" i="1"/>
  <c r="O741" i="1"/>
  <c r="O742" i="1"/>
  <c r="O743" i="1"/>
  <c r="O757" i="1"/>
  <c r="O758" i="1"/>
  <c r="O759" i="1"/>
  <c r="O783" i="1"/>
  <c r="O784" i="1"/>
  <c r="R735" i="1"/>
  <c r="R736" i="1"/>
  <c r="R738" i="1"/>
  <c r="R739" i="1"/>
  <c r="R740" i="1"/>
  <c r="R737" i="1"/>
  <c r="R741" i="1"/>
  <c r="R742" i="1"/>
  <c r="R743" i="1"/>
  <c r="R757" i="1"/>
  <c r="R758" i="1"/>
  <c r="R759" i="1"/>
  <c r="R783" i="1"/>
  <c r="R784" i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H759" i="2" l="1"/>
  <c r="G759" i="2" s="1"/>
  <c r="H740" i="2"/>
  <c r="G740" i="2" s="1"/>
  <c r="H743" i="2"/>
  <c r="G743" i="2" s="1"/>
  <c r="H738" i="2"/>
  <c r="G738" i="2" s="1"/>
  <c r="H737" i="2"/>
  <c r="G737" i="2" s="1"/>
  <c r="H758" i="2"/>
  <c r="G758" i="2" s="1"/>
  <c r="H757" i="2"/>
  <c r="G757" i="2" s="1"/>
  <c r="H741" i="2"/>
  <c r="G741" i="2" s="1"/>
  <c r="H735" i="2"/>
  <c r="G735" i="2" s="1"/>
  <c r="H783" i="2"/>
  <c r="G783" i="2" s="1"/>
  <c r="H736" i="2"/>
  <c r="G736" i="2" s="1"/>
  <c r="H739" i="2"/>
  <c r="G739" i="2" s="1"/>
  <c r="H778" i="2"/>
  <c r="G778" i="2" s="1"/>
  <c r="H781" i="2"/>
  <c r="G781" i="2" s="1"/>
  <c r="H782" i="2"/>
  <c r="G782" i="2" s="1"/>
  <c r="H784" i="2"/>
  <c r="G784" i="2" s="1"/>
  <c r="H779" i="2"/>
  <c r="G779" i="2" s="1"/>
  <c r="H780" i="2"/>
  <c r="G780" i="2" s="1"/>
  <c r="H799" i="2"/>
  <c r="G799" i="2" s="1"/>
  <c r="H776" i="2"/>
  <c r="G776" i="2" s="1"/>
  <c r="H817" i="2"/>
  <c r="G817" i="2" s="1"/>
  <c r="H818" i="2"/>
  <c r="G818" i="2" s="1"/>
  <c r="H822" i="2"/>
  <c r="G822" i="2" s="1"/>
  <c r="H821" i="2"/>
  <c r="G821" i="2" s="1"/>
  <c r="H823" i="2"/>
  <c r="G823" i="2" s="1"/>
  <c r="H819" i="2"/>
  <c r="G819" i="2" s="1"/>
  <c r="H866" i="2"/>
  <c r="G866" i="2" s="1"/>
  <c r="H865" i="2"/>
  <c r="G865" i="2" s="1"/>
  <c r="H841" i="2"/>
  <c r="G841" i="2" s="1"/>
  <c r="H824" i="2"/>
  <c r="G824" i="2" s="1"/>
  <c r="H820" i="2"/>
  <c r="G820" i="2" s="1"/>
  <c r="C890" i="1"/>
  <c r="C882" i="1"/>
  <c r="C889" i="1"/>
  <c r="C896" i="1"/>
  <c r="C887" i="1"/>
  <c r="C884" i="1"/>
  <c r="C883" i="1"/>
  <c r="C891" i="1"/>
  <c r="C897" i="1"/>
  <c r="C894" i="1"/>
  <c r="B22" i="9"/>
  <c r="E22" i="9" s="1"/>
  <c r="C881" i="1"/>
  <c r="B33" i="9"/>
  <c r="E33" i="9" s="1"/>
  <c r="C892" i="1"/>
  <c r="H859" i="2"/>
  <c r="G859" i="2" s="1"/>
  <c r="H858" i="2"/>
  <c r="G858" i="2" s="1"/>
  <c r="D31" i="10"/>
  <c r="D23" i="10"/>
  <c r="B23" i="9"/>
  <c r="E23" i="9" s="1"/>
  <c r="D30" i="10"/>
  <c r="B30" i="9"/>
  <c r="E30" i="9" s="1"/>
  <c r="D38" i="10"/>
  <c r="B40" i="9"/>
  <c r="E40" i="9" s="1"/>
  <c r="D37" i="10"/>
  <c r="B39" i="9"/>
  <c r="E39" i="9" s="1"/>
  <c r="D28" i="10"/>
  <c r="B28" i="9"/>
  <c r="E28" i="9" s="1"/>
  <c r="D36" i="10"/>
  <c r="B38" i="9"/>
  <c r="E38" i="9" s="1"/>
  <c r="D35" i="10"/>
  <c r="B37" i="9"/>
  <c r="E37" i="9" s="1"/>
  <c r="D29" i="10"/>
  <c r="B29" i="9"/>
  <c r="E29" i="9" s="1"/>
  <c r="D17" i="10"/>
  <c r="E17" i="9"/>
  <c r="D27" i="10"/>
  <c r="B27" i="9"/>
  <c r="E27" i="9" s="1"/>
  <c r="D24" i="10"/>
  <c r="E24" i="9"/>
  <c r="D25" i="10"/>
  <c r="B25" i="9"/>
  <c r="E25" i="9" s="1"/>
  <c r="D16" i="10"/>
  <c r="B16" i="9"/>
  <c r="E16" i="9" s="1"/>
  <c r="D26" i="10"/>
  <c r="B26" i="9"/>
  <c r="E26" i="9" s="1"/>
  <c r="D21" i="10"/>
  <c r="B21" i="9"/>
  <c r="E21" i="9" s="1"/>
  <c r="D34" i="10"/>
  <c r="E36" i="9"/>
  <c r="D20" i="10"/>
  <c r="B20" i="9"/>
  <c r="E20" i="9" s="1"/>
  <c r="D19" i="10"/>
  <c r="E19" i="9"/>
  <c r="D18" i="10"/>
  <c r="B18" i="9"/>
  <c r="E18" i="9" s="1"/>
  <c r="D33" i="10"/>
  <c r="B35" i="9"/>
  <c r="E35" i="9" s="1"/>
  <c r="D39" i="10"/>
  <c r="B41" i="9"/>
  <c r="E41" i="9" s="1"/>
  <c r="D32" i="10"/>
  <c r="P757" i="1"/>
  <c r="H38" i="2"/>
  <c r="G38" i="2" s="1"/>
  <c r="P743" i="1"/>
  <c r="H37" i="2"/>
  <c r="G37" i="2" s="1"/>
  <c r="P741" i="1"/>
  <c r="H35" i="2"/>
  <c r="G35" i="2" s="1"/>
  <c r="P737" i="1"/>
  <c r="H34" i="2"/>
  <c r="G34" i="2" s="1"/>
  <c r="P740" i="1"/>
  <c r="H33" i="2"/>
  <c r="G33" i="2" s="1"/>
  <c r="P742" i="1"/>
  <c r="H36" i="2"/>
  <c r="G36" i="2" s="1"/>
  <c r="P738" i="1"/>
  <c r="H31" i="2"/>
  <c r="G31" i="2" s="1"/>
  <c r="P784" i="1"/>
  <c r="H42" i="2"/>
  <c r="G42" i="2" s="1"/>
  <c r="P783" i="1"/>
  <c r="H41" i="2"/>
  <c r="G41" i="2" s="1"/>
  <c r="P759" i="1"/>
  <c r="H40" i="2"/>
  <c r="G40" i="2" s="1"/>
  <c r="P739" i="1"/>
  <c r="H32" i="2"/>
  <c r="G32" i="2" s="1"/>
  <c r="P758" i="1"/>
  <c r="H39" i="2"/>
  <c r="G39" i="2" s="1"/>
  <c r="D22" i="10"/>
  <c r="P736" i="1"/>
  <c r="P735" i="1"/>
  <c r="B722" i="1" a="1"/>
  <c r="B722" i="1" s="1"/>
  <c r="C911" i="1"/>
  <c r="C42" i="1"/>
  <c r="C44" i="1"/>
  <c r="C45" i="1"/>
  <c r="E46" i="8"/>
  <c r="E47" i="8"/>
  <c r="B47" i="4" s="1"/>
  <c r="E48" i="8"/>
  <c r="E49" i="8"/>
  <c r="B49" i="4" s="1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C908" i="1"/>
  <c r="H5" i="7"/>
  <c r="H6" i="7"/>
  <c r="H7" i="7"/>
  <c r="H8" i="7"/>
  <c r="H21" i="7"/>
  <c r="H22" i="7"/>
  <c r="H4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A744" i="1"/>
  <c r="A745" i="1"/>
  <c r="A746" i="1"/>
  <c r="A747" i="1"/>
  <c r="A749" i="1"/>
  <c r="A748" i="1"/>
  <c r="A750" i="1"/>
  <c r="A751" i="1"/>
  <c r="A752" i="1"/>
  <c r="A753" i="1"/>
  <c r="A754" i="1"/>
  <c r="A755" i="1"/>
  <c r="A756" i="1"/>
  <c r="A760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B744" i="1" a="1"/>
  <c r="B744" i="1" s="1"/>
  <c r="B745" i="1" a="1"/>
  <c r="B745" i="1" s="1"/>
  <c r="B746" i="1" a="1"/>
  <c r="B746" i="1" s="1"/>
  <c r="B747" i="1" a="1"/>
  <c r="B747" i="1" s="1"/>
  <c r="B749" i="1" a="1"/>
  <c r="B749" i="1" s="1"/>
  <c r="B748" i="1" a="1"/>
  <c r="B748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60" i="1" a="1"/>
  <c r="B760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 s="1"/>
  <c r="B729" i="1" a="1"/>
  <c r="B729" i="1" s="1"/>
  <c r="B730" i="1" a="1"/>
  <c r="B730" i="1" s="1"/>
  <c r="B731" i="1" a="1"/>
  <c r="B731" i="1" s="1"/>
  <c r="B732" i="1" a="1"/>
  <c r="B732" i="1" s="1"/>
  <c r="B733" i="1" a="1"/>
  <c r="B733" i="1" s="1"/>
  <c r="B734" i="1" a="1"/>
  <c r="B734" i="1" s="1"/>
  <c r="A2" i="4" a="1"/>
  <c r="A2" i="4" s="1"/>
  <c r="A3" i="4" a="1"/>
  <c r="A3" i="4" s="1"/>
  <c r="A4" i="4" a="1"/>
  <c r="A4" i="4" s="1"/>
  <c r="A5" i="4" a="1"/>
  <c r="A5" i="4" s="1"/>
  <c r="A6" i="4" a="1"/>
  <c r="A6" i="4" s="1"/>
  <c r="A7" i="4" a="1"/>
  <c r="A7" i="4" s="1"/>
  <c r="A8" i="4" a="1"/>
  <c r="A8" i="4" s="1"/>
  <c r="A9" i="4" a="1"/>
  <c r="A9" i="4" s="1"/>
  <c r="A10" i="4" a="1"/>
  <c r="A10" i="4" s="1"/>
  <c r="A11" i="4" a="1"/>
  <c r="A11" i="4" s="1"/>
  <c r="A12" i="4" a="1"/>
  <c r="A12" i="4" s="1"/>
  <c r="A13" i="4" a="1"/>
  <c r="A13" i="4" s="1"/>
  <c r="A14" i="4" a="1"/>
  <c r="A14" i="4" s="1"/>
  <c r="A15" i="4" a="1"/>
  <c r="A15" i="4" s="1"/>
  <c r="A16" i="4" a="1"/>
  <c r="A16" i="4" s="1"/>
  <c r="A17" i="4" a="1"/>
  <c r="A17" i="4" s="1"/>
  <c r="A18" i="4" a="1"/>
  <c r="A18" i="4" s="1"/>
  <c r="A19" i="4" a="1"/>
  <c r="A19" i="4" s="1"/>
  <c r="A20" i="4" a="1"/>
  <c r="A20" i="4" s="1"/>
  <c r="A21" i="4" a="1"/>
  <c r="A21" i="4" s="1"/>
  <c r="A22" i="4" a="1"/>
  <c r="A22" i="4" s="1"/>
  <c r="A23" i="4" a="1"/>
  <c r="A23" i="4" s="1"/>
  <c r="A24" i="4" a="1"/>
  <c r="A24" i="4" s="1"/>
  <c r="A25" i="4" a="1"/>
  <c r="A25" i="4" s="1"/>
  <c r="A26" i="4" a="1"/>
  <c r="A26" i="4" s="1"/>
  <c r="A27" i="4" a="1"/>
  <c r="A27" i="4" s="1"/>
  <c r="A28" i="4" a="1"/>
  <c r="A28" i="4" s="1"/>
  <c r="A29" i="4" a="1"/>
  <c r="A29" i="4" s="1"/>
  <c r="A30" i="4" a="1"/>
  <c r="A30" i="4" s="1"/>
  <c r="A31" i="4" a="1"/>
  <c r="A31" i="4" s="1"/>
  <c r="A5" i="9" a="1"/>
  <c r="A5" i="9" s="1"/>
  <c r="A6" i="9" a="1"/>
  <c r="A6" i="9" s="1"/>
  <c r="A7" i="9" a="1"/>
  <c r="A7" i="9" s="1"/>
  <c r="A10" i="9" a="1"/>
  <c r="A10" i="9" s="1"/>
  <c r="A12" i="9" a="1"/>
  <c r="A12" i="9" s="1"/>
  <c r="A2" i="3" a="1"/>
  <c r="A2" i="3" s="1"/>
  <c r="B2" i="2" a="1"/>
  <c r="B2" i="2" s="1"/>
  <c r="D2" i="2"/>
  <c r="C900" i="1"/>
  <c r="C906" i="1"/>
  <c r="E15" i="9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H2" i="7"/>
  <c r="H3" i="7"/>
  <c r="H9" i="7"/>
  <c r="H10" i="7"/>
  <c r="H11" i="7"/>
  <c r="H12" i="7"/>
  <c r="H13" i="7"/>
  <c r="H14" i="7"/>
  <c r="H15" i="7"/>
  <c r="H16" i="7"/>
  <c r="H17" i="7"/>
  <c r="H18" i="7"/>
  <c r="H19" i="7"/>
  <c r="H20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F2" i="7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N745" i="1"/>
  <c r="N746" i="1"/>
  <c r="N747" i="1"/>
  <c r="N749" i="1"/>
  <c r="H749" i="2" s="1"/>
  <c r="G749" i="2" s="1"/>
  <c r="N748" i="1"/>
  <c r="H748" i="2" s="1"/>
  <c r="G748" i="2" s="1"/>
  <c r="N750" i="1"/>
  <c r="H750" i="2" s="1"/>
  <c r="G750" i="2" s="1"/>
  <c r="N751" i="1"/>
  <c r="H751" i="2" s="1"/>
  <c r="G751" i="2" s="1"/>
  <c r="N752" i="1"/>
  <c r="N753" i="1"/>
  <c r="H753" i="2" s="1"/>
  <c r="G753" i="2" s="1"/>
  <c r="N754" i="1"/>
  <c r="H754" i="2" s="1"/>
  <c r="G754" i="2" s="1"/>
  <c r="N755" i="1"/>
  <c r="H755" i="2" s="1"/>
  <c r="G755" i="2" s="1"/>
  <c r="N756" i="1"/>
  <c r="H756" i="2" s="1"/>
  <c r="G756" i="2" s="1"/>
  <c r="N760" i="1"/>
  <c r="H760" i="2" s="1"/>
  <c r="G760" i="2" s="1"/>
  <c r="N722" i="1"/>
  <c r="H722" i="2" s="1"/>
  <c r="G722" i="2" s="1"/>
  <c r="N723" i="1"/>
  <c r="N724" i="1"/>
  <c r="H724" i="2" s="1"/>
  <c r="G724" i="2" s="1"/>
  <c r="N725" i="1"/>
  <c r="H725" i="2" s="1"/>
  <c r="G725" i="2" s="1"/>
  <c r="N726" i="1"/>
  <c r="N727" i="1"/>
  <c r="H727" i="2" s="1"/>
  <c r="G727" i="2" s="1"/>
  <c r="N728" i="1"/>
  <c r="H728" i="2" s="1"/>
  <c r="G728" i="2" s="1"/>
  <c r="N729" i="1"/>
  <c r="H729" i="2" s="1"/>
  <c r="G729" i="2" s="1"/>
  <c r="N730" i="1"/>
  <c r="H730" i="2" s="1"/>
  <c r="G730" i="2" s="1"/>
  <c r="N731" i="1"/>
  <c r="H731" i="2" s="1"/>
  <c r="G731" i="2" s="1"/>
  <c r="N732" i="1"/>
  <c r="H732" i="2" s="1"/>
  <c r="G732" i="2" s="1"/>
  <c r="N733" i="1"/>
  <c r="H733" i="2" s="1"/>
  <c r="G733" i="2" s="1"/>
  <c r="N734" i="1"/>
  <c r="H734" i="2" s="1"/>
  <c r="G734" i="2" s="1"/>
  <c r="O745" i="1"/>
  <c r="O746" i="1"/>
  <c r="O747" i="1"/>
  <c r="O749" i="1"/>
  <c r="O748" i="1"/>
  <c r="O750" i="1"/>
  <c r="O751" i="1"/>
  <c r="O752" i="1"/>
  <c r="O753" i="1"/>
  <c r="O754" i="1"/>
  <c r="O755" i="1"/>
  <c r="O756" i="1"/>
  <c r="O760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R745" i="1"/>
  <c r="R746" i="1"/>
  <c r="R747" i="1"/>
  <c r="R749" i="1"/>
  <c r="R748" i="1"/>
  <c r="R750" i="1"/>
  <c r="R751" i="1"/>
  <c r="R752" i="1"/>
  <c r="R753" i="1"/>
  <c r="R754" i="1"/>
  <c r="R755" i="1"/>
  <c r="R756" i="1"/>
  <c r="R760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C46" i="2" l="1"/>
  <c r="B46" i="4"/>
  <c r="B157" i="4"/>
  <c r="B157" i="3"/>
  <c r="C157" i="2"/>
  <c r="C157" i="1"/>
  <c r="B145" i="4"/>
  <c r="B145" i="3"/>
  <c r="C145" i="2"/>
  <c r="C145" i="1"/>
  <c r="B133" i="4"/>
  <c r="B133" i="3"/>
  <c r="C133" i="2"/>
  <c r="C133" i="1"/>
  <c r="B121" i="4"/>
  <c r="B121" i="3"/>
  <c r="C121" i="2"/>
  <c r="C121" i="1"/>
  <c r="B109" i="4"/>
  <c r="B109" i="3"/>
  <c r="C109" i="2"/>
  <c r="C109" i="1"/>
  <c r="B97" i="4"/>
  <c r="C97" i="2"/>
  <c r="B97" i="3"/>
  <c r="C97" i="1"/>
  <c r="B85" i="4"/>
  <c r="C85" i="2"/>
  <c r="B85" i="3"/>
  <c r="C85" i="1"/>
  <c r="C73" i="1"/>
  <c r="B73" i="4"/>
  <c r="C73" i="2"/>
  <c r="B73" i="3"/>
  <c r="C61" i="1"/>
  <c r="B61" i="4"/>
  <c r="B61" i="3"/>
  <c r="C61" i="2"/>
  <c r="C32" i="1"/>
  <c r="C156" i="2"/>
  <c r="B156" i="4"/>
  <c r="B156" i="3"/>
  <c r="C156" i="1"/>
  <c r="C20" i="1"/>
  <c r="B144" i="3"/>
  <c r="C144" i="2"/>
  <c r="B144" i="4"/>
  <c r="C144" i="1"/>
  <c r="C8" i="1"/>
  <c r="B132" i="4"/>
  <c r="B132" i="3"/>
  <c r="C132" i="2"/>
  <c r="C132" i="1"/>
  <c r="C979" i="1"/>
  <c r="B120" i="3"/>
  <c r="C120" i="2"/>
  <c r="B120" i="4"/>
  <c r="C120" i="1"/>
  <c r="C967" i="1"/>
  <c r="B108" i="3"/>
  <c r="C108" i="2"/>
  <c r="B108" i="4"/>
  <c r="C108" i="1"/>
  <c r="C991" i="1"/>
  <c r="B96" i="4"/>
  <c r="B96" i="3"/>
  <c r="C96" i="2"/>
  <c r="C96" i="1"/>
  <c r="C72" i="2"/>
  <c r="B72" i="4"/>
  <c r="B72" i="3"/>
  <c r="B60" i="4"/>
  <c r="C60" i="2"/>
  <c r="B60" i="3"/>
  <c r="B48" i="4"/>
  <c r="C48" i="2"/>
  <c r="C31" i="1"/>
  <c r="C155" i="2"/>
  <c r="B155" i="4"/>
  <c r="B155" i="3"/>
  <c r="C155" i="1"/>
  <c r="C19" i="1"/>
  <c r="B143" i="4"/>
  <c r="B143" i="3"/>
  <c r="C143" i="2"/>
  <c r="C143" i="1"/>
  <c r="C7" i="1"/>
  <c r="B131" i="3"/>
  <c r="C131" i="2"/>
  <c r="B131" i="4"/>
  <c r="C131" i="1"/>
  <c r="C978" i="1"/>
  <c r="B119" i="4"/>
  <c r="B119" i="3"/>
  <c r="C119" i="2"/>
  <c r="C119" i="1"/>
  <c r="C966" i="1"/>
  <c r="B107" i="3"/>
  <c r="C107" i="2"/>
  <c r="B107" i="4"/>
  <c r="C107" i="1"/>
  <c r="C990" i="1"/>
  <c r="B95" i="3"/>
  <c r="B95" i="4"/>
  <c r="C95" i="2"/>
  <c r="C95" i="1"/>
  <c r="C956" i="1"/>
  <c r="B83" i="4"/>
  <c r="C83" i="2"/>
  <c r="B83" i="3"/>
  <c r="C83" i="1"/>
  <c r="C71" i="2"/>
  <c r="B71" i="4"/>
  <c r="B71" i="3"/>
  <c r="C59" i="2"/>
  <c r="B59" i="4"/>
  <c r="B59" i="3"/>
  <c r="C957" i="1"/>
  <c r="B84" i="4"/>
  <c r="C84" i="2"/>
  <c r="B84" i="3"/>
  <c r="C84" i="1"/>
  <c r="C30" i="1"/>
  <c r="C154" i="2"/>
  <c r="B154" i="4"/>
  <c r="B154" i="3"/>
  <c r="C154" i="1"/>
  <c r="B142" i="4"/>
  <c r="C142" i="2"/>
  <c r="B142" i="3"/>
  <c r="C142" i="1"/>
  <c r="C6" i="1"/>
  <c r="B130" i="4"/>
  <c r="B130" i="3"/>
  <c r="C130" i="2"/>
  <c r="C130" i="1"/>
  <c r="B118" i="4"/>
  <c r="B118" i="3"/>
  <c r="C118" i="2"/>
  <c r="C118" i="1"/>
  <c r="B106" i="3"/>
  <c r="C106" i="2"/>
  <c r="B106" i="4"/>
  <c r="C106" i="1"/>
  <c r="B94" i="3"/>
  <c r="C94" i="2"/>
  <c r="B94" i="4"/>
  <c r="C94" i="1"/>
  <c r="B82" i="4"/>
  <c r="B82" i="3"/>
  <c r="C82" i="2"/>
  <c r="C82" i="1"/>
  <c r="C70" i="1"/>
  <c r="C70" i="2"/>
  <c r="B70" i="4"/>
  <c r="B70" i="3"/>
  <c r="C58" i="1"/>
  <c r="C58" i="2"/>
  <c r="B58" i="4"/>
  <c r="B58" i="3"/>
  <c r="B153" i="4"/>
  <c r="B153" i="3"/>
  <c r="C153" i="2"/>
  <c r="C153" i="1"/>
  <c r="B129" i="3"/>
  <c r="C129" i="2"/>
  <c r="B129" i="4"/>
  <c r="C129" i="1"/>
  <c r="B81" i="4"/>
  <c r="C81" i="2"/>
  <c r="B81" i="3"/>
  <c r="C81" i="1"/>
  <c r="C57" i="1"/>
  <c r="C57" i="2"/>
  <c r="B57" i="4"/>
  <c r="B57" i="3"/>
  <c r="B152" i="4"/>
  <c r="B152" i="3"/>
  <c r="C152" i="2"/>
  <c r="C152" i="1"/>
  <c r="C140" i="2"/>
  <c r="B140" i="3"/>
  <c r="B140" i="4"/>
  <c r="C140" i="1"/>
  <c r="B128" i="3"/>
  <c r="C128" i="2"/>
  <c r="B128" i="4"/>
  <c r="C128" i="1"/>
  <c r="B116" i="4"/>
  <c r="C116" i="2"/>
  <c r="B116" i="3"/>
  <c r="C116" i="1"/>
  <c r="B104" i="4"/>
  <c r="C104" i="2"/>
  <c r="B104" i="3"/>
  <c r="C104" i="1"/>
  <c r="B92" i="3"/>
  <c r="C92" i="2"/>
  <c r="B92" i="4"/>
  <c r="C92" i="1"/>
  <c r="B80" i="4"/>
  <c r="C80" i="2"/>
  <c r="B80" i="3"/>
  <c r="C80" i="1"/>
  <c r="C68" i="1"/>
  <c r="C68" i="2"/>
  <c r="B68" i="4"/>
  <c r="B68" i="3"/>
  <c r="C56" i="1"/>
  <c r="C56" i="2"/>
  <c r="B56" i="4"/>
  <c r="B56" i="3"/>
  <c r="B105" i="4"/>
  <c r="B105" i="3"/>
  <c r="C105" i="2"/>
  <c r="C105" i="1"/>
  <c r="C27" i="1"/>
  <c r="B151" i="3"/>
  <c r="B151" i="4"/>
  <c r="C151" i="2"/>
  <c r="C151" i="1"/>
  <c r="C15" i="1"/>
  <c r="B139" i="4"/>
  <c r="B139" i="3"/>
  <c r="C139" i="2"/>
  <c r="C139" i="1"/>
  <c r="C3" i="1"/>
  <c r="B127" i="3"/>
  <c r="B127" i="4"/>
  <c r="C127" i="2"/>
  <c r="C127" i="1"/>
  <c r="C975" i="1"/>
  <c r="B115" i="3"/>
  <c r="B115" i="4"/>
  <c r="C115" i="2"/>
  <c r="C115" i="1"/>
  <c r="C962" i="1"/>
  <c r="B103" i="3"/>
  <c r="C103" i="2"/>
  <c r="B103" i="4"/>
  <c r="C103" i="1"/>
  <c r="C986" i="1"/>
  <c r="B91" i="3"/>
  <c r="B91" i="4"/>
  <c r="C91" i="2"/>
  <c r="C91" i="1"/>
  <c r="C938" i="1"/>
  <c r="C79" i="2"/>
  <c r="B79" i="3"/>
  <c r="B79" i="4"/>
  <c r="C79" i="1"/>
  <c r="C67" i="2"/>
  <c r="B67" i="4"/>
  <c r="B67" i="3"/>
  <c r="C141" i="2"/>
  <c r="B141" i="3"/>
  <c r="B141" i="4"/>
  <c r="C141" i="1"/>
  <c r="B117" i="4"/>
  <c r="C117" i="2"/>
  <c r="B117" i="3"/>
  <c r="C117" i="1"/>
  <c r="B93" i="3"/>
  <c r="C93" i="2"/>
  <c r="B93" i="4"/>
  <c r="C93" i="1"/>
  <c r="C69" i="1"/>
  <c r="C69" i="2"/>
  <c r="B69" i="4"/>
  <c r="B69" i="3"/>
  <c r="C26" i="1"/>
  <c r="C150" i="2"/>
  <c r="B150" i="4"/>
  <c r="B150" i="3"/>
  <c r="C150" i="1"/>
  <c r="C14" i="1"/>
  <c r="C138" i="2"/>
  <c r="B138" i="3"/>
  <c r="B138" i="4"/>
  <c r="C138" i="1"/>
  <c r="B126" i="4"/>
  <c r="C126" i="2"/>
  <c r="B126" i="3"/>
  <c r="C126" i="1"/>
  <c r="C974" i="1"/>
  <c r="C114" i="2"/>
  <c r="B114" i="4"/>
  <c r="B114" i="3"/>
  <c r="C114" i="1"/>
  <c r="C961" i="1"/>
  <c r="C102" i="2"/>
  <c r="B102" i="4"/>
  <c r="B102" i="3"/>
  <c r="C102" i="1"/>
  <c r="C984" i="1"/>
  <c r="B90" i="3"/>
  <c r="B90" i="4"/>
  <c r="C90" i="2"/>
  <c r="C90" i="1"/>
  <c r="C937" i="1"/>
  <c r="B78" i="3"/>
  <c r="C78" i="2"/>
  <c r="B78" i="4"/>
  <c r="C78" i="1"/>
  <c r="B66" i="3"/>
  <c r="C66" i="2"/>
  <c r="B66" i="4"/>
  <c r="B149" i="4"/>
  <c r="B149" i="3"/>
  <c r="C149" i="2"/>
  <c r="C149" i="1"/>
  <c r="C137" i="2"/>
  <c r="B137" i="4"/>
  <c r="B137" i="3"/>
  <c r="C137" i="1"/>
  <c r="B125" i="4"/>
  <c r="C125" i="2"/>
  <c r="B125" i="3"/>
  <c r="C125" i="1"/>
  <c r="B113" i="4"/>
  <c r="B113" i="3"/>
  <c r="C113" i="2"/>
  <c r="C113" i="1"/>
  <c r="B101" i="4"/>
  <c r="C101" i="2"/>
  <c r="B101" i="3"/>
  <c r="C101" i="1"/>
  <c r="B89" i="3"/>
  <c r="C89" i="2"/>
  <c r="B89" i="4"/>
  <c r="C89" i="1"/>
  <c r="B77" i="3"/>
  <c r="B77" i="4"/>
  <c r="C77" i="2"/>
  <c r="C77" i="1"/>
  <c r="C65" i="1"/>
  <c r="C65" i="2"/>
  <c r="B65" i="4"/>
  <c r="B65" i="3"/>
  <c r="B160" i="3"/>
  <c r="C160" i="2"/>
  <c r="B160" i="4"/>
  <c r="C160" i="1"/>
  <c r="C24" i="1"/>
  <c r="B148" i="4"/>
  <c r="B148" i="3"/>
  <c r="C148" i="2"/>
  <c r="C148" i="1"/>
  <c r="C12" i="1"/>
  <c r="B136" i="4"/>
  <c r="C136" i="2"/>
  <c r="B136" i="3"/>
  <c r="C136" i="1"/>
  <c r="C997" i="1"/>
  <c r="B124" i="4"/>
  <c r="C124" i="2"/>
  <c r="B124" i="3"/>
  <c r="C124" i="1"/>
  <c r="C971" i="1"/>
  <c r="B112" i="3"/>
  <c r="B112" i="4"/>
  <c r="C112" i="2"/>
  <c r="C112" i="1"/>
  <c r="C959" i="1"/>
  <c r="B100" i="4"/>
  <c r="C100" i="2"/>
  <c r="B100" i="3"/>
  <c r="C100" i="1"/>
  <c r="C983" i="1"/>
  <c r="B88" i="3"/>
  <c r="C88" i="2"/>
  <c r="B88" i="4"/>
  <c r="C88" i="1"/>
  <c r="C932" i="1"/>
  <c r="B76" i="4"/>
  <c r="B76" i="3"/>
  <c r="C76" i="2"/>
  <c r="C76" i="1"/>
  <c r="B64" i="3"/>
  <c r="B64" i="4"/>
  <c r="C64" i="2"/>
  <c r="C35" i="1"/>
  <c r="B159" i="3"/>
  <c r="C159" i="2"/>
  <c r="B159" i="4"/>
  <c r="C159" i="1"/>
  <c r="C23" i="1"/>
  <c r="B147" i="4"/>
  <c r="B147" i="3"/>
  <c r="C147" i="2"/>
  <c r="C147" i="1"/>
  <c r="C11" i="1"/>
  <c r="B135" i="4"/>
  <c r="B135" i="3"/>
  <c r="C135" i="2"/>
  <c r="C135" i="1"/>
  <c r="C993" i="1"/>
  <c r="B123" i="4"/>
  <c r="C123" i="2"/>
  <c r="B123" i="3"/>
  <c r="C123" i="1"/>
  <c r="C970" i="1"/>
  <c r="B111" i="3"/>
  <c r="B111" i="4"/>
  <c r="C111" i="2"/>
  <c r="C111" i="1"/>
  <c r="C958" i="1"/>
  <c r="B99" i="4"/>
  <c r="C99" i="2"/>
  <c r="B99" i="3"/>
  <c r="C99" i="1"/>
  <c r="C982" i="1"/>
  <c r="B87" i="4"/>
  <c r="B87" i="3"/>
  <c r="C87" i="2"/>
  <c r="C87" i="1"/>
  <c r="C935" i="1"/>
  <c r="B75" i="4"/>
  <c r="B75" i="3"/>
  <c r="C75" i="2"/>
  <c r="C75" i="1"/>
  <c r="C63" i="1"/>
  <c r="B63" i="4"/>
  <c r="B63" i="3"/>
  <c r="C63" i="2"/>
  <c r="B158" i="3"/>
  <c r="C158" i="2"/>
  <c r="B158" i="4"/>
  <c r="C158" i="1"/>
  <c r="C22" i="1"/>
  <c r="B146" i="3"/>
  <c r="C146" i="2"/>
  <c r="B146" i="4"/>
  <c r="C146" i="1"/>
  <c r="B134" i="4"/>
  <c r="B134" i="3"/>
  <c r="C134" i="2"/>
  <c r="C134" i="1"/>
  <c r="B122" i="4"/>
  <c r="C122" i="2"/>
  <c r="B122" i="3"/>
  <c r="C122" i="1"/>
  <c r="B110" i="3"/>
  <c r="B110" i="4"/>
  <c r="C110" i="2"/>
  <c r="C110" i="1"/>
  <c r="B98" i="4"/>
  <c r="C98" i="2"/>
  <c r="B98" i="3"/>
  <c r="C98" i="1"/>
  <c r="B86" i="3"/>
  <c r="C86" i="2"/>
  <c r="B86" i="4"/>
  <c r="C86" i="1"/>
  <c r="C934" i="1"/>
  <c r="B74" i="4"/>
  <c r="B74" i="3"/>
  <c r="C74" i="2"/>
  <c r="C74" i="1"/>
  <c r="B62" i="4"/>
  <c r="B62" i="3"/>
  <c r="C62" i="2"/>
  <c r="B55" i="4"/>
  <c r="B55" i="3"/>
  <c r="C55" i="2"/>
  <c r="B54" i="3"/>
  <c r="C54" i="2"/>
  <c r="B54" i="4"/>
  <c r="C53" i="1"/>
  <c r="C53" i="2"/>
  <c r="B53" i="3"/>
  <c r="B53" i="4"/>
  <c r="B52" i="3"/>
  <c r="C52" i="2"/>
  <c r="B52" i="4"/>
  <c r="C51" i="1"/>
  <c r="B51" i="4"/>
  <c r="B51" i="3"/>
  <c r="C51" i="2"/>
  <c r="C50" i="1"/>
  <c r="C50" i="2"/>
  <c r="B50" i="4"/>
  <c r="B50" i="3"/>
  <c r="C49" i="1"/>
  <c r="B49" i="3"/>
  <c r="C49" i="2"/>
  <c r="B47" i="3"/>
  <c r="C47" i="2"/>
  <c r="B48" i="3"/>
  <c r="C46" i="1"/>
  <c r="B46" i="3"/>
  <c r="C931" i="1"/>
  <c r="C72" i="1"/>
  <c r="C919" i="1"/>
  <c r="C60" i="1"/>
  <c r="C944" i="1"/>
  <c r="C48" i="1"/>
  <c r="C930" i="1"/>
  <c r="C71" i="1"/>
  <c r="C918" i="1"/>
  <c r="C59" i="1"/>
  <c r="C942" i="1"/>
  <c r="C47" i="1"/>
  <c r="C926" i="1"/>
  <c r="C67" i="1"/>
  <c r="C950" i="1"/>
  <c r="C55" i="1"/>
  <c r="C925" i="1"/>
  <c r="C66" i="1"/>
  <c r="C949" i="1"/>
  <c r="C54" i="1"/>
  <c r="C923" i="1"/>
  <c r="C64" i="1"/>
  <c r="C921" i="1"/>
  <c r="C62" i="1"/>
  <c r="C947" i="1"/>
  <c r="C52" i="1"/>
  <c r="C916" i="1"/>
  <c r="C43" i="1"/>
  <c r="H786" i="2"/>
  <c r="G786" i="2" s="1"/>
  <c r="H745" i="2"/>
  <c r="G745" i="2" s="1"/>
  <c r="H793" i="2"/>
  <c r="G793" i="2" s="1"/>
  <c r="H752" i="2"/>
  <c r="G752" i="2" s="1"/>
  <c r="H767" i="2"/>
  <c r="G767" i="2" s="1"/>
  <c r="H726" i="2"/>
  <c r="G726" i="2" s="1"/>
  <c r="H764" i="2"/>
  <c r="G764" i="2" s="1"/>
  <c r="H723" i="2"/>
  <c r="G723" i="2" s="1"/>
  <c r="H788" i="2"/>
  <c r="G788" i="2" s="1"/>
  <c r="H747" i="2"/>
  <c r="G747" i="2" s="1"/>
  <c r="H787" i="2"/>
  <c r="G787" i="2" s="1"/>
  <c r="H746" i="2"/>
  <c r="G746" i="2" s="1"/>
  <c r="H835" i="2"/>
  <c r="G835" i="2" s="1"/>
  <c r="H794" i="2"/>
  <c r="G794" i="2" s="1"/>
  <c r="H814" i="2"/>
  <c r="G814" i="2" s="1"/>
  <c r="H773" i="2"/>
  <c r="G773" i="2" s="1"/>
  <c r="H815" i="2"/>
  <c r="G815" i="2" s="1"/>
  <c r="H774" i="2"/>
  <c r="G774" i="2" s="1"/>
  <c r="H837" i="2"/>
  <c r="G837" i="2" s="1"/>
  <c r="H796" i="2"/>
  <c r="G796" i="2" s="1"/>
  <c r="H833" i="2"/>
  <c r="G833" i="2" s="1"/>
  <c r="H792" i="2"/>
  <c r="G792" i="2" s="1"/>
  <c r="H838" i="2"/>
  <c r="G838" i="2" s="1"/>
  <c r="H797" i="2"/>
  <c r="G797" i="2" s="1"/>
  <c r="H813" i="2"/>
  <c r="G813" i="2" s="1"/>
  <c r="H772" i="2"/>
  <c r="G772" i="2" s="1"/>
  <c r="H812" i="2"/>
  <c r="G812" i="2" s="1"/>
  <c r="H771" i="2"/>
  <c r="G771" i="2" s="1"/>
  <c r="H811" i="2"/>
  <c r="G811" i="2" s="1"/>
  <c r="H770" i="2"/>
  <c r="G770" i="2" s="1"/>
  <c r="H809" i="2"/>
  <c r="G809" i="2" s="1"/>
  <c r="H768" i="2"/>
  <c r="G768" i="2" s="1"/>
  <c r="H807" i="2"/>
  <c r="G807" i="2" s="1"/>
  <c r="H766" i="2"/>
  <c r="G766" i="2" s="1"/>
  <c r="H842" i="2"/>
  <c r="G842" i="2" s="1"/>
  <c r="H801" i="2"/>
  <c r="G801" i="2" s="1"/>
  <c r="H836" i="2"/>
  <c r="G836" i="2" s="1"/>
  <c r="H795" i="2"/>
  <c r="G795" i="2" s="1"/>
  <c r="H810" i="2"/>
  <c r="G810" i="2" s="1"/>
  <c r="H769" i="2"/>
  <c r="G769" i="2" s="1"/>
  <c r="H832" i="2"/>
  <c r="G832" i="2" s="1"/>
  <c r="H791" i="2"/>
  <c r="G791" i="2" s="1"/>
  <c r="H830" i="2"/>
  <c r="G830" i="2" s="1"/>
  <c r="H789" i="2"/>
  <c r="G789" i="2" s="1"/>
  <c r="H806" i="2"/>
  <c r="G806" i="2" s="1"/>
  <c r="H765" i="2"/>
  <c r="G765" i="2" s="1"/>
  <c r="H831" i="2"/>
  <c r="G831" i="2" s="1"/>
  <c r="H790" i="2"/>
  <c r="G790" i="2" s="1"/>
  <c r="H816" i="2"/>
  <c r="G816" i="2" s="1"/>
  <c r="H775" i="2"/>
  <c r="G775" i="2" s="1"/>
  <c r="H804" i="2"/>
  <c r="G804" i="2" s="1"/>
  <c r="H763" i="2"/>
  <c r="G763" i="2" s="1"/>
  <c r="H849" i="2"/>
  <c r="G849" i="2" s="1"/>
  <c r="H808" i="2"/>
  <c r="G808" i="2" s="1"/>
  <c r="H875" i="2"/>
  <c r="G875" i="2" s="1"/>
  <c r="H834" i="2"/>
  <c r="G834" i="2" s="1"/>
  <c r="H846" i="2"/>
  <c r="G846" i="2" s="1"/>
  <c r="H805" i="2"/>
  <c r="G805" i="2" s="1"/>
  <c r="H870" i="2"/>
  <c r="G870" i="2" s="1"/>
  <c r="H829" i="2"/>
  <c r="G829" i="2" s="1"/>
  <c r="H869" i="2"/>
  <c r="G869" i="2" s="1"/>
  <c r="H828" i="2"/>
  <c r="G828" i="2" s="1"/>
  <c r="H868" i="2"/>
  <c r="G868" i="2" s="1"/>
  <c r="H827" i="2"/>
  <c r="G827" i="2" s="1"/>
  <c r="C25" i="1"/>
  <c r="C13" i="1"/>
  <c r="C998" i="1"/>
  <c r="C972" i="1"/>
  <c r="C960" i="1"/>
  <c r="C985" i="1"/>
  <c r="C936" i="1"/>
  <c r="C924" i="1"/>
  <c r="C948" i="1"/>
  <c r="C922" i="1"/>
  <c r="C946" i="1"/>
  <c r="C977" i="1"/>
  <c r="C965" i="1"/>
  <c r="C989" i="1"/>
  <c r="C952" i="1"/>
  <c r="C929" i="1"/>
  <c r="C917" i="1"/>
  <c r="C941" i="1"/>
  <c r="C29" i="1"/>
  <c r="C17" i="1"/>
  <c r="C5" i="1"/>
  <c r="C973" i="1"/>
  <c r="C964" i="1"/>
  <c r="C988" i="1"/>
  <c r="C955" i="1"/>
  <c r="C928" i="1"/>
  <c r="C953" i="1"/>
  <c r="C940" i="1"/>
  <c r="C28" i="1"/>
  <c r="C16" i="1"/>
  <c r="C4" i="1"/>
  <c r="C976" i="1"/>
  <c r="C963" i="1"/>
  <c r="C987" i="1"/>
  <c r="C954" i="1"/>
  <c r="C927" i="1"/>
  <c r="C951" i="1"/>
  <c r="C939" i="1"/>
  <c r="F15" i="9"/>
  <c r="G15" i="4"/>
  <c r="F3" i="9"/>
  <c r="G3" i="4"/>
  <c r="F12" i="9"/>
  <c r="G12" i="4"/>
  <c r="F11" i="9"/>
  <c r="G11" i="4"/>
  <c r="F10" i="9"/>
  <c r="G10" i="4"/>
  <c r="F7" i="9"/>
  <c r="G7" i="4"/>
  <c r="F8" i="9"/>
  <c r="G8" i="4"/>
  <c r="F9" i="9"/>
  <c r="G9" i="4"/>
  <c r="F5" i="9"/>
  <c r="G5" i="4"/>
  <c r="F4" i="9"/>
  <c r="G4" i="4"/>
  <c r="F6" i="9"/>
  <c r="G6" i="4"/>
  <c r="F2" i="9"/>
  <c r="G2" i="4"/>
  <c r="F13" i="9"/>
  <c r="G13" i="4"/>
  <c r="C36" i="1"/>
  <c r="C37" i="1"/>
  <c r="C34" i="1"/>
  <c r="C10" i="1"/>
  <c r="C996" i="1"/>
  <c r="C969" i="1"/>
  <c r="C994" i="1"/>
  <c r="C981" i="1"/>
  <c r="C945" i="1"/>
  <c r="C33" i="1"/>
  <c r="C21" i="1"/>
  <c r="C9" i="1"/>
  <c r="C995" i="1"/>
  <c r="C968" i="1"/>
  <c r="C992" i="1"/>
  <c r="C980" i="1"/>
  <c r="C933" i="1"/>
  <c r="C920" i="1"/>
  <c r="C943" i="1"/>
  <c r="D7" i="10"/>
  <c r="C902" i="1"/>
  <c r="D6" i="10"/>
  <c r="C903" i="1"/>
  <c r="D5" i="10"/>
  <c r="C901" i="1"/>
  <c r="E14" i="9"/>
  <c r="C909" i="1"/>
  <c r="D40" i="10"/>
  <c r="C915" i="1"/>
  <c r="D11" i="10"/>
  <c r="C907" i="1"/>
  <c r="D9" i="10"/>
  <c r="C905" i="1"/>
  <c r="C904" i="1"/>
  <c r="H26" i="2"/>
  <c r="G26" i="2" s="1"/>
  <c r="H855" i="2"/>
  <c r="G855" i="2" s="1"/>
  <c r="H25" i="2"/>
  <c r="G25" i="2" s="1"/>
  <c r="H854" i="2"/>
  <c r="G854" i="2" s="1"/>
  <c r="H24" i="2"/>
  <c r="G24" i="2" s="1"/>
  <c r="H853" i="2"/>
  <c r="G853" i="2" s="1"/>
  <c r="H19" i="2"/>
  <c r="G19" i="2" s="1"/>
  <c r="H848" i="2"/>
  <c r="G848" i="2" s="1"/>
  <c r="H7" i="2"/>
  <c r="G7" i="2" s="1"/>
  <c r="H871" i="2"/>
  <c r="G871" i="2" s="1"/>
  <c r="H14" i="2"/>
  <c r="G14" i="2" s="1"/>
  <c r="H879" i="2"/>
  <c r="G879" i="2" s="1"/>
  <c r="H12" i="2"/>
  <c r="G12" i="2" s="1"/>
  <c r="H877" i="2"/>
  <c r="G877" i="2" s="1"/>
  <c r="H21" i="2"/>
  <c r="G21" i="2" s="1"/>
  <c r="H850" i="2"/>
  <c r="G850" i="2" s="1"/>
  <c r="H8" i="2"/>
  <c r="G8" i="2" s="1"/>
  <c r="H873" i="2"/>
  <c r="G873" i="2" s="1"/>
  <c r="H6" i="2"/>
  <c r="G6" i="2" s="1"/>
  <c r="H872" i="2"/>
  <c r="G872" i="2" s="1"/>
  <c r="H9" i="2"/>
  <c r="G9" i="2" s="1"/>
  <c r="H874" i="2"/>
  <c r="G874" i="2" s="1"/>
  <c r="H18" i="2"/>
  <c r="G18" i="2" s="1"/>
  <c r="H847" i="2"/>
  <c r="G847" i="2" s="1"/>
  <c r="H27" i="2"/>
  <c r="G27" i="2" s="1"/>
  <c r="H856" i="2"/>
  <c r="G856" i="2" s="1"/>
  <c r="H15" i="2"/>
  <c r="G15" i="2" s="1"/>
  <c r="H883" i="2"/>
  <c r="G883" i="2" s="1"/>
  <c r="H16" i="2"/>
  <c r="G16" i="2" s="1"/>
  <c r="H845" i="2"/>
  <c r="G845" i="2" s="1"/>
  <c r="H28" i="2"/>
  <c r="G28" i="2" s="1"/>
  <c r="H857" i="2"/>
  <c r="G857" i="2" s="1"/>
  <c r="H13" i="2"/>
  <c r="G13" i="2" s="1"/>
  <c r="H878" i="2"/>
  <c r="G878" i="2" s="1"/>
  <c r="H23" i="2"/>
  <c r="G23" i="2" s="1"/>
  <c r="H852" i="2"/>
  <c r="G852" i="2" s="1"/>
  <c r="H11" i="2"/>
  <c r="G11" i="2" s="1"/>
  <c r="H876" i="2"/>
  <c r="G876" i="2" s="1"/>
  <c r="H22" i="2"/>
  <c r="G22" i="2" s="1"/>
  <c r="H851" i="2"/>
  <c r="G851" i="2" s="1"/>
  <c r="D157" i="10"/>
  <c r="B159" i="9"/>
  <c r="E159" i="9" s="1"/>
  <c r="D145" i="10"/>
  <c r="B147" i="9"/>
  <c r="E147" i="9" s="1"/>
  <c r="D133" i="10"/>
  <c r="B135" i="9"/>
  <c r="E135" i="9" s="1"/>
  <c r="D121" i="10"/>
  <c r="B123" i="9"/>
  <c r="E123" i="9" s="1"/>
  <c r="D109" i="10"/>
  <c r="B111" i="9"/>
  <c r="E111" i="9" s="1"/>
  <c r="D97" i="10"/>
  <c r="B99" i="9"/>
  <c r="E99" i="9" s="1"/>
  <c r="D85" i="10"/>
  <c r="B87" i="9"/>
  <c r="E87" i="9" s="1"/>
  <c r="D73" i="10"/>
  <c r="B75" i="9"/>
  <c r="E75" i="9" s="1"/>
  <c r="D61" i="10"/>
  <c r="B63" i="9"/>
  <c r="E63" i="9" s="1"/>
  <c r="D4" i="10"/>
  <c r="E4" i="9"/>
  <c r="D156" i="10"/>
  <c r="B158" i="9"/>
  <c r="E158" i="9" s="1"/>
  <c r="D144" i="10"/>
  <c r="B146" i="9"/>
  <c r="E146" i="9" s="1"/>
  <c r="D132" i="10"/>
  <c r="B134" i="9"/>
  <c r="E134" i="9" s="1"/>
  <c r="D120" i="10"/>
  <c r="B122" i="9"/>
  <c r="E122" i="9" s="1"/>
  <c r="D108" i="10"/>
  <c r="B110" i="9"/>
  <c r="E110" i="9" s="1"/>
  <c r="D96" i="10"/>
  <c r="B98" i="9"/>
  <c r="E98" i="9" s="1"/>
  <c r="D84" i="10"/>
  <c r="B86" i="9"/>
  <c r="E86" i="9" s="1"/>
  <c r="D72" i="10"/>
  <c r="B74" i="9"/>
  <c r="E74" i="9" s="1"/>
  <c r="D60" i="10"/>
  <c r="B62" i="9"/>
  <c r="E62" i="9" s="1"/>
  <c r="D48" i="10"/>
  <c r="B50" i="9"/>
  <c r="E50" i="9" s="1"/>
  <c r="D155" i="10"/>
  <c r="B157" i="9"/>
  <c r="E157" i="9" s="1"/>
  <c r="D143" i="10"/>
  <c r="B145" i="9"/>
  <c r="E145" i="9" s="1"/>
  <c r="D131" i="10"/>
  <c r="B133" i="9"/>
  <c r="E133" i="9" s="1"/>
  <c r="D119" i="10"/>
  <c r="B121" i="9"/>
  <c r="E121" i="9" s="1"/>
  <c r="D107" i="10"/>
  <c r="B109" i="9"/>
  <c r="E109" i="9" s="1"/>
  <c r="D95" i="10"/>
  <c r="B97" i="9"/>
  <c r="E97" i="9" s="1"/>
  <c r="D83" i="10"/>
  <c r="B85" i="9"/>
  <c r="E85" i="9" s="1"/>
  <c r="D71" i="10"/>
  <c r="B73" i="9"/>
  <c r="E73" i="9" s="1"/>
  <c r="D59" i="10"/>
  <c r="B61" i="9"/>
  <c r="E61" i="9" s="1"/>
  <c r="D47" i="10"/>
  <c r="B49" i="9"/>
  <c r="E49" i="9" s="1"/>
  <c r="D154" i="10"/>
  <c r="B156" i="9"/>
  <c r="E156" i="9" s="1"/>
  <c r="D142" i="10"/>
  <c r="B144" i="9"/>
  <c r="E144" i="9" s="1"/>
  <c r="D130" i="10"/>
  <c r="B132" i="9"/>
  <c r="E132" i="9" s="1"/>
  <c r="D118" i="10"/>
  <c r="B120" i="9"/>
  <c r="E120" i="9" s="1"/>
  <c r="D106" i="10"/>
  <c r="B108" i="9"/>
  <c r="E108" i="9" s="1"/>
  <c r="D94" i="10"/>
  <c r="B96" i="9"/>
  <c r="E96" i="9" s="1"/>
  <c r="D82" i="10"/>
  <c r="B84" i="9"/>
  <c r="E84" i="9" s="1"/>
  <c r="D70" i="10"/>
  <c r="B72" i="9"/>
  <c r="E72" i="9" s="1"/>
  <c r="D58" i="10"/>
  <c r="B60" i="9"/>
  <c r="E60" i="9" s="1"/>
  <c r="D46" i="10"/>
  <c r="B48" i="9"/>
  <c r="E48" i="9" s="1"/>
  <c r="D153" i="10"/>
  <c r="B155" i="9"/>
  <c r="E155" i="9" s="1"/>
  <c r="D141" i="10"/>
  <c r="B143" i="9"/>
  <c r="E143" i="9" s="1"/>
  <c r="D129" i="10"/>
  <c r="B131" i="9"/>
  <c r="E131" i="9" s="1"/>
  <c r="D117" i="10"/>
  <c r="B119" i="9"/>
  <c r="E119" i="9" s="1"/>
  <c r="D105" i="10"/>
  <c r="B107" i="9"/>
  <c r="E107" i="9" s="1"/>
  <c r="D93" i="10"/>
  <c r="B95" i="9"/>
  <c r="E95" i="9" s="1"/>
  <c r="D81" i="10"/>
  <c r="B83" i="9"/>
  <c r="E83" i="9" s="1"/>
  <c r="D69" i="10"/>
  <c r="B71" i="9"/>
  <c r="E71" i="9" s="1"/>
  <c r="D57" i="10"/>
  <c r="B59" i="9"/>
  <c r="E59" i="9" s="1"/>
  <c r="D45" i="10"/>
  <c r="B47" i="9"/>
  <c r="E47" i="9" s="1"/>
  <c r="D152" i="10"/>
  <c r="B154" i="9"/>
  <c r="E154" i="9" s="1"/>
  <c r="D140" i="10"/>
  <c r="B142" i="9"/>
  <c r="E142" i="9" s="1"/>
  <c r="D128" i="10"/>
  <c r="B130" i="9"/>
  <c r="E130" i="9" s="1"/>
  <c r="D116" i="10"/>
  <c r="B118" i="9"/>
  <c r="E118" i="9" s="1"/>
  <c r="D104" i="10"/>
  <c r="B106" i="9"/>
  <c r="E106" i="9" s="1"/>
  <c r="D92" i="10"/>
  <c r="B94" i="9"/>
  <c r="E94" i="9" s="1"/>
  <c r="D80" i="10"/>
  <c r="B82" i="9"/>
  <c r="E82" i="9" s="1"/>
  <c r="D68" i="10"/>
  <c r="B70" i="9"/>
  <c r="E70" i="9" s="1"/>
  <c r="D56" i="10"/>
  <c r="B58" i="9"/>
  <c r="E58" i="9" s="1"/>
  <c r="D44" i="10"/>
  <c r="B46" i="9"/>
  <c r="E46" i="9" s="1"/>
  <c r="D10" i="10"/>
  <c r="E11" i="9"/>
  <c r="D151" i="10"/>
  <c r="B153" i="9"/>
  <c r="E153" i="9" s="1"/>
  <c r="D139" i="10"/>
  <c r="B141" i="9"/>
  <c r="E141" i="9" s="1"/>
  <c r="D127" i="10"/>
  <c r="B129" i="9"/>
  <c r="E129" i="9" s="1"/>
  <c r="D115" i="10"/>
  <c r="B117" i="9"/>
  <c r="E117" i="9" s="1"/>
  <c r="D103" i="10"/>
  <c r="B105" i="9"/>
  <c r="E105" i="9" s="1"/>
  <c r="D91" i="10"/>
  <c r="B93" i="9"/>
  <c r="E93" i="9" s="1"/>
  <c r="D79" i="10"/>
  <c r="B81" i="9"/>
  <c r="E81" i="9" s="1"/>
  <c r="D67" i="10"/>
  <c r="B69" i="9"/>
  <c r="E69" i="9" s="1"/>
  <c r="D55" i="10"/>
  <c r="B57" i="9"/>
  <c r="E57" i="9" s="1"/>
  <c r="D43" i="10"/>
  <c r="B45" i="9"/>
  <c r="E45" i="9" s="1"/>
  <c r="D150" i="10"/>
  <c r="B152" i="9"/>
  <c r="E152" i="9" s="1"/>
  <c r="D138" i="10"/>
  <c r="B140" i="9"/>
  <c r="E140" i="9" s="1"/>
  <c r="D126" i="10"/>
  <c r="B128" i="9"/>
  <c r="E128" i="9" s="1"/>
  <c r="D114" i="10"/>
  <c r="B116" i="9"/>
  <c r="E116" i="9" s="1"/>
  <c r="D102" i="10"/>
  <c r="B104" i="9"/>
  <c r="E104" i="9" s="1"/>
  <c r="D90" i="10"/>
  <c r="B92" i="9"/>
  <c r="E92" i="9" s="1"/>
  <c r="D78" i="10"/>
  <c r="B80" i="9"/>
  <c r="E80" i="9" s="1"/>
  <c r="D66" i="10"/>
  <c r="B68" i="9"/>
  <c r="E68" i="9" s="1"/>
  <c r="D54" i="10"/>
  <c r="B56" i="9"/>
  <c r="E56" i="9" s="1"/>
  <c r="D42" i="10"/>
  <c r="B44" i="9"/>
  <c r="E44" i="9" s="1"/>
  <c r="D8" i="10"/>
  <c r="E9" i="9"/>
  <c r="D12" i="10"/>
  <c r="E13" i="9"/>
  <c r="D149" i="10"/>
  <c r="B151" i="9"/>
  <c r="E151" i="9" s="1"/>
  <c r="D137" i="10"/>
  <c r="B139" i="9"/>
  <c r="E139" i="9" s="1"/>
  <c r="D125" i="10"/>
  <c r="B127" i="9"/>
  <c r="E127" i="9" s="1"/>
  <c r="D113" i="10"/>
  <c r="B115" i="9"/>
  <c r="E115" i="9" s="1"/>
  <c r="D101" i="10"/>
  <c r="B103" i="9"/>
  <c r="E103" i="9" s="1"/>
  <c r="D89" i="10"/>
  <c r="B91" i="9"/>
  <c r="E91" i="9" s="1"/>
  <c r="D77" i="10"/>
  <c r="B79" i="9"/>
  <c r="E79" i="9" s="1"/>
  <c r="D65" i="10"/>
  <c r="B67" i="9"/>
  <c r="E67" i="9" s="1"/>
  <c r="D53" i="10"/>
  <c r="B55" i="9"/>
  <c r="E55" i="9" s="1"/>
  <c r="D41" i="10"/>
  <c r="B43" i="9"/>
  <c r="E43" i="9" s="1"/>
  <c r="D160" i="10"/>
  <c r="B162" i="9"/>
  <c r="E162" i="9" s="1"/>
  <c r="D148" i="10"/>
  <c r="B150" i="9"/>
  <c r="E150" i="9" s="1"/>
  <c r="D136" i="10"/>
  <c r="B138" i="9"/>
  <c r="E138" i="9" s="1"/>
  <c r="D124" i="10"/>
  <c r="B126" i="9"/>
  <c r="E126" i="9" s="1"/>
  <c r="D112" i="10"/>
  <c r="B114" i="9"/>
  <c r="E114" i="9" s="1"/>
  <c r="D100" i="10"/>
  <c r="B102" i="9"/>
  <c r="E102" i="9" s="1"/>
  <c r="D88" i="10"/>
  <c r="B90" i="9"/>
  <c r="E90" i="9" s="1"/>
  <c r="D76" i="10"/>
  <c r="B78" i="9"/>
  <c r="E78" i="9" s="1"/>
  <c r="D64" i="10"/>
  <c r="B66" i="9"/>
  <c r="E66" i="9" s="1"/>
  <c r="D52" i="10"/>
  <c r="B54" i="9"/>
  <c r="E54" i="9" s="1"/>
  <c r="D159" i="10"/>
  <c r="B161" i="9"/>
  <c r="E161" i="9" s="1"/>
  <c r="D147" i="10"/>
  <c r="B149" i="9"/>
  <c r="E149" i="9" s="1"/>
  <c r="D135" i="10"/>
  <c r="B137" i="9"/>
  <c r="E137" i="9" s="1"/>
  <c r="D123" i="10"/>
  <c r="B125" i="9"/>
  <c r="E125" i="9" s="1"/>
  <c r="D111" i="10"/>
  <c r="B113" i="9"/>
  <c r="E113" i="9" s="1"/>
  <c r="D99" i="10"/>
  <c r="B101" i="9"/>
  <c r="E101" i="9" s="1"/>
  <c r="D87" i="10"/>
  <c r="B89" i="9"/>
  <c r="E89" i="9" s="1"/>
  <c r="D75" i="10"/>
  <c r="B77" i="9"/>
  <c r="E77" i="9" s="1"/>
  <c r="D63" i="10"/>
  <c r="B65" i="9"/>
  <c r="E65" i="9" s="1"/>
  <c r="D51" i="10"/>
  <c r="B53" i="9"/>
  <c r="E53" i="9" s="1"/>
  <c r="D158" i="10"/>
  <c r="B160" i="9"/>
  <c r="E160" i="9" s="1"/>
  <c r="D146" i="10"/>
  <c r="B148" i="9"/>
  <c r="E148" i="9" s="1"/>
  <c r="D134" i="10"/>
  <c r="B136" i="9"/>
  <c r="E136" i="9" s="1"/>
  <c r="D122" i="10"/>
  <c r="B124" i="9"/>
  <c r="E124" i="9" s="1"/>
  <c r="D110" i="10"/>
  <c r="B112" i="9"/>
  <c r="E112" i="9" s="1"/>
  <c r="D98" i="10"/>
  <c r="B100" i="9"/>
  <c r="E100" i="9" s="1"/>
  <c r="D86" i="10"/>
  <c r="B88" i="9"/>
  <c r="E88" i="9" s="1"/>
  <c r="D74" i="10"/>
  <c r="B76" i="9"/>
  <c r="E76" i="9" s="1"/>
  <c r="D62" i="10"/>
  <c r="B64" i="9"/>
  <c r="E64" i="9" s="1"/>
  <c r="D50" i="10"/>
  <c r="B52" i="9"/>
  <c r="E52" i="9" s="1"/>
  <c r="D49" i="10"/>
  <c r="B51" i="9"/>
  <c r="E51" i="9" s="1"/>
  <c r="D13" i="10"/>
  <c r="D15" i="10"/>
  <c r="B12" i="9"/>
  <c r="E12" i="9" s="1"/>
  <c r="B10" i="9"/>
  <c r="E10" i="9" s="1"/>
  <c r="B7" i="9"/>
  <c r="E7" i="9" s="1"/>
  <c r="B6" i="9"/>
  <c r="E6" i="9" s="1"/>
  <c r="B5" i="9"/>
  <c r="E5" i="9" s="1"/>
  <c r="P728" i="1"/>
  <c r="P753" i="1"/>
  <c r="P733" i="1"/>
  <c r="P730" i="1"/>
  <c r="P722" i="1"/>
  <c r="P731" i="1"/>
  <c r="P729" i="1"/>
  <c r="P727" i="1"/>
  <c r="P726" i="1"/>
  <c r="P749" i="1"/>
  <c r="P734" i="1"/>
  <c r="P751" i="1"/>
  <c r="P754" i="1"/>
  <c r="P760" i="1"/>
  <c r="P746" i="1"/>
  <c r="P748" i="1"/>
  <c r="P752" i="1"/>
  <c r="P756" i="1"/>
  <c r="P755" i="1"/>
  <c r="P750" i="1"/>
  <c r="H10" i="2"/>
  <c r="G10" i="2" s="1"/>
  <c r="P747" i="1"/>
  <c r="H4" i="2"/>
  <c r="G4" i="2" s="1"/>
  <c r="H5" i="2"/>
  <c r="G5" i="2" s="1"/>
  <c r="P732" i="1"/>
  <c r="P725" i="1"/>
  <c r="P724" i="1"/>
  <c r="P723" i="1"/>
  <c r="H3" i="2"/>
  <c r="G3" i="2" s="1"/>
  <c r="P745" i="1"/>
  <c r="H20" i="2"/>
  <c r="G20" i="2" s="1"/>
  <c r="H17" i="2"/>
  <c r="G17" i="2" s="1"/>
  <c r="A2" i="2" l="1"/>
  <c r="E2" i="8"/>
  <c r="C898" i="1" l="1"/>
  <c r="C2" i="2"/>
  <c r="B2" i="9"/>
  <c r="E2" i="9" s="1"/>
  <c r="B2" i="3"/>
  <c r="B2" i="4"/>
  <c r="C2" i="1"/>
  <c r="D2" i="10"/>
  <c r="R744" i="1" l="1"/>
  <c r="O744" i="1"/>
  <c r="N744" i="1"/>
  <c r="H744" i="2" s="1"/>
  <c r="G744" i="2" s="1"/>
  <c r="H826" i="2" l="1"/>
  <c r="G826" i="2" s="1"/>
  <c r="H785" i="2"/>
  <c r="G785" i="2" s="1"/>
  <c r="H2" i="2"/>
  <c r="G2" i="2" s="1"/>
  <c r="H867" i="2"/>
  <c r="G867" i="2" s="1"/>
  <c r="P7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<sst xmlns="http://schemas.openxmlformats.org/spreadsheetml/2006/main" count="347" uniqueCount="130">
  <si>
    <t>Experiment ID</t>
  </si>
  <si>
    <t xml:space="preserve">Date Started </t>
  </si>
  <si>
    <t>Date Sampled</t>
  </si>
  <si>
    <t>Duration (Days)</t>
  </si>
  <si>
    <t>Sample Description</t>
  </si>
  <si>
    <t>NMR</t>
  </si>
  <si>
    <t>GC</t>
  </si>
  <si>
    <t>ICP</t>
  </si>
  <si>
    <t>x</t>
  </si>
  <si>
    <t>#</t>
  </si>
  <si>
    <t>d-DMSO (uL) </t>
  </si>
  <si>
    <t>27 mM GdNO3 (uL) </t>
  </si>
  <si>
    <t>1mM Maleic Acid (uL) </t>
  </si>
  <si>
    <t>8M HCl (uL)</t>
  </si>
  <si>
    <t>DI (uL) </t>
  </si>
  <si>
    <t>Sample (uL) </t>
  </si>
  <si>
    <t xml:space="preserve"> NH4Cl (uL)</t>
  </si>
  <si>
    <t>NH4Cl Stock Concentration (mM)</t>
  </si>
  <si>
    <t>Total (uL) </t>
  </si>
  <si>
    <t>Target (uL)</t>
  </si>
  <si>
    <t>Difference (uL)</t>
  </si>
  <si>
    <t>Number Scans</t>
  </si>
  <si>
    <t>Spiked NH4 Conc (mM)</t>
  </si>
  <si>
    <t>Ammonium Concentration (mM)</t>
  </si>
  <si>
    <t>IS Concentration (mM)</t>
  </si>
  <si>
    <t>IS Protons</t>
  </si>
  <si>
    <t>NH4 Protons</t>
  </si>
  <si>
    <t>IS Area</t>
  </si>
  <si>
    <t>Sample pH</t>
  </si>
  <si>
    <t>NH4 (mM)</t>
  </si>
  <si>
    <t>Liquid and Gas sample</t>
  </si>
  <si>
    <t>Date Run</t>
  </si>
  <si>
    <t>NH4 Peak Area</t>
  </si>
  <si>
    <t>Total Gas Volume (mL), gas cylinder = 3785mL</t>
  </si>
  <si>
    <t xml:space="preserve">Date Run </t>
  </si>
  <si>
    <t>Full Loop Calibration Peak Area, 500ppm H2 Standard 20mL Injection</t>
  </si>
  <si>
    <t>Full Loop Peak Area, Sample Gas, 20mL Injection</t>
  </si>
  <si>
    <t>H2 (ppm)</t>
  </si>
  <si>
    <t>Pressure on Sampling (PSI), 145PSI=1MPa</t>
  </si>
  <si>
    <t>Dilution</t>
  </si>
  <si>
    <t>Modification Description</t>
  </si>
  <si>
    <t>Sample Conductivity (mS/cm)</t>
  </si>
  <si>
    <t>ICP Name Input</t>
  </si>
  <si>
    <t>Gas Volume (mL)</t>
  </si>
  <si>
    <t>Gas Pressure (psi)</t>
  </si>
  <si>
    <t>Modification</t>
  </si>
  <si>
    <t>pH</t>
  </si>
  <si>
    <t>Conductivity</t>
  </si>
  <si>
    <t>HPHT_097</t>
  </si>
  <si>
    <t>HPHT_070</t>
  </si>
  <si>
    <t>Final liquid + gas sample</t>
  </si>
  <si>
    <t>HPHT_089</t>
  </si>
  <si>
    <t>Pre-rxn brine check</t>
  </si>
  <si>
    <t>NH4-Teflon</t>
  </si>
  <si>
    <t>NH4 adsorption to teflon</t>
  </si>
  <si>
    <t>HPHT_070_Desorption</t>
  </si>
  <si>
    <t>HPHT_101</t>
  </si>
  <si>
    <t>HPHT_102</t>
  </si>
  <si>
    <t>Reactor 8 background</t>
  </si>
  <si>
    <t>Reactor 9 background</t>
  </si>
  <si>
    <t>HPHT_095_Desorption</t>
  </si>
  <si>
    <t>Desorption test</t>
  </si>
  <si>
    <t>CaI experiment day 3</t>
  </si>
  <si>
    <t xml:space="preserve">Standard </t>
  </si>
  <si>
    <t>150uL 1mM NH4Cl</t>
  </si>
  <si>
    <t>HPHT_096</t>
  </si>
  <si>
    <t>HPHT_079</t>
  </si>
  <si>
    <t>Liquid and gas sample</t>
  </si>
  <si>
    <t>CaO Gas sample</t>
  </si>
  <si>
    <t>Initial desorption</t>
  </si>
  <si>
    <t>Sample Date</t>
  </si>
  <si>
    <t>NMR Run Date</t>
  </si>
  <si>
    <t>ICP Run Date</t>
  </si>
  <si>
    <t>GC Run Date</t>
  </si>
  <si>
    <t>Description</t>
  </si>
  <si>
    <t>XRD</t>
  </si>
  <si>
    <t>Wet Mass Sampled (g)</t>
  </si>
  <si>
    <t>Dry Mass (g)</t>
  </si>
  <si>
    <t>Desription</t>
  </si>
  <si>
    <t>CaI2 Gas, Liquid, Rock Sample</t>
  </si>
  <si>
    <t xml:space="preserve">High Temperature Sampling (PSI) </t>
  </si>
  <si>
    <t xml:space="preserve">HPHT_087 </t>
  </si>
  <si>
    <t>HPHT_071-2</t>
  </si>
  <si>
    <t>HPHT_090</t>
  </si>
  <si>
    <t>HPHT_093</t>
  </si>
  <si>
    <t>HPHT_095</t>
  </si>
  <si>
    <t>-1.97g wet rock. +50mL DI. +1mL 1M KOH. pH 7 --&gt; pH 9.9, EC 9.1 mS/cm</t>
  </si>
  <si>
    <t>300C @ 4800 PSI</t>
  </si>
  <si>
    <t>Flow through 300C +3 days</t>
  </si>
  <si>
    <t>Flow throughfinal sampling</t>
  </si>
  <si>
    <t>0.007mL/min at 220C for 2 days</t>
  </si>
  <si>
    <t>High Temperature H2 (ppm)</t>
  </si>
  <si>
    <t>Acetate Buffer, contnued 18 days, liquid from gas port</t>
  </si>
  <si>
    <t>2 days at 20C, hydrogen generated, dip tube sample high peak</t>
  </si>
  <si>
    <t>High Temperature Peak Area</t>
  </si>
  <si>
    <t>2 days at 20C, hydrogen generated, final sample</t>
  </si>
  <si>
    <t>0.007mL/min at 300C for 2 days</t>
  </si>
  <si>
    <t>Tamarack continued</t>
  </si>
  <si>
    <t>Tamarack continued W:R 5:1</t>
  </si>
  <si>
    <t>Tamarack W:R 5:1, low fluid level</t>
  </si>
  <si>
    <t>Reactor 6 background</t>
  </si>
  <si>
    <t>Tamarack W:R 1:1, low fluid level</t>
  </si>
  <si>
    <t>Column1</t>
  </si>
  <si>
    <t xml:space="preserve"> </t>
  </si>
  <si>
    <t>NMR Tube #</t>
  </si>
  <si>
    <t>NMR Tube Date</t>
  </si>
  <si>
    <t>fluid on bench</t>
  </si>
  <si>
    <t>-2.13g wet rock. +10mL DI. pH 12.5, EC 18 mS/cm.</t>
  </si>
  <si>
    <t>**no sample remove</t>
  </si>
  <si>
    <t>HPHT_103</t>
  </si>
  <si>
    <t>HPHT_104</t>
  </si>
  <si>
    <t>NMR tube 10 from 3/16/26</t>
  </si>
  <si>
    <t>NMR Standard</t>
  </si>
  <si>
    <t>NH4 Standard NMR</t>
  </si>
  <si>
    <t>Reactor # (If Applicable)</t>
  </si>
  <si>
    <t>OVERWRITE</t>
  </si>
  <si>
    <t>HPHT_105</t>
  </si>
  <si>
    <t>150uL NMR Standard</t>
  </si>
  <si>
    <t>Gas sample</t>
  </si>
  <si>
    <t>Liquid sample</t>
  </si>
  <si>
    <t>-2g wet rock.</t>
  </si>
  <si>
    <t>Liquid and gas sample, +450mg Pd</t>
  </si>
  <si>
    <t>Added 450mg Pd/C catalyst</t>
  </si>
  <si>
    <t>Liquid and gas sample, pH adjust</t>
  </si>
  <si>
    <t>pH adjust with KOH to pH 10</t>
  </si>
  <si>
    <t>Gas sample only</t>
  </si>
  <si>
    <t>HPHT_107</t>
  </si>
  <si>
    <t>Liquid sample only</t>
  </si>
  <si>
    <t>-1.67g wet rock.</t>
  </si>
  <si>
    <t>+1mL 1M KOH. pH 7.3 --&gt; pH 9.9, EC 9.9 mS/cm.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</si>
</sst>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2">
    <dxf>
      <numFmt numFmtId="0" formatCode="General"/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85DF"/>
      <color rgb="FFFF7979"/>
      <color rgb="FFC7A1E3"/>
      <color rgb="FFABE9FF"/>
      <color rgb="FF5DD5FF"/>
      <color rgb="FFA56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F99C286-797D-49E4-8EBA-41CC61F81510}">
    <nsvFilter filterId="{B9B38BD5-5F9E-4AE7-892E-BE86E3DD171E}" ref="A1:R1000" tableId="3">
      <columnFilter colId="0" id="{38B0EE4F-3FFB-49DF-A44B-321F73E6BF02}">
        <filter colId="0">
          <x:dynamicFilter type="thisWeek" val="46096" maxVal="46103"/>
        </filter>
      </columnFilter>
      <sortRules>
        <sortRule colId="0" id="{38B0EE4F-3FFB-49DF-A44B-321F73E6BF02}">
          <sortCondition ref="A1:A1000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05E4B8-70C8-488A-8A3C-92FFE7C2802C}" name="SampleList" displayName="SampleList" ref="A1:M998" totalsRowShown="0">
  <autoFilter ref="A1:M998" xr:uid="{9A05E4B8-70C8-488A-8A3C-92FFE7C2802C}"/>
  <tableColumns count="13">
    <tableColumn id="1" xr3:uid="{CCC37240-4A32-4B10-AE9E-0D1D6D476794}" name="Experiment ID"/>
    <tableColumn id="13" xr3:uid="{4B4CEB37-0F03-4367-93A4-14AE11685D3B}" name="Reactor # (If Applicable)"/>
    <tableColumn id="2" xr3:uid="{410D54A6-9F7B-4D90-8BD6-A5CC8318577C}" name="Date Started "/>
    <tableColumn id="3" xr3:uid="{DFF43A78-4911-4935-9DB2-52B51831B5E4}" name="Date Sampled"/>
    <tableColumn id="4" xr3:uid="{FF457083-723B-45B6-A6C9-787D537BCD6C}" name="Duration (Days)">
      <calculatedColumnFormula>D2-C2</calculatedColumnFormula>
    </tableColumn>
    <tableColumn id="5" xr3:uid="{35BFA9DB-2BAB-458A-98DB-E5DBB1301FD5}" name="Sample Description"/>
    <tableColumn id="6" xr3:uid="{DF3BF1D2-70D9-4534-9140-82A315DB56A9}" name="NMR"/>
    <tableColumn id="7" xr3:uid="{627CF3C9-0584-4BDC-88A4-F7F8A6D47EFF}" name="GC"/>
    <tableColumn id="8" xr3:uid="{D5BD2CA4-5B63-4E98-B930-5BBC6B7C2553}" name="ICP"/>
    <tableColumn id="9" xr3:uid="{0A38797B-DDB1-4FB7-90D8-A50F68BC1F96}" name="pH"/>
    <tableColumn id="10" xr3:uid="{A08F5F1B-8FA5-40C1-B073-EE71C1427830}" name="Conductivity"/>
    <tableColumn id="12" xr3:uid="{A822C67C-CB6D-4D2C-A08D-89335ADE4E78}" name="XRD"/>
    <tableColumn id="11" xr3:uid="{2B22412A-731A-4E73-9589-90C98412FE03}" name="Modificatio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B38BD5-5F9E-4AE7-892E-BE86E3DD171E}" name="NMRPrep" displayName="NMRPrep" ref="A1:R1000" totalsRowShown="0" headerRowDxfId="41">
  <autoFilter ref="A1:R1000" xr:uid="{B9B38BD5-5F9E-4AE7-892E-BE86E3DD171E}"/>
  <tableColumns count="18">
    <tableColumn id="1" xr3:uid="{38B0EE4F-3FFB-49DF-A44B-321F73E6BF02}" name="Date Sampled" dataDxfId="40">
      <calculatedColumnFormula>SampleList[[#This Row],[Date Sampled]]</calculatedColumnFormula>
    </tableColumn>
    <tableColumn id="3" xr3:uid="{AF450708-67ED-4D93-8354-B16922556334}" name="Experiment ID" dataDxfId="39">
      <calculatedColumnFormula array="1">IF(ISBLANK(INDEX(SampleList[NMR],ROW()-1)),"Not Requested",INDEX(SampleList[Experiment ID],ROW()-1))</calculatedColumnFormula>
    </tableColumn>
    <tableColumn id="4" xr3:uid="{51F0274B-2A9E-459C-BC8D-217A65A82DDF}" name="Duration (Days)">
      <calculatedColumnFormula>SampleList[[#This Row],[Duration (Days)]]</calculatedColumnFormula>
    </tableColumn>
    <tableColumn id="16" xr3:uid="{2F56AAAE-5F04-4330-9126-79579C0B0116}" name="Sample Description" dataDxfId="38">
      <calculatedColumnFormula>SampleList[[#This Row],[Sample Description]]</calculatedColumnFormula>
    </tableColumn>
    <tableColumn id="2" xr3:uid="{EA7ACE08-F547-4B3D-AB8B-171F50EA0DE2}" name="#"/>
    <tableColumn id="5" xr3:uid="{94F53FC3-4771-4926-95E7-9F3F18EB3BED}" name="d-DMSO (uL) "/>
    <tableColumn id="6" xr3:uid="{D53541A4-B61A-4820-9A45-1AE09AD88AEA}" name="27 mM GdNO3 (uL) "/>
    <tableColumn id="7" xr3:uid="{D438A174-2D13-4CE8-903C-890B04FC29DE}" name="1mM Maleic Acid (uL) "/>
    <tableColumn id="8" xr3:uid="{5370815B-8D39-4156-BD27-9568D715871D}" name="8M HCl (uL)"/>
    <tableColumn id="9" xr3:uid="{675D831C-C12B-4DF9-9195-069B409DD9F5}" name="DI (uL) "/>
    <tableColumn id="10" xr3:uid="{BD4BDEF0-39B9-4BF9-8C6A-B0775488EDB9}" name="Sample (uL) "/>
    <tableColumn id="11" xr3:uid="{8C3559B2-AEED-411B-9F9D-72DAB7CC93EB}" name=" NH4Cl (uL)"/>
    <tableColumn id="12" xr3:uid="{400682DA-EC4F-40C4-9C5D-0D0853C91F19}" name="NH4Cl Stock Concentration (mM)"/>
    <tableColumn id="13" xr3:uid="{A00C1D33-994D-4952-A112-C90FDB1DA456}" name="Total (uL) ">
      <calculatedColumnFormula>SUM(NMRPrep[[#This Row],[d-DMSO (uL) ]:[ NH4Cl (uL)]])</calculatedColumnFormula>
    </tableColumn>
    <tableColumn id="14" xr3:uid="{A95CFF5D-39FB-4EEE-94F6-E6A6570D1CE4}" name="Target (uL)">
      <calculatedColumnFormula>647</calculatedColumnFormula>
    </tableColumn>
    <tableColumn id="15" xr3:uid="{4D76DEC3-DD48-4D88-A72F-3AE3B4D78462}" name="Difference (uL)">
      <calculatedColumnFormula>NMRPrep[[#This Row],[Total (uL) ]]-NMRPrep[[#This Row],[Target (uL)]]</calculatedColumnFormula>
    </tableColumn>
    <tableColumn id="17" xr3:uid="{8D83FBD3-5849-45E4-9101-045E33307CFB}" name="Number Scans"/>
    <tableColumn id="18" xr3:uid="{97E92658-DF30-4D44-8FA1-C25C86D80B67}" name="Spiked NH4 Conc (mM)">
      <calculatedColumnFormula>(NMRPrep[[#This Row],[NH4Cl Stock Concentration (mM)]]*NMRPrep[[#This Row],[ NH4Cl (uL)]])/SUM(NMRPrep[[#This Row],[DI (uL) ]:[ NH4Cl (uL)]])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58E26-51A9-46BF-9493-1C76FC2A5ED6}" name="NMRResults" displayName="NMRResults" ref="A1:K1000" totalsRowShown="0" headerRowDxfId="37">
  <autoFilter ref="A1:K1000" xr:uid="{28D58E26-51A9-46BF-9493-1C76FC2A5ED6}">
    <filterColumn colId="0">
      <filters>
        <filter val="#REF!"/>
        <dateGroupItem year="2026" dateTimeGrouping="year"/>
      </filters>
    </filterColumn>
    <filterColumn colId="1">
      <filters>
        <filter val="150uL NMR Standard"/>
        <filter val="HPHT_070"/>
        <filter val="HPHT_070_Desorption"/>
        <filter val="HPHT_079"/>
        <filter val="HPHT_089"/>
        <filter val="HPHT_095_Desorption"/>
        <filter val="HPHT_096"/>
        <filter val="HPHT_097"/>
        <filter val="HPHT_101"/>
        <filter val="HPHT_102"/>
        <filter val="HPHT_103"/>
        <filter val="HPHT_104"/>
        <filter val="HPHT_105"/>
        <filter val="NH4-Teflon"/>
        <filter val="NMR Standard"/>
        <filter val="Standard"/>
      </filters>
    </filterColumn>
  </autoFilter>
  <tableColumns count="11">
    <tableColumn id="1" xr3:uid="{F9CFF923-970C-4EB7-A187-2A7ADC1DC677}" name="Date Sampled" dataDxfId="36">
      <calculatedColumnFormula>Sampling!D2</calculatedColumnFormula>
    </tableColumn>
    <tableColumn id="3" xr3:uid="{9729E115-DE4A-4112-9A79-C61E7CC4E723}" name="Experiment ID">
      <calculatedColumnFormula array="1">IF(ISBLANK(INDEX(SampleList[NMR],ROW()-1)),"Not Requested",INDEX(SampleList[Experiment ID],ROW()-1))</calculatedColumnFormula>
    </tableColumn>
    <tableColumn id="4" xr3:uid="{AA5D3D92-0817-490F-AB56-15008B6D8D5C}" name="Duration (Days)">
      <calculatedColumnFormula>Sampling!E2</calculatedColumnFormula>
    </tableColumn>
    <tableColumn id="2" xr3:uid="{CD83F8C2-7954-41BC-88BA-1DFFF140CA21}" name="#" dataDxfId="35">
      <calculatedColumnFormula>NMRPrep[[#This Row],['#]]</calculatedColumnFormula>
    </tableColumn>
    <tableColumn id="5" xr3:uid="{6B096048-F964-4FD0-B149-9734964E1432}" name="Date Run"/>
    <tableColumn id="9" xr3:uid="{13D57088-35F7-45E7-B094-7BED35D76B54}" name="NH4 Peak Area"/>
    <tableColumn id="6" xr3:uid="{40EB74AA-75F7-43D8-BEDC-2E26A865214A}" name="Ammonium Concentration (mM)">
      <calculatedColumnFormula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calculatedColumnFormula>
    </tableColumn>
    <tableColumn id="10" xr3:uid="{EB81F642-AB90-4A04-9600-2EA0B510A384}" name="IS Concentration (mM)" dataDxfId="34">
      <calculatedColumnFormula>IF(ISBLANK(NMRPrep[[#This Row],[Total (uL) ]]), 0, NMRPrep[[#This Row],[1mM Maleic Acid (uL) ]]/NMRPrep[[#This Row],[Total (uL) ]])</calculatedColumnFormula>
    </tableColumn>
    <tableColumn id="11" xr3:uid="{EE6DE874-049B-420E-BFB4-B50E3662D44A}" name="IS Protons" dataDxfId="33">
      <calculatedColumnFormula>2</calculatedColumnFormula>
    </tableColumn>
    <tableColumn id="12" xr3:uid="{2A769BE3-33A1-4969-92A9-D4AF8F52FE33}" name="NH4 Protons" dataDxfId="32">
      <calculatedColumnFormula>4</calculatedColumnFormula>
    </tableColumn>
    <tableColumn id="13" xr3:uid="{4C8C284C-0A3A-42F1-9D55-AB0647EEE169}" name="IS Area" dataDxfId="31">
      <calculatedColumnFormula>1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13799-AC25-47E5-8FFF-F50C04704231}" name="GCResults" displayName="GCResults" ref="A1:K1000" totalsRowShown="0" headerRowDxfId="30">
  <autoFilter ref="A1:K1000" xr:uid="{8D013799-AC25-47E5-8FFF-F50C04704231}">
    <filterColumn colId="0">
      <filters>
        <filter val="#REF!"/>
        <filter val="HPHT_070"/>
        <filter val="HPHT_079"/>
        <filter val="HPHT_089"/>
        <filter val="HPHT_096"/>
        <filter val="HPHT_097"/>
        <filter val="HPHT_105"/>
        <filter val="HPHT_107"/>
      </filters>
    </filterColumn>
  </autoFilter>
  <tableColumns count="11">
    <tableColumn id="1" xr3:uid="{0CE8A2A6-80EB-41DF-90D3-5A235C298E5A}" name="Experiment ID">
      <calculatedColumnFormula array="1">IF(ISBLANK(INDEX(SampleList[GC],ROW()-1)),"Not Requested",INDEX(SampleList[Experiment ID],ROW()-1))</calculatedColumnFormula>
    </tableColumn>
    <tableColumn id="2" xr3:uid="{294837A2-5754-4480-8877-5DA1F55B0F59}" name="Duration (Days)">
      <calculatedColumnFormula>Sampling!E2</calculatedColumnFormula>
    </tableColumn>
    <tableColumn id="3" xr3:uid="{A8CF8AF9-9943-4146-BB2B-34261A859055}" name="Date Run "/>
    <tableColumn id="4" xr3:uid="{DF538D3A-B1AA-4F1D-AEF7-72837861A271}" name="Full Loop Calibration Peak Area, 500ppm H2 Standard 20mL Injection"/>
    <tableColumn id="5" xr3:uid="{7BD3F794-99A0-4600-AF25-E1DEB253A859}" name="Full Loop Peak Area, Sample Gas, 20mL Injection"/>
    <tableColumn id="6" xr3:uid="{3697E8D4-9DA8-4993-8179-FAA274F87B13}" name="Total Gas Volume (mL), gas cylinder = 3785mL"/>
    <tableColumn id="7" xr3:uid="{D9415B0C-B9E4-476D-B053-9E69BEDCA4D5}" name="Pressure on Sampling (PSI), 145PSI=1MPa" dataDxfId="29">
      <calculatedColumnFormula>24.5*145</calculatedColumnFormula>
    </tableColumn>
    <tableColumn id="8" xr3:uid="{E3F3E7B1-9A74-4A94-92BE-AF00726F9E23}" name="H2 (ppm)" dataDxfId="8">
      <calculatedColumnFormula>IF(ISBLANK(GCResults[[#This Row],[Full Loop Peak Area, Sample Gas, 20mL Injection]]),"",(500/GCResults[[#This Row],[Full Loop Calibration Peak Area, 500ppm H2 Standard 20mL Injection]])*GCResults[[#This Row],[Full Loop Peak Area, Sample Gas, 20mL Injection]])</calculatedColumnFormula>
    </tableColumn>
    <tableColumn id="9" xr3:uid="{8FDA65E3-9EE0-4283-B7CF-DFFE9F37CAD0}" name="High Temperature Sampling (PSI) " dataDxfId="28">
      <calculatedColumnFormula>25.88*145</calculatedColumnFormula>
    </tableColumn>
    <tableColumn id="10" xr3:uid="{72755A56-9533-43B4-8B80-E4AC2D97AE9D}" name="High Temperature Peak Area"/>
    <tableColumn id="11" xr3:uid="{25151821-BD35-469A-A7F1-378511CA4D20}" name="High Temperature H2 (ppm)" dataDxfId="27">
      <calculatedColumnFormula>(500/D2)*J2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FF9D4B-8AD3-451E-AC5B-DABC037A9E43}" name="ICPList" displayName="ICPList" ref="A1:H1000" totalsRowShown="0" headerRowDxfId="26">
  <autoFilter ref="A1:H1000" xr:uid="{6BFF9D4B-8AD3-451E-AC5B-DABC037A9E43}">
    <filterColumn colId="0">
      <filters>
        <filter val="HPHT_070"/>
        <filter val="HPHT_089"/>
        <filter val="HPHT_096"/>
        <filter val="HPHT_097"/>
        <filter val="HPHT_101"/>
        <filter val="HPHT_102"/>
        <filter val="row"/>
      </filters>
    </filterColumn>
  </autoFilter>
  <tableColumns count="8">
    <tableColumn id="1" xr3:uid="{C9AAABFE-C7BA-44C5-AB0E-2930AFA44561}" name="Experiment ID">
      <calculatedColumnFormula array="1">IF(ISBLANK(INDEX(SampleList[ICP],ROW()-1)),"Not Requested",INDEX(SampleList[Experiment ID],ROW()-1))</calculatedColumnFormula>
    </tableColumn>
    <tableColumn id="2" xr3:uid="{836EAFE0-CA1F-4496-8602-C422B30C1B54}" name="Duration (Days)">
      <calculatedColumnFormula>Sampling!E2</calculatedColumnFormula>
    </tableColumn>
    <tableColumn id="3" xr3:uid="{4B417AB4-072A-49FC-B373-04A5A9EFAAB8}" name="Date Run"/>
    <tableColumn id="4" xr3:uid="{0DEA8D41-39C0-477A-8665-22F5BA7ADEFE}" name="Dilution"/>
    <tableColumn id="5" xr3:uid="{F0C9CDC2-7ED1-43FC-A336-0713BDE0771D}" name="ICP Name Input" dataDxfId="25">
      <calculatedColumnFormula>ICPList[[#This Row],[Experiment ID]]&amp;"_Day"&amp;ICPList[[#This Row],[Duration (Days)]]&amp;"_"&amp;ICPList[[#This Row],[Dilution]]&amp;"x"</calculatedColumnFormula>
    </tableColumn>
    <tableColumn id="6" xr3:uid="{DA9EE43C-2725-461D-8671-1D767F4FF7D5}" name="NMR Tube #" dataDxfId="24">
      <calculatedColumnFormula>NMRResults[[#This Row],['#]]</calculatedColumnFormula>
    </tableColumn>
    <tableColumn id="7" xr3:uid="{DAC1CEBC-0734-4426-9000-3D2E48BAE0A6}" name="NMR Tube Date" dataDxfId="23">
      <calculatedColumnFormula>NMRResults[[#This Row],[Date Run]]</calculatedColumnFormula>
    </tableColumn>
    <tableColumn id="8" xr3:uid="{D4DD3C5D-8688-4767-8C12-9EC6CE668CAC}" name="Column1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D85951-F10D-42D6-8E35-8ED528F71876}" name="pHCondMod" displayName="pHCondMod" ref="A1:F1000" totalsRowShown="0" headerRowDxfId="22">
  <autoFilter ref="A1:F1000" xr:uid="{B5D85951-F10D-42D6-8E35-8ED528F71876}">
    <filterColumn colId="0">
      <filters>
        <filter val="#REF!"/>
        <filter val="HPHT_070"/>
        <filter val="HPHT_079"/>
        <filter val="HPHT_089"/>
        <filter val="HPHT_096"/>
        <filter val="HPHT_097"/>
        <filter val="HPHT_101"/>
        <filter val="HPHT_102"/>
        <filter val="HPHT_103"/>
        <filter val="HPHT_104"/>
        <filter val="HPHT_105"/>
        <filter val="HPHT_107"/>
      </filters>
    </filterColumn>
  </autoFilter>
  <tableColumns count="6">
    <tableColumn id="1" xr3:uid="{0A3D025D-3F9E-4F2C-89A0-CE3A8077D9DE}" name="Experiment ID">
      <calculatedColumnFormula array="1">IF(AND(ISBLANK(INDEX(SampleList[pH],ROW()-1)),ISBLANK(INDEX(SampleList[Conductivity],ROW()-1)),ISBLANK(INDEX(SampleList[Modification],ROW()-1))),"Not Requested",INDEX(SampleList[Experiment ID],ROW()-1))</calculatedColumnFormula>
    </tableColumn>
    <tableColumn id="2" xr3:uid="{FBB06FF6-87EE-46BA-8AA0-F9CB8F4F8B77}" name="Duration (Days)">
      <calculatedColumnFormula>SampleList[[#This Row],[Duration (Days)]]</calculatedColumnFormula>
    </tableColumn>
    <tableColumn id="6" xr3:uid="{EEEB03BF-A9A5-41DB-8F25-E72C380C21AE}" name="Column1"/>
    <tableColumn id="3" xr3:uid="{0C900233-A80F-4020-8DA1-2496F32D7355}" name="Sample pH"/>
    <tableColumn id="4" xr3:uid="{48C01087-2703-4D1C-8C8A-4FB2C1C503A5}" name="Sample Conductivity (mS/cm)"/>
    <tableColumn id="5" xr3:uid="{AD3F9640-AEA5-457C-9C12-A23E08F863BE}" name="Modification Descrip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411807-B497-408C-872C-485BA79B4ED3}" name="XRD" displayName="XRD" ref="A1:G1000" totalsRowShown="0">
  <autoFilter ref="A1:G1000" xr:uid="{D9411807-B497-408C-872C-485BA79B4ED3}">
    <filterColumn colId="1">
      <filters>
        <filter val="HPHT_079"/>
        <filter val="HPHT_089"/>
        <filter val="HPHT_096"/>
        <filter val="HPHT_097"/>
      </filters>
    </filterColumn>
  </autoFilter>
  <tableColumns count="7">
    <tableColumn id="1" xr3:uid="{E00335AE-BD6B-4FD4-8DA1-9F06CACF413B}" name="Date Sampled" dataDxfId="21"/>
    <tableColumn id="2" xr3:uid="{7B666246-6CBF-472A-AA0B-3FC309A56703}" name="Experiment ID">
      <calculatedColumnFormula array="1">IF(ISBLANK(INDEX(SampleList[XRD],ROW()-1)),"Not Requested",INDEX(SampleList[Experiment ID],ROW()-1))</calculatedColumnFormula>
    </tableColumn>
    <tableColumn id="3" xr3:uid="{7738BD86-2CCE-4A7D-AC82-C7CABCDA7C13}" name="Desription">
      <calculatedColumnFormula>SampleList[[#This Row],[Sample Description]]</calculatedColumnFormula>
    </tableColumn>
    <tableColumn id="4" xr3:uid="{F525BC5B-053C-42E7-92DB-93B2E6A508B4}" name="Duration (Days)">
      <calculatedColumnFormula>SampleList[[#This Row],[Duration (Days)]]</calculatedColumnFormula>
    </tableColumn>
    <tableColumn id="5" xr3:uid="{0ADD92DE-444F-48B4-A735-F7723239E460}" name="Date Run"/>
    <tableColumn id="6" xr3:uid="{63CA13E9-D3F1-44C2-9917-2AA7B1EF4887}" name="Wet Mass Sampled (g)"/>
    <tableColumn id="7" xr3:uid="{F785EA01-1127-444D-8E39-0EB15F0B02F4}" name="Dry Mass (g)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A10933-913F-413A-9732-800BE97A60ED}" name="Dashboard" displayName="Dashboard" ref="A1:O1000" totalsRowShown="0">
  <autoFilter ref="A1:O1000" xr:uid="{2BA10933-913F-413A-9732-800BE97A60ED}"/>
  <tableColumns count="15">
    <tableColumn id="1" xr3:uid="{3A9FFE37-AEBC-4A2A-8DCA-9CA4549820B7}" name="Experiment ID">
      <calculatedColumnFormula>SampleList[[#This Row],[Experiment ID]]</calculatedColumnFormula>
    </tableColumn>
    <tableColumn id="14" xr3:uid="{5F0234E2-1239-47AD-926D-5B18E601E397}" name="Description" dataDxfId="20">
      <calculatedColumnFormula>SampleList[[#This Row],[Sample Description]]</calculatedColumnFormula>
    </tableColumn>
    <tableColumn id="10" xr3:uid="{6B6ABEE6-5CB6-4710-911C-590C5A909D5B}" name="Sample Date" dataDxfId="19">
      <calculatedColumnFormula>SampleList[[#This Row],[Date Sampled]]</calculatedColumnFormula>
    </tableColumn>
    <tableColumn id="2" xr3:uid="{615F6892-FC28-4774-A1BF-0792DF729B0A}" name="Duration (Days)">
      <calculatedColumnFormula>SampleList[[#This Row],[Duration (Days)]]</calculatedColumnFormula>
    </tableColumn>
    <tableColumn id="3" xr3:uid="{CAE31B90-CC14-4B0F-957D-4A07AAC78FF1}" name="NH4 (mM)" dataDxfId="0">
      <calculatedColumnFormula>NMRResults[[#This Row],[Ammonium Concentration (mM)]]</calculatedColumnFormula>
    </tableColumn>
    <tableColumn id="4" xr3:uid="{90F08625-B936-4A13-AD1B-D89C833B4788}" name="H2 (ppm)" dataDxfId="18">
      <calculatedColumnFormula>GCResults[[#This Row],[H2 (ppm)]]</calculatedColumnFormula>
    </tableColumn>
    <tableColumn id="5" xr3:uid="{F3C9C5AD-552B-4592-914C-F168E852BBA7}" name="Gas Volume (mL)" dataDxfId="17">
      <calculatedColumnFormula>GCResults[[#This Row],[Total Gas Volume (mL), gas cylinder = 3785mL]]</calculatedColumnFormula>
    </tableColumn>
    <tableColumn id="6" xr3:uid="{638A5C1A-A638-4825-93F6-B1D007E554AC}" name="Gas Pressure (psi)" dataDxfId="16">
      <calculatedColumnFormula>GCResults[[#This Row],[Pressure on Sampling (PSI), 145PSI=1MPa]]</calculatedColumnFormula>
    </tableColumn>
    <tableColumn id="7" xr3:uid="{78378DEC-322B-4642-B665-8391DA64EFDB}" name="Sample pH" dataDxfId="15">
      <calculatedColumnFormula>pHCondMod[[#This Row],[Sample pH]]</calculatedColumnFormula>
    </tableColumn>
    <tableColumn id="8" xr3:uid="{443077F8-EC01-4BB8-A9CC-CB026811644E}" name="Sample Conductivity (mS/cm)" dataDxfId="14">
      <calculatedColumnFormula>pHCondMod[[#This Row],[Sample Conductivity (mS/cm)]]</calculatedColumnFormula>
    </tableColumn>
    <tableColumn id="9" xr3:uid="{60036594-025E-4AFE-B8F4-1C797E83EDB3}" name="Modification" dataDxfId="13">
      <calculatedColumnFormula>pHCondMod[[#This Row],[Modification Description]]</calculatedColumnFormula>
    </tableColumn>
    <tableColumn id="11" xr3:uid="{4E369821-70F8-4A98-8C12-2526522AAF51}" name="NMR Run Date" dataDxfId="12">
      <calculatedColumnFormula>NMRResults[[#This Row],[Date Run]]</calculatedColumnFormula>
    </tableColumn>
    <tableColumn id="12" xr3:uid="{FB2D88D0-A817-440B-8600-03238ED6EF09}" name="ICP Run Date" dataDxfId="11">
      <calculatedColumnFormula>ICPList[[#This Row],[Date Run]]</calculatedColumnFormula>
    </tableColumn>
    <tableColumn id="13" xr3:uid="{2F4C3A5A-6C3B-4D15-905C-045C19407EC2}" name="GC Run Date" dataDxfId="10">
      <calculatedColumnFormula>GCResults[[#This Row],[Date Run ]]</calculatedColumnFormula>
    </tableColumn>
    <tableColumn id="15" xr3:uid="{733475B6-69C8-45E9-9F67-3297DA2B72EB}" name="OVERWRITE" dataDxfId="9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4949-A3EB-4EE9-8BD0-907B0E9EC228}">
  <sheetPr>
    <tabColor rgb="FFFF85DF"/>
  </sheetPr>
  <dimension ref="A1:N998"/>
  <sheetViews>
    <sheetView topLeftCell="B16" zoomScale="101" workbookViewId="0">
      <selection activeCell="K46" sqref="K46"/>
    </sheetView>
  </sheetViews>
  <sheetFormatPr defaultRowHeight="15" x14ac:dyDescent="0.25"/>
  <cols>
    <col min="1" max="1" width="19.7109375" bestFit="1" customWidth="1"/>
    <col min="2" max="2" width="14.140625" customWidth="1"/>
    <col min="3" max="3" width="13.5703125" customWidth="1"/>
    <col min="4" max="4" width="14.140625" customWidth="1"/>
    <col min="5" max="5" width="13.140625" customWidth="1"/>
    <col min="6" max="6" width="31.140625" customWidth="1"/>
    <col min="11" max="11" width="9.7109375" customWidth="1"/>
    <col min="12" max="12" width="10" customWidth="1"/>
    <col min="13" max="13" width="14" bestFit="1" customWidth="1"/>
  </cols>
  <sheetData>
    <row r="1" spans="1:14" ht="30.6" customHeight="1" x14ac:dyDescent="0.25">
      <c r="A1" t="s">
        <v>0</v>
      </c>
      <c r="B1" t="s">
        <v>114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46</v>
      </c>
      <c r="K1" t="s">
        <v>47</v>
      </c>
      <c r="L1" t="s">
        <v>75</v>
      </c>
      <c r="M1" t="s">
        <v>45</v>
      </c>
    </row>
    <row r="2" spans="1:14" x14ac:dyDescent="0.25">
      <c r="A2" t="s">
        <v>48</v>
      </c>
      <c r="C2" s="1">
        <v>46093</v>
      </c>
      <c r="D2" s="1">
        <v>46094</v>
      </c>
      <c r="E2">
        <f>D2-C2</f>
        <v>1</v>
      </c>
      <c r="F2" t="s">
        <v>30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N2" t="s">
        <v>103</v>
      </c>
    </row>
    <row r="3" spans="1:14" ht="14.45" x14ac:dyDescent="0.25">
      <c r="A3" t="s">
        <v>49</v>
      </c>
      <c r="C3" s="1">
        <v>46034</v>
      </c>
      <c r="D3" s="1">
        <v>46094</v>
      </c>
      <c r="E3">
        <f t="shared" ref="E3:E45" si="0">D3-C3</f>
        <v>60</v>
      </c>
      <c r="F3" t="s">
        <v>50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M3" t="s">
        <v>8</v>
      </c>
    </row>
    <row r="4" spans="1:14" ht="14.45" x14ac:dyDescent="0.25">
      <c r="A4" t="s">
        <v>51</v>
      </c>
      <c r="C4" s="1">
        <v>46094</v>
      </c>
      <c r="D4" s="1">
        <v>46094</v>
      </c>
      <c r="E4">
        <f t="shared" si="0"/>
        <v>0</v>
      </c>
      <c r="F4" t="s">
        <v>52</v>
      </c>
      <c r="G4" t="s">
        <v>8</v>
      </c>
      <c r="I4" t="s">
        <v>8</v>
      </c>
      <c r="J4" t="s">
        <v>8</v>
      </c>
      <c r="K4" t="s">
        <v>8</v>
      </c>
    </row>
    <row r="5" spans="1:14" ht="14.45" x14ac:dyDescent="0.25">
      <c r="A5" t="s">
        <v>53</v>
      </c>
      <c r="C5" s="1">
        <v>46094</v>
      </c>
      <c r="D5" s="1">
        <v>46094</v>
      </c>
      <c r="E5">
        <f t="shared" si="0"/>
        <v>0</v>
      </c>
      <c r="F5" t="s">
        <v>54</v>
      </c>
      <c r="G5" t="s">
        <v>8</v>
      </c>
    </row>
    <row r="6" spans="1:14" ht="14.45" x14ac:dyDescent="0.25">
      <c r="A6" t="s">
        <v>53</v>
      </c>
      <c r="C6" s="1">
        <v>46094</v>
      </c>
      <c r="D6" s="1">
        <v>46097</v>
      </c>
      <c r="E6">
        <f t="shared" si="0"/>
        <v>3</v>
      </c>
      <c r="F6" t="s">
        <v>54</v>
      </c>
      <c r="G6" t="s">
        <v>8</v>
      </c>
    </row>
    <row r="7" spans="1:14" ht="14.45" x14ac:dyDescent="0.25">
      <c r="A7" t="s">
        <v>55</v>
      </c>
      <c r="C7" s="1">
        <v>46094</v>
      </c>
      <c r="D7" s="1">
        <v>46094</v>
      </c>
      <c r="E7">
        <f t="shared" si="0"/>
        <v>0</v>
      </c>
      <c r="F7" t="s">
        <v>69</v>
      </c>
      <c r="G7" t="s">
        <v>8</v>
      </c>
    </row>
    <row r="8" spans="1:14" ht="14.45" x14ac:dyDescent="0.25">
      <c r="A8" t="s">
        <v>56</v>
      </c>
      <c r="C8" s="1">
        <v>46094</v>
      </c>
      <c r="D8" s="1">
        <v>46097</v>
      </c>
      <c r="E8">
        <f t="shared" si="0"/>
        <v>3</v>
      </c>
      <c r="F8" t="s">
        <v>58</v>
      </c>
      <c r="G8" t="s">
        <v>8</v>
      </c>
      <c r="I8" t="s">
        <v>8</v>
      </c>
      <c r="J8" t="s">
        <v>8</v>
      </c>
      <c r="K8" t="s">
        <v>8</v>
      </c>
    </row>
    <row r="9" spans="1:14" ht="14.45" x14ac:dyDescent="0.25">
      <c r="A9" t="s">
        <v>57</v>
      </c>
      <c r="C9" s="1">
        <v>46094</v>
      </c>
      <c r="D9" s="1">
        <v>46097</v>
      </c>
      <c r="E9">
        <f t="shared" si="0"/>
        <v>3</v>
      </c>
      <c r="F9" t="s">
        <v>59</v>
      </c>
      <c r="G9" t="s">
        <v>8</v>
      </c>
      <c r="I9" t="s">
        <v>8</v>
      </c>
      <c r="J9" t="s">
        <v>8</v>
      </c>
      <c r="K9" t="s">
        <v>8</v>
      </c>
    </row>
    <row r="10" spans="1:14" ht="14.45" x14ac:dyDescent="0.25">
      <c r="A10" t="s">
        <v>60</v>
      </c>
      <c r="C10" s="1">
        <v>46094</v>
      </c>
      <c r="D10" s="1">
        <v>46097</v>
      </c>
      <c r="E10">
        <f t="shared" si="0"/>
        <v>3</v>
      </c>
      <c r="F10" t="s">
        <v>61</v>
      </c>
      <c r="G10" t="s">
        <v>8</v>
      </c>
    </row>
    <row r="11" spans="1:14" x14ac:dyDescent="0.25">
      <c r="A11" t="s">
        <v>48</v>
      </c>
      <c r="C11" s="1">
        <v>46093</v>
      </c>
      <c r="D11" s="1">
        <v>46097</v>
      </c>
      <c r="E11">
        <f t="shared" si="0"/>
        <v>4</v>
      </c>
      <c r="F11" t="s">
        <v>62</v>
      </c>
      <c r="G11" t="s">
        <v>8</v>
      </c>
      <c r="I11" t="s">
        <v>8</v>
      </c>
      <c r="J11" t="s">
        <v>8</v>
      </c>
      <c r="K11" t="s">
        <v>8</v>
      </c>
    </row>
    <row r="12" spans="1:14" ht="14.45" x14ac:dyDescent="0.25">
      <c r="A12" t="s">
        <v>63</v>
      </c>
      <c r="C12" s="1">
        <v>46097</v>
      </c>
      <c r="D12" s="1">
        <v>46097</v>
      </c>
      <c r="E12">
        <f t="shared" si="0"/>
        <v>0</v>
      </c>
      <c r="F12" t="s">
        <v>64</v>
      </c>
      <c r="G12" t="s">
        <v>8</v>
      </c>
    </row>
    <row r="13" spans="1:14" ht="14.45" x14ac:dyDescent="0.25">
      <c r="A13" t="s">
        <v>65</v>
      </c>
      <c r="C13" s="1">
        <v>46087</v>
      </c>
      <c r="D13" s="1">
        <v>46097</v>
      </c>
      <c r="E13">
        <f t="shared" si="0"/>
        <v>10</v>
      </c>
      <c r="F13" t="s">
        <v>67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</row>
    <row r="14" spans="1:14" ht="14.45" x14ac:dyDescent="0.25">
      <c r="A14" t="s">
        <v>66</v>
      </c>
      <c r="C14" s="1">
        <v>46058</v>
      </c>
      <c r="D14" s="1">
        <v>46097</v>
      </c>
      <c r="E14">
        <f t="shared" si="0"/>
        <v>39</v>
      </c>
      <c r="F14" t="s">
        <v>68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</row>
    <row r="15" spans="1:14" x14ac:dyDescent="0.25">
      <c r="A15" t="s">
        <v>48</v>
      </c>
      <c r="C15" s="1">
        <v>46093</v>
      </c>
      <c r="D15" s="1">
        <v>46099</v>
      </c>
      <c r="E15">
        <f t="shared" si="0"/>
        <v>6</v>
      </c>
      <c r="F15" t="s">
        <v>79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</row>
    <row r="16" spans="1:14" ht="14.45" x14ac:dyDescent="0.25">
      <c r="A16" t="s">
        <v>81</v>
      </c>
      <c r="C16" s="1">
        <v>46074</v>
      </c>
      <c r="D16" s="1">
        <v>46080</v>
      </c>
      <c r="E16">
        <f t="shared" si="0"/>
        <v>6</v>
      </c>
      <c r="F16" t="s">
        <v>90</v>
      </c>
      <c r="I16" t="s">
        <v>8</v>
      </c>
    </row>
    <row r="17" spans="1:9" ht="14.45" x14ac:dyDescent="0.25">
      <c r="A17" t="s">
        <v>49</v>
      </c>
      <c r="C17" s="1">
        <v>46034</v>
      </c>
      <c r="D17" s="1">
        <v>46080</v>
      </c>
      <c r="E17">
        <f t="shared" si="0"/>
        <v>46</v>
      </c>
      <c r="F17" t="s">
        <v>50</v>
      </c>
      <c r="I17" t="s">
        <v>8</v>
      </c>
    </row>
    <row r="18" spans="1:9" ht="14.45" x14ac:dyDescent="0.25">
      <c r="A18" t="s">
        <v>82</v>
      </c>
      <c r="C18" s="1">
        <v>46062</v>
      </c>
      <c r="D18" s="1">
        <v>46080</v>
      </c>
      <c r="E18">
        <f t="shared" si="0"/>
        <v>18</v>
      </c>
      <c r="F18" t="s">
        <v>92</v>
      </c>
      <c r="I18" t="s">
        <v>8</v>
      </c>
    </row>
    <row r="19" spans="1:9" ht="14.45" x14ac:dyDescent="0.25">
      <c r="A19" t="s">
        <v>66</v>
      </c>
      <c r="C19" s="1">
        <v>46058</v>
      </c>
      <c r="D19" s="1">
        <v>46080</v>
      </c>
      <c r="E19">
        <f t="shared" si="0"/>
        <v>22</v>
      </c>
      <c r="F19" t="s">
        <v>68</v>
      </c>
    </row>
    <row r="20" spans="1:9" ht="14.45" x14ac:dyDescent="0.25">
      <c r="A20" t="s">
        <v>82</v>
      </c>
      <c r="C20" s="1">
        <v>46063</v>
      </c>
      <c r="D20" s="1">
        <v>46083</v>
      </c>
      <c r="E20">
        <f t="shared" si="0"/>
        <v>20</v>
      </c>
      <c r="F20" t="s">
        <v>93</v>
      </c>
      <c r="I20" t="s">
        <v>8</v>
      </c>
    </row>
    <row r="21" spans="1:9" ht="14.45" x14ac:dyDescent="0.25">
      <c r="A21" t="s">
        <v>81</v>
      </c>
      <c r="C21" s="1">
        <v>46075</v>
      </c>
      <c r="D21" s="1">
        <v>46083</v>
      </c>
      <c r="E21">
        <f t="shared" si="0"/>
        <v>8</v>
      </c>
      <c r="F21" t="s">
        <v>96</v>
      </c>
      <c r="I21" t="s">
        <v>8</v>
      </c>
    </row>
    <row r="22" spans="1:9" ht="14.45" x14ac:dyDescent="0.25">
      <c r="A22" t="s">
        <v>83</v>
      </c>
      <c r="C22" s="1">
        <v>46073</v>
      </c>
      <c r="D22" s="1">
        <v>46083</v>
      </c>
      <c r="E22">
        <f t="shared" si="0"/>
        <v>10</v>
      </c>
      <c r="F22" t="s">
        <v>97</v>
      </c>
      <c r="I22" t="s">
        <v>8</v>
      </c>
    </row>
    <row r="23" spans="1:9" ht="14.45" x14ac:dyDescent="0.25">
      <c r="A23" t="s">
        <v>84</v>
      </c>
      <c r="C23" s="1">
        <v>46081</v>
      </c>
      <c r="D23" s="1">
        <v>46083</v>
      </c>
      <c r="E23">
        <f t="shared" si="0"/>
        <v>2</v>
      </c>
      <c r="F23" t="s">
        <v>100</v>
      </c>
      <c r="I23" t="s">
        <v>8</v>
      </c>
    </row>
    <row r="24" spans="1:9" ht="14.45" x14ac:dyDescent="0.25">
      <c r="A24" t="s">
        <v>49</v>
      </c>
      <c r="C24" s="1">
        <v>46034</v>
      </c>
      <c r="D24" s="1">
        <v>46086</v>
      </c>
      <c r="E24">
        <f t="shared" si="0"/>
        <v>52</v>
      </c>
      <c r="F24" t="s">
        <v>50</v>
      </c>
      <c r="I24" t="s">
        <v>8</v>
      </c>
    </row>
    <row r="25" spans="1:9" ht="14.45" x14ac:dyDescent="0.25">
      <c r="A25" t="s">
        <v>82</v>
      </c>
      <c r="C25" s="1">
        <v>46064</v>
      </c>
      <c r="D25" s="1">
        <v>46086</v>
      </c>
      <c r="E25">
        <f t="shared" si="0"/>
        <v>22</v>
      </c>
      <c r="F25" t="s">
        <v>95</v>
      </c>
      <c r="I25" t="s">
        <v>8</v>
      </c>
    </row>
    <row r="26" spans="1:9" ht="14.45" x14ac:dyDescent="0.25">
      <c r="A26" t="s">
        <v>66</v>
      </c>
      <c r="C26" s="1">
        <v>46058</v>
      </c>
      <c r="D26" s="1">
        <v>46086</v>
      </c>
      <c r="E26">
        <f t="shared" si="0"/>
        <v>28</v>
      </c>
      <c r="F26" t="s">
        <v>68</v>
      </c>
      <c r="I26" t="s">
        <v>8</v>
      </c>
    </row>
    <row r="27" spans="1:9" ht="14.45" x14ac:dyDescent="0.25">
      <c r="A27" t="s">
        <v>81</v>
      </c>
      <c r="C27" s="1">
        <v>46086</v>
      </c>
      <c r="D27" s="1">
        <v>46086</v>
      </c>
      <c r="E27">
        <f t="shared" si="0"/>
        <v>0</v>
      </c>
      <c r="F27" t="s">
        <v>52</v>
      </c>
      <c r="I27" t="s">
        <v>8</v>
      </c>
    </row>
    <row r="28" spans="1:9" ht="14.45" x14ac:dyDescent="0.25">
      <c r="A28" t="s">
        <v>81</v>
      </c>
      <c r="C28" s="1">
        <v>46076</v>
      </c>
      <c r="D28" s="1">
        <v>46086</v>
      </c>
      <c r="E28">
        <f t="shared" si="0"/>
        <v>10</v>
      </c>
      <c r="F28" t="s">
        <v>87</v>
      </c>
      <c r="I28" t="s">
        <v>8</v>
      </c>
    </row>
    <row r="29" spans="1:9" ht="14.45" x14ac:dyDescent="0.25">
      <c r="A29" t="s">
        <v>83</v>
      </c>
      <c r="C29" s="1">
        <v>46074</v>
      </c>
      <c r="D29" s="1">
        <v>46086</v>
      </c>
      <c r="E29">
        <f t="shared" si="0"/>
        <v>12</v>
      </c>
      <c r="F29" t="s">
        <v>98</v>
      </c>
      <c r="I29" t="s">
        <v>8</v>
      </c>
    </row>
    <row r="30" spans="1:9" ht="14.45" x14ac:dyDescent="0.25">
      <c r="A30" t="s">
        <v>85</v>
      </c>
      <c r="C30" s="1">
        <v>46086</v>
      </c>
      <c r="D30" s="1">
        <v>46086</v>
      </c>
      <c r="E30">
        <f t="shared" si="0"/>
        <v>0</v>
      </c>
      <c r="F30" t="s">
        <v>52</v>
      </c>
      <c r="I30" t="s">
        <v>8</v>
      </c>
    </row>
    <row r="31" spans="1:9" ht="14.45" x14ac:dyDescent="0.25">
      <c r="A31" t="s">
        <v>66</v>
      </c>
      <c r="C31" s="1">
        <v>46058</v>
      </c>
      <c r="D31" s="1">
        <v>46092</v>
      </c>
      <c r="E31">
        <f t="shared" si="0"/>
        <v>34</v>
      </c>
      <c r="F31" t="s">
        <v>68</v>
      </c>
      <c r="I31" t="s">
        <v>8</v>
      </c>
    </row>
    <row r="32" spans="1:9" ht="14.45" x14ac:dyDescent="0.25">
      <c r="A32" t="s">
        <v>81</v>
      </c>
      <c r="C32" s="1">
        <v>46083</v>
      </c>
      <c r="D32" s="1">
        <v>46092</v>
      </c>
      <c r="E32">
        <f t="shared" si="0"/>
        <v>9</v>
      </c>
      <c r="F32" t="s">
        <v>88</v>
      </c>
      <c r="I32" t="s">
        <v>8</v>
      </c>
    </row>
    <row r="33" spans="1:13" ht="14.45" x14ac:dyDescent="0.25">
      <c r="A33" t="s">
        <v>81</v>
      </c>
      <c r="C33" s="1">
        <v>46077</v>
      </c>
      <c r="D33" s="1">
        <v>46092</v>
      </c>
      <c r="E33">
        <f t="shared" si="0"/>
        <v>15</v>
      </c>
      <c r="F33" t="s">
        <v>89</v>
      </c>
      <c r="I33" t="s">
        <v>8</v>
      </c>
    </row>
    <row r="34" spans="1:13" ht="14.45" x14ac:dyDescent="0.25">
      <c r="A34" t="s">
        <v>65</v>
      </c>
      <c r="C34" s="1">
        <v>46087</v>
      </c>
      <c r="D34" s="1">
        <v>46087</v>
      </c>
      <c r="E34">
        <f t="shared" si="0"/>
        <v>0</v>
      </c>
      <c r="F34" t="s">
        <v>67</v>
      </c>
      <c r="I34" t="s">
        <v>8</v>
      </c>
    </row>
    <row r="35" spans="1:13" ht="14.45" x14ac:dyDescent="0.25">
      <c r="A35" t="s">
        <v>83</v>
      </c>
      <c r="C35" s="1">
        <v>46077</v>
      </c>
      <c r="D35" s="1">
        <v>46092</v>
      </c>
      <c r="E35">
        <f t="shared" si="0"/>
        <v>15</v>
      </c>
      <c r="F35" t="s">
        <v>99</v>
      </c>
      <c r="I35" t="s">
        <v>8</v>
      </c>
    </row>
    <row r="36" spans="1:13" ht="14.45" x14ac:dyDescent="0.25">
      <c r="A36" t="s">
        <v>65</v>
      </c>
      <c r="C36" s="1">
        <v>46087</v>
      </c>
      <c r="D36" s="1">
        <v>46092</v>
      </c>
      <c r="E36">
        <f t="shared" si="0"/>
        <v>5</v>
      </c>
      <c r="F36" t="s">
        <v>67</v>
      </c>
      <c r="I36" t="s">
        <v>8</v>
      </c>
    </row>
    <row r="37" spans="1:13" ht="14.45" x14ac:dyDescent="0.25">
      <c r="A37" t="s">
        <v>85</v>
      </c>
      <c r="C37" s="1">
        <v>46088</v>
      </c>
      <c r="D37" s="1">
        <v>46092</v>
      </c>
      <c r="E37">
        <f t="shared" si="0"/>
        <v>4</v>
      </c>
      <c r="F37" t="s">
        <v>101</v>
      </c>
      <c r="I37" t="s">
        <v>8</v>
      </c>
    </row>
    <row r="38" spans="1:13" ht="14.45" x14ac:dyDescent="0.25">
      <c r="A38" t="s">
        <v>109</v>
      </c>
      <c r="B38">
        <v>5</v>
      </c>
      <c r="C38" s="1">
        <v>46099</v>
      </c>
      <c r="D38" s="1">
        <v>46099</v>
      </c>
      <c r="E38">
        <f t="shared" si="0"/>
        <v>0</v>
      </c>
      <c r="F38" t="s">
        <v>52</v>
      </c>
      <c r="G38" t="s">
        <v>8</v>
      </c>
      <c r="I38" t="s">
        <v>8</v>
      </c>
      <c r="J38" t="s">
        <v>8</v>
      </c>
      <c r="K38" t="s">
        <v>8</v>
      </c>
    </row>
    <row r="39" spans="1:13" ht="14.45" x14ac:dyDescent="0.25">
      <c r="A39" t="s">
        <v>110</v>
      </c>
      <c r="B39">
        <v>6</v>
      </c>
      <c r="C39" s="1">
        <v>46099</v>
      </c>
      <c r="D39" s="1">
        <v>46099</v>
      </c>
      <c r="E39">
        <f t="shared" si="0"/>
        <v>0</v>
      </c>
      <c r="F39" t="s">
        <v>52</v>
      </c>
      <c r="G39" t="s">
        <v>8</v>
      </c>
      <c r="I39" t="s">
        <v>8</v>
      </c>
      <c r="J39" t="s">
        <v>8</v>
      </c>
      <c r="K39" t="s">
        <v>8</v>
      </c>
    </row>
    <row r="40" spans="1:13" ht="14.45" x14ac:dyDescent="0.25">
      <c r="A40" t="s">
        <v>65</v>
      </c>
      <c r="B40">
        <v>2</v>
      </c>
      <c r="C40" s="1">
        <v>46087</v>
      </c>
      <c r="D40" s="1">
        <v>46097</v>
      </c>
      <c r="E40">
        <f t="shared" si="0"/>
        <v>10</v>
      </c>
      <c r="F40" t="s">
        <v>111</v>
      </c>
      <c r="G40" t="s">
        <v>8</v>
      </c>
    </row>
    <row r="41" spans="1:13" ht="14.45" x14ac:dyDescent="0.25">
      <c r="A41" t="s">
        <v>112</v>
      </c>
      <c r="C41" s="1">
        <v>46099</v>
      </c>
      <c r="D41" s="1">
        <v>46099</v>
      </c>
      <c r="E41">
        <f t="shared" si="0"/>
        <v>0</v>
      </c>
      <c r="F41" t="s">
        <v>113</v>
      </c>
      <c r="G41" t="s">
        <v>8</v>
      </c>
    </row>
    <row r="42" spans="1:13" ht="14.45" x14ac:dyDescent="0.25">
      <c r="A42" t="s">
        <v>55</v>
      </c>
      <c r="C42" s="1">
        <v>46094</v>
      </c>
      <c r="D42" s="1">
        <v>46099</v>
      </c>
      <c r="E42">
        <f t="shared" si="0"/>
        <v>5</v>
      </c>
      <c r="F42" t="s">
        <v>61</v>
      </c>
      <c r="G42" t="s">
        <v>8</v>
      </c>
    </row>
    <row r="43" spans="1:13" ht="14.45" x14ac:dyDescent="0.25">
      <c r="A43" t="s">
        <v>51</v>
      </c>
      <c r="B43">
        <v>1</v>
      </c>
      <c r="C43" s="1">
        <v>46097</v>
      </c>
      <c r="D43" s="1">
        <v>46100</v>
      </c>
      <c r="E43">
        <f t="shared" si="0"/>
        <v>3</v>
      </c>
      <c r="F43" t="s">
        <v>30</v>
      </c>
      <c r="G43" t="s">
        <v>8</v>
      </c>
      <c r="H43" t="s">
        <v>8</v>
      </c>
      <c r="J43" t="s">
        <v>8</v>
      </c>
      <c r="K43" t="s">
        <v>8</v>
      </c>
      <c r="L43" t="s">
        <v>8</v>
      </c>
    </row>
    <row r="44" spans="1:13" ht="14.45" x14ac:dyDescent="0.25">
      <c r="A44" t="s">
        <v>65</v>
      </c>
      <c r="B44">
        <v>2</v>
      </c>
      <c r="C44" s="1">
        <v>46087</v>
      </c>
      <c r="D44" s="1">
        <v>46100</v>
      </c>
      <c r="E44">
        <f t="shared" si="0"/>
        <v>13</v>
      </c>
      <c r="F44" t="s">
        <v>30</v>
      </c>
      <c r="G44" t="s">
        <v>8</v>
      </c>
      <c r="H44" t="s">
        <v>8</v>
      </c>
      <c r="J44" t="s">
        <v>8</v>
      </c>
      <c r="K44" t="s">
        <v>8</v>
      </c>
      <c r="M44" t="s">
        <v>8</v>
      </c>
    </row>
    <row r="45" spans="1:13" ht="14.45" x14ac:dyDescent="0.25">
      <c r="A45" t="s">
        <v>66</v>
      </c>
      <c r="B45">
        <v>3</v>
      </c>
      <c r="C45" s="1">
        <v>46058</v>
      </c>
      <c r="D45" s="1">
        <v>46100</v>
      </c>
      <c r="E45">
        <f t="shared" si="0"/>
        <v>42</v>
      </c>
      <c r="F45" t="s">
        <v>118</v>
      </c>
      <c r="H45" t="s">
        <v>8</v>
      </c>
    </row>
    <row r="46" spans="1:13" x14ac:dyDescent="0.25">
      <c r="A46" t="s">
        <v>48</v>
      </c>
      <c r="B46">
        <v>4</v>
      </c>
      <c r="C46" s="1">
        <v>46093</v>
      </c>
      <c r="D46" s="1">
        <v>46101</v>
      </c>
      <c r="E46">
        <f t="shared" ref="E46:E73" si="1">D46-C46</f>
        <v>8</v>
      </c>
      <c r="F46" t="s">
        <v>119</v>
      </c>
      <c r="G46" t="s">
        <v>8</v>
      </c>
      <c r="J46" t="s">
        <v>8</v>
      </c>
      <c r="K46" t="s">
        <v>8</v>
      </c>
    </row>
    <row r="47" spans="1:13" ht="14.45" x14ac:dyDescent="0.25">
      <c r="A47" t="s">
        <v>116</v>
      </c>
      <c r="B47">
        <v>8</v>
      </c>
      <c r="C47" s="1">
        <v>46098</v>
      </c>
      <c r="D47" s="1">
        <v>46101</v>
      </c>
      <c r="E47">
        <f t="shared" si="1"/>
        <v>3</v>
      </c>
      <c r="F47" t="s">
        <v>30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</row>
    <row r="48" spans="1:13" ht="14.45" x14ac:dyDescent="0.25">
      <c r="A48" t="s">
        <v>117</v>
      </c>
      <c r="C48" s="1">
        <v>46101</v>
      </c>
      <c r="D48" s="1">
        <v>46101</v>
      </c>
      <c r="E48">
        <f t="shared" si="1"/>
        <v>0</v>
      </c>
      <c r="F48" t="s">
        <v>64</v>
      </c>
      <c r="G48" t="s">
        <v>8</v>
      </c>
      <c r="M48" t="s">
        <v>8</v>
      </c>
    </row>
    <row r="49" spans="1:13" ht="14.45" x14ac:dyDescent="0.25">
      <c r="A49" t="s">
        <v>65</v>
      </c>
      <c r="B49">
        <v>2</v>
      </c>
      <c r="C49" s="1">
        <v>46087</v>
      </c>
      <c r="D49" s="1">
        <v>46104</v>
      </c>
      <c r="E49">
        <f t="shared" si="1"/>
        <v>17</v>
      </c>
      <c r="F49" t="s">
        <v>121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M49" t="s">
        <v>8</v>
      </c>
    </row>
    <row r="50" spans="1:13" ht="14.45" x14ac:dyDescent="0.25">
      <c r="A50" t="s">
        <v>51</v>
      </c>
      <c r="B50">
        <v>1</v>
      </c>
      <c r="C50" s="1">
        <v>46097</v>
      </c>
      <c r="D50" s="1">
        <v>46104</v>
      </c>
      <c r="E50">
        <f t="shared" si="1"/>
        <v>7</v>
      </c>
      <c r="F50" t="s">
        <v>123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M50" t="s">
        <v>8</v>
      </c>
    </row>
    <row r="51" spans="1:13" ht="14.45" x14ac:dyDescent="0.25">
      <c r="A51" t="s">
        <v>66</v>
      </c>
      <c r="B51">
        <v>3</v>
      </c>
      <c r="C51" s="1">
        <v>46058</v>
      </c>
      <c r="D51" s="1">
        <v>46104</v>
      </c>
      <c r="E51">
        <f t="shared" si="1"/>
        <v>46</v>
      </c>
      <c r="F51" t="s">
        <v>125</v>
      </c>
      <c r="H51" t="s">
        <v>8</v>
      </c>
    </row>
    <row r="52" spans="1:13" x14ac:dyDescent="0.25">
      <c r="A52" t="s">
        <v>48</v>
      </c>
      <c r="B52">
        <v>4</v>
      </c>
      <c r="C52" s="1">
        <v>46093</v>
      </c>
      <c r="D52" s="1">
        <v>46104</v>
      </c>
      <c r="E52">
        <f t="shared" si="1"/>
        <v>11</v>
      </c>
      <c r="F52" t="s">
        <v>123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M52" t="s">
        <v>8</v>
      </c>
    </row>
    <row r="53" spans="1:13" ht="14.45" x14ac:dyDescent="0.25">
      <c r="A53" t="s">
        <v>109</v>
      </c>
      <c r="B53">
        <v>5</v>
      </c>
      <c r="C53" s="1">
        <v>46101</v>
      </c>
      <c r="D53" s="1">
        <v>46104</v>
      </c>
      <c r="E53">
        <f t="shared" si="1"/>
        <v>3</v>
      </c>
      <c r="F53" t="s">
        <v>127</v>
      </c>
      <c r="G53" t="s">
        <v>8</v>
      </c>
      <c r="I53" t="s">
        <v>8</v>
      </c>
      <c r="J53" t="s">
        <v>8</v>
      </c>
      <c r="K53" t="s">
        <v>8</v>
      </c>
    </row>
    <row r="54" spans="1:13" ht="14.45" x14ac:dyDescent="0.25">
      <c r="A54" t="s">
        <v>110</v>
      </c>
      <c r="B54">
        <v>6</v>
      </c>
      <c r="C54" s="1">
        <v>46101</v>
      </c>
      <c r="D54" s="1">
        <v>46104</v>
      </c>
      <c r="E54">
        <f t="shared" si="1"/>
        <v>3</v>
      </c>
      <c r="F54" t="s">
        <v>127</v>
      </c>
      <c r="G54" t="s">
        <v>8</v>
      </c>
      <c r="I54" t="s">
        <v>8</v>
      </c>
      <c r="J54" t="s">
        <v>8</v>
      </c>
      <c r="K54" t="s">
        <v>8</v>
      </c>
    </row>
    <row r="55" spans="1:13" ht="14.45" x14ac:dyDescent="0.25">
      <c r="A55" t="s">
        <v>126</v>
      </c>
      <c r="B55">
        <v>7</v>
      </c>
      <c r="C55" s="1">
        <v>46101</v>
      </c>
      <c r="D55" s="1">
        <v>46104</v>
      </c>
      <c r="E55">
        <f t="shared" si="1"/>
        <v>3</v>
      </c>
      <c r="F55" t="s">
        <v>67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</row>
    <row r="56" spans="1:13" ht="14.45" x14ac:dyDescent="0.25">
      <c r="E56">
        <f t="shared" si="1"/>
        <v>0</v>
      </c>
    </row>
    <row r="57" spans="1:13" ht="14.45" x14ac:dyDescent="0.25">
      <c r="E57">
        <f t="shared" si="1"/>
        <v>0</v>
      </c>
    </row>
    <row r="58" spans="1:13" ht="14.45" x14ac:dyDescent="0.25">
      <c r="E58">
        <f t="shared" si="1"/>
        <v>0</v>
      </c>
    </row>
    <row r="59" spans="1:13" ht="14.45" x14ac:dyDescent="0.25">
      <c r="E59">
        <f t="shared" si="1"/>
        <v>0</v>
      </c>
    </row>
    <row r="60" spans="1:13" ht="14.45" x14ac:dyDescent="0.25">
      <c r="E60">
        <f t="shared" si="1"/>
        <v>0</v>
      </c>
    </row>
    <row r="61" spans="1:13" ht="14.45" x14ac:dyDescent="0.25">
      <c r="E61">
        <f t="shared" si="1"/>
        <v>0</v>
      </c>
    </row>
    <row r="62" spans="1:13" ht="14.45" x14ac:dyDescent="0.25">
      <c r="E62">
        <f t="shared" si="1"/>
        <v>0</v>
      </c>
    </row>
    <row r="63" spans="1:13" ht="14.45" x14ac:dyDescent="0.25">
      <c r="E63">
        <f t="shared" si="1"/>
        <v>0</v>
      </c>
    </row>
    <row r="64" spans="1:13" ht="14.45" x14ac:dyDescent="0.25">
      <c r="E64">
        <f t="shared" si="1"/>
        <v>0</v>
      </c>
    </row>
    <row r="65" spans="5:5" ht="14.45" x14ac:dyDescent="0.25">
      <c r="E65">
        <f t="shared" si="1"/>
        <v>0</v>
      </c>
    </row>
    <row r="66" spans="5:5" ht="14.45" x14ac:dyDescent="0.25">
      <c r="E66">
        <f t="shared" si="1"/>
        <v>0</v>
      </c>
    </row>
    <row r="67" spans="5:5" ht="14.45" x14ac:dyDescent="0.25">
      <c r="E67">
        <f t="shared" si="1"/>
        <v>0</v>
      </c>
    </row>
    <row r="68" spans="5:5" ht="14.45" x14ac:dyDescent="0.25">
      <c r="E68">
        <f t="shared" si="1"/>
        <v>0</v>
      </c>
    </row>
    <row r="69" spans="5:5" ht="14.45" x14ac:dyDescent="0.25">
      <c r="E69">
        <f t="shared" si="1"/>
        <v>0</v>
      </c>
    </row>
    <row r="70" spans="5:5" ht="14.45" x14ac:dyDescent="0.25">
      <c r="E70">
        <f t="shared" si="1"/>
        <v>0</v>
      </c>
    </row>
    <row r="71" spans="5:5" ht="14.45" x14ac:dyDescent="0.25">
      <c r="E71">
        <f t="shared" si="1"/>
        <v>0</v>
      </c>
    </row>
    <row r="72" spans="5:5" ht="14.45" x14ac:dyDescent="0.25">
      <c r="E72">
        <f t="shared" si="1"/>
        <v>0</v>
      </c>
    </row>
    <row r="73" spans="5:5" ht="14.45" x14ac:dyDescent="0.25">
      <c r="E73">
        <f t="shared" si="1"/>
        <v>0</v>
      </c>
    </row>
    <row r="74" spans="5:5" ht="14.45" x14ac:dyDescent="0.25">
      <c r="E74">
        <f t="shared" ref="E74:E105" si="2">D74-C74</f>
        <v>0</v>
      </c>
    </row>
    <row r="75" spans="5:5" ht="14.45" x14ac:dyDescent="0.25">
      <c r="E75">
        <f t="shared" si="2"/>
        <v>0</v>
      </c>
    </row>
    <row r="76" spans="5:5" ht="14.45" x14ac:dyDescent="0.25">
      <c r="E76">
        <f t="shared" si="2"/>
        <v>0</v>
      </c>
    </row>
    <row r="77" spans="5:5" ht="14.45" x14ac:dyDescent="0.25">
      <c r="E77">
        <f t="shared" si="2"/>
        <v>0</v>
      </c>
    </row>
    <row r="78" spans="5:5" ht="14.45" x14ac:dyDescent="0.25">
      <c r="E78">
        <f t="shared" si="2"/>
        <v>0</v>
      </c>
    </row>
    <row r="79" spans="5:5" ht="14.45" x14ac:dyDescent="0.25">
      <c r="E79">
        <f t="shared" si="2"/>
        <v>0</v>
      </c>
    </row>
    <row r="80" spans="5:5" ht="14.45" x14ac:dyDescent="0.25">
      <c r="E80">
        <f t="shared" si="2"/>
        <v>0</v>
      </c>
    </row>
    <row r="81" spans="5:5" ht="14.45" x14ac:dyDescent="0.25">
      <c r="E81">
        <f t="shared" si="2"/>
        <v>0</v>
      </c>
    </row>
    <row r="82" spans="5:5" ht="14.45" x14ac:dyDescent="0.25">
      <c r="E82">
        <f t="shared" si="2"/>
        <v>0</v>
      </c>
    </row>
    <row r="83" spans="5:5" ht="14.45" x14ac:dyDescent="0.25">
      <c r="E83">
        <f t="shared" si="2"/>
        <v>0</v>
      </c>
    </row>
    <row r="84" spans="5:5" ht="14.45" x14ac:dyDescent="0.25">
      <c r="E84">
        <f t="shared" si="2"/>
        <v>0</v>
      </c>
    </row>
    <row r="85" spans="5:5" ht="14.45" x14ac:dyDescent="0.25">
      <c r="E85">
        <f t="shared" si="2"/>
        <v>0</v>
      </c>
    </row>
    <row r="86" spans="5:5" ht="14.45" x14ac:dyDescent="0.25">
      <c r="E86">
        <f t="shared" si="2"/>
        <v>0</v>
      </c>
    </row>
    <row r="87" spans="5:5" ht="14.45" x14ac:dyDescent="0.25">
      <c r="E87">
        <f t="shared" si="2"/>
        <v>0</v>
      </c>
    </row>
    <row r="88" spans="5:5" ht="14.45" x14ac:dyDescent="0.25">
      <c r="E88">
        <f t="shared" si="2"/>
        <v>0</v>
      </c>
    </row>
    <row r="89" spans="5:5" ht="14.45" x14ac:dyDescent="0.25">
      <c r="E89">
        <f t="shared" si="2"/>
        <v>0</v>
      </c>
    </row>
    <row r="90" spans="5:5" ht="14.45" x14ac:dyDescent="0.25">
      <c r="E90">
        <f t="shared" si="2"/>
        <v>0</v>
      </c>
    </row>
    <row r="91" spans="5:5" ht="14.45" x14ac:dyDescent="0.25">
      <c r="E91">
        <f t="shared" si="2"/>
        <v>0</v>
      </c>
    </row>
    <row r="92" spans="5:5" ht="14.45" x14ac:dyDescent="0.25">
      <c r="E92">
        <f t="shared" si="2"/>
        <v>0</v>
      </c>
    </row>
    <row r="93" spans="5:5" ht="14.45" x14ac:dyDescent="0.25">
      <c r="E93">
        <f t="shared" si="2"/>
        <v>0</v>
      </c>
    </row>
    <row r="94" spans="5:5" ht="14.45" x14ac:dyDescent="0.25">
      <c r="E94">
        <f t="shared" si="2"/>
        <v>0</v>
      </c>
    </row>
    <row r="95" spans="5:5" ht="14.45" x14ac:dyDescent="0.25">
      <c r="E95">
        <f t="shared" si="2"/>
        <v>0</v>
      </c>
    </row>
    <row r="96" spans="5:5" ht="14.45" x14ac:dyDescent="0.25">
      <c r="E96">
        <f t="shared" si="2"/>
        <v>0</v>
      </c>
    </row>
    <row r="97" spans="5:5" ht="14.45" x14ac:dyDescent="0.25">
      <c r="E97">
        <f t="shared" si="2"/>
        <v>0</v>
      </c>
    </row>
    <row r="98" spans="5:5" ht="14.45" x14ac:dyDescent="0.25">
      <c r="E98">
        <f t="shared" si="2"/>
        <v>0</v>
      </c>
    </row>
    <row r="99" spans="5:5" ht="14.45" x14ac:dyDescent="0.25">
      <c r="E99">
        <f t="shared" si="2"/>
        <v>0</v>
      </c>
    </row>
    <row r="100" spans="5:5" ht="14.45" x14ac:dyDescent="0.25">
      <c r="E100">
        <f t="shared" si="2"/>
        <v>0</v>
      </c>
    </row>
    <row r="101" spans="5:5" ht="14.45" x14ac:dyDescent="0.25">
      <c r="E101">
        <f t="shared" si="2"/>
        <v>0</v>
      </c>
    </row>
    <row r="102" spans="5:5" ht="14.45" x14ac:dyDescent="0.25">
      <c r="E102">
        <f t="shared" si="2"/>
        <v>0</v>
      </c>
    </row>
    <row r="103" spans="5:5" ht="14.45" x14ac:dyDescent="0.25">
      <c r="E103">
        <f t="shared" si="2"/>
        <v>0</v>
      </c>
    </row>
    <row r="104" spans="5:5" ht="14.45" x14ac:dyDescent="0.25">
      <c r="E104">
        <f t="shared" si="2"/>
        <v>0</v>
      </c>
    </row>
    <row r="105" spans="5:5" ht="14.45" x14ac:dyDescent="0.25">
      <c r="E105">
        <f t="shared" si="2"/>
        <v>0</v>
      </c>
    </row>
    <row r="106" spans="5:5" ht="14.45" x14ac:dyDescent="0.25">
      <c r="E106">
        <f t="shared" ref="E106:E137" si="3">D106-C106</f>
        <v>0</v>
      </c>
    </row>
    <row r="107" spans="5:5" ht="14.45" x14ac:dyDescent="0.25">
      <c r="E107">
        <f t="shared" si="3"/>
        <v>0</v>
      </c>
    </row>
    <row r="108" spans="5:5" ht="14.45" x14ac:dyDescent="0.25">
      <c r="E108">
        <f t="shared" si="3"/>
        <v>0</v>
      </c>
    </row>
    <row r="109" spans="5:5" ht="14.45" x14ac:dyDescent="0.25">
      <c r="E109">
        <f t="shared" si="3"/>
        <v>0</v>
      </c>
    </row>
    <row r="110" spans="5:5" ht="14.45" x14ac:dyDescent="0.25">
      <c r="E110">
        <f t="shared" si="3"/>
        <v>0</v>
      </c>
    </row>
    <row r="111" spans="5:5" ht="14.45" x14ac:dyDescent="0.25">
      <c r="E111">
        <f t="shared" si="3"/>
        <v>0</v>
      </c>
    </row>
    <row r="112" spans="5:5" ht="14.45" x14ac:dyDescent="0.25">
      <c r="E112">
        <f t="shared" si="3"/>
        <v>0</v>
      </c>
    </row>
    <row r="113" spans="5:5" ht="14.45" x14ac:dyDescent="0.25">
      <c r="E113">
        <f t="shared" si="3"/>
        <v>0</v>
      </c>
    </row>
    <row r="114" spans="5:5" ht="14.45" x14ac:dyDescent="0.25">
      <c r="E114">
        <f t="shared" si="3"/>
        <v>0</v>
      </c>
    </row>
    <row r="115" spans="5:5" ht="14.45" x14ac:dyDescent="0.25">
      <c r="E115">
        <f t="shared" si="3"/>
        <v>0</v>
      </c>
    </row>
    <row r="116" spans="5:5" ht="14.45" x14ac:dyDescent="0.25">
      <c r="E116">
        <f t="shared" si="3"/>
        <v>0</v>
      </c>
    </row>
    <row r="117" spans="5:5" ht="14.45" x14ac:dyDescent="0.25">
      <c r="E117">
        <f t="shared" si="3"/>
        <v>0</v>
      </c>
    </row>
    <row r="118" spans="5:5" ht="14.45" x14ac:dyDescent="0.25">
      <c r="E118">
        <f t="shared" si="3"/>
        <v>0</v>
      </c>
    </row>
    <row r="119" spans="5:5" ht="14.45" x14ac:dyDescent="0.25">
      <c r="E119">
        <f t="shared" si="3"/>
        <v>0</v>
      </c>
    </row>
    <row r="120" spans="5:5" ht="14.45" x14ac:dyDescent="0.25">
      <c r="E120">
        <f t="shared" si="3"/>
        <v>0</v>
      </c>
    </row>
    <row r="121" spans="5:5" ht="14.45" x14ac:dyDescent="0.25">
      <c r="E121">
        <f t="shared" si="3"/>
        <v>0</v>
      </c>
    </row>
    <row r="122" spans="5:5" ht="14.45" x14ac:dyDescent="0.25">
      <c r="E122">
        <f t="shared" si="3"/>
        <v>0</v>
      </c>
    </row>
    <row r="123" spans="5:5" ht="14.45" x14ac:dyDescent="0.25">
      <c r="E123">
        <f t="shared" si="3"/>
        <v>0</v>
      </c>
    </row>
    <row r="124" spans="5:5" ht="14.45" x14ac:dyDescent="0.25">
      <c r="E124">
        <f t="shared" si="3"/>
        <v>0</v>
      </c>
    </row>
    <row r="125" spans="5:5" ht="14.45" x14ac:dyDescent="0.25">
      <c r="E125">
        <f t="shared" si="3"/>
        <v>0</v>
      </c>
    </row>
    <row r="126" spans="5:5" ht="14.45" x14ac:dyDescent="0.25">
      <c r="E126">
        <f t="shared" si="3"/>
        <v>0</v>
      </c>
    </row>
    <row r="127" spans="5:5" ht="14.45" x14ac:dyDescent="0.25">
      <c r="E127">
        <f t="shared" si="3"/>
        <v>0</v>
      </c>
    </row>
    <row r="128" spans="5:5" ht="14.45" x14ac:dyDescent="0.25">
      <c r="E128">
        <f t="shared" si="3"/>
        <v>0</v>
      </c>
    </row>
    <row r="129" spans="5:5" ht="14.45" x14ac:dyDescent="0.25">
      <c r="E129">
        <f t="shared" si="3"/>
        <v>0</v>
      </c>
    </row>
    <row r="130" spans="5:5" ht="14.45" x14ac:dyDescent="0.25">
      <c r="E130">
        <f t="shared" si="3"/>
        <v>0</v>
      </c>
    </row>
    <row r="131" spans="5:5" ht="14.45" x14ac:dyDescent="0.25">
      <c r="E131">
        <f t="shared" si="3"/>
        <v>0</v>
      </c>
    </row>
    <row r="132" spans="5:5" ht="14.45" x14ac:dyDescent="0.25">
      <c r="E132">
        <f t="shared" si="3"/>
        <v>0</v>
      </c>
    </row>
    <row r="133" spans="5:5" ht="14.45" x14ac:dyDescent="0.25">
      <c r="E133">
        <f t="shared" si="3"/>
        <v>0</v>
      </c>
    </row>
    <row r="134" spans="5:5" ht="14.45" x14ac:dyDescent="0.25">
      <c r="E134">
        <f t="shared" si="3"/>
        <v>0</v>
      </c>
    </row>
    <row r="135" spans="5:5" ht="14.45" x14ac:dyDescent="0.25">
      <c r="E135">
        <f t="shared" si="3"/>
        <v>0</v>
      </c>
    </row>
    <row r="136" spans="5:5" ht="14.45" x14ac:dyDescent="0.25">
      <c r="E136">
        <f t="shared" si="3"/>
        <v>0</v>
      </c>
    </row>
    <row r="137" spans="5:5" ht="14.45" x14ac:dyDescent="0.25">
      <c r="E137">
        <f t="shared" si="3"/>
        <v>0</v>
      </c>
    </row>
    <row r="138" spans="5:5" ht="14.45" x14ac:dyDescent="0.25">
      <c r="E138">
        <f t="shared" ref="E138:E160" si="4">D138-C138</f>
        <v>0</v>
      </c>
    </row>
    <row r="139" spans="5:5" ht="14.45" x14ac:dyDescent="0.25">
      <c r="E139">
        <f t="shared" si="4"/>
        <v>0</v>
      </c>
    </row>
    <row r="140" spans="5:5" ht="14.45" x14ac:dyDescent="0.25">
      <c r="E140">
        <f t="shared" si="4"/>
        <v>0</v>
      </c>
    </row>
    <row r="141" spans="5:5" ht="14.45" x14ac:dyDescent="0.25">
      <c r="E141">
        <f t="shared" si="4"/>
        <v>0</v>
      </c>
    </row>
    <row r="142" spans="5:5" ht="14.45" x14ac:dyDescent="0.25">
      <c r="E142">
        <f t="shared" si="4"/>
        <v>0</v>
      </c>
    </row>
    <row r="143" spans="5:5" ht="14.45" x14ac:dyDescent="0.25">
      <c r="E143">
        <f t="shared" si="4"/>
        <v>0</v>
      </c>
    </row>
    <row r="144" spans="5:5" ht="14.45" x14ac:dyDescent="0.25">
      <c r="E144">
        <f t="shared" si="4"/>
        <v>0</v>
      </c>
    </row>
    <row r="145" spans="5:5" ht="14.45" x14ac:dyDescent="0.25">
      <c r="E145">
        <f t="shared" si="4"/>
        <v>0</v>
      </c>
    </row>
    <row r="146" spans="5:5" ht="14.45" x14ac:dyDescent="0.25">
      <c r="E146">
        <f t="shared" si="4"/>
        <v>0</v>
      </c>
    </row>
    <row r="147" spans="5:5" ht="14.45" x14ac:dyDescent="0.25">
      <c r="E147">
        <f t="shared" si="4"/>
        <v>0</v>
      </c>
    </row>
    <row r="148" spans="5:5" ht="14.45" x14ac:dyDescent="0.25">
      <c r="E148">
        <f t="shared" si="4"/>
        <v>0</v>
      </c>
    </row>
    <row r="149" spans="5:5" ht="14.45" x14ac:dyDescent="0.25">
      <c r="E149">
        <f t="shared" si="4"/>
        <v>0</v>
      </c>
    </row>
    <row r="150" spans="5:5" ht="14.45" x14ac:dyDescent="0.25">
      <c r="E150">
        <f t="shared" si="4"/>
        <v>0</v>
      </c>
    </row>
    <row r="151" spans="5:5" ht="14.45" x14ac:dyDescent="0.25">
      <c r="E151">
        <f t="shared" si="4"/>
        <v>0</v>
      </c>
    </row>
    <row r="152" spans="5:5" ht="14.45" x14ac:dyDescent="0.25">
      <c r="E152">
        <f t="shared" si="4"/>
        <v>0</v>
      </c>
    </row>
    <row r="153" spans="5:5" ht="14.45" x14ac:dyDescent="0.25">
      <c r="E153">
        <f t="shared" si="4"/>
        <v>0</v>
      </c>
    </row>
    <row r="154" spans="5:5" ht="14.45" x14ac:dyDescent="0.25">
      <c r="E154">
        <f t="shared" si="4"/>
        <v>0</v>
      </c>
    </row>
    <row r="155" spans="5:5" ht="14.45" x14ac:dyDescent="0.25">
      <c r="E155">
        <f t="shared" si="4"/>
        <v>0</v>
      </c>
    </row>
    <row r="156" spans="5:5" ht="14.45" x14ac:dyDescent="0.25">
      <c r="E156">
        <f t="shared" si="4"/>
        <v>0</v>
      </c>
    </row>
    <row r="157" spans="5:5" ht="14.45" x14ac:dyDescent="0.25">
      <c r="E157">
        <f t="shared" si="4"/>
        <v>0</v>
      </c>
    </row>
    <row r="158" spans="5:5" ht="14.45" x14ac:dyDescent="0.25">
      <c r="E158">
        <f t="shared" si="4"/>
        <v>0</v>
      </c>
    </row>
    <row r="159" spans="5:5" ht="14.45" x14ac:dyDescent="0.25">
      <c r="E159">
        <f t="shared" si="4"/>
        <v>0</v>
      </c>
    </row>
    <row r="160" spans="5:5" ht="14.45" x14ac:dyDescent="0.25">
      <c r="E160">
        <f t="shared" si="4"/>
        <v>0</v>
      </c>
    </row>
    <row r="161" spans="5:5" ht="14.45" x14ac:dyDescent="0.25">
      <c r="E161">
        <f t="shared" ref="E161:E224" si="5">D161-C161</f>
        <v>0</v>
      </c>
    </row>
    <row r="162" spans="5:5" ht="14.45" x14ac:dyDescent="0.25">
      <c r="E162">
        <f t="shared" si="5"/>
        <v>0</v>
      </c>
    </row>
    <row r="163" spans="5:5" ht="14.45" x14ac:dyDescent="0.25">
      <c r="E163">
        <f t="shared" si="5"/>
        <v>0</v>
      </c>
    </row>
    <row r="164" spans="5:5" ht="14.45" x14ac:dyDescent="0.25">
      <c r="E164">
        <f t="shared" si="5"/>
        <v>0</v>
      </c>
    </row>
    <row r="165" spans="5:5" ht="14.45" x14ac:dyDescent="0.25">
      <c r="E165">
        <f t="shared" si="5"/>
        <v>0</v>
      </c>
    </row>
    <row r="166" spans="5:5" ht="14.45" x14ac:dyDescent="0.25">
      <c r="E166">
        <f t="shared" si="5"/>
        <v>0</v>
      </c>
    </row>
    <row r="167" spans="5:5" ht="14.45" x14ac:dyDescent="0.25">
      <c r="E167">
        <f t="shared" si="5"/>
        <v>0</v>
      </c>
    </row>
    <row r="168" spans="5:5" ht="14.45" x14ac:dyDescent="0.25">
      <c r="E168">
        <f t="shared" si="5"/>
        <v>0</v>
      </c>
    </row>
    <row r="169" spans="5:5" ht="14.45" x14ac:dyDescent="0.25">
      <c r="E169">
        <f t="shared" si="5"/>
        <v>0</v>
      </c>
    </row>
    <row r="170" spans="5:5" ht="14.45" x14ac:dyDescent="0.25">
      <c r="E170">
        <f t="shared" si="5"/>
        <v>0</v>
      </c>
    </row>
    <row r="171" spans="5:5" ht="14.45" x14ac:dyDescent="0.25">
      <c r="E171">
        <f t="shared" si="5"/>
        <v>0</v>
      </c>
    </row>
    <row r="172" spans="5:5" ht="14.45" x14ac:dyDescent="0.25">
      <c r="E172">
        <f t="shared" si="5"/>
        <v>0</v>
      </c>
    </row>
    <row r="173" spans="5:5" ht="14.45" x14ac:dyDescent="0.25">
      <c r="E173">
        <f t="shared" si="5"/>
        <v>0</v>
      </c>
    </row>
    <row r="174" spans="5:5" ht="14.45" x14ac:dyDescent="0.25">
      <c r="E174">
        <f t="shared" si="5"/>
        <v>0</v>
      </c>
    </row>
    <row r="175" spans="5:5" ht="14.45" x14ac:dyDescent="0.25">
      <c r="E175">
        <f t="shared" si="5"/>
        <v>0</v>
      </c>
    </row>
    <row r="176" spans="5:5" ht="14.45" x14ac:dyDescent="0.25">
      <c r="E176">
        <f t="shared" si="5"/>
        <v>0</v>
      </c>
    </row>
    <row r="177" spans="5:5" ht="14.45" x14ac:dyDescent="0.25">
      <c r="E177">
        <f t="shared" si="5"/>
        <v>0</v>
      </c>
    </row>
    <row r="178" spans="5:5" ht="14.45" x14ac:dyDescent="0.25">
      <c r="E178">
        <f t="shared" si="5"/>
        <v>0</v>
      </c>
    </row>
    <row r="179" spans="5:5" ht="14.45" x14ac:dyDescent="0.25">
      <c r="E179">
        <f t="shared" si="5"/>
        <v>0</v>
      </c>
    </row>
    <row r="180" spans="5:5" ht="14.45" x14ac:dyDescent="0.25">
      <c r="E180">
        <f t="shared" si="5"/>
        <v>0</v>
      </c>
    </row>
    <row r="181" spans="5:5" ht="14.45" x14ac:dyDescent="0.25">
      <c r="E181">
        <f t="shared" si="5"/>
        <v>0</v>
      </c>
    </row>
    <row r="182" spans="5:5" ht="14.45" x14ac:dyDescent="0.25">
      <c r="E182">
        <f t="shared" si="5"/>
        <v>0</v>
      </c>
    </row>
    <row r="183" spans="5:5" ht="14.45" x14ac:dyDescent="0.25">
      <c r="E183">
        <f t="shared" si="5"/>
        <v>0</v>
      </c>
    </row>
    <row r="184" spans="5:5" ht="14.45" x14ac:dyDescent="0.25">
      <c r="E184">
        <f t="shared" si="5"/>
        <v>0</v>
      </c>
    </row>
    <row r="185" spans="5:5" ht="14.45" x14ac:dyDescent="0.25">
      <c r="E185">
        <f t="shared" si="5"/>
        <v>0</v>
      </c>
    </row>
    <row r="186" spans="5:5" ht="14.45" x14ac:dyDescent="0.25">
      <c r="E186">
        <f t="shared" si="5"/>
        <v>0</v>
      </c>
    </row>
    <row r="187" spans="5:5" ht="14.45" x14ac:dyDescent="0.25">
      <c r="E187">
        <f t="shared" si="5"/>
        <v>0</v>
      </c>
    </row>
    <row r="188" spans="5:5" ht="14.45" x14ac:dyDescent="0.25">
      <c r="E188">
        <f t="shared" si="5"/>
        <v>0</v>
      </c>
    </row>
    <row r="189" spans="5:5" ht="14.45" x14ac:dyDescent="0.25">
      <c r="E189">
        <f t="shared" si="5"/>
        <v>0</v>
      </c>
    </row>
    <row r="190" spans="5:5" ht="14.45" x14ac:dyDescent="0.25">
      <c r="E190">
        <f t="shared" si="5"/>
        <v>0</v>
      </c>
    </row>
    <row r="191" spans="5:5" ht="14.45" x14ac:dyDescent="0.25">
      <c r="E191">
        <f t="shared" si="5"/>
        <v>0</v>
      </c>
    </row>
    <row r="192" spans="5:5" ht="14.45" x14ac:dyDescent="0.25">
      <c r="E192">
        <f t="shared" si="5"/>
        <v>0</v>
      </c>
    </row>
    <row r="193" spans="5:5" ht="14.45" x14ac:dyDescent="0.25">
      <c r="E193">
        <f t="shared" si="5"/>
        <v>0</v>
      </c>
    </row>
    <row r="194" spans="5:5" ht="14.45" x14ac:dyDescent="0.25">
      <c r="E194">
        <f t="shared" si="5"/>
        <v>0</v>
      </c>
    </row>
    <row r="195" spans="5:5" ht="14.45" x14ac:dyDescent="0.25">
      <c r="E195">
        <f t="shared" si="5"/>
        <v>0</v>
      </c>
    </row>
    <row r="196" spans="5:5" ht="14.45" x14ac:dyDescent="0.25">
      <c r="E196">
        <f t="shared" si="5"/>
        <v>0</v>
      </c>
    </row>
    <row r="197" spans="5:5" ht="14.45" x14ac:dyDescent="0.25">
      <c r="E197">
        <f t="shared" si="5"/>
        <v>0</v>
      </c>
    </row>
    <row r="198" spans="5:5" ht="14.45" x14ac:dyDescent="0.25">
      <c r="E198">
        <f t="shared" si="5"/>
        <v>0</v>
      </c>
    </row>
    <row r="199" spans="5:5" ht="14.45" x14ac:dyDescent="0.25">
      <c r="E199">
        <f t="shared" si="5"/>
        <v>0</v>
      </c>
    </row>
    <row r="200" spans="5:5" ht="14.45" x14ac:dyDescent="0.25">
      <c r="E200">
        <f t="shared" si="5"/>
        <v>0</v>
      </c>
    </row>
    <row r="201" spans="5:5" ht="14.45" x14ac:dyDescent="0.25">
      <c r="E201">
        <f t="shared" si="5"/>
        <v>0</v>
      </c>
    </row>
    <row r="202" spans="5:5" ht="14.45" x14ac:dyDescent="0.25">
      <c r="E202">
        <f t="shared" si="5"/>
        <v>0</v>
      </c>
    </row>
    <row r="203" spans="5:5" ht="14.45" x14ac:dyDescent="0.25">
      <c r="E203">
        <f t="shared" si="5"/>
        <v>0</v>
      </c>
    </row>
    <row r="204" spans="5:5" ht="14.45" x14ac:dyDescent="0.25">
      <c r="E204">
        <f t="shared" si="5"/>
        <v>0</v>
      </c>
    </row>
    <row r="205" spans="5:5" ht="14.45" x14ac:dyDescent="0.25">
      <c r="E205">
        <f t="shared" si="5"/>
        <v>0</v>
      </c>
    </row>
    <row r="206" spans="5:5" ht="14.45" x14ac:dyDescent="0.25">
      <c r="E206">
        <f t="shared" si="5"/>
        <v>0</v>
      </c>
    </row>
    <row r="207" spans="5:5" ht="14.45" x14ac:dyDescent="0.25">
      <c r="E207">
        <f t="shared" si="5"/>
        <v>0</v>
      </c>
    </row>
    <row r="208" spans="5:5" ht="14.45" x14ac:dyDescent="0.25">
      <c r="E208">
        <f t="shared" si="5"/>
        <v>0</v>
      </c>
    </row>
    <row r="209" spans="5:5" ht="14.45" x14ac:dyDescent="0.25">
      <c r="E209">
        <f t="shared" si="5"/>
        <v>0</v>
      </c>
    </row>
    <row r="210" spans="5:5" ht="14.45" x14ac:dyDescent="0.25">
      <c r="E210">
        <f t="shared" si="5"/>
        <v>0</v>
      </c>
    </row>
    <row r="211" spans="5:5" ht="14.45" x14ac:dyDescent="0.25">
      <c r="E211">
        <f t="shared" si="5"/>
        <v>0</v>
      </c>
    </row>
    <row r="212" spans="5:5" ht="14.45" x14ac:dyDescent="0.25">
      <c r="E212">
        <f t="shared" si="5"/>
        <v>0</v>
      </c>
    </row>
    <row r="213" spans="5:5" ht="14.45" x14ac:dyDescent="0.25">
      <c r="E213">
        <f t="shared" si="5"/>
        <v>0</v>
      </c>
    </row>
    <row r="214" spans="5:5" ht="14.45" x14ac:dyDescent="0.25">
      <c r="E214">
        <f t="shared" si="5"/>
        <v>0</v>
      </c>
    </row>
    <row r="215" spans="5:5" ht="14.45" x14ac:dyDescent="0.25">
      <c r="E215">
        <f t="shared" si="5"/>
        <v>0</v>
      </c>
    </row>
    <row r="216" spans="5:5" ht="14.45" x14ac:dyDescent="0.25">
      <c r="E216">
        <f t="shared" si="5"/>
        <v>0</v>
      </c>
    </row>
    <row r="217" spans="5:5" ht="14.45" x14ac:dyDescent="0.25">
      <c r="E217">
        <f t="shared" si="5"/>
        <v>0</v>
      </c>
    </row>
    <row r="218" spans="5:5" ht="14.45" x14ac:dyDescent="0.25">
      <c r="E218">
        <f t="shared" si="5"/>
        <v>0</v>
      </c>
    </row>
    <row r="219" spans="5:5" ht="14.45" x14ac:dyDescent="0.25">
      <c r="E219">
        <f t="shared" si="5"/>
        <v>0</v>
      </c>
    </row>
    <row r="220" spans="5:5" ht="14.45" x14ac:dyDescent="0.25">
      <c r="E220">
        <f t="shared" si="5"/>
        <v>0</v>
      </c>
    </row>
    <row r="221" spans="5:5" ht="14.45" x14ac:dyDescent="0.25">
      <c r="E221">
        <f t="shared" si="5"/>
        <v>0</v>
      </c>
    </row>
    <row r="222" spans="5:5" ht="14.45" x14ac:dyDescent="0.25">
      <c r="E222">
        <f t="shared" si="5"/>
        <v>0</v>
      </c>
    </row>
    <row r="223" spans="5:5" ht="14.45" x14ac:dyDescent="0.25">
      <c r="E223">
        <f t="shared" si="5"/>
        <v>0</v>
      </c>
    </row>
    <row r="224" spans="5:5" ht="14.45" x14ac:dyDescent="0.25">
      <c r="E224">
        <f t="shared" si="5"/>
        <v>0</v>
      </c>
    </row>
    <row r="225" spans="5:5" ht="14.45" x14ac:dyDescent="0.25">
      <c r="E225">
        <f t="shared" ref="E225:E288" si="6">D225-C225</f>
        <v>0</v>
      </c>
    </row>
    <row r="226" spans="5:5" ht="14.45" x14ac:dyDescent="0.25">
      <c r="E226">
        <f t="shared" si="6"/>
        <v>0</v>
      </c>
    </row>
    <row r="227" spans="5:5" ht="14.45" x14ac:dyDescent="0.25">
      <c r="E227">
        <f t="shared" si="6"/>
        <v>0</v>
      </c>
    </row>
    <row r="228" spans="5:5" ht="14.45" x14ac:dyDescent="0.25">
      <c r="E228">
        <f t="shared" si="6"/>
        <v>0</v>
      </c>
    </row>
    <row r="229" spans="5:5" ht="14.45" x14ac:dyDescent="0.25">
      <c r="E229">
        <f t="shared" si="6"/>
        <v>0</v>
      </c>
    </row>
    <row r="230" spans="5:5" ht="14.45" x14ac:dyDescent="0.25">
      <c r="E230">
        <f t="shared" si="6"/>
        <v>0</v>
      </c>
    </row>
    <row r="231" spans="5:5" ht="14.45" x14ac:dyDescent="0.25">
      <c r="E231">
        <f t="shared" si="6"/>
        <v>0</v>
      </c>
    </row>
    <row r="232" spans="5:5" ht="14.45" x14ac:dyDescent="0.25">
      <c r="E232">
        <f t="shared" si="6"/>
        <v>0</v>
      </c>
    </row>
    <row r="233" spans="5:5" ht="14.45" x14ac:dyDescent="0.25">
      <c r="E233">
        <f t="shared" si="6"/>
        <v>0</v>
      </c>
    </row>
    <row r="234" spans="5:5" ht="14.45" x14ac:dyDescent="0.25">
      <c r="E234">
        <f t="shared" si="6"/>
        <v>0</v>
      </c>
    </row>
    <row r="235" spans="5:5" ht="14.45" x14ac:dyDescent="0.25">
      <c r="E235">
        <f t="shared" si="6"/>
        <v>0</v>
      </c>
    </row>
    <row r="236" spans="5:5" ht="14.45" x14ac:dyDescent="0.25">
      <c r="E236">
        <f t="shared" si="6"/>
        <v>0</v>
      </c>
    </row>
    <row r="237" spans="5:5" ht="14.45" x14ac:dyDescent="0.25">
      <c r="E237">
        <f t="shared" si="6"/>
        <v>0</v>
      </c>
    </row>
    <row r="238" spans="5:5" ht="14.45" x14ac:dyDescent="0.25">
      <c r="E238">
        <f t="shared" si="6"/>
        <v>0</v>
      </c>
    </row>
    <row r="239" spans="5:5" ht="14.45" x14ac:dyDescent="0.25">
      <c r="E239">
        <f t="shared" si="6"/>
        <v>0</v>
      </c>
    </row>
    <row r="240" spans="5:5" ht="14.45" x14ac:dyDescent="0.25">
      <c r="E240">
        <f t="shared" si="6"/>
        <v>0</v>
      </c>
    </row>
    <row r="241" spans="5:5" ht="14.45" x14ac:dyDescent="0.25">
      <c r="E241">
        <f t="shared" si="6"/>
        <v>0</v>
      </c>
    </row>
    <row r="242" spans="5:5" ht="14.45" x14ac:dyDescent="0.25">
      <c r="E242">
        <f t="shared" si="6"/>
        <v>0</v>
      </c>
    </row>
    <row r="243" spans="5:5" ht="14.45" x14ac:dyDescent="0.25">
      <c r="E243">
        <f t="shared" si="6"/>
        <v>0</v>
      </c>
    </row>
    <row r="244" spans="5:5" ht="14.45" x14ac:dyDescent="0.25">
      <c r="E244">
        <f t="shared" si="6"/>
        <v>0</v>
      </c>
    </row>
    <row r="245" spans="5:5" ht="14.45" x14ac:dyDescent="0.25">
      <c r="E245">
        <f t="shared" si="6"/>
        <v>0</v>
      </c>
    </row>
    <row r="246" spans="5:5" ht="14.45" x14ac:dyDescent="0.25">
      <c r="E246">
        <f t="shared" si="6"/>
        <v>0</v>
      </c>
    </row>
    <row r="247" spans="5:5" ht="14.45" x14ac:dyDescent="0.25">
      <c r="E247">
        <f t="shared" si="6"/>
        <v>0</v>
      </c>
    </row>
    <row r="248" spans="5:5" ht="14.45" x14ac:dyDescent="0.25">
      <c r="E248">
        <f t="shared" si="6"/>
        <v>0</v>
      </c>
    </row>
    <row r="249" spans="5:5" ht="14.45" x14ac:dyDescent="0.25">
      <c r="E249">
        <f t="shared" si="6"/>
        <v>0</v>
      </c>
    </row>
    <row r="250" spans="5:5" ht="14.45" x14ac:dyDescent="0.25">
      <c r="E250">
        <f t="shared" si="6"/>
        <v>0</v>
      </c>
    </row>
    <row r="251" spans="5:5" ht="14.45" x14ac:dyDescent="0.25">
      <c r="E251">
        <f t="shared" si="6"/>
        <v>0</v>
      </c>
    </row>
    <row r="252" spans="5:5" ht="14.45" x14ac:dyDescent="0.25">
      <c r="E252">
        <f t="shared" si="6"/>
        <v>0</v>
      </c>
    </row>
    <row r="253" spans="5:5" ht="14.45" x14ac:dyDescent="0.25">
      <c r="E253">
        <f t="shared" si="6"/>
        <v>0</v>
      </c>
    </row>
    <row r="254" spans="5:5" ht="14.45" x14ac:dyDescent="0.25">
      <c r="E254">
        <f t="shared" si="6"/>
        <v>0</v>
      </c>
    </row>
    <row r="255" spans="5:5" ht="14.45" x14ac:dyDescent="0.25">
      <c r="E255">
        <f t="shared" si="6"/>
        <v>0</v>
      </c>
    </row>
    <row r="256" spans="5:5" ht="14.45" x14ac:dyDescent="0.25">
      <c r="E256">
        <f t="shared" si="6"/>
        <v>0</v>
      </c>
    </row>
    <row r="257" spans="5:5" ht="14.45" x14ac:dyDescent="0.25">
      <c r="E257">
        <f t="shared" si="6"/>
        <v>0</v>
      </c>
    </row>
    <row r="258" spans="5:5" ht="14.45" x14ac:dyDescent="0.25">
      <c r="E258">
        <f t="shared" si="6"/>
        <v>0</v>
      </c>
    </row>
    <row r="259" spans="5:5" ht="14.45" x14ac:dyDescent="0.25">
      <c r="E259">
        <f t="shared" si="6"/>
        <v>0</v>
      </c>
    </row>
    <row r="260" spans="5:5" ht="14.45" x14ac:dyDescent="0.25">
      <c r="E260">
        <f t="shared" si="6"/>
        <v>0</v>
      </c>
    </row>
    <row r="261" spans="5:5" ht="14.45" x14ac:dyDescent="0.25">
      <c r="E261">
        <f t="shared" si="6"/>
        <v>0</v>
      </c>
    </row>
    <row r="262" spans="5:5" ht="14.45" x14ac:dyDescent="0.25">
      <c r="E262">
        <f t="shared" si="6"/>
        <v>0</v>
      </c>
    </row>
    <row r="263" spans="5:5" ht="14.45" x14ac:dyDescent="0.25">
      <c r="E263">
        <f t="shared" si="6"/>
        <v>0</v>
      </c>
    </row>
    <row r="264" spans="5:5" ht="14.45" x14ac:dyDescent="0.25">
      <c r="E264">
        <f t="shared" si="6"/>
        <v>0</v>
      </c>
    </row>
    <row r="265" spans="5:5" ht="14.45" x14ac:dyDescent="0.25">
      <c r="E265">
        <f t="shared" si="6"/>
        <v>0</v>
      </c>
    </row>
    <row r="266" spans="5:5" ht="14.45" x14ac:dyDescent="0.25">
      <c r="E266">
        <f t="shared" si="6"/>
        <v>0</v>
      </c>
    </row>
    <row r="267" spans="5:5" ht="14.45" x14ac:dyDescent="0.25">
      <c r="E267">
        <f t="shared" si="6"/>
        <v>0</v>
      </c>
    </row>
    <row r="268" spans="5:5" ht="14.45" x14ac:dyDescent="0.25">
      <c r="E268">
        <f t="shared" si="6"/>
        <v>0</v>
      </c>
    </row>
    <row r="269" spans="5:5" ht="14.45" x14ac:dyDescent="0.25">
      <c r="E269">
        <f t="shared" si="6"/>
        <v>0</v>
      </c>
    </row>
    <row r="270" spans="5:5" ht="14.45" x14ac:dyDescent="0.25">
      <c r="E270">
        <f t="shared" si="6"/>
        <v>0</v>
      </c>
    </row>
    <row r="271" spans="5:5" ht="14.45" x14ac:dyDescent="0.25">
      <c r="E271">
        <f t="shared" si="6"/>
        <v>0</v>
      </c>
    </row>
    <row r="272" spans="5:5" ht="14.45" x14ac:dyDescent="0.25">
      <c r="E272">
        <f t="shared" si="6"/>
        <v>0</v>
      </c>
    </row>
    <row r="273" spans="5:5" ht="14.45" x14ac:dyDescent="0.25">
      <c r="E273">
        <f t="shared" si="6"/>
        <v>0</v>
      </c>
    </row>
    <row r="274" spans="5:5" ht="14.45" x14ac:dyDescent="0.25">
      <c r="E274">
        <f t="shared" si="6"/>
        <v>0</v>
      </c>
    </row>
    <row r="275" spans="5:5" ht="14.45" x14ac:dyDescent="0.25">
      <c r="E275">
        <f t="shared" si="6"/>
        <v>0</v>
      </c>
    </row>
    <row r="276" spans="5:5" ht="14.45" x14ac:dyDescent="0.25">
      <c r="E276">
        <f t="shared" si="6"/>
        <v>0</v>
      </c>
    </row>
    <row r="277" spans="5:5" ht="14.45" x14ac:dyDescent="0.25">
      <c r="E277">
        <f t="shared" si="6"/>
        <v>0</v>
      </c>
    </row>
    <row r="278" spans="5:5" ht="14.45" x14ac:dyDescent="0.25">
      <c r="E278">
        <f t="shared" si="6"/>
        <v>0</v>
      </c>
    </row>
    <row r="279" spans="5:5" ht="14.45" x14ac:dyDescent="0.25">
      <c r="E279">
        <f t="shared" si="6"/>
        <v>0</v>
      </c>
    </row>
    <row r="280" spans="5:5" ht="14.45" x14ac:dyDescent="0.25">
      <c r="E280">
        <f t="shared" si="6"/>
        <v>0</v>
      </c>
    </row>
    <row r="281" spans="5:5" ht="14.45" x14ac:dyDescent="0.25">
      <c r="E281">
        <f t="shared" si="6"/>
        <v>0</v>
      </c>
    </row>
    <row r="282" spans="5:5" ht="14.45" x14ac:dyDescent="0.25">
      <c r="E282">
        <f t="shared" si="6"/>
        <v>0</v>
      </c>
    </row>
    <row r="283" spans="5:5" ht="14.45" x14ac:dyDescent="0.25">
      <c r="E283">
        <f t="shared" si="6"/>
        <v>0</v>
      </c>
    </row>
    <row r="284" spans="5:5" ht="14.45" x14ac:dyDescent="0.25">
      <c r="E284">
        <f t="shared" si="6"/>
        <v>0</v>
      </c>
    </row>
    <row r="285" spans="5:5" ht="14.45" x14ac:dyDescent="0.25">
      <c r="E285">
        <f t="shared" si="6"/>
        <v>0</v>
      </c>
    </row>
    <row r="286" spans="5:5" ht="14.45" x14ac:dyDescent="0.25">
      <c r="E286">
        <f t="shared" si="6"/>
        <v>0</v>
      </c>
    </row>
    <row r="287" spans="5:5" ht="14.45" x14ac:dyDescent="0.25">
      <c r="E287">
        <f t="shared" si="6"/>
        <v>0</v>
      </c>
    </row>
    <row r="288" spans="5:5" ht="14.45" x14ac:dyDescent="0.25">
      <c r="E288">
        <f t="shared" si="6"/>
        <v>0</v>
      </c>
    </row>
    <row r="289" spans="5:5" ht="14.45" x14ac:dyDescent="0.25">
      <c r="E289">
        <f t="shared" ref="E289:E352" si="7">D289-C289</f>
        <v>0</v>
      </c>
    </row>
    <row r="290" spans="5:5" ht="14.45" x14ac:dyDescent="0.25">
      <c r="E290">
        <f t="shared" si="7"/>
        <v>0</v>
      </c>
    </row>
    <row r="291" spans="5:5" ht="14.45" x14ac:dyDescent="0.25">
      <c r="E291">
        <f t="shared" si="7"/>
        <v>0</v>
      </c>
    </row>
    <row r="292" spans="5:5" ht="14.45" x14ac:dyDescent="0.25">
      <c r="E292">
        <f t="shared" si="7"/>
        <v>0</v>
      </c>
    </row>
    <row r="293" spans="5:5" ht="14.45" x14ac:dyDescent="0.25">
      <c r="E293">
        <f t="shared" si="7"/>
        <v>0</v>
      </c>
    </row>
    <row r="294" spans="5:5" ht="14.45" x14ac:dyDescent="0.25">
      <c r="E294">
        <f t="shared" si="7"/>
        <v>0</v>
      </c>
    </row>
    <row r="295" spans="5:5" ht="14.45" x14ac:dyDescent="0.25">
      <c r="E295">
        <f t="shared" si="7"/>
        <v>0</v>
      </c>
    </row>
    <row r="296" spans="5:5" ht="14.45" x14ac:dyDescent="0.25">
      <c r="E296">
        <f t="shared" si="7"/>
        <v>0</v>
      </c>
    </row>
    <row r="297" spans="5:5" ht="14.45" x14ac:dyDescent="0.25">
      <c r="E297">
        <f t="shared" si="7"/>
        <v>0</v>
      </c>
    </row>
    <row r="298" spans="5:5" ht="14.45" x14ac:dyDescent="0.25">
      <c r="E298">
        <f t="shared" si="7"/>
        <v>0</v>
      </c>
    </row>
    <row r="299" spans="5:5" ht="14.45" x14ac:dyDescent="0.25">
      <c r="E299">
        <f t="shared" si="7"/>
        <v>0</v>
      </c>
    </row>
    <row r="300" spans="5:5" ht="14.45" x14ac:dyDescent="0.25">
      <c r="E300">
        <f t="shared" si="7"/>
        <v>0</v>
      </c>
    </row>
    <row r="301" spans="5:5" ht="14.45" x14ac:dyDescent="0.25">
      <c r="E301">
        <f t="shared" si="7"/>
        <v>0</v>
      </c>
    </row>
    <row r="302" spans="5:5" ht="14.45" x14ac:dyDescent="0.25">
      <c r="E302">
        <f t="shared" si="7"/>
        <v>0</v>
      </c>
    </row>
    <row r="303" spans="5:5" ht="14.45" x14ac:dyDescent="0.25">
      <c r="E303">
        <f t="shared" si="7"/>
        <v>0</v>
      </c>
    </row>
    <row r="304" spans="5:5" ht="14.45" x14ac:dyDescent="0.25">
      <c r="E304">
        <f t="shared" si="7"/>
        <v>0</v>
      </c>
    </row>
    <row r="305" spans="5:5" ht="14.45" x14ac:dyDescent="0.25">
      <c r="E305">
        <f t="shared" si="7"/>
        <v>0</v>
      </c>
    </row>
    <row r="306" spans="5:5" ht="14.45" x14ac:dyDescent="0.25">
      <c r="E306">
        <f t="shared" si="7"/>
        <v>0</v>
      </c>
    </row>
    <row r="307" spans="5:5" ht="14.45" x14ac:dyDescent="0.25">
      <c r="E307">
        <f t="shared" si="7"/>
        <v>0</v>
      </c>
    </row>
    <row r="308" spans="5:5" ht="14.45" x14ac:dyDescent="0.25">
      <c r="E308">
        <f t="shared" si="7"/>
        <v>0</v>
      </c>
    </row>
    <row r="309" spans="5:5" ht="14.45" x14ac:dyDescent="0.25">
      <c r="E309">
        <f t="shared" si="7"/>
        <v>0</v>
      </c>
    </row>
    <row r="310" spans="5:5" ht="14.45" x14ac:dyDescent="0.25">
      <c r="E310">
        <f t="shared" si="7"/>
        <v>0</v>
      </c>
    </row>
    <row r="311" spans="5:5" ht="14.45" x14ac:dyDescent="0.25">
      <c r="E311">
        <f t="shared" si="7"/>
        <v>0</v>
      </c>
    </row>
    <row r="312" spans="5:5" ht="14.45" x14ac:dyDescent="0.25">
      <c r="E312">
        <f t="shared" si="7"/>
        <v>0</v>
      </c>
    </row>
    <row r="313" spans="5:5" ht="14.45" x14ac:dyDescent="0.25">
      <c r="E313">
        <f t="shared" si="7"/>
        <v>0</v>
      </c>
    </row>
    <row r="314" spans="5:5" ht="14.45" x14ac:dyDescent="0.25">
      <c r="E314">
        <f t="shared" si="7"/>
        <v>0</v>
      </c>
    </row>
    <row r="315" spans="5:5" ht="14.45" x14ac:dyDescent="0.25">
      <c r="E315">
        <f t="shared" si="7"/>
        <v>0</v>
      </c>
    </row>
    <row r="316" spans="5:5" ht="14.45" x14ac:dyDescent="0.25">
      <c r="E316">
        <f t="shared" si="7"/>
        <v>0</v>
      </c>
    </row>
    <row r="317" spans="5:5" ht="14.45" x14ac:dyDescent="0.25">
      <c r="E317">
        <f t="shared" si="7"/>
        <v>0</v>
      </c>
    </row>
    <row r="318" spans="5:5" ht="14.45" x14ac:dyDescent="0.25">
      <c r="E318">
        <f t="shared" si="7"/>
        <v>0</v>
      </c>
    </row>
    <row r="319" spans="5:5" ht="14.45" x14ac:dyDescent="0.25">
      <c r="E319">
        <f t="shared" si="7"/>
        <v>0</v>
      </c>
    </row>
    <row r="320" spans="5:5" ht="14.45" x14ac:dyDescent="0.25">
      <c r="E320">
        <f t="shared" si="7"/>
        <v>0</v>
      </c>
    </row>
    <row r="321" spans="5:5" ht="14.45" x14ac:dyDescent="0.25">
      <c r="E321">
        <f t="shared" si="7"/>
        <v>0</v>
      </c>
    </row>
    <row r="322" spans="5:5" ht="14.45" x14ac:dyDescent="0.25">
      <c r="E322">
        <f t="shared" si="7"/>
        <v>0</v>
      </c>
    </row>
    <row r="323" spans="5:5" ht="14.45" x14ac:dyDescent="0.25">
      <c r="E323">
        <f t="shared" si="7"/>
        <v>0</v>
      </c>
    </row>
    <row r="324" spans="5:5" ht="14.45" x14ac:dyDescent="0.25">
      <c r="E324">
        <f t="shared" si="7"/>
        <v>0</v>
      </c>
    </row>
    <row r="325" spans="5:5" ht="14.45" x14ac:dyDescent="0.25">
      <c r="E325">
        <f t="shared" si="7"/>
        <v>0</v>
      </c>
    </row>
    <row r="326" spans="5:5" ht="14.45" x14ac:dyDescent="0.25">
      <c r="E326">
        <f t="shared" si="7"/>
        <v>0</v>
      </c>
    </row>
    <row r="327" spans="5:5" ht="14.45" x14ac:dyDescent="0.25">
      <c r="E327">
        <f t="shared" si="7"/>
        <v>0</v>
      </c>
    </row>
    <row r="328" spans="5:5" ht="14.45" x14ac:dyDescent="0.25">
      <c r="E328">
        <f t="shared" si="7"/>
        <v>0</v>
      </c>
    </row>
    <row r="329" spans="5:5" ht="14.45" x14ac:dyDescent="0.25">
      <c r="E329">
        <f t="shared" si="7"/>
        <v>0</v>
      </c>
    </row>
    <row r="330" spans="5:5" ht="14.45" x14ac:dyDescent="0.25">
      <c r="E330">
        <f t="shared" si="7"/>
        <v>0</v>
      </c>
    </row>
    <row r="331" spans="5:5" ht="14.45" x14ac:dyDescent="0.25">
      <c r="E331">
        <f t="shared" si="7"/>
        <v>0</v>
      </c>
    </row>
    <row r="332" spans="5:5" ht="14.45" x14ac:dyDescent="0.25">
      <c r="E332">
        <f t="shared" si="7"/>
        <v>0</v>
      </c>
    </row>
    <row r="333" spans="5:5" ht="14.45" x14ac:dyDescent="0.25">
      <c r="E333">
        <f t="shared" si="7"/>
        <v>0</v>
      </c>
    </row>
    <row r="334" spans="5:5" ht="14.45" x14ac:dyDescent="0.25">
      <c r="E334">
        <f t="shared" si="7"/>
        <v>0</v>
      </c>
    </row>
    <row r="335" spans="5:5" ht="14.45" x14ac:dyDescent="0.25">
      <c r="E335">
        <f t="shared" si="7"/>
        <v>0</v>
      </c>
    </row>
    <row r="336" spans="5:5" ht="14.45" x14ac:dyDescent="0.25">
      <c r="E336">
        <f t="shared" si="7"/>
        <v>0</v>
      </c>
    </row>
    <row r="337" spans="5:5" ht="14.45" x14ac:dyDescent="0.25">
      <c r="E337">
        <f t="shared" si="7"/>
        <v>0</v>
      </c>
    </row>
    <row r="338" spans="5:5" ht="14.45" x14ac:dyDescent="0.25">
      <c r="E338">
        <f t="shared" si="7"/>
        <v>0</v>
      </c>
    </row>
    <row r="339" spans="5:5" ht="14.45" x14ac:dyDescent="0.25">
      <c r="E339">
        <f t="shared" si="7"/>
        <v>0</v>
      </c>
    </row>
    <row r="340" spans="5:5" ht="14.45" x14ac:dyDescent="0.25">
      <c r="E340">
        <f t="shared" si="7"/>
        <v>0</v>
      </c>
    </row>
    <row r="341" spans="5:5" ht="14.45" x14ac:dyDescent="0.25">
      <c r="E341">
        <f t="shared" si="7"/>
        <v>0</v>
      </c>
    </row>
    <row r="342" spans="5:5" ht="14.45" x14ac:dyDescent="0.25">
      <c r="E342">
        <f t="shared" si="7"/>
        <v>0</v>
      </c>
    </row>
    <row r="343" spans="5:5" ht="14.45" x14ac:dyDescent="0.25">
      <c r="E343">
        <f t="shared" si="7"/>
        <v>0</v>
      </c>
    </row>
    <row r="344" spans="5:5" ht="14.45" x14ac:dyDescent="0.25">
      <c r="E344">
        <f t="shared" si="7"/>
        <v>0</v>
      </c>
    </row>
    <row r="345" spans="5:5" ht="14.45" x14ac:dyDescent="0.25">
      <c r="E345">
        <f t="shared" si="7"/>
        <v>0</v>
      </c>
    </row>
    <row r="346" spans="5:5" ht="14.45" x14ac:dyDescent="0.25">
      <c r="E346">
        <f t="shared" si="7"/>
        <v>0</v>
      </c>
    </row>
    <row r="347" spans="5:5" ht="14.45" x14ac:dyDescent="0.25">
      <c r="E347">
        <f t="shared" si="7"/>
        <v>0</v>
      </c>
    </row>
    <row r="348" spans="5:5" ht="14.45" x14ac:dyDescent="0.25">
      <c r="E348">
        <f t="shared" si="7"/>
        <v>0</v>
      </c>
    </row>
    <row r="349" spans="5:5" ht="14.45" x14ac:dyDescent="0.25">
      <c r="E349">
        <f t="shared" si="7"/>
        <v>0</v>
      </c>
    </row>
    <row r="350" spans="5:5" ht="14.45" x14ac:dyDescent="0.25">
      <c r="E350">
        <f t="shared" si="7"/>
        <v>0</v>
      </c>
    </row>
    <row r="351" spans="5:5" ht="14.45" x14ac:dyDescent="0.25">
      <c r="E351">
        <f t="shared" si="7"/>
        <v>0</v>
      </c>
    </row>
    <row r="352" spans="5:5" ht="14.45" x14ac:dyDescent="0.25">
      <c r="E352">
        <f t="shared" si="7"/>
        <v>0</v>
      </c>
    </row>
    <row r="353" spans="5:5" ht="14.45" x14ac:dyDescent="0.25">
      <c r="E353">
        <f t="shared" ref="E353:E416" si="8">D353-C353</f>
        <v>0</v>
      </c>
    </row>
    <row r="354" spans="5:5" ht="14.45" x14ac:dyDescent="0.25">
      <c r="E354">
        <f t="shared" si="8"/>
        <v>0</v>
      </c>
    </row>
    <row r="355" spans="5:5" ht="14.45" x14ac:dyDescent="0.25">
      <c r="E355">
        <f t="shared" si="8"/>
        <v>0</v>
      </c>
    </row>
    <row r="356" spans="5:5" ht="14.45" x14ac:dyDescent="0.25">
      <c r="E356">
        <f t="shared" si="8"/>
        <v>0</v>
      </c>
    </row>
    <row r="357" spans="5:5" ht="14.45" x14ac:dyDescent="0.25">
      <c r="E357">
        <f t="shared" si="8"/>
        <v>0</v>
      </c>
    </row>
    <row r="358" spans="5:5" ht="14.45" x14ac:dyDescent="0.25">
      <c r="E358">
        <f t="shared" si="8"/>
        <v>0</v>
      </c>
    </row>
    <row r="359" spans="5:5" ht="14.45" x14ac:dyDescent="0.25">
      <c r="E359">
        <f t="shared" si="8"/>
        <v>0</v>
      </c>
    </row>
    <row r="360" spans="5:5" ht="14.45" x14ac:dyDescent="0.25">
      <c r="E360">
        <f t="shared" si="8"/>
        <v>0</v>
      </c>
    </row>
    <row r="361" spans="5:5" ht="14.45" x14ac:dyDescent="0.25">
      <c r="E361">
        <f t="shared" si="8"/>
        <v>0</v>
      </c>
    </row>
    <row r="362" spans="5:5" ht="14.45" x14ac:dyDescent="0.25">
      <c r="E362">
        <f t="shared" si="8"/>
        <v>0</v>
      </c>
    </row>
    <row r="363" spans="5:5" ht="14.45" x14ac:dyDescent="0.25">
      <c r="E363">
        <f t="shared" si="8"/>
        <v>0</v>
      </c>
    </row>
    <row r="364" spans="5:5" ht="14.45" x14ac:dyDescent="0.25">
      <c r="E364">
        <f t="shared" si="8"/>
        <v>0</v>
      </c>
    </row>
    <row r="365" spans="5:5" ht="14.45" x14ac:dyDescent="0.25">
      <c r="E365">
        <f t="shared" si="8"/>
        <v>0</v>
      </c>
    </row>
    <row r="366" spans="5:5" ht="14.45" x14ac:dyDescent="0.25">
      <c r="E366">
        <f t="shared" si="8"/>
        <v>0</v>
      </c>
    </row>
    <row r="367" spans="5:5" ht="14.45" x14ac:dyDescent="0.25">
      <c r="E367">
        <f t="shared" si="8"/>
        <v>0</v>
      </c>
    </row>
    <row r="368" spans="5:5" ht="14.45" x14ac:dyDescent="0.25">
      <c r="E368">
        <f t="shared" si="8"/>
        <v>0</v>
      </c>
    </row>
    <row r="369" spans="5:5" ht="14.45" x14ac:dyDescent="0.25">
      <c r="E369">
        <f t="shared" si="8"/>
        <v>0</v>
      </c>
    </row>
    <row r="370" spans="5:5" ht="14.45" x14ac:dyDescent="0.25">
      <c r="E370">
        <f t="shared" si="8"/>
        <v>0</v>
      </c>
    </row>
    <row r="371" spans="5:5" ht="14.45" x14ac:dyDescent="0.25">
      <c r="E371">
        <f t="shared" si="8"/>
        <v>0</v>
      </c>
    </row>
    <row r="372" spans="5:5" ht="14.45" x14ac:dyDescent="0.25">
      <c r="E372">
        <f t="shared" si="8"/>
        <v>0</v>
      </c>
    </row>
    <row r="373" spans="5:5" ht="14.45" x14ac:dyDescent="0.25">
      <c r="E373">
        <f t="shared" si="8"/>
        <v>0</v>
      </c>
    </row>
    <row r="374" spans="5:5" ht="14.45" x14ac:dyDescent="0.25">
      <c r="E374">
        <f t="shared" si="8"/>
        <v>0</v>
      </c>
    </row>
    <row r="375" spans="5:5" ht="14.45" x14ac:dyDescent="0.25">
      <c r="E375">
        <f t="shared" si="8"/>
        <v>0</v>
      </c>
    </row>
    <row r="376" spans="5:5" ht="14.45" x14ac:dyDescent="0.25">
      <c r="E376">
        <f t="shared" si="8"/>
        <v>0</v>
      </c>
    </row>
    <row r="377" spans="5:5" ht="14.45" x14ac:dyDescent="0.25">
      <c r="E377">
        <f t="shared" si="8"/>
        <v>0</v>
      </c>
    </row>
    <row r="378" spans="5:5" ht="14.45" x14ac:dyDescent="0.25">
      <c r="E378">
        <f t="shared" si="8"/>
        <v>0</v>
      </c>
    </row>
    <row r="379" spans="5:5" ht="14.45" x14ac:dyDescent="0.25">
      <c r="E379">
        <f t="shared" si="8"/>
        <v>0</v>
      </c>
    </row>
    <row r="380" spans="5:5" ht="14.45" x14ac:dyDescent="0.25">
      <c r="E380">
        <f t="shared" si="8"/>
        <v>0</v>
      </c>
    </row>
    <row r="381" spans="5:5" ht="14.45" x14ac:dyDescent="0.25">
      <c r="E381">
        <f t="shared" si="8"/>
        <v>0</v>
      </c>
    </row>
    <row r="382" spans="5:5" ht="14.45" x14ac:dyDescent="0.25">
      <c r="E382">
        <f t="shared" si="8"/>
        <v>0</v>
      </c>
    </row>
    <row r="383" spans="5:5" ht="14.45" x14ac:dyDescent="0.25">
      <c r="E383">
        <f t="shared" si="8"/>
        <v>0</v>
      </c>
    </row>
    <row r="384" spans="5:5" ht="14.45" x14ac:dyDescent="0.25">
      <c r="E384">
        <f t="shared" si="8"/>
        <v>0</v>
      </c>
    </row>
    <row r="385" spans="5:5" ht="14.45" x14ac:dyDescent="0.25">
      <c r="E385">
        <f t="shared" si="8"/>
        <v>0</v>
      </c>
    </row>
    <row r="386" spans="5:5" ht="14.45" x14ac:dyDescent="0.25">
      <c r="E386">
        <f t="shared" si="8"/>
        <v>0</v>
      </c>
    </row>
    <row r="387" spans="5:5" ht="14.45" x14ac:dyDescent="0.25">
      <c r="E387">
        <f t="shared" si="8"/>
        <v>0</v>
      </c>
    </row>
    <row r="388" spans="5:5" ht="14.45" x14ac:dyDescent="0.25">
      <c r="E388">
        <f t="shared" si="8"/>
        <v>0</v>
      </c>
    </row>
    <row r="389" spans="5:5" ht="14.45" x14ac:dyDescent="0.25">
      <c r="E389">
        <f t="shared" si="8"/>
        <v>0</v>
      </c>
    </row>
    <row r="390" spans="5:5" ht="14.45" x14ac:dyDescent="0.25">
      <c r="E390">
        <f t="shared" si="8"/>
        <v>0</v>
      </c>
    </row>
    <row r="391" spans="5:5" ht="14.45" x14ac:dyDescent="0.25">
      <c r="E391">
        <f t="shared" si="8"/>
        <v>0</v>
      </c>
    </row>
    <row r="392" spans="5:5" ht="14.45" x14ac:dyDescent="0.25">
      <c r="E392">
        <f t="shared" si="8"/>
        <v>0</v>
      </c>
    </row>
    <row r="393" spans="5:5" ht="14.45" x14ac:dyDescent="0.25">
      <c r="E393">
        <f t="shared" si="8"/>
        <v>0</v>
      </c>
    </row>
    <row r="394" spans="5:5" ht="14.45" x14ac:dyDescent="0.25">
      <c r="E394">
        <f t="shared" si="8"/>
        <v>0</v>
      </c>
    </row>
    <row r="395" spans="5:5" ht="14.45" x14ac:dyDescent="0.25">
      <c r="E395">
        <f t="shared" si="8"/>
        <v>0</v>
      </c>
    </row>
    <row r="396" spans="5:5" ht="14.45" x14ac:dyDescent="0.25">
      <c r="E396">
        <f t="shared" si="8"/>
        <v>0</v>
      </c>
    </row>
    <row r="397" spans="5:5" ht="14.45" x14ac:dyDescent="0.25">
      <c r="E397">
        <f t="shared" si="8"/>
        <v>0</v>
      </c>
    </row>
    <row r="398" spans="5:5" ht="14.45" x14ac:dyDescent="0.25">
      <c r="E398">
        <f t="shared" si="8"/>
        <v>0</v>
      </c>
    </row>
    <row r="399" spans="5:5" ht="14.45" x14ac:dyDescent="0.25">
      <c r="E399">
        <f t="shared" si="8"/>
        <v>0</v>
      </c>
    </row>
    <row r="400" spans="5:5" ht="14.45" x14ac:dyDescent="0.25">
      <c r="E400">
        <f t="shared" si="8"/>
        <v>0</v>
      </c>
    </row>
    <row r="401" spans="5:5" ht="14.45" x14ac:dyDescent="0.25">
      <c r="E401">
        <f t="shared" si="8"/>
        <v>0</v>
      </c>
    </row>
    <row r="402" spans="5:5" ht="14.45" x14ac:dyDescent="0.25">
      <c r="E402">
        <f t="shared" si="8"/>
        <v>0</v>
      </c>
    </row>
    <row r="403" spans="5:5" ht="14.45" x14ac:dyDescent="0.25">
      <c r="E403">
        <f t="shared" si="8"/>
        <v>0</v>
      </c>
    </row>
    <row r="404" spans="5:5" ht="14.45" x14ac:dyDescent="0.25">
      <c r="E404">
        <f t="shared" si="8"/>
        <v>0</v>
      </c>
    </row>
    <row r="405" spans="5:5" ht="14.45" x14ac:dyDescent="0.25">
      <c r="E405">
        <f t="shared" si="8"/>
        <v>0</v>
      </c>
    </row>
    <row r="406" spans="5:5" ht="14.45" x14ac:dyDescent="0.25">
      <c r="E406">
        <f t="shared" si="8"/>
        <v>0</v>
      </c>
    </row>
    <row r="407" spans="5:5" ht="14.45" x14ac:dyDescent="0.25">
      <c r="E407">
        <f t="shared" si="8"/>
        <v>0</v>
      </c>
    </row>
    <row r="408" spans="5:5" ht="14.45" x14ac:dyDescent="0.25">
      <c r="E408">
        <f t="shared" si="8"/>
        <v>0</v>
      </c>
    </row>
    <row r="409" spans="5:5" ht="14.45" x14ac:dyDescent="0.25">
      <c r="E409">
        <f t="shared" si="8"/>
        <v>0</v>
      </c>
    </row>
    <row r="410" spans="5:5" ht="14.45" x14ac:dyDescent="0.25">
      <c r="E410">
        <f t="shared" si="8"/>
        <v>0</v>
      </c>
    </row>
    <row r="411" spans="5:5" ht="14.45" x14ac:dyDescent="0.25">
      <c r="E411">
        <f t="shared" si="8"/>
        <v>0</v>
      </c>
    </row>
    <row r="412" spans="5:5" ht="14.45" x14ac:dyDescent="0.25">
      <c r="E412">
        <f t="shared" si="8"/>
        <v>0</v>
      </c>
    </row>
    <row r="413" spans="5:5" ht="14.45" x14ac:dyDescent="0.25">
      <c r="E413">
        <f t="shared" si="8"/>
        <v>0</v>
      </c>
    </row>
    <row r="414" spans="5:5" ht="14.45" x14ac:dyDescent="0.25">
      <c r="E414">
        <f t="shared" si="8"/>
        <v>0</v>
      </c>
    </row>
    <row r="415" spans="5:5" ht="14.45" x14ac:dyDescent="0.25">
      <c r="E415">
        <f t="shared" si="8"/>
        <v>0</v>
      </c>
    </row>
    <row r="416" spans="5:5" ht="14.45" x14ac:dyDescent="0.25">
      <c r="E416">
        <f t="shared" si="8"/>
        <v>0</v>
      </c>
    </row>
    <row r="417" spans="5:5" ht="14.45" x14ac:dyDescent="0.25">
      <c r="E417">
        <f t="shared" ref="E417:E480" si="9">D417-C417</f>
        <v>0</v>
      </c>
    </row>
    <row r="418" spans="5:5" ht="14.45" x14ac:dyDescent="0.25">
      <c r="E418">
        <f t="shared" si="9"/>
        <v>0</v>
      </c>
    </row>
    <row r="419" spans="5:5" ht="14.45" x14ac:dyDescent="0.25">
      <c r="E419">
        <f t="shared" si="9"/>
        <v>0</v>
      </c>
    </row>
    <row r="420" spans="5:5" ht="14.45" x14ac:dyDescent="0.25">
      <c r="E420">
        <f t="shared" si="9"/>
        <v>0</v>
      </c>
    </row>
    <row r="421" spans="5:5" ht="14.45" x14ac:dyDescent="0.25">
      <c r="E421">
        <f t="shared" si="9"/>
        <v>0</v>
      </c>
    </row>
    <row r="422" spans="5:5" ht="14.45" x14ac:dyDescent="0.25">
      <c r="E422">
        <f t="shared" si="9"/>
        <v>0</v>
      </c>
    </row>
    <row r="423" spans="5:5" ht="14.45" x14ac:dyDescent="0.25">
      <c r="E423">
        <f t="shared" si="9"/>
        <v>0</v>
      </c>
    </row>
    <row r="424" spans="5:5" ht="14.45" x14ac:dyDescent="0.25">
      <c r="E424">
        <f t="shared" si="9"/>
        <v>0</v>
      </c>
    </row>
    <row r="425" spans="5:5" ht="14.45" x14ac:dyDescent="0.25">
      <c r="E425">
        <f t="shared" si="9"/>
        <v>0</v>
      </c>
    </row>
    <row r="426" spans="5:5" ht="14.45" x14ac:dyDescent="0.25">
      <c r="E426">
        <f t="shared" si="9"/>
        <v>0</v>
      </c>
    </row>
    <row r="427" spans="5:5" ht="14.45" x14ac:dyDescent="0.25">
      <c r="E427">
        <f t="shared" si="9"/>
        <v>0</v>
      </c>
    </row>
    <row r="428" spans="5:5" ht="14.45" x14ac:dyDescent="0.25">
      <c r="E428">
        <f t="shared" si="9"/>
        <v>0</v>
      </c>
    </row>
    <row r="429" spans="5:5" ht="14.45" x14ac:dyDescent="0.25">
      <c r="E429">
        <f t="shared" si="9"/>
        <v>0</v>
      </c>
    </row>
    <row r="430" spans="5:5" ht="14.45" x14ac:dyDescent="0.25">
      <c r="E430">
        <f t="shared" si="9"/>
        <v>0</v>
      </c>
    </row>
    <row r="431" spans="5:5" ht="14.45" x14ac:dyDescent="0.25">
      <c r="E431">
        <f t="shared" si="9"/>
        <v>0</v>
      </c>
    </row>
    <row r="432" spans="5:5" ht="14.45" x14ac:dyDescent="0.25">
      <c r="E432">
        <f t="shared" si="9"/>
        <v>0</v>
      </c>
    </row>
    <row r="433" spans="5:5" ht="14.45" x14ac:dyDescent="0.25">
      <c r="E433">
        <f t="shared" si="9"/>
        <v>0</v>
      </c>
    </row>
    <row r="434" spans="5:5" ht="14.45" x14ac:dyDescent="0.25">
      <c r="E434">
        <f t="shared" si="9"/>
        <v>0</v>
      </c>
    </row>
    <row r="435" spans="5:5" ht="14.45" x14ac:dyDescent="0.25">
      <c r="E435">
        <f t="shared" si="9"/>
        <v>0</v>
      </c>
    </row>
    <row r="436" spans="5:5" ht="14.45" x14ac:dyDescent="0.25">
      <c r="E436">
        <f t="shared" si="9"/>
        <v>0</v>
      </c>
    </row>
    <row r="437" spans="5:5" ht="14.45" x14ac:dyDescent="0.25">
      <c r="E437">
        <f t="shared" si="9"/>
        <v>0</v>
      </c>
    </row>
    <row r="438" spans="5:5" ht="14.45" x14ac:dyDescent="0.25">
      <c r="E438">
        <f t="shared" si="9"/>
        <v>0</v>
      </c>
    </row>
    <row r="439" spans="5:5" ht="14.45" x14ac:dyDescent="0.25">
      <c r="E439">
        <f t="shared" si="9"/>
        <v>0</v>
      </c>
    </row>
    <row r="440" spans="5:5" ht="14.45" x14ac:dyDescent="0.25">
      <c r="E440">
        <f t="shared" si="9"/>
        <v>0</v>
      </c>
    </row>
    <row r="441" spans="5:5" ht="14.45" x14ac:dyDescent="0.25">
      <c r="E441">
        <f t="shared" si="9"/>
        <v>0</v>
      </c>
    </row>
    <row r="442" spans="5:5" ht="14.45" x14ac:dyDescent="0.25">
      <c r="E442">
        <f t="shared" si="9"/>
        <v>0</v>
      </c>
    </row>
    <row r="443" spans="5:5" ht="14.45" x14ac:dyDescent="0.25">
      <c r="E443">
        <f t="shared" si="9"/>
        <v>0</v>
      </c>
    </row>
    <row r="444" spans="5:5" ht="14.45" x14ac:dyDescent="0.25">
      <c r="E444">
        <f t="shared" si="9"/>
        <v>0</v>
      </c>
    </row>
    <row r="445" spans="5:5" ht="14.45" x14ac:dyDescent="0.25">
      <c r="E445">
        <f t="shared" si="9"/>
        <v>0</v>
      </c>
    </row>
    <row r="446" spans="5:5" ht="14.45" x14ac:dyDescent="0.25">
      <c r="E446">
        <f t="shared" si="9"/>
        <v>0</v>
      </c>
    </row>
    <row r="447" spans="5:5" ht="14.45" x14ac:dyDescent="0.25">
      <c r="E447">
        <f t="shared" si="9"/>
        <v>0</v>
      </c>
    </row>
    <row r="448" spans="5:5" ht="14.45" x14ac:dyDescent="0.25">
      <c r="E448">
        <f t="shared" si="9"/>
        <v>0</v>
      </c>
    </row>
    <row r="449" spans="5:5" ht="14.45" x14ac:dyDescent="0.25">
      <c r="E449">
        <f t="shared" si="9"/>
        <v>0</v>
      </c>
    </row>
    <row r="450" spans="5:5" ht="14.45" x14ac:dyDescent="0.25">
      <c r="E450">
        <f t="shared" si="9"/>
        <v>0</v>
      </c>
    </row>
    <row r="451" spans="5:5" ht="14.45" x14ac:dyDescent="0.25">
      <c r="E451">
        <f t="shared" si="9"/>
        <v>0</v>
      </c>
    </row>
    <row r="452" spans="5:5" ht="14.45" x14ac:dyDescent="0.25">
      <c r="E452">
        <f t="shared" si="9"/>
        <v>0</v>
      </c>
    </row>
    <row r="453" spans="5:5" ht="14.45" x14ac:dyDescent="0.25">
      <c r="E453">
        <f t="shared" si="9"/>
        <v>0</v>
      </c>
    </row>
    <row r="454" spans="5:5" ht="14.45" x14ac:dyDescent="0.25">
      <c r="E454">
        <f t="shared" si="9"/>
        <v>0</v>
      </c>
    </row>
    <row r="455" spans="5:5" ht="14.45" x14ac:dyDescent="0.25">
      <c r="E455">
        <f t="shared" si="9"/>
        <v>0</v>
      </c>
    </row>
    <row r="456" spans="5:5" ht="14.45" x14ac:dyDescent="0.25">
      <c r="E456">
        <f t="shared" si="9"/>
        <v>0</v>
      </c>
    </row>
    <row r="457" spans="5:5" ht="14.45" x14ac:dyDescent="0.25">
      <c r="E457">
        <f t="shared" si="9"/>
        <v>0</v>
      </c>
    </row>
    <row r="458" spans="5:5" ht="14.45" x14ac:dyDescent="0.25">
      <c r="E458">
        <f t="shared" si="9"/>
        <v>0</v>
      </c>
    </row>
    <row r="459" spans="5:5" ht="14.45" x14ac:dyDescent="0.25">
      <c r="E459">
        <f t="shared" si="9"/>
        <v>0</v>
      </c>
    </row>
    <row r="460" spans="5:5" ht="14.45" x14ac:dyDescent="0.25">
      <c r="E460">
        <f t="shared" si="9"/>
        <v>0</v>
      </c>
    </row>
    <row r="461" spans="5:5" ht="14.45" x14ac:dyDescent="0.25">
      <c r="E461">
        <f t="shared" si="9"/>
        <v>0</v>
      </c>
    </row>
    <row r="462" spans="5:5" ht="14.45" x14ac:dyDescent="0.25">
      <c r="E462">
        <f t="shared" si="9"/>
        <v>0</v>
      </c>
    </row>
    <row r="463" spans="5:5" ht="14.45" x14ac:dyDescent="0.25">
      <c r="E463">
        <f t="shared" si="9"/>
        <v>0</v>
      </c>
    </row>
    <row r="464" spans="5:5" ht="14.45" x14ac:dyDescent="0.25">
      <c r="E464">
        <f t="shared" si="9"/>
        <v>0</v>
      </c>
    </row>
    <row r="465" spans="5:5" ht="14.45" x14ac:dyDescent="0.25">
      <c r="E465">
        <f t="shared" si="9"/>
        <v>0</v>
      </c>
    </row>
    <row r="466" spans="5:5" ht="14.45" x14ac:dyDescent="0.25">
      <c r="E466">
        <f t="shared" si="9"/>
        <v>0</v>
      </c>
    </row>
    <row r="467" spans="5:5" ht="14.45" x14ac:dyDescent="0.25">
      <c r="E467">
        <f t="shared" si="9"/>
        <v>0</v>
      </c>
    </row>
    <row r="468" spans="5:5" ht="14.45" x14ac:dyDescent="0.25">
      <c r="E468">
        <f t="shared" si="9"/>
        <v>0</v>
      </c>
    </row>
    <row r="469" spans="5:5" ht="14.45" x14ac:dyDescent="0.25">
      <c r="E469">
        <f t="shared" si="9"/>
        <v>0</v>
      </c>
    </row>
    <row r="470" spans="5:5" ht="14.45" x14ac:dyDescent="0.25">
      <c r="E470">
        <f t="shared" si="9"/>
        <v>0</v>
      </c>
    </row>
    <row r="471" spans="5:5" ht="14.45" x14ac:dyDescent="0.25">
      <c r="E471">
        <f t="shared" si="9"/>
        <v>0</v>
      </c>
    </row>
    <row r="472" spans="5:5" ht="14.45" x14ac:dyDescent="0.25">
      <c r="E472">
        <f t="shared" si="9"/>
        <v>0</v>
      </c>
    </row>
    <row r="473" spans="5:5" ht="14.45" x14ac:dyDescent="0.25">
      <c r="E473">
        <f t="shared" si="9"/>
        <v>0</v>
      </c>
    </row>
    <row r="474" spans="5:5" ht="14.45" x14ac:dyDescent="0.25">
      <c r="E474">
        <f t="shared" si="9"/>
        <v>0</v>
      </c>
    </row>
    <row r="475" spans="5:5" ht="14.45" x14ac:dyDescent="0.25">
      <c r="E475">
        <f t="shared" si="9"/>
        <v>0</v>
      </c>
    </row>
    <row r="476" spans="5:5" ht="14.45" x14ac:dyDescent="0.25">
      <c r="E476">
        <f t="shared" si="9"/>
        <v>0</v>
      </c>
    </row>
    <row r="477" spans="5:5" ht="14.45" x14ac:dyDescent="0.25">
      <c r="E477">
        <f t="shared" si="9"/>
        <v>0</v>
      </c>
    </row>
    <row r="478" spans="5:5" ht="14.45" x14ac:dyDescent="0.25">
      <c r="E478">
        <f t="shared" si="9"/>
        <v>0</v>
      </c>
    </row>
    <row r="479" spans="5:5" ht="14.45" x14ac:dyDescent="0.25">
      <c r="E479">
        <f t="shared" si="9"/>
        <v>0</v>
      </c>
    </row>
    <row r="480" spans="5:5" ht="14.45" x14ac:dyDescent="0.25">
      <c r="E480">
        <f t="shared" si="9"/>
        <v>0</v>
      </c>
    </row>
    <row r="481" spans="5:5" ht="14.45" x14ac:dyDescent="0.25">
      <c r="E481">
        <f t="shared" ref="E481:E544" si="10">D481-C481</f>
        <v>0</v>
      </c>
    </row>
    <row r="482" spans="5:5" ht="14.45" x14ac:dyDescent="0.25">
      <c r="E482">
        <f t="shared" si="10"/>
        <v>0</v>
      </c>
    </row>
    <row r="483" spans="5:5" ht="14.45" x14ac:dyDescent="0.25">
      <c r="E483">
        <f t="shared" si="10"/>
        <v>0</v>
      </c>
    </row>
    <row r="484" spans="5:5" ht="14.45" x14ac:dyDescent="0.25">
      <c r="E484">
        <f t="shared" si="10"/>
        <v>0</v>
      </c>
    </row>
    <row r="485" spans="5:5" ht="14.45" x14ac:dyDescent="0.25">
      <c r="E485">
        <f t="shared" si="10"/>
        <v>0</v>
      </c>
    </row>
    <row r="486" spans="5:5" ht="14.45" x14ac:dyDescent="0.25">
      <c r="E486">
        <f t="shared" si="10"/>
        <v>0</v>
      </c>
    </row>
    <row r="487" spans="5:5" ht="14.45" x14ac:dyDescent="0.25">
      <c r="E487">
        <f t="shared" si="10"/>
        <v>0</v>
      </c>
    </row>
    <row r="488" spans="5:5" ht="14.45" x14ac:dyDescent="0.25">
      <c r="E488">
        <f t="shared" si="10"/>
        <v>0</v>
      </c>
    </row>
    <row r="489" spans="5:5" ht="14.45" x14ac:dyDescent="0.25">
      <c r="E489">
        <f t="shared" si="10"/>
        <v>0</v>
      </c>
    </row>
    <row r="490" spans="5:5" ht="14.45" x14ac:dyDescent="0.25">
      <c r="E490">
        <f t="shared" si="10"/>
        <v>0</v>
      </c>
    </row>
    <row r="491" spans="5:5" ht="14.45" x14ac:dyDescent="0.25">
      <c r="E491">
        <f t="shared" si="10"/>
        <v>0</v>
      </c>
    </row>
    <row r="492" spans="5:5" ht="14.45" x14ac:dyDescent="0.25">
      <c r="E492">
        <f t="shared" si="10"/>
        <v>0</v>
      </c>
    </row>
    <row r="493" spans="5:5" ht="14.45" x14ac:dyDescent="0.25">
      <c r="E493">
        <f t="shared" si="10"/>
        <v>0</v>
      </c>
    </row>
    <row r="494" spans="5:5" ht="14.45" x14ac:dyDescent="0.25">
      <c r="E494">
        <f t="shared" si="10"/>
        <v>0</v>
      </c>
    </row>
    <row r="495" spans="5:5" ht="14.45" x14ac:dyDescent="0.25">
      <c r="E495">
        <f t="shared" si="10"/>
        <v>0</v>
      </c>
    </row>
    <row r="496" spans="5:5" ht="14.45" x14ac:dyDescent="0.25">
      <c r="E496">
        <f t="shared" si="10"/>
        <v>0</v>
      </c>
    </row>
    <row r="497" spans="5:5" ht="14.45" x14ac:dyDescent="0.25">
      <c r="E497">
        <f t="shared" si="10"/>
        <v>0</v>
      </c>
    </row>
    <row r="498" spans="5:5" ht="14.45" x14ac:dyDescent="0.25">
      <c r="E498">
        <f t="shared" si="10"/>
        <v>0</v>
      </c>
    </row>
    <row r="499" spans="5:5" ht="14.45" x14ac:dyDescent="0.25">
      <c r="E499">
        <f t="shared" si="10"/>
        <v>0</v>
      </c>
    </row>
    <row r="500" spans="5:5" ht="14.45" x14ac:dyDescent="0.25">
      <c r="E500">
        <f t="shared" si="10"/>
        <v>0</v>
      </c>
    </row>
    <row r="501" spans="5:5" ht="14.45" x14ac:dyDescent="0.25">
      <c r="E501">
        <f t="shared" si="10"/>
        <v>0</v>
      </c>
    </row>
    <row r="502" spans="5:5" ht="14.45" x14ac:dyDescent="0.25">
      <c r="E502">
        <f t="shared" si="10"/>
        <v>0</v>
      </c>
    </row>
    <row r="503" spans="5:5" ht="14.45" x14ac:dyDescent="0.25">
      <c r="E503">
        <f t="shared" si="10"/>
        <v>0</v>
      </c>
    </row>
    <row r="504" spans="5:5" ht="14.45" x14ac:dyDescent="0.25">
      <c r="E504">
        <f t="shared" si="10"/>
        <v>0</v>
      </c>
    </row>
    <row r="505" spans="5:5" ht="14.45" x14ac:dyDescent="0.25">
      <c r="E505">
        <f t="shared" si="10"/>
        <v>0</v>
      </c>
    </row>
    <row r="506" spans="5:5" ht="14.45" x14ac:dyDescent="0.25">
      <c r="E506">
        <f t="shared" si="10"/>
        <v>0</v>
      </c>
    </row>
    <row r="507" spans="5:5" ht="14.45" x14ac:dyDescent="0.25">
      <c r="E507">
        <f t="shared" si="10"/>
        <v>0</v>
      </c>
    </row>
    <row r="508" spans="5:5" ht="14.45" x14ac:dyDescent="0.25">
      <c r="E508">
        <f t="shared" si="10"/>
        <v>0</v>
      </c>
    </row>
    <row r="509" spans="5:5" ht="14.45" x14ac:dyDescent="0.25">
      <c r="E509">
        <f t="shared" si="10"/>
        <v>0</v>
      </c>
    </row>
    <row r="510" spans="5:5" ht="14.45" x14ac:dyDescent="0.25">
      <c r="E510">
        <f t="shared" si="10"/>
        <v>0</v>
      </c>
    </row>
    <row r="511" spans="5:5" ht="14.45" x14ac:dyDescent="0.25">
      <c r="E511">
        <f t="shared" si="10"/>
        <v>0</v>
      </c>
    </row>
    <row r="512" spans="5:5" ht="14.45" x14ac:dyDescent="0.25">
      <c r="E512">
        <f t="shared" si="10"/>
        <v>0</v>
      </c>
    </row>
    <row r="513" spans="5:5" ht="14.45" x14ac:dyDescent="0.25">
      <c r="E513">
        <f t="shared" si="10"/>
        <v>0</v>
      </c>
    </row>
    <row r="514" spans="5:5" ht="14.45" x14ac:dyDescent="0.25">
      <c r="E514">
        <f t="shared" si="10"/>
        <v>0</v>
      </c>
    </row>
    <row r="515" spans="5:5" ht="14.45" x14ac:dyDescent="0.25">
      <c r="E515">
        <f t="shared" si="10"/>
        <v>0</v>
      </c>
    </row>
    <row r="516" spans="5:5" ht="14.45" x14ac:dyDescent="0.25">
      <c r="E516">
        <f t="shared" si="10"/>
        <v>0</v>
      </c>
    </row>
    <row r="517" spans="5:5" ht="14.45" x14ac:dyDescent="0.25">
      <c r="E517">
        <f t="shared" si="10"/>
        <v>0</v>
      </c>
    </row>
    <row r="518" spans="5:5" ht="14.45" x14ac:dyDescent="0.25">
      <c r="E518">
        <f t="shared" si="10"/>
        <v>0</v>
      </c>
    </row>
    <row r="519" spans="5:5" ht="14.45" x14ac:dyDescent="0.25">
      <c r="E519">
        <f t="shared" si="10"/>
        <v>0</v>
      </c>
    </row>
    <row r="520" spans="5:5" ht="14.45" x14ac:dyDescent="0.25">
      <c r="E520">
        <f t="shared" si="10"/>
        <v>0</v>
      </c>
    </row>
    <row r="521" spans="5:5" ht="14.45" x14ac:dyDescent="0.25">
      <c r="E521">
        <f t="shared" si="10"/>
        <v>0</v>
      </c>
    </row>
    <row r="522" spans="5:5" ht="14.45" x14ac:dyDescent="0.25">
      <c r="E522">
        <f t="shared" si="10"/>
        <v>0</v>
      </c>
    </row>
    <row r="523" spans="5:5" ht="14.45" x14ac:dyDescent="0.25">
      <c r="E523">
        <f t="shared" si="10"/>
        <v>0</v>
      </c>
    </row>
    <row r="524" spans="5:5" ht="14.45" x14ac:dyDescent="0.25">
      <c r="E524">
        <f t="shared" si="10"/>
        <v>0</v>
      </c>
    </row>
    <row r="525" spans="5:5" ht="14.45" x14ac:dyDescent="0.25">
      <c r="E525">
        <f t="shared" si="10"/>
        <v>0</v>
      </c>
    </row>
    <row r="526" spans="5:5" ht="14.45" x14ac:dyDescent="0.25">
      <c r="E526">
        <f t="shared" si="10"/>
        <v>0</v>
      </c>
    </row>
    <row r="527" spans="5:5" ht="14.45" x14ac:dyDescent="0.25">
      <c r="E527">
        <f t="shared" si="10"/>
        <v>0</v>
      </c>
    </row>
    <row r="528" spans="5:5" ht="14.45" x14ac:dyDescent="0.25">
      <c r="E528">
        <f t="shared" si="10"/>
        <v>0</v>
      </c>
    </row>
    <row r="529" spans="5:5" ht="14.45" x14ac:dyDescent="0.25">
      <c r="E529">
        <f t="shared" si="10"/>
        <v>0</v>
      </c>
    </row>
    <row r="530" spans="5:5" ht="14.45" x14ac:dyDescent="0.25">
      <c r="E530">
        <f t="shared" si="10"/>
        <v>0</v>
      </c>
    </row>
    <row r="531" spans="5:5" ht="14.45" x14ac:dyDescent="0.25">
      <c r="E531">
        <f t="shared" si="10"/>
        <v>0</v>
      </c>
    </row>
    <row r="532" spans="5:5" ht="14.45" x14ac:dyDescent="0.25">
      <c r="E532">
        <f t="shared" si="10"/>
        <v>0</v>
      </c>
    </row>
    <row r="533" spans="5:5" ht="14.45" x14ac:dyDescent="0.25">
      <c r="E533">
        <f t="shared" si="10"/>
        <v>0</v>
      </c>
    </row>
    <row r="534" spans="5:5" ht="14.45" x14ac:dyDescent="0.25">
      <c r="E534">
        <f t="shared" si="10"/>
        <v>0</v>
      </c>
    </row>
    <row r="535" spans="5:5" ht="14.45" x14ac:dyDescent="0.25">
      <c r="E535">
        <f t="shared" si="10"/>
        <v>0</v>
      </c>
    </row>
    <row r="536" spans="5:5" ht="14.45" x14ac:dyDescent="0.25">
      <c r="E536">
        <f t="shared" si="10"/>
        <v>0</v>
      </c>
    </row>
    <row r="537" spans="5:5" ht="14.45" x14ac:dyDescent="0.25">
      <c r="E537">
        <f t="shared" si="10"/>
        <v>0</v>
      </c>
    </row>
    <row r="538" spans="5:5" ht="14.45" x14ac:dyDescent="0.25">
      <c r="E538">
        <f t="shared" si="10"/>
        <v>0</v>
      </c>
    </row>
    <row r="539" spans="5:5" ht="14.45" x14ac:dyDescent="0.25">
      <c r="E539">
        <f t="shared" si="10"/>
        <v>0</v>
      </c>
    </row>
    <row r="540" spans="5:5" ht="14.45" x14ac:dyDescent="0.25">
      <c r="E540">
        <f t="shared" si="10"/>
        <v>0</v>
      </c>
    </row>
    <row r="541" spans="5:5" ht="14.45" x14ac:dyDescent="0.25">
      <c r="E541">
        <f t="shared" si="10"/>
        <v>0</v>
      </c>
    </row>
    <row r="542" spans="5:5" ht="14.45" x14ac:dyDescent="0.25">
      <c r="E542">
        <f t="shared" si="10"/>
        <v>0</v>
      </c>
    </row>
    <row r="543" spans="5:5" ht="14.45" x14ac:dyDescent="0.25">
      <c r="E543">
        <f t="shared" si="10"/>
        <v>0</v>
      </c>
    </row>
    <row r="544" spans="5:5" ht="14.45" x14ac:dyDescent="0.25">
      <c r="E544">
        <f t="shared" si="10"/>
        <v>0</v>
      </c>
    </row>
    <row r="545" spans="5:5" ht="14.45" x14ac:dyDescent="0.25">
      <c r="E545">
        <f t="shared" ref="E545:E608" si="11">D545-C545</f>
        <v>0</v>
      </c>
    </row>
    <row r="546" spans="5:5" ht="14.45" x14ac:dyDescent="0.25">
      <c r="E546">
        <f t="shared" si="11"/>
        <v>0</v>
      </c>
    </row>
    <row r="547" spans="5:5" ht="14.45" x14ac:dyDescent="0.25">
      <c r="E547">
        <f t="shared" si="11"/>
        <v>0</v>
      </c>
    </row>
    <row r="548" spans="5:5" ht="14.45" x14ac:dyDescent="0.25">
      <c r="E548">
        <f t="shared" si="11"/>
        <v>0</v>
      </c>
    </row>
    <row r="549" spans="5:5" ht="14.45" x14ac:dyDescent="0.25">
      <c r="E549">
        <f t="shared" si="11"/>
        <v>0</v>
      </c>
    </row>
    <row r="550" spans="5:5" ht="14.45" x14ac:dyDescent="0.25">
      <c r="E550">
        <f t="shared" si="11"/>
        <v>0</v>
      </c>
    </row>
    <row r="551" spans="5:5" ht="14.45" x14ac:dyDescent="0.25">
      <c r="E551">
        <f t="shared" si="11"/>
        <v>0</v>
      </c>
    </row>
    <row r="552" spans="5:5" ht="14.45" x14ac:dyDescent="0.25">
      <c r="E552">
        <f t="shared" si="11"/>
        <v>0</v>
      </c>
    </row>
    <row r="553" spans="5:5" ht="14.45" x14ac:dyDescent="0.25">
      <c r="E553">
        <f t="shared" si="11"/>
        <v>0</v>
      </c>
    </row>
    <row r="554" spans="5:5" ht="14.45" x14ac:dyDescent="0.25">
      <c r="E554">
        <f t="shared" si="11"/>
        <v>0</v>
      </c>
    </row>
    <row r="555" spans="5:5" ht="14.45" x14ac:dyDescent="0.25">
      <c r="E555">
        <f t="shared" si="11"/>
        <v>0</v>
      </c>
    </row>
    <row r="556" spans="5:5" ht="14.45" x14ac:dyDescent="0.25">
      <c r="E556">
        <f t="shared" si="11"/>
        <v>0</v>
      </c>
    </row>
    <row r="557" spans="5:5" ht="14.45" x14ac:dyDescent="0.25">
      <c r="E557">
        <f t="shared" si="11"/>
        <v>0</v>
      </c>
    </row>
    <row r="558" spans="5:5" ht="14.45" x14ac:dyDescent="0.25">
      <c r="E558">
        <f t="shared" si="11"/>
        <v>0</v>
      </c>
    </row>
    <row r="559" spans="5:5" ht="14.45" x14ac:dyDescent="0.25">
      <c r="E559">
        <f t="shared" si="11"/>
        <v>0</v>
      </c>
    </row>
    <row r="560" spans="5:5" ht="14.45" x14ac:dyDescent="0.25">
      <c r="E560">
        <f t="shared" si="11"/>
        <v>0</v>
      </c>
    </row>
    <row r="561" spans="5:5" ht="14.45" x14ac:dyDescent="0.25">
      <c r="E561">
        <f t="shared" si="11"/>
        <v>0</v>
      </c>
    </row>
    <row r="562" spans="5:5" ht="14.45" x14ac:dyDescent="0.25">
      <c r="E562">
        <f t="shared" si="11"/>
        <v>0</v>
      </c>
    </row>
    <row r="563" spans="5:5" ht="14.45" x14ac:dyDescent="0.25">
      <c r="E563">
        <f t="shared" si="11"/>
        <v>0</v>
      </c>
    </row>
    <row r="564" spans="5:5" ht="14.45" x14ac:dyDescent="0.25">
      <c r="E564">
        <f t="shared" si="11"/>
        <v>0</v>
      </c>
    </row>
    <row r="565" spans="5:5" ht="14.45" x14ac:dyDescent="0.25">
      <c r="E565">
        <f t="shared" si="11"/>
        <v>0</v>
      </c>
    </row>
    <row r="566" spans="5:5" ht="14.45" x14ac:dyDescent="0.25">
      <c r="E566">
        <f t="shared" si="11"/>
        <v>0</v>
      </c>
    </row>
    <row r="567" spans="5:5" ht="14.45" x14ac:dyDescent="0.25">
      <c r="E567">
        <f t="shared" si="11"/>
        <v>0</v>
      </c>
    </row>
    <row r="568" spans="5:5" ht="14.45" x14ac:dyDescent="0.25">
      <c r="E568">
        <f t="shared" si="11"/>
        <v>0</v>
      </c>
    </row>
    <row r="569" spans="5:5" ht="14.45" x14ac:dyDescent="0.25">
      <c r="E569">
        <f t="shared" si="11"/>
        <v>0</v>
      </c>
    </row>
    <row r="570" spans="5:5" ht="14.45" x14ac:dyDescent="0.25">
      <c r="E570">
        <f t="shared" si="11"/>
        <v>0</v>
      </c>
    </row>
    <row r="571" spans="5:5" ht="14.45" x14ac:dyDescent="0.25">
      <c r="E571">
        <f t="shared" si="11"/>
        <v>0</v>
      </c>
    </row>
    <row r="572" spans="5:5" ht="14.45" x14ac:dyDescent="0.25">
      <c r="E572">
        <f t="shared" si="11"/>
        <v>0</v>
      </c>
    </row>
    <row r="573" spans="5:5" ht="14.45" x14ac:dyDescent="0.25">
      <c r="E573">
        <f t="shared" si="11"/>
        <v>0</v>
      </c>
    </row>
    <row r="574" spans="5:5" ht="14.45" x14ac:dyDescent="0.25">
      <c r="E574">
        <f t="shared" si="11"/>
        <v>0</v>
      </c>
    </row>
    <row r="575" spans="5:5" ht="14.45" x14ac:dyDescent="0.25">
      <c r="E575">
        <f t="shared" si="11"/>
        <v>0</v>
      </c>
    </row>
    <row r="576" spans="5:5" ht="14.45" x14ac:dyDescent="0.25">
      <c r="E576">
        <f t="shared" si="11"/>
        <v>0</v>
      </c>
    </row>
    <row r="577" spans="5:5" ht="14.45" x14ac:dyDescent="0.25">
      <c r="E577">
        <f t="shared" si="11"/>
        <v>0</v>
      </c>
    </row>
    <row r="578" spans="5:5" ht="14.45" x14ac:dyDescent="0.25">
      <c r="E578">
        <f t="shared" si="11"/>
        <v>0</v>
      </c>
    </row>
    <row r="579" spans="5:5" ht="14.45" x14ac:dyDescent="0.25">
      <c r="E579">
        <f t="shared" si="11"/>
        <v>0</v>
      </c>
    </row>
    <row r="580" spans="5:5" ht="14.45" x14ac:dyDescent="0.25">
      <c r="E580">
        <f t="shared" si="11"/>
        <v>0</v>
      </c>
    </row>
    <row r="581" spans="5:5" ht="14.45" x14ac:dyDescent="0.25">
      <c r="E581">
        <f t="shared" si="11"/>
        <v>0</v>
      </c>
    </row>
    <row r="582" spans="5:5" ht="14.45" x14ac:dyDescent="0.25">
      <c r="E582">
        <f t="shared" si="11"/>
        <v>0</v>
      </c>
    </row>
    <row r="583" spans="5:5" ht="14.45" x14ac:dyDescent="0.25">
      <c r="E583">
        <f t="shared" si="11"/>
        <v>0</v>
      </c>
    </row>
    <row r="584" spans="5:5" ht="14.45" x14ac:dyDescent="0.25">
      <c r="E584">
        <f t="shared" si="11"/>
        <v>0</v>
      </c>
    </row>
    <row r="585" spans="5:5" ht="14.45" x14ac:dyDescent="0.25">
      <c r="E585">
        <f t="shared" si="11"/>
        <v>0</v>
      </c>
    </row>
    <row r="586" spans="5:5" ht="14.45" x14ac:dyDescent="0.25">
      <c r="E586">
        <f t="shared" si="11"/>
        <v>0</v>
      </c>
    </row>
    <row r="587" spans="5:5" ht="14.45" x14ac:dyDescent="0.25">
      <c r="E587">
        <f t="shared" si="11"/>
        <v>0</v>
      </c>
    </row>
    <row r="588" spans="5:5" ht="14.45" x14ac:dyDescent="0.25">
      <c r="E588">
        <f t="shared" si="11"/>
        <v>0</v>
      </c>
    </row>
    <row r="589" spans="5:5" ht="14.45" x14ac:dyDescent="0.25">
      <c r="E589">
        <f t="shared" si="11"/>
        <v>0</v>
      </c>
    </row>
    <row r="590" spans="5:5" ht="14.45" x14ac:dyDescent="0.25">
      <c r="E590">
        <f t="shared" si="11"/>
        <v>0</v>
      </c>
    </row>
    <row r="591" spans="5:5" ht="14.45" x14ac:dyDescent="0.25">
      <c r="E591">
        <f t="shared" si="11"/>
        <v>0</v>
      </c>
    </row>
    <row r="592" spans="5:5" ht="14.45" x14ac:dyDescent="0.25">
      <c r="E592">
        <f t="shared" si="11"/>
        <v>0</v>
      </c>
    </row>
    <row r="593" spans="5:5" ht="14.45" x14ac:dyDescent="0.25">
      <c r="E593">
        <f t="shared" si="11"/>
        <v>0</v>
      </c>
    </row>
    <row r="594" spans="5:5" ht="14.45" x14ac:dyDescent="0.25">
      <c r="E594">
        <f t="shared" si="11"/>
        <v>0</v>
      </c>
    </row>
    <row r="595" spans="5:5" ht="14.45" x14ac:dyDescent="0.25">
      <c r="E595">
        <f t="shared" si="11"/>
        <v>0</v>
      </c>
    </row>
    <row r="596" spans="5:5" ht="14.45" x14ac:dyDescent="0.25">
      <c r="E596">
        <f t="shared" si="11"/>
        <v>0</v>
      </c>
    </row>
    <row r="597" spans="5:5" ht="14.45" x14ac:dyDescent="0.25">
      <c r="E597">
        <f t="shared" si="11"/>
        <v>0</v>
      </c>
    </row>
    <row r="598" spans="5:5" ht="14.45" x14ac:dyDescent="0.25">
      <c r="E598">
        <f t="shared" si="11"/>
        <v>0</v>
      </c>
    </row>
    <row r="599" spans="5:5" ht="14.45" x14ac:dyDescent="0.25">
      <c r="E599">
        <f t="shared" si="11"/>
        <v>0</v>
      </c>
    </row>
    <row r="600" spans="5:5" ht="14.45" x14ac:dyDescent="0.25">
      <c r="E600">
        <f t="shared" si="11"/>
        <v>0</v>
      </c>
    </row>
    <row r="601" spans="5:5" ht="14.45" x14ac:dyDescent="0.25">
      <c r="E601">
        <f t="shared" si="11"/>
        <v>0</v>
      </c>
    </row>
    <row r="602" spans="5:5" ht="14.45" x14ac:dyDescent="0.25">
      <c r="E602">
        <f t="shared" si="11"/>
        <v>0</v>
      </c>
    </row>
    <row r="603" spans="5:5" ht="14.45" x14ac:dyDescent="0.25">
      <c r="E603">
        <f t="shared" si="11"/>
        <v>0</v>
      </c>
    </row>
    <row r="604" spans="5:5" ht="14.45" x14ac:dyDescent="0.25">
      <c r="E604">
        <f t="shared" si="11"/>
        <v>0</v>
      </c>
    </row>
    <row r="605" spans="5:5" ht="14.45" x14ac:dyDescent="0.25">
      <c r="E605">
        <f t="shared" si="11"/>
        <v>0</v>
      </c>
    </row>
    <row r="606" spans="5:5" ht="14.45" x14ac:dyDescent="0.25">
      <c r="E606">
        <f t="shared" si="11"/>
        <v>0</v>
      </c>
    </row>
    <row r="607" spans="5:5" ht="14.45" x14ac:dyDescent="0.25">
      <c r="E607">
        <f t="shared" si="11"/>
        <v>0</v>
      </c>
    </row>
    <row r="608" spans="5:5" ht="14.45" x14ac:dyDescent="0.25">
      <c r="E608">
        <f t="shared" si="11"/>
        <v>0</v>
      </c>
    </row>
    <row r="609" spans="5:5" ht="14.45" x14ac:dyDescent="0.25">
      <c r="E609">
        <f t="shared" ref="E609:E672" si="12">D609-C609</f>
        <v>0</v>
      </c>
    </row>
    <row r="610" spans="5:5" ht="14.45" x14ac:dyDescent="0.25">
      <c r="E610">
        <f t="shared" si="12"/>
        <v>0</v>
      </c>
    </row>
    <row r="611" spans="5:5" ht="14.45" x14ac:dyDescent="0.25">
      <c r="E611">
        <f t="shared" si="12"/>
        <v>0</v>
      </c>
    </row>
    <row r="612" spans="5:5" ht="14.45" x14ac:dyDescent="0.25">
      <c r="E612">
        <f t="shared" si="12"/>
        <v>0</v>
      </c>
    </row>
    <row r="613" spans="5:5" ht="14.45" x14ac:dyDescent="0.25">
      <c r="E613">
        <f t="shared" si="12"/>
        <v>0</v>
      </c>
    </row>
    <row r="614" spans="5:5" ht="14.45" x14ac:dyDescent="0.25">
      <c r="E614">
        <f t="shared" si="12"/>
        <v>0</v>
      </c>
    </row>
    <row r="615" spans="5:5" ht="14.45" x14ac:dyDescent="0.25">
      <c r="E615">
        <f t="shared" si="12"/>
        <v>0</v>
      </c>
    </row>
    <row r="616" spans="5:5" ht="14.45" x14ac:dyDescent="0.25">
      <c r="E616">
        <f t="shared" si="12"/>
        <v>0</v>
      </c>
    </row>
    <row r="617" spans="5:5" ht="14.45" x14ac:dyDescent="0.25">
      <c r="E617">
        <f t="shared" si="12"/>
        <v>0</v>
      </c>
    </row>
    <row r="618" spans="5:5" ht="14.45" x14ac:dyDescent="0.25">
      <c r="E618">
        <f t="shared" si="12"/>
        <v>0</v>
      </c>
    </row>
    <row r="619" spans="5:5" ht="14.45" x14ac:dyDescent="0.25">
      <c r="E619">
        <f t="shared" si="12"/>
        <v>0</v>
      </c>
    </row>
    <row r="620" spans="5:5" ht="14.45" x14ac:dyDescent="0.25">
      <c r="E620">
        <f t="shared" si="12"/>
        <v>0</v>
      </c>
    </row>
    <row r="621" spans="5:5" ht="14.45" x14ac:dyDescent="0.25">
      <c r="E621">
        <f t="shared" si="12"/>
        <v>0</v>
      </c>
    </row>
    <row r="622" spans="5:5" ht="14.45" x14ac:dyDescent="0.25">
      <c r="E622">
        <f t="shared" si="12"/>
        <v>0</v>
      </c>
    </row>
    <row r="623" spans="5:5" ht="14.45" x14ac:dyDescent="0.25">
      <c r="E623">
        <f t="shared" si="12"/>
        <v>0</v>
      </c>
    </row>
    <row r="624" spans="5:5" ht="14.45" x14ac:dyDescent="0.25">
      <c r="E624">
        <f t="shared" si="12"/>
        <v>0</v>
      </c>
    </row>
    <row r="625" spans="5:5" ht="14.45" x14ac:dyDescent="0.25">
      <c r="E625">
        <f t="shared" si="12"/>
        <v>0</v>
      </c>
    </row>
    <row r="626" spans="5:5" ht="14.45" x14ac:dyDescent="0.25">
      <c r="E626">
        <f t="shared" si="12"/>
        <v>0</v>
      </c>
    </row>
    <row r="627" spans="5:5" ht="14.45" x14ac:dyDescent="0.25">
      <c r="E627">
        <f t="shared" si="12"/>
        <v>0</v>
      </c>
    </row>
    <row r="628" spans="5:5" ht="14.45" x14ac:dyDescent="0.25">
      <c r="E628">
        <f t="shared" si="12"/>
        <v>0</v>
      </c>
    </row>
    <row r="629" spans="5:5" ht="14.45" x14ac:dyDescent="0.25">
      <c r="E629">
        <f t="shared" si="12"/>
        <v>0</v>
      </c>
    </row>
    <row r="630" spans="5:5" ht="14.45" x14ac:dyDescent="0.25">
      <c r="E630">
        <f t="shared" si="12"/>
        <v>0</v>
      </c>
    </row>
    <row r="631" spans="5:5" ht="14.45" x14ac:dyDescent="0.25">
      <c r="E631">
        <f t="shared" si="12"/>
        <v>0</v>
      </c>
    </row>
    <row r="632" spans="5:5" ht="14.45" x14ac:dyDescent="0.25">
      <c r="E632">
        <f t="shared" si="12"/>
        <v>0</v>
      </c>
    </row>
    <row r="633" spans="5:5" ht="14.45" x14ac:dyDescent="0.25">
      <c r="E633">
        <f t="shared" si="12"/>
        <v>0</v>
      </c>
    </row>
    <row r="634" spans="5:5" ht="14.45" x14ac:dyDescent="0.25">
      <c r="E634">
        <f t="shared" si="12"/>
        <v>0</v>
      </c>
    </row>
    <row r="635" spans="5:5" ht="14.45" x14ac:dyDescent="0.25">
      <c r="E635">
        <f t="shared" si="12"/>
        <v>0</v>
      </c>
    </row>
    <row r="636" spans="5:5" ht="14.45" x14ac:dyDescent="0.25">
      <c r="E636">
        <f t="shared" si="12"/>
        <v>0</v>
      </c>
    </row>
    <row r="637" spans="5:5" ht="14.45" x14ac:dyDescent="0.25">
      <c r="E637">
        <f t="shared" si="12"/>
        <v>0</v>
      </c>
    </row>
    <row r="638" spans="5:5" ht="14.45" x14ac:dyDescent="0.25">
      <c r="E638">
        <f t="shared" si="12"/>
        <v>0</v>
      </c>
    </row>
    <row r="639" spans="5:5" ht="14.45" x14ac:dyDescent="0.25">
      <c r="E639">
        <f t="shared" si="12"/>
        <v>0</v>
      </c>
    </row>
    <row r="640" spans="5:5" ht="14.45" x14ac:dyDescent="0.25">
      <c r="E640">
        <f t="shared" si="12"/>
        <v>0</v>
      </c>
    </row>
    <row r="641" spans="5:5" ht="14.45" x14ac:dyDescent="0.25">
      <c r="E641">
        <f t="shared" si="12"/>
        <v>0</v>
      </c>
    </row>
    <row r="642" spans="5:5" ht="14.45" x14ac:dyDescent="0.25">
      <c r="E642">
        <f t="shared" si="12"/>
        <v>0</v>
      </c>
    </row>
    <row r="643" spans="5:5" ht="14.45" x14ac:dyDescent="0.25">
      <c r="E643">
        <f t="shared" si="12"/>
        <v>0</v>
      </c>
    </row>
    <row r="644" spans="5:5" ht="14.45" x14ac:dyDescent="0.25">
      <c r="E644">
        <f t="shared" si="12"/>
        <v>0</v>
      </c>
    </row>
    <row r="645" spans="5:5" ht="14.45" x14ac:dyDescent="0.25">
      <c r="E645">
        <f t="shared" si="12"/>
        <v>0</v>
      </c>
    </row>
    <row r="646" spans="5:5" ht="14.45" x14ac:dyDescent="0.25">
      <c r="E646">
        <f t="shared" si="12"/>
        <v>0</v>
      </c>
    </row>
    <row r="647" spans="5:5" ht="14.45" x14ac:dyDescent="0.25">
      <c r="E647">
        <f t="shared" si="12"/>
        <v>0</v>
      </c>
    </row>
    <row r="648" spans="5:5" ht="14.45" x14ac:dyDescent="0.25">
      <c r="E648">
        <f t="shared" si="12"/>
        <v>0</v>
      </c>
    </row>
    <row r="649" spans="5:5" ht="14.45" x14ac:dyDescent="0.25">
      <c r="E649">
        <f t="shared" si="12"/>
        <v>0</v>
      </c>
    </row>
    <row r="650" spans="5:5" ht="14.45" x14ac:dyDescent="0.25">
      <c r="E650">
        <f t="shared" si="12"/>
        <v>0</v>
      </c>
    </row>
    <row r="651" spans="5:5" ht="14.45" x14ac:dyDescent="0.25">
      <c r="E651">
        <f t="shared" si="12"/>
        <v>0</v>
      </c>
    </row>
    <row r="652" spans="5:5" ht="14.45" x14ac:dyDescent="0.25">
      <c r="E652">
        <f t="shared" si="12"/>
        <v>0</v>
      </c>
    </row>
    <row r="653" spans="5:5" ht="14.45" x14ac:dyDescent="0.25">
      <c r="E653">
        <f t="shared" si="12"/>
        <v>0</v>
      </c>
    </row>
    <row r="654" spans="5:5" ht="14.45" x14ac:dyDescent="0.25">
      <c r="E654">
        <f t="shared" si="12"/>
        <v>0</v>
      </c>
    </row>
    <row r="655" spans="5:5" ht="14.45" x14ac:dyDescent="0.25">
      <c r="E655">
        <f t="shared" si="12"/>
        <v>0</v>
      </c>
    </row>
    <row r="656" spans="5:5" ht="14.45" x14ac:dyDescent="0.25">
      <c r="E656">
        <f t="shared" si="12"/>
        <v>0</v>
      </c>
    </row>
    <row r="657" spans="5:5" ht="14.45" x14ac:dyDescent="0.25">
      <c r="E657">
        <f t="shared" si="12"/>
        <v>0</v>
      </c>
    </row>
    <row r="658" spans="5:5" ht="14.45" x14ac:dyDescent="0.25">
      <c r="E658">
        <f t="shared" si="12"/>
        <v>0</v>
      </c>
    </row>
    <row r="659" spans="5:5" ht="14.45" x14ac:dyDescent="0.25">
      <c r="E659">
        <f t="shared" si="12"/>
        <v>0</v>
      </c>
    </row>
    <row r="660" spans="5:5" ht="14.45" x14ac:dyDescent="0.25">
      <c r="E660">
        <f t="shared" si="12"/>
        <v>0</v>
      </c>
    </row>
    <row r="661" spans="5:5" ht="14.45" x14ac:dyDescent="0.25">
      <c r="E661">
        <f t="shared" si="12"/>
        <v>0</v>
      </c>
    </row>
    <row r="662" spans="5:5" ht="14.45" x14ac:dyDescent="0.25">
      <c r="E662">
        <f t="shared" si="12"/>
        <v>0</v>
      </c>
    </row>
    <row r="663" spans="5:5" ht="14.45" x14ac:dyDescent="0.25">
      <c r="E663">
        <f t="shared" si="12"/>
        <v>0</v>
      </c>
    </row>
    <row r="664" spans="5:5" ht="14.45" x14ac:dyDescent="0.25">
      <c r="E664">
        <f t="shared" si="12"/>
        <v>0</v>
      </c>
    </row>
    <row r="665" spans="5:5" ht="14.45" x14ac:dyDescent="0.25">
      <c r="E665">
        <f t="shared" si="12"/>
        <v>0</v>
      </c>
    </row>
    <row r="666" spans="5:5" ht="14.45" x14ac:dyDescent="0.25">
      <c r="E666">
        <f t="shared" si="12"/>
        <v>0</v>
      </c>
    </row>
    <row r="667" spans="5:5" ht="14.45" x14ac:dyDescent="0.25">
      <c r="E667">
        <f t="shared" si="12"/>
        <v>0</v>
      </c>
    </row>
    <row r="668" spans="5:5" ht="14.45" x14ac:dyDescent="0.25">
      <c r="E668">
        <f t="shared" si="12"/>
        <v>0</v>
      </c>
    </row>
    <row r="669" spans="5:5" ht="14.45" x14ac:dyDescent="0.25">
      <c r="E669">
        <f t="shared" si="12"/>
        <v>0</v>
      </c>
    </row>
    <row r="670" spans="5:5" ht="14.45" x14ac:dyDescent="0.25">
      <c r="E670">
        <f t="shared" si="12"/>
        <v>0</v>
      </c>
    </row>
    <row r="671" spans="5:5" ht="14.45" x14ac:dyDescent="0.25">
      <c r="E671">
        <f t="shared" si="12"/>
        <v>0</v>
      </c>
    </row>
    <row r="672" spans="5:5" ht="14.45" x14ac:dyDescent="0.25">
      <c r="E672">
        <f t="shared" si="12"/>
        <v>0</v>
      </c>
    </row>
    <row r="673" spans="5:5" ht="14.45" x14ac:dyDescent="0.25">
      <c r="E673">
        <f t="shared" ref="E673:E736" si="13">D673-C673</f>
        <v>0</v>
      </c>
    </row>
    <row r="674" spans="5:5" ht="14.45" x14ac:dyDescent="0.25">
      <c r="E674">
        <f t="shared" si="13"/>
        <v>0</v>
      </c>
    </row>
    <row r="675" spans="5:5" ht="14.45" x14ac:dyDescent="0.25">
      <c r="E675">
        <f t="shared" si="13"/>
        <v>0</v>
      </c>
    </row>
    <row r="676" spans="5:5" ht="14.45" x14ac:dyDescent="0.25">
      <c r="E676">
        <f t="shared" si="13"/>
        <v>0</v>
      </c>
    </row>
    <row r="677" spans="5:5" ht="14.45" x14ac:dyDescent="0.25">
      <c r="E677">
        <f t="shared" si="13"/>
        <v>0</v>
      </c>
    </row>
    <row r="678" spans="5:5" ht="14.45" x14ac:dyDescent="0.25">
      <c r="E678">
        <f t="shared" si="13"/>
        <v>0</v>
      </c>
    </row>
    <row r="679" spans="5:5" ht="14.45" x14ac:dyDescent="0.25">
      <c r="E679">
        <f t="shared" si="13"/>
        <v>0</v>
      </c>
    </row>
    <row r="680" spans="5:5" ht="14.45" x14ac:dyDescent="0.25">
      <c r="E680">
        <f t="shared" si="13"/>
        <v>0</v>
      </c>
    </row>
    <row r="681" spans="5:5" ht="14.45" x14ac:dyDescent="0.25">
      <c r="E681">
        <f t="shared" si="13"/>
        <v>0</v>
      </c>
    </row>
    <row r="682" spans="5:5" ht="14.45" x14ac:dyDescent="0.25">
      <c r="E682">
        <f t="shared" si="13"/>
        <v>0</v>
      </c>
    </row>
    <row r="683" spans="5:5" ht="14.45" x14ac:dyDescent="0.25">
      <c r="E683">
        <f t="shared" si="13"/>
        <v>0</v>
      </c>
    </row>
    <row r="684" spans="5:5" ht="14.45" x14ac:dyDescent="0.25">
      <c r="E684">
        <f t="shared" si="13"/>
        <v>0</v>
      </c>
    </row>
    <row r="685" spans="5:5" ht="14.45" x14ac:dyDescent="0.25">
      <c r="E685">
        <f t="shared" si="13"/>
        <v>0</v>
      </c>
    </row>
    <row r="686" spans="5:5" ht="14.45" x14ac:dyDescent="0.25">
      <c r="E686">
        <f t="shared" si="13"/>
        <v>0</v>
      </c>
    </row>
    <row r="687" spans="5:5" ht="14.45" x14ac:dyDescent="0.25">
      <c r="E687">
        <f t="shared" si="13"/>
        <v>0</v>
      </c>
    </row>
    <row r="688" spans="5:5" ht="14.45" x14ac:dyDescent="0.25">
      <c r="E688">
        <f t="shared" si="13"/>
        <v>0</v>
      </c>
    </row>
    <row r="689" spans="5:5" ht="14.45" x14ac:dyDescent="0.25">
      <c r="E689">
        <f t="shared" si="13"/>
        <v>0</v>
      </c>
    </row>
    <row r="690" spans="5:5" ht="14.45" x14ac:dyDescent="0.25">
      <c r="E690">
        <f t="shared" si="13"/>
        <v>0</v>
      </c>
    </row>
    <row r="691" spans="5:5" ht="14.45" x14ac:dyDescent="0.25">
      <c r="E691">
        <f t="shared" si="13"/>
        <v>0</v>
      </c>
    </row>
    <row r="692" spans="5:5" ht="14.45" x14ac:dyDescent="0.25">
      <c r="E692">
        <f t="shared" si="13"/>
        <v>0</v>
      </c>
    </row>
    <row r="693" spans="5:5" ht="14.45" x14ac:dyDescent="0.25">
      <c r="E693">
        <f t="shared" si="13"/>
        <v>0</v>
      </c>
    </row>
    <row r="694" spans="5:5" ht="14.45" x14ac:dyDescent="0.25">
      <c r="E694">
        <f t="shared" si="13"/>
        <v>0</v>
      </c>
    </row>
    <row r="695" spans="5:5" ht="14.45" x14ac:dyDescent="0.25">
      <c r="E695">
        <f t="shared" si="13"/>
        <v>0</v>
      </c>
    </row>
    <row r="696" spans="5:5" ht="14.45" x14ac:dyDescent="0.25">
      <c r="E696">
        <f t="shared" si="13"/>
        <v>0</v>
      </c>
    </row>
    <row r="697" spans="5:5" ht="14.45" x14ac:dyDescent="0.25">
      <c r="E697">
        <f t="shared" si="13"/>
        <v>0</v>
      </c>
    </row>
    <row r="698" spans="5:5" ht="14.45" x14ac:dyDescent="0.25">
      <c r="E698">
        <f t="shared" si="13"/>
        <v>0</v>
      </c>
    </row>
    <row r="699" spans="5:5" ht="14.45" x14ac:dyDescent="0.25">
      <c r="E699">
        <f t="shared" si="13"/>
        <v>0</v>
      </c>
    </row>
    <row r="700" spans="5:5" ht="14.45" x14ac:dyDescent="0.25">
      <c r="E700">
        <f t="shared" si="13"/>
        <v>0</v>
      </c>
    </row>
    <row r="701" spans="5:5" ht="14.45" x14ac:dyDescent="0.25">
      <c r="E701">
        <f t="shared" si="13"/>
        <v>0</v>
      </c>
    </row>
    <row r="702" spans="5:5" ht="14.45" x14ac:dyDescent="0.25">
      <c r="E702">
        <f t="shared" si="13"/>
        <v>0</v>
      </c>
    </row>
    <row r="703" spans="5:5" ht="14.45" x14ac:dyDescent="0.25">
      <c r="E703">
        <f t="shared" si="13"/>
        <v>0</v>
      </c>
    </row>
    <row r="704" spans="5:5" ht="14.45" x14ac:dyDescent="0.25">
      <c r="E704">
        <f t="shared" si="13"/>
        <v>0</v>
      </c>
    </row>
    <row r="705" spans="5:5" ht="14.45" x14ac:dyDescent="0.25">
      <c r="E705">
        <f t="shared" si="13"/>
        <v>0</v>
      </c>
    </row>
    <row r="706" spans="5:5" ht="14.45" x14ac:dyDescent="0.25">
      <c r="E706">
        <f t="shared" si="13"/>
        <v>0</v>
      </c>
    </row>
    <row r="707" spans="5:5" ht="14.45" x14ac:dyDescent="0.25">
      <c r="E707">
        <f t="shared" si="13"/>
        <v>0</v>
      </c>
    </row>
    <row r="708" spans="5:5" ht="14.45" x14ac:dyDescent="0.25">
      <c r="E708">
        <f t="shared" si="13"/>
        <v>0</v>
      </c>
    </row>
    <row r="709" spans="5:5" ht="14.45" x14ac:dyDescent="0.25">
      <c r="E709">
        <f t="shared" si="13"/>
        <v>0</v>
      </c>
    </row>
    <row r="710" spans="5:5" ht="14.45" x14ac:dyDescent="0.25">
      <c r="E710">
        <f t="shared" si="13"/>
        <v>0</v>
      </c>
    </row>
    <row r="711" spans="5:5" ht="14.45" x14ac:dyDescent="0.25">
      <c r="E711">
        <f t="shared" si="13"/>
        <v>0</v>
      </c>
    </row>
    <row r="712" spans="5:5" ht="14.45" x14ac:dyDescent="0.25">
      <c r="E712">
        <f t="shared" si="13"/>
        <v>0</v>
      </c>
    </row>
    <row r="713" spans="5:5" ht="14.45" x14ac:dyDescent="0.25">
      <c r="E713">
        <f t="shared" si="13"/>
        <v>0</v>
      </c>
    </row>
    <row r="714" spans="5:5" ht="14.45" x14ac:dyDescent="0.25">
      <c r="E714">
        <f t="shared" si="13"/>
        <v>0</v>
      </c>
    </row>
    <row r="715" spans="5:5" ht="14.45" x14ac:dyDescent="0.25">
      <c r="E715">
        <f t="shared" si="13"/>
        <v>0</v>
      </c>
    </row>
    <row r="716" spans="5:5" ht="14.45" x14ac:dyDescent="0.25">
      <c r="E716">
        <f t="shared" si="13"/>
        <v>0</v>
      </c>
    </row>
    <row r="717" spans="5:5" ht="14.45" x14ac:dyDescent="0.25">
      <c r="E717">
        <f t="shared" si="13"/>
        <v>0</v>
      </c>
    </row>
    <row r="718" spans="5:5" ht="14.45" x14ac:dyDescent="0.25">
      <c r="E718">
        <f t="shared" si="13"/>
        <v>0</v>
      </c>
    </row>
    <row r="719" spans="5:5" ht="14.45" x14ac:dyDescent="0.25">
      <c r="E719">
        <f t="shared" si="13"/>
        <v>0</v>
      </c>
    </row>
    <row r="720" spans="5:5" ht="14.45" x14ac:dyDescent="0.25">
      <c r="E720">
        <f t="shared" si="13"/>
        <v>0</v>
      </c>
    </row>
    <row r="721" spans="5:5" ht="14.45" x14ac:dyDescent="0.25">
      <c r="E721">
        <f t="shared" si="13"/>
        <v>0</v>
      </c>
    </row>
    <row r="722" spans="5:5" ht="14.45" x14ac:dyDescent="0.25">
      <c r="E722">
        <f t="shared" si="13"/>
        <v>0</v>
      </c>
    </row>
    <row r="723" spans="5:5" ht="14.45" x14ac:dyDescent="0.25">
      <c r="E723">
        <f t="shared" si="13"/>
        <v>0</v>
      </c>
    </row>
    <row r="724" spans="5:5" ht="14.45" x14ac:dyDescent="0.25">
      <c r="E724">
        <f t="shared" si="13"/>
        <v>0</v>
      </c>
    </row>
    <row r="725" spans="5:5" ht="14.45" x14ac:dyDescent="0.25">
      <c r="E725">
        <f t="shared" si="13"/>
        <v>0</v>
      </c>
    </row>
    <row r="726" spans="5:5" ht="14.45" x14ac:dyDescent="0.25">
      <c r="E726">
        <f t="shared" si="13"/>
        <v>0</v>
      </c>
    </row>
    <row r="727" spans="5:5" ht="14.45" x14ac:dyDescent="0.25">
      <c r="E727">
        <f t="shared" si="13"/>
        <v>0</v>
      </c>
    </row>
    <row r="728" spans="5:5" ht="14.45" x14ac:dyDescent="0.25">
      <c r="E728">
        <f t="shared" si="13"/>
        <v>0</v>
      </c>
    </row>
    <row r="729" spans="5:5" ht="14.45" x14ac:dyDescent="0.25">
      <c r="E729">
        <f t="shared" si="13"/>
        <v>0</v>
      </c>
    </row>
    <row r="730" spans="5:5" ht="14.45" x14ac:dyDescent="0.25">
      <c r="E730">
        <f t="shared" si="13"/>
        <v>0</v>
      </c>
    </row>
    <row r="731" spans="5:5" ht="14.45" x14ac:dyDescent="0.25">
      <c r="E731">
        <f t="shared" si="13"/>
        <v>0</v>
      </c>
    </row>
    <row r="732" spans="5:5" ht="14.45" x14ac:dyDescent="0.25">
      <c r="E732">
        <f t="shared" si="13"/>
        <v>0</v>
      </c>
    </row>
    <row r="733" spans="5:5" ht="14.45" x14ac:dyDescent="0.25">
      <c r="E733">
        <f t="shared" si="13"/>
        <v>0</v>
      </c>
    </row>
    <row r="734" spans="5:5" ht="14.45" x14ac:dyDescent="0.25">
      <c r="E734">
        <f t="shared" si="13"/>
        <v>0</v>
      </c>
    </row>
    <row r="735" spans="5:5" ht="14.45" x14ac:dyDescent="0.25">
      <c r="E735">
        <f t="shared" si="13"/>
        <v>0</v>
      </c>
    </row>
    <row r="736" spans="5:5" ht="14.45" x14ac:dyDescent="0.25">
      <c r="E736">
        <f t="shared" si="13"/>
        <v>0</v>
      </c>
    </row>
    <row r="737" spans="5:5" ht="14.45" x14ac:dyDescent="0.25">
      <c r="E737">
        <f t="shared" ref="E737:E800" si="14">D737-C737</f>
        <v>0</v>
      </c>
    </row>
    <row r="738" spans="5:5" ht="14.45" x14ac:dyDescent="0.25">
      <c r="E738">
        <f t="shared" si="14"/>
        <v>0</v>
      </c>
    </row>
    <row r="739" spans="5:5" ht="14.45" x14ac:dyDescent="0.25">
      <c r="E739">
        <f t="shared" si="14"/>
        <v>0</v>
      </c>
    </row>
    <row r="740" spans="5:5" ht="14.45" x14ac:dyDescent="0.25">
      <c r="E740">
        <f t="shared" si="14"/>
        <v>0</v>
      </c>
    </row>
    <row r="741" spans="5:5" ht="14.45" x14ac:dyDescent="0.25">
      <c r="E741">
        <f t="shared" si="14"/>
        <v>0</v>
      </c>
    </row>
    <row r="742" spans="5:5" ht="14.45" x14ac:dyDescent="0.25">
      <c r="E742">
        <f t="shared" si="14"/>
        <v>0</v>
      </c>
    </row>
    <row r="743" spans="5:5" ht="14.45" x14ac:dyDescent="0.25">
      <c r="E743">
        <f t="shared" si="14"/>
        <v>0</v>
      </c>
    </row>
    <row r="744" spans="5:5" ht="14.45" x14ac:dyDescent="0.25">
      <c r="E744">
        <f t="shared" si="14"/>
        <v>0</v>
      </c>
    </row>
    <row r="745" spans="5:5" ht="14.45" x14ac:dyDescent="0.25">
      <c r="E745">
        <f t="shared" si="14"/>
        <v>0</v>
      </c>
    </row>
    <row r="746" spans="5:5" ht="14.45" x14ac:dyDescent="0.25">
      <c r="E746">
        <f t="shared" si="14"/>
        <v>0</v>
      </c>
    </row>
    <row r="747" spans="5:5" ht="14.45" x14ac:dyDescent="0.25">
      <c r="E747">
        <f t="shared" si="14"/>
        <v>0</v>
      </c>
    </row>
    <row r="748" spans="5:5" ht="14.45" x14ac:dyDescent="0.25">
      <c r="E748">
        <f t="shared" si="14"/>
        <v>0</v>
      </c>
    </row>
    <row r="749" spans="5:5" ht="14.45" x14ac:dyDescent="0.25">
      <c r="E749">
        <f t="shared" si="14"/>
        <v>0</v>
      </c>
    </row>
    <row r="750" spans="5:5" ht="14.45" x14ac:dyDescent="0.25">
      <c r="E750">
        <f t="shared" si="14"/>
        <v>0</v>
      </c>
    </row>
    <row r="751" spans="5:5" ht="14.45" x14ac:dyDescent="0.25">
      <c r="E751">
        <f t="shared" si="14"/>
        <v>0</v>
      </c>
    </row>
    <row r="752" spans="5:5" ht="14.45" x14ac:dyDescent="0.25">
      <c r="E752">
        <f t="shared" si="14"/>
        <v>0</v>
      </c>
    </row>
    <row r="753" spans="5:5" ht="14.45" x14ac:dyDescent="0.25">
      <c r="E753">
        <f t="shared" si="14"/>
        <v>0</v>
      </c>
    </row>
    <row r="754" spans="5:5" ht="14.45" x14ac:dyDescent="0.25">
      <c r="E754">
        <f t="shared" si="14"/>
        <v>0</v>
      </c>
    </row>
    <row r="755" spans="5:5" ht="14.45" x14ac:dyDescent="0.25">
      <c r="E755">
        <f t="shared" si="14"/>
        <v>0</v>
      </c>
    </row>
    <row r="756" spans="5:5" ht="14.45" x14ac:dyDescent="0.25">
      <c r="E756">
        <f t="shared" si="14"/>
        <v>0</v>
      </c>
    </row>
    <row r="757" spans="5:5" ht="14.45" x14ac:dyDescent="0.25">
      <c r="E757">
        <f t="shared" si="14"/>
        <v>0</v>
      </c>
    </row>
    <row r="758" spans="5:5" ht="14.45" x14ac:dyDescent="0.25">
      <c r="E758">
        <f t="shared" si="14"/>
        <v>0</v>
      </c>
    </row>
    <row r="759" spans="5:5" ht="14.45" x14ac:dyDescent="0.25">
      <c r="E759">
        <f t="shared" si="14"/>
        <v>0</v>
      </c>
    </row>
    <row r="760" spans="5:5" ht="14.45" x14ac:dyDescent="0.25">
      <c r="E760">
        <f t="shared" si="14"/>
        <v>0</v>
      </c>
    </row>
    <row r="761" spans="5:5" ht="14.45" x14ac:dyDescent="0.25">
      <c r="E761">
        <f t="shared" si="14"/>
        <v>0</v>
      </c>
    </row>
    <row r="762" spans="5:5" ht="14.45" x14ac:dyDescent="0.25">
      <c r="E762">
        <f t="shared" si="14"/>
        <v>0</v>
      </c>
    </row>
    <row r="763" spans="5:5" ht="14.45" x14ac:dyDescent="0.25">
      <c r="E763">
        <f t="shared" si="14"/>
        <v>0</v>
      </c>
    </row>
    <row r="764" spans="5:5" ht="14.45" x14ac:dyDescent="0.25">
      <c r="E764">
        <f t="shared" si="14"/>
        <v>0</v>
      </c>
    </row>
    <row r="765" spans="5:5" ht="14.45" x14ac:dyDescent="0.25">
      <c r="E765">
        <f t="shared" si="14"/>
        <v>0</v>
      </c>
    </row>
    <row r="766" spans="5:5" ht="14.45" x14ac:dyDescent="0.25">
      <c r="E766">
        <f t="shared" si="14"/>
        <v>0</v>
      </c>
    </row>
    <row r="767" spans="5:5" ht="14.45" x14ac:dyDescent="0.25">
      <c r="E767">
        <f t="shared" si="14"/>
        <v>0</v>
      </c>
    </row>
    <row r="768" spans="5:5" ht="14.45" x14ac:dyDescent="0.25">
      <c r="E768">
        <f t="shared" si="14"/>
        <v>0</v>
      </c>
    </row>
    <row r="769" spans="5:5" ht="14.45" x14ac:dyDescent="0.25">
      <c r="E769">
        <f t="shared" si="14"/>
        <v>0</v>
      </c>
    </row>
    <row r="770" spans="5:5" ht="14.45" x14ac:dyDescent="0.25">
      <c r="E770">
        <f t="shared" si="14"/>
        <v>0</v>
      </c>
    </row>
    <row r="771" spans="5:5" ht="14.45" x14ac:dyDescent="0.25">
      <c r="E771">
        <f t="shared" si="14"/>
        <v>0</v>
      </c>
    </row>
    <row r="772" spans="5:5" ht="14.45" x14ac:dyDescent="0.25">
      <c r="E772">
        <f t="shared" si="14"/>
        <v>0</v>
      </c>
    </row>
    <row r="773" spans="5:5" ht="14.45" x14ac:dyDescent="0.25">
      <c r="E773">
        <f t="shared" si="14"/>
        <v>0</v>
      </c>
    </row>
    <row r="774" spans="5:5" ht="14.45" x14ac:dyDescent="0.25">
      <c r="E774">
        <f t="shared" si="14"/>
        <v>0</v>
      </c>
    </row>
    <row r="775" spans="5:5" ht="14.45" x14ac:dyDescent="0.25">
      <c r="E775">
        <f t="shared" si="14"/>
        <v>0</v>
      </c>
    </row>
    <row r="776" spans="5:5" ht="14.45" x14ac:dyDescent="0.25">
      <c r="E776">
        <f t="shared" si="14"/>
        <v>0</v>
      </c>
    </row>
    <row r="777" spans="5:5" ht="14.45" x14ac:dyDescent="0.25">
      <c r="E777">
        <f t="shared" si="14"/>
        <v>0</v>
      </c>
    </row>
    <row r="778" spans="5:5" ht="14.45" x14ac:dyDescent="0.25">
      <c r="E778">
        <f t="shared" si="14"/>
        <v>0</v>
      </c>
    </row>
    <row r="779" spans="5:5" ht="14.45" x14ac:dyDescent="0.25">
      <c r="E779">
        <f t="shared" si="14"/>
        <v>0</v>
      </c>
    </row>
    <row r="780" spans="5:5" ht="14.45" x14ac:dyDescent="0.25">
      <c r="E780">
        <f t="shared" si="14"/>
        <v>0</v>
      </c>
    </row>
    <row r="781" spans="5:5" ht="14.45" x14ac:dyDescent="0.25">
      <c r="E781">
        <f t="shared" si="14"/>
        <v>0</v>
      </c>
    </row>
    <row r="782" spans="5:5" ht="14.45" x14ac:dyDescent="0.25">
      <c r="E782">
        <f t="shared" si="14"/>
        <v>0</v>
      </c>
    </row>
    <row r="783" spans="5:5" ht="14.45" x14ac:dyDescent="0.25">
      <c r="E783">
        <f t="shared" si="14"/>
        <v>0</v>
      </c>
    </row>
    <row r="784" spans="5:5" ht="14.45" x14ac:dyDescent="0.25">
      <c r="E784">
        <f t="shared" si="14"/>
        <v>0</v>
      </c>
    </row>
    <row r="785" spans="5:5" ht="14.45" x14ac:dyDescent="0.25">
      <c r="E785">
        <f t="shared" si="14"/>
        <v>0</v>
      </c>
    </row>
    <row r="786" spans="5:5" ht="14.45" x14ac:dyDescent="0.25">
      <c r="E786">
        <f t="shared" si="14"/>
        <v>0</v>
      </c>
    </row>
    <row r="787" spans="5:5" ht="14.45" x14ac:dyDescent="0.25">
      <c r="E787">
        <f t="shared" si="14"/>
        <v>0</v>
      </c>
    </row>
    <row r="788" spans="5:5" ht="14.45" x14ac:dyDescent="0.25">
      <c r="E788">
        <f t="shared" si="14"/>
        <v>0</v>
      </c>
    </row>
    <row r="789" spans="5:5" ht="14.45" x14ac:dyDescent="0.25">
      <c r="E789">
        <f t="shared" si="14"/>
        <v>0</v>
      </c>
    </row>
    <row r="790" spans="5:5" ht="14.45" x14ac:dyDescent="0.25">
      <c r="E790">
        <f t="shared" si="14"/>
        <v>0</v>
      </c>
    </row>
    <row r="791" spans="5:5" ht="14.45" x14ac:dyDescent="0.25">
      <c r="E791">
        <f t="shared" si="14"/>
        <v>0</v>
      </c>
    </row>
    <row r="792" spans="5:5" ht="14.45" x14ac:dyDescent="0.25">
      <c r="E792">
        <f t="shared" si="14"/>
        <v>0</v>
      </c>
    </row>
    <row r="793" spans="5:5" ht="14.45" x14ac:dyDescent="0.25">
      <c r="E793">
        <f t="shared" si="14"/>
        <v>0</v>
      </c>
    </row>
    <row r="794" spans="5:5" ht="14.45" x14ac:dyDescent="0.25">
      <c r="E794">
        <f t="shared" si="14"/>
        <v>0</v>
      </c>
    </row>
    <row r="795" spans="5:5" ht="14.45" x14ac:dyDescent="0.25">
      <c r="E795">
        <f t="shared" si="14"/>
        <v>0</v>
      </c>
    </row>
    <row r="796" spans="5:5" ht="14.45" x14ac:dyDescent="0.25">
      <c r="E796">
        <f t="shared" si="14"/>
        <v>0</v>
      </c>
    </row>
    <row r="797" spans="5:5" ht="14.45" x14ac:dyDescent="0.25">
      <c r="E797">
        <f t="shared" si="14"/>
        <v>0</v>
      </c>
    </row>
    <row r="798" spans="5:5" ht="14.45" x14ac:dyDescent="0.25">
      <c r="E798">
        <f t="shared" si="14"/>
        <v>0</v>
      </c>
    </row>
    <row r="799" spans="5:5" ht="14.45" x14ac:dyDescent="0.25">
      <c r="E799">
        <f t="shared" si="14"/>
        <v>0</v>
      </c>
    </row>
    <row r="800" spans="5:5" ht="14.45" x14ac:dyDescent="0.25">
      <c r="E800">
        <f t="shared" si="14"/>
        <v>0</v>
      </c>
    </row>
    <row r="801" spans="5:5" ht="14.45" x14ac:dyDescent="0.25">
      <c r="E801">
        <f t="shared" ref="E801:E864" si="15">D801-C801</f>
        <v>0</v>
      </c>
    </row>
    <row r="802" spans="5:5" ht="14.45" x14ac:dyDescent="0.25">
      <c r="E802">
        <f t="shared" si="15"/>
        <v>0</v>
      </c>
    </row>
    <row r="803" spans="5:5" ht="14.45" x14ac:dyDescent="0.25">
      <c r="E803">
        <f t="shared" si="15"/>
        <v>0</v>
      </c>
    </row>
    <row r="804" spans="5:5" ht="14.45" x14ac:dyDescent="0.25">
      <c r="E804">
        <f t="shared" si="15"/>
        <v>0</v>
      </c>
    </row>
    <row r="805" spans="5:5" ht="14.45" x14ac:dyDescent="0.25">
      <c r="E805">
        <f t="shared" si="15"/>
        <v>0</v>
      </c>
    </row>
    <row r="806" spans="5:5" ht="14.45" x14ac:dyDescent="0.25">
      <c r="E806">
        <f t="shared" si="15"/>
        <v>0</v>
      </c>
    </row>
    <row r="807" spans="5:5" ht="14.45" x14ac:dyDescent="0.25">
      <c r="E807">
        <f t="shared" si="15"/>
        <v>0</v>
      </c>
    </row>
    <row r="808" spans="5:5" ht="14.45" x14ac:dyDescent="0.25">
      <c r="E808">
        <f t="shared" si="15"/>
        <v>0</v>
      </c>
    </row>
    <row r="809" spans="5:5" ht="14.45" x14ac:dyDescent="0.25">
      <c r="E809">
        <f t="shared" si="15"/>
        <v>0</v>
      </c>
    </row>
    <row r="810" spans="5:5" ht="14.45" x14ac:dyDescent="0.25">
      <c r="E810">
        <f t="shared" si="15"/>
        <v>0</v>
      </c>
    </row>
    <row r="811" spans="5:5" ht="14.45" x14ac:dyDescent="0.25">
      <c r="E811">
        <f t="shared" si="15"/>
        <v>0</v>
      </c>
    </row>
    <row r="812" spans="5:5" ht="14.45" x14ac:dyDescent="0.25">
      <c r="E812">
        <f t="shared" si="15"/>
        <v>0</v>
      </c>
    </row>
    <row r="813" spans="5:5" ht="14.45" x14ac:dyDescent="0.25">
      <c r="E813">
        <f t="shared" si="15"/>
        <v>0</v>
      </c>
    </row>
    <row r="814" spans="5:5" ht="14.45" x14ac:dyDescent="0.25">
      <c r="E814">
        <f t="shared" si="15"/>
        <v>0</v>
      </c>
    </row>
    <row r="815" spans="5:5" ht="14.45" x14ac:dyDescent="0.25">
      <c r="E815">
        <f t="shared" si="15"/>
        <v>0</v>
      </c>
    </row>
    <row r="816" spans="5:5" ht="14.45" x14ac:dyDescent="0.25">
      <c r="E816">
        <f t="shared" si="15"/>
        <v>0</v>
      </c>
    </row>
    <row r="817" spans="5:5" ht="14.45" x14ac:dyDescent="0.25">
      <c r="E817">
        <f t="shared" si="15"/>
        <v>0</v>
      </c>
    </row>
    <row r="818" spans="5:5" ht="14.45" x14ac:dyDescent="0.25">
      <c r="E818">
        <f t="shared" si="15"/>
        <v>0</v>
      </c>
    </row>
    <row r="819" spans="5:5" ht="14.45" x14ac:dyDescent="0.25">
      <c r="E819">
        <f t="shared" si="15"/>
        <v>0</v>
      </c>
    </row>
    <row r="820" spans="5:5" ht="14.45" x14ac:dyDescent="0.25">
      <c r="E820">
        <f t="shared" si="15"/>
        <v>0</v>
      </c>
    </row>
    <row r="821" spans="5:5" ht="14.45" x14ac:dyDescent="0.25">
      <c r="E821">
        <f t="shared" si="15"/>
        <v>0</v>
      </c>
    </row>
    <row r="822" spans="5:5" ht="14.45" x14ac:dyDescent="0.25">
      <c r="E822">
        <f t="shared" si="15"/>
        <v>0</v>
      </c>
    </row>
    <row r="823" spans="5:5" ht="14.45" x14ac:dyDescent="0.25">
      <c r="E823">
        <f t="shared" si="15"/>
        <v>0</v>
      </c>
    </row>
    <row r="824" spans="5:5" ht="14.45" x14ac:dyDescent="0.25">
      <c r="E824">
        <f t="shared" si="15"/>
        <v>0</v>
      </c>
    </row>
    <row r="825" spans="5:5" ht="14.45" x14ac:dyDescent="0.25">
      <c r="E825">
        <f t="shared" si="15"/>
        <v>0</v>
      </c>
    </row>
    <row r="826" spans="5:5" ht="14.45" x14ac:dyDescent="0.25">
      <c r="E826">
        <f t="shared" si="15"/>
        <v>0</v>
      </c>
    </row>
    <row r="827" spans="5:5" ht="14.45" x14ac:dyDescent="0.25">
      <c r="E827">
        <f t="shared" si="15"/>
        <v>0</v>
      </c>
    </row>
    <row r="828" spans="5:5" ht="14.45" x14ac:dyDescent="0.25">
      <c r="E828">
        <f t="shared" si="15"/>
        <v>0</v>
      </c>
    </row>
    <row r="829" spans="5:5" ht="14.45" x14ac:dyDescent="0.25">
      <c r="E829">
        <f t="shared" si="15"/>
        <v>0</v>
      </c>
    </row>
    <row r="830" spans="5:5" ht="14.45" x14ac:dyDescent="0.25">
      <c r="E830">
        <f t="shared" si="15"/>
        <v>0</v>
      </c>
    </row>
    <row r="831" spans="5:5" ht="14.45" x14ac:dyDescent="0.25">
      <c r="E831">
        <f t="shared" si="15"/>
        <v>0</v>
      </c>
    </row>
    <row r="832" spans="5:5" ht="14.45" x14ac:dyDescent="0.25">
      <c r="E832">
        <f t="shared" si="15"/>
        <v>0</v>
      </c>
    </row>
    <row r="833" spans="5:5" ht="14.45" x14ac:dyDescent="0.25">
      <c r="E833">
        <f t="shared" si="15"/>
        <v>0</v>
      </c>
    </row>
    <row r="834" spans="5:5" ht="14.45" x14ac:dyDescent="0.25">
      <c r="E834">
        <f t="shared" si="15"/>
        <v>0</v>
      </c>
    </row>
    <row r="835" spans="5:5" ht="14.45" x14ac:dyDescent="0.25">
      <c r="E835">
        <f t="shared" si="15"/>
        <v>0</v>
      </c>
    </row>
    <row r="836" spans="5:5" ht="14.45" x14ac:dyDescent="0.25">
      <c r="E836">
        <f t="shared" si="15"/>
        <v>0</v>
      </c>
    </row>
    <row r="837" spans="5:5" ht="14.45" x14ac:dyDescent="0.25">
      <c r="E837">
        <f t="shared" si="15"/>
        <v>0</v>
      </c>
    </row>
    <row r="838" spans="5:5" ht="14.45" x14ac:dyDescent="0.25">
      <c r="E838">
        <f t="shared" si="15"/>
        <v>0</v>
      </c>
    </row>
    <row r="839" spans="5:5" ht="14.45" x14ac:dyDescent="0.25">
      <c r="E839">
        <f t="shared" si="15"/>
        <v>0</v>
      </c>
    </row>
    <row r="840" spans="5:5" ht="14.45" x14ac:dyDescent="0.25">
      <c r="E840">
        <f t="shared" si="15"/>
        <v>0</v>
      </c>
    </row>
    <row r="841" spans="5:5" ht="14.45" x14ac:dyDescent="0.25">
      <c r="E841">
        <f t="shared" si="15"/>
        <v>0</v>
      </c>
    </row>
    <row r="842" spans="5:5" ht="14.45" x14ac:dyDescent="0.25">
      <c r="E842">
        <f t="shared" si="15"/>
        <v>0</v>
      </c>
    </row>
    <row r="843" spans="5:5" ht="14.45" x14ac:dyDescent="0.25">
      <c r="E843">
        <f t="shared" si="15"/>
        <v>0</v>
      </c>
    </row>
    <row r="844" spans="5:5" ht="14.45" x14ac:dyDescent="0.25">
      <c r="E844">
        <f t="shared" si="15"/>
        <v>0</v>
      </c>
    </row>
    <row r="845" spans="5:5" ht="14.45" x14ac:dyDescent="0.25">
      <c r="E845">
        <f t="shared" si="15"/>
        <v>0</v>
      </c>
    </row>
    <row r="846" spans="5:5" ht="14.45" x14ac:dyDescent="0.25">
      <c r="E846">
        <f t="shared" si="15"/>
        <v>0</v>
      </c>
    </row>
    <row r="847" spans="5:5" ht="14.45" x14ac:dyDescent="0.25">
      <c r="E847">
        <f t="shared" si="15"/>
        <v>0</v>
      </c>
    </row>
    <row r="848" spans="5:5" ht="14.45" x14ac:dyDescent="0.25">
      <c r="E848">
        <f t="shared" si="15"/>
        <v>0</v>
      </c>
    </row>
    <row r="849" spans="5:5" ht="14.45" x14ac:dyDescent="0.25">
      <c r="E849">
        <f t="shared" si="15"/>
        <v>0</v>
      </c>
    </row>
    <row r="850" spans="5:5" ht="14.45" x14ac:dyDescent="0.25">
      <c r="E850">
        <f t="shared" si="15"/>
        <v>0</v>
      </c>
    </row>
    <row r="851" spans="5:5" ht="14.45" x14ac:dyDescent="0.25">
      <c r="E851">
        <f t="shared" si="15"/>
        <v>0</v>
      </c>
    </row>
    <row r="852" spans="5:5" ht="14.45" x14ac:dyDescent="0.25">
      <c r="E852">
        <f t="shared" si="15"/>
        <v>0</v>
      </c>
    </row>
    <row r="853" spans="5:5" ht="14.45" x14ac:dyDescent="0.25">
      <c r="E853">
        <f t="shared" si="15"/>
        <v>0</v>
      </c>
    </row>
    <row r="854" spans="5:5" ht="14.45" x14ac:dyDescent="0.25">
      <c r="E854">
        <f t="shared" si="15"/>
        <v>0</v>
      </c>
    </row>
    <row r="855" spans="5:5" ht="14.45" x14ac:dyDescent="0.25">
      <c r="E855">
        <f t="shared" si="15"/>
        <v>0</v>
      </c>
    </row>
    <row r="856" spans="5:5" ht="14.45" x14ac:dyDescent="0.25">
      <c r="E856">
        <f t="shared" si="15"/>
        <v>0</v>
      </c>
    </row>
    <row r="857" spans="5:5" ht="14.45" x14ac:dyDescent="0.25">
      <c r="E857">
        <f t="shared" si="15"/>
        <v>0</v>
      </c>
    </row>
    <row r="858" spans="5:5" ht="14.45" x14ac:dyDescent="0.25">
      <c r="E858">
        <f t="shared" si="15"/>
        <v>0</v>
      </c>
    </row>
    <row r="859" spans="5:5" ht="14.45" x14ac:dyDescent="0.25">
      <c r="E859">
        <f t="shared" si="15"/>
        <v>0</v>
      </c>
    </row>
    <row r="860" spans="5:5" ht="14.45" x14ac:dyDescent="0.25">
      <c r="E860">
        <f t="shared" si="15"/>
        <v>0</v>
      </c>
    </row>
    <row r="861" spans="5:5" ht="14.45" x14ac:dyDescent="0.25">
      <c r="E861">
        <f t="shared" si="15"/>
        <v>0</v>
      </c>
    </row>
    <row r="862" spans="5:5" ht="14.45" x14ac:dyDescent="0.25">
      <c r="E862">
        <f t="shared" si="15"/>
        <v>0</v>
      </c>
    </row>
    <row r="863" spans="5:5" ht="14.45" x14ac:dyDescent="0.25">
      <c r="E863">
        <f t="shared" si="15"/>
        <v>0</v>
      </c>
    </row>
    <row r="864" spans="5:5" ht="14.45" x14ac:dyDescent="0.25">
      <c r="E864">
        <f t="shared" si="15"/>
        <v>0</v>
      </c>
    </row>
    <row r="865" spans="5:5" ht="14.45" x14ac:dyDescent="0.25">
      <c r="E865">
        <f t="shared" ref="E865:E928" si="16">D865-C865</f>
        <v>0</v>
      </c>
    </row>
    <row r="866" spans="5:5" ht="14.45" x14ac:dyDescent="0.25">
      <c r="E866">
        <f t="shared" si="16"/>
        <v>0</v>
      </c>
    </row>
    <row r="867" spans="5:5" ht="14.45" x14ac:dyDescent="0.25">
      <c r="E867">
        <f t="shared" si="16"/>
        <v>0</v>
      </c>
    </row>
    <row r="868" spans="5:5" ht="14.45" x14ac:dyDescent="0.25">
      <c r="E868">
        <f t="shared" si="16"/>
        <v>0</v>
      </c>
    </row>
    <row r="869" spans="5:5" ht="14.45" x14ac:dyDescent="0.25">
      <c r="E869">
        <f t="shared" si="16"/>
        <v>0</v>
      </c>
    </row>
    <row r="870" spans="5:5" ht="14.45" x14ac:dyDescent="0.25">
      <c r="E870">
        <f t="shared" si="16"/>
        <v>0</v>
      </c>
    </row>
    <row r="871" spans="5:5" ht="14.45" x14ac:dyDescent="0.25">
      <c r="E871">
        <f t="shared" si="16"/>
        <v>0</v>
      </c>
    </row>
    <row r="872" spans="5:5" ht="14.45" x14ac:dyDescent="0.25">
      <c r="E872">
        <f t="shared" si="16"/>
        <v>0</v>
      </c>
    </row>
    <row r="873" spans="5:5" ht="14.45" x14ac:dyDescent="0.25">
      <c r="E873">
        <f t="shared" si="16"/>
        <v>0</v>
      </c>
    </row>
    <row r="874" spans="5:5" ht="14.45" x14ac:dyDescent="0.25">
      <c r="E874">
        <f t="shared" si="16"/>
        <v>0</v>
      </c>
    </row>
    <row r="875" spans="5:5" ht="14.45" x14ac:dyDescent="0.25">
      <c r="E875">
        <f t="shared" si="16"/>
        <v>0</v>
      </c>
    </row>
    <row r="876" spans="5:5" ht="14.45" x14ac:dyDescent="0.25">
      <c r="E876">
        <f t="shared" si="16"/>
        <v>0</v>
      </c>
    </row>
    <row r="877" spans="5:5" ht="14.45" x14ac:dyDescent="0.25">
      <c r="E877">
        <f t="shared" si="16"/>
        <v>0</v>
      </c>
    </row>
    <row r="878" spans="5:5" ht="14.45" x14ac:dyDescent="0.25">
      <c r="E878">
        <f t="shared" si="16"/>
        <v>0</v>
      </c>
    </row>
    <row r="879" spans="5:5" ht="14.45" x14ac:dyDescent="0.25">
      <c r="E879">
        <f t="shared" si="16"/>
        <v>0</v>
      </c>
    </row>
    <row r="880" spans="5:5" ht="14.45" x14ac:dyDescent="0.25">
      <c r="E880">
        <f t="shared" si="16"/>
        <v>0</v>
      </c>
    </row>
    <row r="881" spans="5:5" ht="14.45" x14ac:dyDescent="0.25">
      <c r="E881">
        <f t="shared" si="16"/>
        <v>0</v>
      </c>
    </row>
    <row r="882" spans="5:5" ht="14.45" x14ac:dyDescent="0.25">
      <c r="E882">
        <f t="shared" si="16"/>
        <v>0</v>
      </c>
    </row>
    <row r="883" spans="5:5" ht="14.45" x14ac:dyDescent="0.25">
      <c r="E883">
        <f t="shared" si="16"/>
        <v>0</v>
      </c>
    </row>
    <row r="884" spans="5:5" ht="14.45" x14ac:dyDescent="0.25">
      <c r="E884">
        <f t="shared" si="16"/>
        <v>0</v>
      </c>
    </row>
    <row r="885" spans="5:5" ht="14.45" x14ac:dyDescent="0.25">
      <c r="E885">
        <f t="shared" si="16"/>
        <v>0</v>
      </c>
    </row>
    <row r="886" spans="5:5" ht="14.45" x14ac:dyDescent="0.25">
      <c r="E886">
        <f t="shared" si="16"/>
        <v>0</v>
      </c>
    </row>
    <row r="887" spans="5:5" ht="14.45" x14ac:dyDescent="0.25">
      <c r="E887">
        <f t="shared" si="16"/>
        <v>0</v>
      </c>
    </row>
    <row r="888" spans="5:5" ht="14.45" x14ac:dyDescent="0.25">
      <c r="E888">
        <f t="shared" si="16"/>
        <v>0</v>
      </c>
    </row>
    <row r="889" spans="5:5" ht="14.45" x14ac:dyDescent="0.25">
      <c r="E889">
        <f t="shared" si="16"/>
        <v>0</v>
      </c>
    </row>
    <row r="890" spans="5:5" ht="14.45" x14ac:dyDescent="0.25">
      <c r="E890">
        <f t="shared" si="16"/>
        <v>0</v>
      </c>
    </row>
    <row r="891" spans="5:5" ht="14.45" x14ac:dyDescent="0.25">
      <c r="E891">
        <f t="shared" si="16"/>
        <v>0</v>
      </c>
    </row>
    <row r="892" spans="5:5" ht="14.45" x14ac:dyDescent="0.25">
      <c r="E892">
        <f t="shared" si="16"/>
        <v>0</v>
      </c>
    </row>
    <row r="893" spans="5:5" ht="14.45" x14ac:dyDescent="0.25">
      <c r="E893">
        <f t="shared" si="16"/>
        <v>0</v>
      </c>
    </row>
    <row r="894" spans="5:5" ht="14.45" x14ac:dyDescent="0.25">
      <c r="E894">
        <f t="shared" si="16"/>
        <v>0</v>
      </c>
    </row>
    <row r="895" spans="5:5" ht="14.45" x14ac:dyDescent="0.25">
      <c r="E895">
        <f t="shared" si="16"/>
        <v>0</v>
      </c>
    </row>
    <row r="896" spans="5:5" ht="14.45" x14ac:dyDescent="0.25">
      <c r="E896">
        <f t="shared" si="16"/>
        <v>0</v>
      </c>
    </row>
    <row r="897" spans="5:5" ht="14.45" x14ac:dyDescent="0.25">
      <c r="E897">
        <f t="shared" si="16"/>
        <v>0</v>
      </c>
    </row>
    <row r="898" spans="5:5" ht="14.45" x14ac:dyDescent="0.25">
      <c r="E898">
        <f t="shared" si="16"/>
        <v>0</v>
      </c>
    </row>
    <row r="899" spans="5:5" ht="14.45" x14ac:dyDescent="0.25">
      <c r="E899">
        <f t="shared" si="16"/>
        <v>0</v>
      </c>
    </row>
    <row r="900" spans="5:5" ht="14.45" x14ac:dyDescent="0.25">
      <c r="E900">
        <f t="shared" si="16"/>
        <v>0</v>
      </c>
    </row>
    <row r="901" spans="5:5" ht="14.45" x14ac:dyDescent="0.25">
      <c r="E901">
        <f t="shared" si="16"/>
        <v>0</v>
      </c>
    </row>
    <row r="902" spans="5:5" ht="14.45" x14ac:dyDescent="0.25">
      <c r="E902">
        <f t="shared" si="16"/>
        <v>0</v>
      </c>
    </row>
    <row r="903" spans="5:5" ht="14.45" x14ac:dyDescent="0.25">
      <c r="E903">
        <f t="shared" si="16"/>
        <v>0</v>
      </c>
    </row>
    <row r="904" spans="5:5" ht="14.45" x14ac:dyDescent="0.25">
      <c r="E904">
        <f t="shared" si="16"/>
        <v>0</v>
      </c>
    </row>
    <row r="905" spans="5:5" ht="14.45" x14ac:dyDescent="0.25">
      <c r="E905">
        <f t="shared" si="16"/>
        <v>0</v>
      </c>
    </row>
    <row r="906" spans="5:5" ht="14.45" x14ac:dyDescent="0.25">
      <c r="E906">
        <f t="shared" si="16"/>
        <v>0</v>
      </c>
    </row>
    <row r="907" spans="5:5" ht="14.45" x14ac:dyDescent="0.25">
      <c r="E907">
        <f t="shared" si="16"/>
        <v>0</v>
      </c>
    </row>
    <row r="908" spans="5:5" ht="14.45" x14ac:dyDescent="0.25">
      <c r="E908">
        <f t="shared" si="16"/>
        <v>0</v>
      </c>
    </row>
    <row r="909" spans="5:5" ht="14.45" x14ac:dyDescent="0.25">
      <c r="E909">
        <f t="shared" si="16"/>
        <v>0</v>
      </c>
    </row>
    <row r="910" spans="5:5" ht="14.45" x14ac:dyDescent="0.25">
      <c r="E910">
        <f t="shared" si="16"/>
        <v>0</v>
      </c>
    </row>
    <row r="911" spans="5:5" ht="14.45" x14ac:dyDescent="0.25">
      <c r="E911">
        <f t="shared" si="16"/>
        <v>0</v>
      </c>
    </row>
    <row r="912" spans="5:5" ht="14.45" x14ac:dyDescent="0.25">
      <c r="E912">
        <f t="shared" si="16"/>
        <v>0</v>
      </c>
    </row>
    <row r="913" spans="5:5" ht="14.45" x14ac:dyDescent="0.25">
      <c r="E913">
        <f t="shared" si="16"/>
        <v>0</v>
      </c>
    </row>
    <row r="914" spans="5:5" ht="14.45" x14ac:dyDescent="0.25">
      <c r="E914">
        <f t="shared" si="16"/>
        <v>0</v>
      </c>
    </row>
    <row r="915" spans="5:5" ht="14.45" x14ac:dyDescent="0.25">
      <c r="E915">
        <f t="shared" si="16"/>
        <v>0</v>
      </c>
    </row>
    <row r="916" spans="5:5" ht="14.45" x14ac:dyDescent="0.25">
      <c r="E916">
        <f t="shared" si="16"/>
        <v>0</v>
      </c>
    </row>
    <row r="917" spans="5:5" ht="14.45" x14ac:dyDescent="0.25">
      <c r="E917">
        <f t="shared" si="16"/>
        <v>0</v>
      </c>
    </row>
    <row r="918" spans="5:5" ht="14.45" x14ac:dyDescent="0.25">
      <c r="E918">
        <f t="shared" si="16"/>
        <v>0</v>
      </c>
    </row>
    <row r="919" spans="5:5" ht="14.45" x14ac:dyDescent="0.25">
      <c r="E919">
        <f t="shared" si="16"/>
        <v>0</v>
      </c>
    </row>
    <row r="920" spans="5:5" ht="14.45" x14ac:dyDescent="0.25">
      <c r="E920">
        <f t="shared" si="16"/>
        <v>0</v>
      </c>
    </row>
    <row r="921" spans="5:5" ht="14.45" x14ac:dyDescent="0.25">
      <c r="E921">
        <f t="shared" si="16"/>
        <v>0</v>
      </c>
    </row>
    <row r="922" spans="5:5" ht="14.45" x14ac:dyDescent="0.25">
      <c r="E922">
        <f t="shared" si="16"/>
        <v>0</v>
      </c>
    </row>
    <row r="923" spans="5:5" ht="14.45" x14ac:dyDescent="0.25">
      <c r="E923">
        <f t="shared" si="16"/>
        <v>0</v>
      </c>
    </row>
    <row r="924" spans="5:5" ht="14.45" x14ac:dyDescent="0.25">
      <c r="E924">
        <f t="shared" si="16"/>
        <v>0</v>
      </c>
    </row>
    <row r="925" spans="5:5" ht="14.45" x14ac:dyDescent="0.25">
      <c r="E925">
        <f t="shared" si="16"/>
        <v>0</v>
      </c>
    </row>
    <row r="926" spans="5:5" ht="14.45" x14ac:dyDescent="0.25">
      <c r="E926">
        <f t="shared" si="16"/>
        <v>0</v>
      </c>
    </row>
    <row r="927" spans="5:5" ht="14.45" x14ac:dyDescent="0.25">
      <c r="E927">
        <f t="shared" si="16"/>
        <v>0</v>
      </c>
    </row>
    <row r="928" spans="5:5" ht="14.45" x14ac:dyDescent="0.25">
      <c r="E928">
        <f t="shared" si="16"/>
        <v>0</v>
      </c>
    </row>
    <row r="929" spans="5:5" ht="14.45" x14ac:dyDescent="0.25">
      <c r="E929">
        <f t="shared" ref="E929:E992" si="17">D929-C929</f>
        <v>0</v>
      </c>
    </row>
    <row r="930" spans="5:5" ht="14.45" x14ac:dyDescent="0.25">
      <c r="E930">
        <f t="shared" si="17"/>
        <v>0</v>
      </c>
    </row>
    <row r="931" spans="5:5" ht="14.45" x14ac:dyDescent="0.25">
      <c r="E931">
        <f t="shared" si="17"/>
        <v>0</v>
      </c>
    </row>
    <row r="932" spans="5:5" ht="14.45" x14ac:dyDescent="0.25">
      <c r="E932">
        <f t="shared" si="17"/>
        <v>0</v>
      </c>
    </row>
    <row r="933" spans="5:5" ht="14.45" x14ac:dyDescent="0.25">
      <c r="E933">
        <f t="shared" si="17"/>
        <v>0</v>
      </c>
    </row>
    <row r="934" spans="5:5" ht="14.45" x14ac:dyDescent="0.25">
      <c r="E934">
        <f t="shared" si="17"/>
        <v>0</v>
      </c>
    </row>
    <row r="935" spans="5:5" ht="14.45" x14ac:dyDescent="0.25">
      <c r="E935">
        <f t="shared" si="17"/>
        <v>0</v>
      </c>
    </row>
    <row r="936" spans="5:5" ht="14.45" x14ac:dyDescent="0.25">
      <c r="E936">
        <f t="shared" si="17"/>
        <v>0</v>
      </c>
    </row>
    <row r="937" spans="5:5" ht="14.45" x14ac:dyDescent="0.25">
      <c r="E937">
        <f t="shared" si="17"/>
        <v>0</v>
      </c>
    </row>
    <row r="938" spans="5:5" ht="14.45" x14ac:dyDescent="0.25">
      <c r="E938">
        <f t="shared" si="17"/>
        <v>0</v>
      </c>
    </row>
    <row r="939" spans="5:5" ht="14.45" x14ac:dyDescent="0.25">
      <c r="E939">
        <f t="shared" si="17"/>
        <v>0</v>
      </c>
    </row>
    <row r="940" spans="5:5" ht="14.45" x14ac:dyDescent="0.25">
      <c r="E940">
        <f t="shared" si="17"/>
        <v>0</v>
      </c>
    </row>
    <row r="941" spans="5:5" ht="14.45" x14ac:dyDescent="0.25">
      <c r="E941">
        <f t="shared" si="17"/>
        <v>0</v>
      </c>
    </row>
    <row r="942" spans="5:5" ht="14.45" x14ac:dyDescent="0.25">
      <c r="E942">
        <f t="shared" si="17"/>
        <v>0</v>
      </c>
    </row>
    <row r="943" spans="5:5" ht="14.45" x14ac:dyDescent="0.25">
      <c r="E943">
        <f t="shared" si="17"/>
        <v>0</v>
      </c>
    </row>
    <row r="944" spans="5:5" ht="14.45" x14ac:dyDescent="0.25">
      <c r="E944">
        <f t="shared" si="17"/>
        <v>0</v>
      </c>
    </row>
    <row r="945" spans="5:5" ht="14.45" x14ac:dyDescent="0.25">
      <c r="E945">
        <f t="shared" si="17"/>
        <v>0</v>
      </c>
    </row>
    <row r="946" spans="5:5" ht="14.45" x14ac:dyDescent="0.25">
      <c r="E946">
        <f t="shared" si="17"/>
        <v>0</v>
      </c>
    </row>
    <row r="947" spans="5:5" ht="14.45" x14ac:dyDescent="0.25">
      <c r="E947">
        <f t="shared" si="17"/>
        <v>0</v>
      </c>
    </row>
    <row r="948" spans="5:5" ht="14.45" x14ac:dyDescent="0.25">
      <c r="E948">
        <f t="shared" si="17"/>
        <v>0</v>
      </c>
    </row>
    <row r="949" spans="5:5" ht="14.45" x14ac:dyDescent="0.25">
      <c r="E949">
        <f t="shared" si="17"/>
        <v>0</v>
      </c>
    </row>
    <row r="950" spans="5:5" ht="14.45" x14ac:dyDescent="0.25">
      <c r="E950">
        <f t="shared" si="17"/>
        <v>0</v>
      </c>
    </row>
    <row r="951" spans="5:5" ht="14.45" x14ac:dyDescent="0.25">
      <c r="E951">
        <f t="shared" si="17"/>
        <v>0</v>
      </c>
    </row>
    <row r="952" spans="5:5" ht="14.45" x14ac:dyDescent="0.25">
      <c r="E952">
        <f t="shared" si="17"/>
        <v>0</v>
      </c>
    </row>
    <row r="953" spans="5:5" ht="14.45" x14ac:dyDescent="0.25">
      <c r="E953">
        <f t="shared" si="17"/>
        <v>0</v>
      </c>
    </row>
    <row r="954" spans="5:5" ht="14.45" x14ac:dyDescent="0.25">
      <c r="E954">
        <f t="shared" si="17"/>
        <v>0</v>
      </c>
    </row>
    <row r="955" spans="5:5" ht="14.45" x14ac:dyDescent="0.25">
      <c r="E955">
        <f t="shared" si="17"/>
        <v>0</v>
      </c>
    </row>
    <row r="956" spans="5:5" ht="14.45" x14ac:dyDescent="0.25">
      <c r="E956">
        <f t="shared" si="17"/>
        <v>0</v>
      </c>
    </row>
    <row r="957" spans="5:5" ht="14.45" x14ac:dyDescent="0.25">
      <c r="E957">
        <f t="shared" si="17"/>
        <v>0</v>
      </c>
    </row>
    <row r="958" spans="5:5" ht="14.45" x14ac:dyDescent="0.25">
      <c r="E958">
        <f t="shared" si="17"/>
        <v>0</v>
      </c>
    </row>
    <row r="959" spans="5:5" ht="14.45" x14ac:dyDescent="0.25">
      <c r="E959">
        <f t="shared" si="17"/>
        <v>0</v>
      </c>
    </row>
    <row r="960" spans="5:5" ht="14.45" x14ac:dyDescent="0.25">
      <c r="E960">
        <f t="shared" si="17"/>
        <v>0</v>
      </c>
    </row>
    <row r="961" spans="5:5" ht="14.45" x14ac:dyDescent="0.25">
      <c r="E961">
        <f t="shared" si="17"/>
        <v>0</v>
      </c>
    </row>
    <row r="962" spans="5:5" ht="14.45" x14ac:dyDescent="0.25">
      <c r="E962">
        <f t="shared" si="17"/>
        <v>0</v>
      </c>
    </row>
    <row r="963" spans="5:5" ht="14.45" x14ac:dyDescent="0.25">
      <c r="E963">
        <f t="shared" si="17"/>
        <v>0</v>
      </c>
    </row>
    <row r="964" spans="5:5" ht="14.45" x14ac:dyDescent="0.25">
      <c r="E964">
        <f t="shared" si="17"/>
        <v>0</v>
      </c>
    </row>
    <row r="965" spans="5:5" ht="14.45" x14ac:dyDescent="0.25">
      <c r="E965">
        <f t="shared" si="17"/>
        <v>0</v>
      </c>
    </row>
    <row r="966" spans="5:5" ht="14.45" x14ac:dyDescent="0.25">
      <c r="E966">
        <f t="shared" si="17"/>
        <v>0</v>
      </c>
    </row>
    <row r="967" spans="5:5" ht="14.45" x14ac:dyDescent="0.25">
      <c r="E967">
        <f t="shared" si="17"/>
        <v>0</v>
      </c>
    </row>
    <row r="968" spans="5:5" ht="14.45" x14ac:dyDescent="0.25">
      <c r="E968">
        <f t="shared" si="17"/>
        <v>0</v>
      </c>
    </row>
    <row r="969" spans="5:5" ht="14.45" x14ac:dyDescent="0.25">
      <c r="E969">
        <f t="shared" si="17"/>
        <v>0</v>
      </c>
    </row>
    <row r="970" spans="5:5" ht="14.45" x14ac:dyDescent="0.25">
      <c r="E970">
        <f t="shared" si="17"/>
        <v>0</v>
      </c>
    </row>
    <row r="971" spans="5:5" ht="14.45" x14ac:dyDescent="0.25">
      <c r="E971">
        <f t="shared" si="17"/>
        <v>0</v>
      </c>
    </row>
    <row r="972" spans="5:5" ht="14.45" x14ac:dyDescent="0.25">
      <c r="E972">
        <f t="shared" si="17"/>
        <v>0</v>
      </c>
    </row>
    <row r="973" spans="5:5" ht="14.45" x14ac:dyDescent="0.25">
      <c r="E973">
        <f t="shared" si="17"/>
        <v>0</v>
      </c>
    </row>
    <row r="974" spans="5:5" ht="14.45" x14ac:dyDescent="0.25">
      <c r="E974">
        <f t="shared" si="17"/>
        <v>0</v>
      </c>
    </row>
    <row r="975" spans="5:5" ht="14.45" x14ac:dyDescent="0.25">
      <c r="E975">
        <f t="shared" si="17"/>
        <v>0</v>
      </c>
    </row>
    <row r="976" spans="5:5" ht="14.45" x14ac:dyDescent="0.25">
      <c r="E976">
        <f t="shared" si="17"/>
        <v>0</v>
      </c>
    </row>
    <row r="977" spans="5:5" ht="14.45" x14ac:dyDescent="0.25">
      <c r="E977">
        <f t="shared" si="17"/>
        <v>0</v>
      </c>
    </row>
    <row r="978" spans="5:5" ht="14.45" x14ac:dyDescent="0.25">
      <c r="E978">
        <f t="shared" si="17"/>
        <v>0</v>
      </c>
    </row>
    <row r="979" spans="5:5" ht="14.45" x14ac:dyDescent="0.25">
      <c r="E979">
        <f t="shared" si="17"/>
        <v>0</v>
      </c>
    </row>
    <row r="980" spans="5:5" ht="14.45" x14ac:dyDescent="0.25">
      <c r="E980">
        <f t="shared" si="17"/>
        <v>0</v>
      </c>
    </row>
    <row r="981" spans="5:5" ht="14.45" x14ac:dyDescent="0.25">
      <c r="E981">
        <f t="shared" si="17"/>
        <v>0</v>
      </c>
    </row>
    <row r="982" spans="5:5" ht="14.45" x14ac:dyDescent="0.25">
      <c r="E982">
        <f t="shared" si="17"/>
        <v>0</v>
      </c>
    </row>
    <row r="983" spans="5:5" ht="14.45" x14ac:dyDescent="0.25">
      <c r="E983">
        <f t="shared" si="17"/>
        <v>0</v>
      </c>
    </row>
    <row r="984" spans="5:5" ht="14.45" x14ac:dyDescent="0.25">
      <c r="E984">
        <f t="shared" si="17"/>
        <v>0</v>
      </c>
    </row>
    <row r="985" spans="5:5" ht="14.45" x14ac:dyDescent="0.25">
      <c r="E985">
        <f t="shared" si="17"/>
        <v>0</v>
      </c>
    </row>
    <row r="986" spans="5:5" ht="14.45" x14ac:dyDescent="0.25">
      <c r="E986">
        <f t="shared" si="17"/>
        <v>0</v>
      </c>
    </row>
    <row r="987" spans="5:5" ht="14.45" x14ac:dyDescent="0.25">
      <c r="E987">
        <f t="shared" si="17"/>
        <v>0</v>
      </c>
    </row>
    <row r="988" spans="5:5" ht="14.45" x14ac:dyDescent="0.25">
      <c r="E988">
        <f t="shared" si="17"/>
        <v>0</v>
      </c>
    </row>
    <row r="989" spans="5:5" ht="14.45" x14ac:dyDescent="0.25">
      <c r="E989">
        <f t="shared" si="17"/>
        <v>0</v>
      </c>
    </row>
    <row r="990" spans="5:5" ht="14.45" x14ac:dyDescent="0.25">
      <c r="E990">
        <f t="shared" si="17"/>
        <v>0</v>
      </c>
    </row>
    <row r="991" spans="5:5" ht="14.45" x14ac:dyDescent="0.25">
      <c r="E991">
        <f t="shared" si="17"/>
        <v>0</v>
      </c>
    </row>
    <row r="992" spans="5:5" ht="14.45" x14ac:dyDescent="0.25">
      <c r="E992">
        <f t="shared" si="17"/>
        <v>0</v>
      </c>
    </row>
    <row r="993" spans="5:5" ht="14.45" x14ac:dyDescent="0.25">
      <c r="E993">
        <f t="shared" ref="E993:E998" si="18">D993-C993</f>
        <v>0</v>
      </c>
    </row>
    <row r="994" spans="5:5" ht="14.45" x14ac:dyDescent="0.25">
      <c r="E994">
        <f t="shared" si="18"/>
        <v>0</v>
      </c>
    </row>
    <row r="995" spans="5:5" ht="14.45" x14ac:dyDescent="0.25">
      <c r="E995">
        <f t="shared" si="18"/>
        <v>0</v>
      </c>
    </row>
    <row r="996" spans="5:5" ht="14.45" x14ac:dyDescent="0.25">
      <c r="E996">
        <f t="shared" si="18"/>
        <v>0</v>
      </c>
    </row>
    <row r="997" spans="5:5" ht="14.45" x14ac:dyDescent="0.25">
      <c r="E997">
        <f t="shared" si="18"/>
        <v>0</v>
      </c>
    </row>
    <row r="998" spans="5:5" ht="14.45" x14ac:dyDescent="0.25">
      <c r="E998">
        <f t="shared" si="18"/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F629567E-B473-4620-9D5A-A320FC513FFD}">
            <xm:f>NOT(ISBLANK(INDEX('NMR Results'!$E:$E,ROW())))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G2:G1000</xm:sqref>
        </x14:conditionalFormatting>
        <x14:conditionalFormatting xmlns:xm="http://schemas.microsoft.com/office/excel/2006/main">
          <x14:cfRule type="expression" priority="3" id="{55487B06-13EB-4C0D-A800-734BEC3C21F4}">
            <xm:f>NOT(ISBLANK(INDEX('GC Results'!$C:$C,ROW())))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H2:H994</xm:sqref>
        </x14:conditionalFormatting>
        <x14:conditionalFormatting xmlns:xm="http://schemas.microsoft.com/office/excel/2006/main">
          <x14:cfRule type="expression" priority="4" id="{8A117358-0415-4DA9-A7B0-C898AD1240FB}">
            <xm:f>NOT(ISBLANK(INDEX('ICP List'!$C:$C,ROW())))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I2:I994</xm:sqref>
        </x14:conditionalFormatting>
        <x14:conditionalFormatting xmlns:xm="http://schemas.microsoft.com/office/excel/2006/main">
          <x14:cfRule type="expression" priority="5" id="{1647EFC3-4CCA-412D-AE87-F0C894290395}">
            <xm:f>NOT(ISBLANK(INDEX('pH Conductivity Mod '!$D:$D,ROW())))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J2:J994</xm:sqref>
        </x14:conditionalFormatting>
        <x14:conditionalFormatting xmlns:xm="http://schemas.microsoft.com/office/excel/2006/main">
          <x14:cfRule type="expression" priority="6" id="{36D7A4C8-1950-4056-8167-009CF242C1B1}">
            <xm:f>NOT(ISBLANK(INDEX('pH Conductivity Mod '!$E:$E,ROW())))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K2:K994</xm:sqref>
        </x14:conditionalFormatting>
        <x14:conditionalFormatting xmlns:xm="http://schemas.microsoft.com/office/excel/2006/main">
          <x14:cfRule type="expression" priority="7" id="{8BDDCB60-27C4-46D0-8F80-7A834C4E6FD7}">
            <xm:f>NOT(ISBLANK(INDEX(XRD!$E:$E,ROW())))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L2:L994</xm:sqref>
        </x14:conditionalFormatting>
        <x14:conditionalFormatting xmlns:xm="http://schemas.microsoft.com/office/excel/2006/main">
          <x14:cfRule type="expression" priority="8" id="{392CE820-5938-408F-836D-F6CE4B1D2985}">
            <xm:f>NOT(ISBLANK(INDEX('pH Conductivity Mod '!$F:$F,ROW())))</xm:f>
            <x14:dxf>
              <fill>
                <patternFill patternType="solid">
                  <fgColor indexed="64"/>
                  <bgColor rgb="FF000000"/>
                </patternFill>
              </fill>
            </x14:dxf>
          </x14:cfRule>
          <xm:sqref>M2:M994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R1000"/>
  <sheetViews>
    <sheetView topLeftCell="A4" workbookViewId="0">
      <selection activeCell="C1019" sqref="C1019"/>
    </sheetView>
  </sheetViews>
  <sheetFormatPr defaultColWidth="15.7109375" defaultRowHeight="15" x14ac:dyDescent="0.25"/>
  <cols>
    <col min="1" max="1" width="18" style="1" bestFit="1" customWidth="1"/>
    <col min="2" max="2" width="20.85546875" bestFit="1" customWidth="1"/>
    <col min="3" max="3" width="13.28515625" bestFit="1" customWidth="1"/>
    <col min="4" max="4" width="41.7109375" customWidth="1"/>
    <col min="5" max="5" width="6.5703125" bestFit="1" customWidth="1"/>
    <col min="6" max="6" width="17.28515625" bestFit="1" customWidth="1"/>
    <col min="7" max="7" width="18.5703125" bestFit="1" customWidth="1"/>
    <col min="8" max="8" width="16.5703125" bestFit="1" customWidth="1"/>
    <col min="9" max="9" width="15.7109375" bestFit="1" customWidth="1"/>
    <col min="10" max="10" width="11.7109375" bestFit="1" customWidth="1"/>
    <col min="11" max="11" width="16.42578125" bestFit="1" customWidth="1"/>
    <col min="12" max="12" width="15.28515625" bestFit="1" customWidth="1"/>
    <col min="13" max="13" width="18.28515625" bestFit="1" customWidth="1"/>
    <col min="14" max="14" width="14.28515625" bestFit="1" customWidth="1"/>
    <col min="15" max="16" width="15" bestFit="1" customWidth="1"/>
    <col min="17" max="17" width="18.28515625" bestFit="1" customWidth="1"/>
  </cols>
  <sheetData>
    <row r="1" spans="1:18" s="3" customFormat="1" ht="51.6" customHeight="1" x14ac:dyDescent="0.25">
      <c r="A1" s="7" t="s">
        <v>2</v>
      </c>
      <c r="B1" s="3" t="s">
        <v>0</v>
      </c>
      <c r="C1" s="3" t="s">
        <v>3</v>
      </c>
      <c r="D1" s="3" t="s">
        <v>4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</row>
    <row r="2" spans="1:18" x14ac:dyDescent="0.25">
      <c r="A2" s="1">
        <f>SampleList[[#This Row],[Date Sampled]]</f>
        <v>46094</v>
      </c>
      <c r="B2" t="str" cm="1">
        <f t="array" ref="B2">IF(ISBLANK(INDEX(SampleList[NMR],ROW()-1)),"Not Requested",INDEX(SampleList[Experiment ID],ROW()-1))</f>
        <v>HPHT_097</v>
      </c>
      <c r="C2">
        <f>SampleList[[#This Row],[Duration (Days)]]</f>
        <v>1</v>
      </c>
      <c r="D2" t="str">
        <f>SampleList[[#This Row],[Sample Description]]</f>
        <v>Liquid and Gas sample</v>
      </c>
      <c r="F2">
        <v>100</v>
      </c>
      <c r="G2">
        <v>24</v>
      </c>
      <c r="H2">
        <v>50</v>
      </c>
      <c r="I2">
        <v>30</v>
      </c>
      <c r="J2">
        <v>375</v>
      </c>
      <c r="K2">
        <v>68</v>
      </c>
      <c r="N2">
        <f>SUM(NMRPrep[[#This Row],[d-DMSO (uL) ]:[ NH4Cl (uL)]])</f>
        <v>647</v>
      </c>
      <c r="O2">
        <f>647</f>
        <v>647</v>
      </c>
      <c r="P2">
        <f>NMRPrep[[#This Row],[Total (uL) ]]-NMRPrep[[#This Row],[Target (uL)]]</f>
        <v>0</v>
      </c>
      <c r="R2">
        <f>(NMRPrep[[#This Row],[NH4Cl Stock Concentration (mM)]]*NMRPrep[[#This Row],[ NH4Cl (uL)]])/SUM(NMRPrep[[#This Row],[DI (uL) ]:[ NH4Cl (uL)]])</f>
        <v>0</v>
      </c>
    </row>
    <row r="3" spans="1:18" x14ac:dyDescent="0.25">
      <c r="A3" s="1">
        <f>SampleList[[#This Row],[Date Sampled]]</f>
        <v>46094</v>
      </c>
      <c r="B3" t="str" cm="1">
        <f t="array" ref="B3">IF(ISBLANK(INDEX(SampleList[NMR],ROW()-1)),"Not Requested",INDEX(SampleList[Experiment ID],ROW()-1))</f>
        <v>HPHT_070</v>
      </c>
      <c r="C3">
        <f>SampleList[[#This Row],[Duration (Days)]]</f>
        <v>60</v>
      </c>
      <c r="D3" t="str">
        <f>SampleList[[#This Row],[Sample Description]]</f>
        <v>Final liquid + gas sample</v>
      </c>
      <c r="F3">
        <v>100</v>
      </c>
      <c r="G3">
        <v>24</v>
      </c>
      <c r="H3">
        <v>50</v>
      </c>
      <c r="I3">
        <v>30</v>
      </c>
      <c r="J3">
        <v>375</v>
      </c>
      <c r="K3">
        <v>68</v>
      </c>
      <c r="N3">
        <f>SUM(NMRPrep[[#This Row],[d-DMSO (uL) ]:[ NH4Cl (uL)]])</f>
        <v>647</v>
      </c>
      <c r="O3">
        <f>647</f>
        <v>647</v>
      </c>
      <c r="P3">
        <f>NMRPrep[[#This Row],[Total (uL) ]]-NMRPrep[[#This Row],[Target (uL)]]</f>
        <v>0</v>
      </c>
      <c r="R3">
        <f>(NMRPrep[[#This Row],[NH4Cl Stock Concentration (mM)]]*NMRPrep[[#This Row],[ NH4Cl (uL)]])/SUM(NMRPrep[[#This Row],[DI (uL) ]:[ NH4Cl (uL)]])</f>
        <v>0</v>
      </c>
    </row>
    <row r="4" spans="1:18" x14ac:dyDescent="0.25">
      <c r="A4" s="1">
        <f>SampleList[[#This Row],[Date Sampled]]</f>
        <v>46094</v>
      </c>
      <c r="B4" t="str" cm="1">
        <f t="array" ref="B4">IF(ISBLANK(INDEX(SampleList[NMR],ROW()-1)),"Not Requested",INDEX(SampleList[Experiment ID],ROW()-1))</f>
        <v>HPHT_089</v>
      </c>
      <c r="C4">
        <f>SampleList[[#This Row],[Duration (Days)]]</f>
        <v>0</v>
      </c>
      <c r="D4" t="str">
        <f>SampleList[[#This Row],[Sample Description]]</f>
        <v>Pre-rxn brine check</v>
      </c>
      <c r="F4">
        <v>100</v>
      </c>
      <c r="G4">
        <v>24</v>
      </c>
      <c r="H4">
        <v>50</v>
      </c>
      <c r="I4">
        <v>30</v>
      </c>
      <c r="J4">
        <v>375</v>
      </c>
      <c r="K4">
        <v>68</v>
      </c>
      <c r="N4">
        <f>SUM(NMRPrep[[#This Row],[d-DMSO (uL) ]:[ NH4Cl (uL)]])</f>
        <v>647</v>
      </c>
      <c r="O4">
        <f>647</f>
        <v>647</v>
      </c>
      <c r="P4">
        <f>NMRPrep[[#This Row],[Total (uL) ]]-NMRPrep[[#This Row],[Target (uL)]]</f>
        <v>0</v>
      </c>
      <c r="R4">
        <f>(NMRPrep[[#This Row],[NH4Cl Stock Concentration (mM)]]*NMRPrep[[#This Row],[ NH4Cl (uL)]])/SUM(NMRPrep[[#This Row],[DI (uL) ]:[ NH4Cl (uL)]])</f>
        <v>0</v>
      </c>
    </row>
    <row r="5" spans="1:18" x14ac:dyDescent="0.25">
      <c r="A5" s="1">
        <f>SampleList[[#This Row],[Date Sampled]]</f>
        <v>46094</v>
      </c>
      <c r="B5" t="str" cm="1">
        <f t="array" ref="B5">IF(ISBLANK(INDEX(SampleList[NMR],ROW()-1)),"Not Requested",INDEX(SampleList[Experiment ID],ROW()-1))</f>
        <v>NH4-Teflon</v>
      </c>
      <c r="C5">
        <f>SampleList[[#This Row],[Duration (Days)]]</f>
        <v>0</v>
      </c>
      <c r="D5" t="str">
        <f>SampleList[[#This Row],[Sample Description]]</f>
        <v>NH4 adsorption to teflon</v>
      </c>
      <c r="F5">
        <v>100</v>
      </c>
      <c r="G5">
        <v>24</v>
      </c>
      <c r="H5">
        <v>50</v>
      </c>
      <c r="I5">
        <v>30</v>
      </c>
      <c r="J5">
        <v>375</v>
      </c>
      <c r="K5">
        <v>68</v>
      </c>
      <c r="N5">
        <f>SUM(NMRPrep[[#This Row],[d-DMSO (uL) ]:[ NH4Cl (uL)]])</f>
        <v>647</v>
      </c>
      <c r="O5">
        <f>647</f>
        <v>647</v>
      </c>
      <c r="P5">
        <f>NMRPrep[[#This Row],[Total (uL) ]]-NMRPrep[[#This Row],[Target (uL)]]</f>
        <v>0</v>
      </c>
      <c r="R5">
        <f>(NMRPrep[[#This Row],[NH4Cl Stock Concentration (mM)]]*NMRPrep[[#This Row],[ NH4Cl (uL)]])/SUM(NMRPrep[[#This Row],[DI (uL) ]:[ NH4Cl (uL)]])</f>
        <v>0</v>
      </c>
    </row>
    <row r="6" spans="1:18" x14ac:dyDescent="0.25">
      <c r="A6" s="1">
        <f>SampleList[[#This Row],[Date Sampled]]</f>
        <v>46097</v>
      </c>
      <c r="B6" t="str" cm="1">
        <f t="array" ref="B6">IF(ISBLANK(INDEX(SampleList[NMR],ROW()-1)),"Not Requested",INDEX(SampleList[Experiment ID],ROW()-1))</f>
        <v>NH4-Teflon</v>
      </c>
      <c r="C6">
        <f>SampleList[[#This Row],[Duration (Days)]]</f>
        <v>3</v>
      </c>
      <c r="D6" t="str">
        <f>SampleList[[#This Row],[Sample Description]]</f>
        <v>NH4 adsorption to teflon</v>
      </c>
      <c r="F6">
        <v>100</v>
      </c>
      <c r="G6">
        <v>24</v>
      </c>
      <c r="H6">
        <v>50</v>
      </c>
      <c r="I6">
        <v>30</v>
      </c>
      <c r="J6">
        <v>375</v>
      </c>
      <c r="K6">
        <v>68</v>
      </c>
      <c r="N6">
        <f>SUM(NMRPrep[[#This Row],[d-DMSO (uL) ]:[ NH4Cl (uL)]])</f>
        <v>647</v>
      </c>
      <c r="O6">
        <f>647</f>
        <v>647</v>
      </c>
      <c r="P6">
        <f>NMRPrep[[#This Row],[Total (uL) ]]-NMRPrep[[#This Row],[Target (uL)]]</f>
        <v>0</v>
      </c>
      <c r="R6">
        <f>(NMRPrep[[#This Row],[NH4Cl Stock Concentration (mM)]]*NMRPrep[[#This Row],[ NH4Cl (uL)]])/SUM(NMRPrep[[#This Row],[DI (uL) ]:[ NH4Cl (uL)]])</f>
        <v>0</v>
      </c>
    </row>
    <row r="7" spans="1:18" x14ac:dyDescent="0.25">
      <c r="A7" s="1">
        <f>SampleList[[#This Row],[Date Sampled]]</f>
        <v>46094</v>
      </c>
      <c r="B7" t="str" cm="1">
        <f t="array" ref="B7">IF(ISBLANK(INDEX(SampleList[NMR],ROW()-1)),"Not Requested",INDEX(SampleList[Experiment ID],ROW()-1))</f>
        <v>HPHT_070_Desorption</v>
      </c>
      <c r="C7">
        <f>SampleList[[#This Row],[Duration (Days)]]</f>
        <v>0</v>
      </c>
      <c r="D7" t="str">
        <f>SampleList[[#This Row],[Sample Description]]</f>
        <v>Initial desorption</v>
      </c>
      <c r="F7">
        <v>100</v>
      </c>
      <c r="G7">
        <v>24</v>
      </c>
      <c r="H7">
        <v>50</v>
      </c>
      <c r="I7">
        <v>30</v>
      </c>
      <c r="J7">
        <v>375</v>
      </c>
      <c r="K7">
        <v>68</v>
      </c>
      <c r="N7">
        <f>SUM(NMRPrep[[#This Row],[d-DMSO (uL) ]:[ NH4Cl (uL)]])</f>
        <v>647</v>
      </c>
      <c r="O7">
        <f>647</f>
        <v>647</v>
      </c>
      <c r="P7">
        <f>NMRPrep[[#This Row],[Total (uL) ]]-NMRPrep[[#This Row],[Target (uL)]]</f>
        <v>0</v>
      </c>
      <c r="R7">
        <f>(NMRPrep[[#This Row],[NH4Cl Stock Concentration (mM)]]*NMRPrep[[#This Row],[ NH4Cl (uL)]])/SUM(NMRPrep[[#This Row],[DI (uL) ]:[ NH4Cl (uL)]])</f>
        <v>0</v>
      </c>
    </row>
    <row r="8" spans="1:18" x14ac:dyDescent="0.25">
      <c r="A8" s="1">
        <f>SampleList[[#This Row],[Date Sampled]]</f>
        <v>46097</v>
      </c>
      <c r="B8" t="str" cm="1">
        <f t="array" ref="B8">IF(ISBLANK(INDEX(SampleList[NMR],ROW()-1)),"Not Requested",INDEX(SampleList[Experiment ID],ROW()-1))</f>
        <v>HPHT_101</v>
      </c>
      <c r="C8">
        <f>SampleList[[#This Row],[Duration (Days)]]</f>
        <v>3</v>
      </c>
      <c r="D8" t="str">
        <f>SampleList[[#This Row],[Sample Description]]</f>
        <v>Reactor 8 background</v>
      </c>
      <c r="F8">
        <v>100</v>
      </c>
      <c r="G8">
        <v>24</v>
      </c>
      <c r="H8">
        <v>50</v>
      </c>
      <c r="I8">
        <v>30</v>
      </c>
      <c r="J8">
        <v>375</v>
      </c>
      <c r="K8">
        <v>68</v>
      </c>
      <c r="N8">
        <f>SUM(NMRPrep[[#This Row],[d-DMSO (uL) ]:[ NH4Cl (uL)]])</f>
        <v>647</v>
      </c>
      <c r="O8">
        <f>647</f>
        <v>647</v>
      </c>
      <c r="P8">
        <f>NMRPrep[[#This Row],[Total (uL) ]]-NMRPrep[[#This Row],[Target (uL)]]</f>
        <v>0</v>
      </c>
      <c r="R8">
        <f>(NMRPrep[[#This Row],[NH4Cl Stock Concentration (mM)]]*NMRPrep[[#This Row],[ NH4Cl (uL)]])/SUM(NMRPrep[[#This Row],[DI (uL) ]:[ NH4Cl (uL)]])</f>
        <v>0</v>
      </c>
    </row>
    <row r="9" spans="1:18" x14ac:dyDescent="0.25">
      <c r="A9" s="1">
        <f>SampleList[[#This Row],[Date Sampled]]</f>
        <v>46097</v>
      </c>
      <c r="B9" t="str" cm="1">
        <f t="array" ref="B9">IF(ISBLANK(INDEX(SampleList[NMR],ROW()-1)),"Not Requested",INDEX(SampleList[Experiment ID],ROW()-1))</f>
        <v>HPHT_102</v>
      </c>
      <c r="C9">
        <f>SampleList[[#This Row],[Duration (Days)]]</f>
        <v>3</v>
      </c>
      <c r="D9" t="str">
        <f>SampleList[[#This Row],[Sample Description]]</f>
        <v>Reactor 9 background</v>
      </c>
      <c r="F9">
        <v>100</v>
      </c>
      <c r="G9">
        <v>24</v>
      </c>
      <c r="H9">
        <v>50</v>
      </c>
      <c r="I9">
        <v>30</v>
      </c>
      <c r="J9">
        <v>375</v>
      </c>
      <c r="K9">
        <v>68</v>
      </c>
      <c r="N9">
        <f>SUM(NMRPrep[[#This Row],[d-DMSO (uL) ]:[ NH4Cl (uL)]])</f>
        <v>647</v>
      </c>
      <c r="O9">
        <f>647</f>
        <v>647</v>
      </c>
      <c r="P9">
        <f>NMRPrep[[#This Row],[Total (uL) ]]-NMRPrep[[#This Row],[Target (uL)]]</f>
        <v>0</v>
      </c>
      <c r="R9">
        <f>(NMRPrep[[#This Row],[NH4Cl Stock Concentration (mM)]]*NMRPrep[[#This Row],[ NH4Cl (uL)]])/SUM(NMRPrep[[#This Row],[DI (uL) ]:[ NH4Cl (uL)]])</f>
        <v>0</v>
      </c>
    </row>
    <row r="10" spans="1:18" x14ac:dyDescent="0.25">
      <c r="A10" s="1">
        <f>SampleList[[#This Row],[Date Sampled]]</f>
        <v>46097</v>
      </c>
      <c r="B10" t="str" cm="1">
        <f t="array" ref="B10">IF(ISBLANK(INDEX(SampleList[NMR],ROW()-1)),"Not Requested",INDEX(SampleList[Experiment ID],ROW()-1))</f>
        <v>HPHT_095_Desorption</v>
      </c>
      <c r="C10">
        <f>SampleList[[#This Row],[Duration (Days)]]</f>
        <v>3</v>
      </c>
      <c r="D10" t="str">
        <f>SampleList[[#This Row],[Sample Description]]</f>
        <v>Desorption test</v>
      </c>
      <c r="F10">
        <v>100</v>
      </c>
      <c r="G10">
        <v>24</v>
      </c>
      <c r="H10">
        <v>50</v>
      </c>
      <c r="I10">
        <v>30</v>
      </c>
      <c r="J10">
        <v>375</v>
      </c>
      <c r="K10">
        <v>68</v>
      </c>
      <c r="N10">
        <f>SUM(NMRPrep[[#This Row],[d-DMSO (uL) ]:[ NH4Cl (uL)]])</f>
        <v>647</v>
      </c>
      <c r="O10">
        <f>647</f>
        <v>647</v>
      </c>
      <c r="P10">
        <f>NMRPrep[[#This Row],[Total (uL) ]]-NMRPrep[[#This Row],[Target (uL)]]</f>
        <v>0</v>
      </c>
      <c r="R10">
        <f>(NMRPrep[[#This Row],[NH4Cl Stock Concentration (mM)]]*NMRPrep[[#This Row],[ NH4Cl (uL)]])/SUM(NMRPrep[[#This Row],[DI (uL) ]:[ NH4Cl (uL)]])</f>
        <v>0</v>
      </c>
    </row>
    <row r="11" spans="1:18" x14ac:dyDescent="0.25">
      <c r="A11" s="1">
        <f>SampleList[[#This Row],[Date Sampled]]</f>
        <v>46097</v>
      </c>
      <c r="B11" t="str" cm="1">
        <f t="array" ref="B11">IF(ISBLANK(INDEX(SampleList[NMR],ROW()-1)),"Not Requested",INDEX(SampleList[Experiment ID],ROW()-1))</f>
        <v>HPHT_097</v>
      </c>
      <c r="C11">
        <f>SampleList[[#This Row],[Duration (Days)]]</f>
        <v>4</v>
      </c>
      <c r="D11" t="str">
        <f>SampleList[[#This Row],[Sample Description]]</f>
        <v>CaI experiment day 3</v>
      </c>
      <c r="F11">
        <v>100</v>
      </c>
      <c r="G11">
        <v>24</v>
      </c>
      <c r="H11">
        <v>50</v>
      </c>
      <c r="I11">
        <v>30</v>
      </c>
      <c r="J11">
        <v>375</v>
      </c>
      <c r="K11">
        <v>68</v>
      </c>
      <c r="N11">
        <f>SUM(NMRPrep[[#This Row],[d-DMSO (uL) ]:[ NH4Cl (uL)]])</f>
        <v>647</v>
      </c>
      <c r="O11">
        <f>647</f>
        <v>647</v>
      </c>
      <c r="P11">
        <f>NMRPrep[[#This Row],[Total (uL) ]]-NMRPrep[[#This Row],[Target (uL)]]</f>
        <v>0</v>
      </c>
      <c r="R11">
        <f>(NMRPrep[[#This Row],[NH4Cl Stock Concentration (mM)]]*NMRPrep[[#This Row],[ NH4Cl (uL)]])/SUM(NMRPrep[[#This Row],[DI (uL) ]:[ NH4Cl (uL)]])</f>
        <v>0</v>
      </c>
    </row>
    <row r="12" spans="1:18" x14ac:dyDescent="0.25">
      <c r="A12" s="1">
        <f>SampleList[[#This Row],[Date Sampled]]</f>
        <v>46097</v>
      </c>
      <c r="B12" t="str" cm="1">
        <f t="array" ref="B12">IF(ISBLANK(INDEX(SampleList[NMR],ROW()-1)),"Not Requested",INDEX(SampleList[Experiment ID],ROW()-1))</f>
        <v xml:space="preserve">Standard </v>
      </c>
      <c r="C12">
        <f>SampleList[[#This Row],[Duration (Days)]]</f>
        <v>0</v>
      </c>
      <c r="D12" t="str">
        <f>SampleList[[#This Row],[Sample Description]]</f>
        <v>150uL 1mM NH4Cl</v>
      </c>
      <c r="F12">
        <v>100</v>
      </c>
      <c r="G12">
        <v>24</v>
      </c>
      <c r="H12">
        <v>50</v>
      </c>
      <c r="I12">
        <v>30</v>
      </c>
      <c r="J12">
        <v>293</v>
      </c>
      <c r="K12">
        <v>0</v>
      </c>
      <c r="L12">
        <v>150</v>
      </c>
      <c r="N12">
        <f>SUM(NMRPrep[[#This Row],[d-DMSO (uL) ]:[ NH4Cl (uL)]])</f>
        <v>647</v>
      </c>
      <c r="O12">
        <f>647</f>
        <v>647</v>
      </c>
      <c r="P12">
        <f>NMRPrep[[#This Row],[Total (uL) ]]-NMRPrep[[#This Row],[Target (uL)]]</f>
        <v>0</v>
      </c>
      <c r="R12">
        <f>(NMRPrep[[#This Row],[NH4Cl Stock Concentration (mM)]]*NMRPrep[[#This Row],[ NH4Cl (uL)]])/SUM(NMRPrep[[#This Row],[DI (uL) ]:[ NH4Cl (uL)]])</f>
        <v>0</v>
      </c>
    </row>
    <row r="13" spans="1:18" x14ac:dyDescent="0.25">
      <c r="A13" s="1">
        <f>SampleList[[#This Row],[Date Sampled]]</f>
        <v>46097</v>
      </c>
      <c r="B13" t="str" cm="1">
        <f t="array" ref="B13">IF(ISBLANK(INDEX(SampleList[NMR],ROW()-1)),"Not Requested",INDEX(SampleList[Experiment ID],ROW()-1))</f>
        <v>HPHT_096</v>
      </c>
      <c r="C13">
        <f>SampleList[[#This Row],[Duration (Days)]]</f>
        <v>10</v>
      </c>
      <c r="D13" t="str">
        <f>SampleList[[#This Row],[Sample Description]]</f>
        <v>Liquid and gas sample</v>
      </c>
      <c r="F13">
        <v>100</v>
      </c>
      <c r="G13">
        <v>24</v>
      </c>
      <c r="H13">
        <v>50</v>
      </c>
      <c r="I13">
        <v>30</v>
      </c>
      <c r="J13">
        <v>375</v>
      </c>
      <c r="K13">
        <v>68</v>
      </c>
      <c r="N13">
        <f>SUM(NMRPrep[[#This Row],[d-DMSO (uL) ]:[ NH4Cl (uL)]])</f>
        <v>647</v>
      </c>
      <c r="O13">
        <f>647</f>
        <v>647</v>
      </c>
      <c r="P13">
        <f>NMRPrep[[#This Row],[Total (uL) ]]-NMRPrep[[#This Row],[Target (uL)]]</f>
        <v>0</v>
      </c>
      <c r="R13">
        <f>(NMRPrep[[#This Row],[NH4Cl Stock Concentration (mM)]]*NMRPrep[[#This Row],[ NH4Cl (uL)]])/SUM(NMRPrep[[#This Row],[DI (uL) ]:[ NH4Cl (uL)]])</f>
        <v>0</v>
      </c>
    </row>
    <row r="14" spans="1:18" x14ac:dyDescent="0.25">
      <c r="A14" s="1">
        <f>SampleList[[#This Row],[Date Sampled]]</f>
        <v>46097</v>
      </c>
      <c r="B14" t="str" cm="1">
        <f t="array" ref="B14">IF(ISBLANK(INDEX(SampleList[NMR],ROW()-1)),"Not Requested",INDEX(SampleList[Experiment ID],ROW()-1))</f>
        <v>HPHT_079</v>
      </c>
      <c r="C14">
        <f>SampleList[[#This Row],[Duration (Days)]]</f>
        <v>39</v>
      </c>
      <c r="D14" t="str">
        <f>SampleList[[#This Row],[Sample Description]]</f>
        <v>CaO Gas sample</v>
      </c>
      <c r="F14">
        <v>100</v>
      </c>
      <c r="G14">
        <v>24</v>
      </c>
      <c r="H14">
        <v>50</v>
      </c>
      <c r="I14">
        <v>30</v>
      </c>
      <c r="J14">
        <v>375</v>
      </c>
      <c r="K14">
        <v>68</v>
      </c>
      <c r="N14">
        <f>SUM(NMRPrep[[#This Row],[d-DMSO (uL) ]:[ NH4Cl (uL)]])</f>
        <v>647</v>
      </c>
      <c r="O14">
        <f>647</f>
        <v>647</v>
      </c>
      <c r="P14">
        <f>NMRPrep[[#This Row],[Total (uL) ]]-NMRPrep[[#This Row],[Target (uL)]]</f>
        <v>0</v>
      </c>
      <c r="R14">
        <f>(NMRPrep[[#This Row],[NH4Cl Stock Concentration (mM)]]*NMRPrep[[#This Row],[ NH4Cl (uL)]])/SUM(NMRPrep[[#This Row],[DI (uL) ]:[ NH4Cl (uL)]])</f>
        <v>0</v>
      </c>
    </row>
    <row r="15" spans="1:18" x14ac:dyDescent="0.25">
      <c r="A15" s="1">
        <f>SampleList[[#This Row],[Date Sampled]]</f>
        <v>46099</v>
      </c>
      <c r="B15" t="str" cm="1">
        <f t="array" ref="B15">IF(ISBLANK(INDEX(SampleList[NMR],ROW()-1)),"Not Requested",INDEX(SampleList[Experiment ID],ROW()-1))</f>
        <v>HPHT_097</v>
      </c>
      <c r="C15">
        <f>SampleList[[#This Row],[Duration (Days)]]</f>
        <v>6</v>
      </c>
      <c r="D15" t="str">
        <f>SampleList[[#This Row],[Sample Description]]</f>
        <v>CaI2 Gas, Liquid, Rock Sample</v>
      </c>
      <c r="F15">
        <v>100</v>
      </c>
      <c r="G15">
        <v>24</v>
      </c>
      <c r="H15">
        <v>50</v>
      </c>
      <c r="I15">
        <v>30</v>
      </c>
      <c r="J15">
        <v>375</v>
      </c>
      <c r="K15">
        <v>68</v>
      </c>
      <c r="N15">
        <f>SUM(NMRPrep[[#This Row],[d-DMSO (uL) ]:[ NH4Cl (uL)]])</f>
        <v>647</v>
      </c>
      <c r="O15">
        <f>647</f>
        <v>647</v>
      </c>
      <c r="P15">
        <f>NMRPrep[[#This Row],[Total (uL) ]]-NMRPrep[[#This Row],[Target (uL)]]</f>
        <v>0</v>
      </c>
      <c r="R15">
        <f>(NMRPrep[[#This Row],[NH4Cl Stock Concentration (mM)]]*NMRPrep[[#This Row],[ NH4Cl (uL)]])/SUM(NMRPrep[[#This Row],[DI (uL) ]:[ NH4Cl (uL)]])</f>
        <v>0</v>
      </c>
    </row>
    <row r="16" spans="1:18" x14ac:dyDescent="0.25">
      <c r="A16" s="1">
        <f>SampleList[[#This Row],[Date Sampled]]</f>
        <v>46080</v>
      </c>
      <c r="B16" t="str" cm="1">
        <f t="array" ref="B16">IF(ISBLANK(INDEX(SampleList[NMR],ROW()-1)),"Not Requested",INDEX(SampleList[Experiment ID],ROW()-1))</f>
        <v>Not Requested</v>
      </c>
      <c r="C16">
        <f>SampleList[[#This Row],[Duration (Days)]]</f>
        <v>6</v>
      </c>
      <c r="D16" t="str">
        <f>SampleList[[#This Row],[Sample Description]]</f>
        <v>0.007mL/min at 220C for 2 days</v>
      </c>
      <c r="F16">
        <v>100</v>
      </c>
      <c r="G16">
        <v>24</v>
      </c>
      <c r="H16">
        <v>50</v>
      </c>
      <c r="I16">
        <v>30</v>
      </c>
      <c r="J16">
        <v>375</v>
      </c>
      <c r="K16">
        <v>68</v>
      </c>
      <c r="N16">
        <f>SUM(NMRPrep[[#This Row],[d-DMSO (uL) ]:[ NH4Cl (uL)]])</f>
        <v>647</v>
      </c>
      <c r="O16">
        <f>647</f>
        <v>647</v>
      </c>
      <c r="P16">
        <f>NMRPrep[[#This Row],[Total (uL) ]]-NMRPrep[[#This Row],[Target (uL)]]</f>
        <v>0</v>
      </c>
      <c r="R16">
        <f>(NMRPrep[[#This Row],[NH4Cl Stock Concentration (mM)]]*NMRPrep[[#This Row],[ NH4Cl (uL)]])/SUM(NMRPrep[[#This Row],[DI (uL) ]:[ NH4Cl (uL)]])</f>
        <v>0</v>
      </c>
    </row>
    <row r="17" spans="1:18" x14ac:dyDescent="0.25">
      <c r="A17" s="1">
        <f>SampleList[[#This Row],[Date Sampled]]</f>
        <v>46080</v>
      </c>
      <c r="B17" t="str" cm="1">
        <f t="array" ref="B17">IF(ISBLANK(INDEX(SampleList[NMR],ROW()-1)),"Not Requested",INDEX(SampleList[Experiment ID],ROW()-1))</f>
        <v>Not Requested</v>
      </c>
      <c r="C17">
        <f>SampleList[[#This Row],[Duration (Days)]]</f>
        <v>46</v>
      </c>
      <c r="D17" t="str">
        <f>SampleList[[#This Row],[Sample Description]]</f>
        <v>Final liquid + gas sample</v>
      </c>
      <c r="F17">
        <v>100</v>
      </c>
      <c r="G17">
        <v>24</v>
      </c>
      <c r="H17">
        <v>50</v>
      </c>
      <c r="I17">
        <v>30</v>
      </c>
      <c r="J17">
        <v>375</v>
      </c>
      <c r="K17">
        <v>68</v>
      </c>
      <c r="N17">
        <f>SUM(NMRPrep[[#This Row],[d-DMSO (uL) ]:[ NH4Cl (uL)]])</f>
        <v>647</v>
      </c>
      <c r="O17">
        <f>647</f>
        <v>647</v>
      </c>
      <c r="P17">
        <f>NMRPrep[[#This Row],[Total (uL) ]]-NMRPrep[[#This Row],[Target (uL)]]</f>
        <v>0</v>
      </c>
      <c r="R17">
        <f>(NMRPrep[[#This Row],[NH4Cl Stock Concentration (mM)]]*NMRPrep[[#This Row],[ NH4Cl (uL)]])/SUM(NMRPrep[[#This Row],[DI (uL) ]:[ NH4Cl (uL)]])</f>
        <v>0</v>
      </c>
    </row>
    <row r="18" spans="1:18" x14ac:dyDescent="0.25">
      <c r="A18" s="1">
        <f>SampleList[[#This Row],[Date Sampled]]</f>
        <v>46080</v>
      </c>
      <c r="B18" t="str" cm="1">
        <f t="array" ref="B18">IF(ISBLANK(INDEX(SampleList[NMR],ROW()-1)),"Not Requested",INDEX(SampleList[Experiment ID],ROW()-1))</f>
        <v>Not Requested</v>
      </c>
      <c r="C18">
        <f>SampleList[[#This Row],[Duration (Days)]]</f>
        <v>18</v>
      </c>
      <c r="D18" t="str">
        <f>SampleList[[#This Row],[Sample Description]]</f>
        <v>Acetate Buffer, contnued 18 days, liquid from gas port</v>
      </c>
      <c r="F18">
        <v>100</v>
      </c>
      <c r="G18">
        <v>24</v>
      </c>
      <c r="H18">
        <v>50</v>
      </c>
      <c r="I18">
        <v>30</v>
      </c>
      <c r="J18">
        <v>375</v>
      </c>
      <c r="K18">
        <v>68</v>
      </c>
      <c r="N18">
        <f>SUM(NMRPrep[[#This Row],[d-DMSO (uL) ]:[ NH4Cl (uL)]])</f>
        <v>647</v>
      </c>
      <c r="O18">
        <f>647</f>
        <v>647</v>
      </c>
      <c r="P18">
        <f>NMRPrep[[#This Row],[Total (uL) ]]-NMRPrep[[#This Row],[Target (uL)]]</f>
        <v>0</v>
      </c>
      <c r="R18">
        <f>(NMRPrep[[#This Row],[NH4Cl Stock Concentration (mM)]]*NMRPrep[[#This Row],[ NH4Cl (uL)]])/SUM(NMRPrep[[#This Row],[DI (uL) ]:[ NH4Cl (uL)]])</f>
        <v>0</v>
      </c>
    </row>
    <row r="19" spans="1:18" x14ac:dyDescent="0.25">
      <c r="A19" s="1">
        <f>SampleList[[#This Row],[Date Sampled]]</f>
        <v>46080</v>
      </c>
      <c r="B19" t="str" cm="1">
        <f t="array" ref="B19">IF(ISBLANK(INDEX(SampleList[NMR],ROW()-1)),"Not Requested",INDEX(SampleList[Experiment ID],ROW()-1))</f>
        <v>Not Requested</v>
      </c>
      <c r="C19">
        <f>SampleList[[#This Row],[Duration (Days)]]</f>
        <v>22</v>
      </c>
      <c r="D19" t="str">
        <f>SampleList[[#This Row],[Sample Description]]</f>
        <v>CaO Gas sample</v>
      </c>
      <c r="F19">
        <v>100</v>
      </c>
      <c r="G19">
        <v>24</v>
      </c>
      <c r="H19">
        <v>50</v>
      </c>
      <c r="I19">
        <v>30</v>
      </c>
      <c r="J19">
        <v>375</v>
      </c>
      <c r="K19">
        <v>68</v>
      </c>
      <c r="N19">
        <f>SUM(NMRPrep[[#This Row],[d-DMSO (uL) ]:[ NH4Cl (uL)]])</f>
        <v>647</v>
      </c>
      <c r="O19">
        <f>647</f>
        <v>647</v>
      </c>
      <c r="P19">
        <f>NMRPrep[[#This Row],[Total (uL) ]]-NMRPrep[[#This Row],[Target (uL)]]</f>
        <v>0</v>
      </c>
      <c r="R19">
        <f>(NMRPrep[[#This Row],[NH4Cl Stock Concentration (mM)]]*NMRPrep[[#This Row],[ NH4Cl (uL)]])/SUM(NMRPrep[[#This Row],[DI (uL) ]:[ NH4Cl (uL)]])</f>
        <v>0</v>
      </c>
    </row>
    <row r="20" spans="1:18" x14ac:dyDescent="0.25">
      <c r="A20" s="1">
        <f>SampleList[[#This Row],[Date Sampled]]</f>
        <v>46083</v>
      </c>
      <c r="B20" t="str" cm="1">
        <f t="array" ref="B20">IF(ISBLANK(INDEX(SampleList[NMR],ROW()-1)),"Not Requested",INDEX(SampleList[Experiment ID],ROW()-1))</f>
        <v>Not Requested</v>
      </c>
      <c r="C20">
        <f>SampleList[[#This Row],[Duration (Days)]]</f>
        <v>20</v>
      </c>
      <c r="D20" t="str">
        <f>SampleList[[#This Row],[Sample Description]]</f>
        <v>2 days at 20C, hydrogen generated, dip tube sample high peak</v>
      </c>
      <c r="F20">
        <v>100</v>
      </c>
      <c r="G20">
        <v>24</v>
      </c>
      <c r="H20">
        <v>50</v>
      </c>
      <c r="I20">
        <v>30</v>
      </c>
      <c r="J20">
        <v>375</v>
      </c>
      <c r="K20">
        <v>68</v>
      </c>
      <c r="N20">
        <f>SUM(NMRPrep[[#This Row],[d-DMSO (uL) ]:[ NH4Cl (uL)]])</f>
        <v>647</v>
      </c>
      <c r="O20">
        <f>647</f>
        <v>647</v>
      </c>
      <c r="P20">
        <f>NMRPrep[[#This Row],[Total (uL) ]]-NMRPrep[[#This Row],[Target (uL)]]</f>
        <v>0</v>
      </c>
      <c r="R20">
        <f>(NMRPrep[[#This Row],[NH4Cl Stock Concentration (mM)]]*NMRPrep[[#This Row],[ NH4Cl (uL)]])/SUM(NMRPrep[[#This Row],[DI (uL) ]:[ NH4Cl (uL)]])</f>
        <v>0</v>
      </c>
    </row>
    <row r="21" spans="1:18" x14ac:dyDescent="0.25">
      <c r="A21" s="1">
        <f>SampleList[[#This Row],[Date Sampled]]</f>
        <v>46083</v>
      </c>
      <c r="B21" t="str" cm="1">
        <f t="array" ref="B21">IF(ISBLANK(INDEX(SampleList[NMR],ROW()-1)),"Not Requested",INDEX(SampleList[Experiment ID],ROW()-1))</f>
        <v>Not Requested</v>
      </c>
      <c r="C21">
        <f>SampleList[[#This Row],[Duration (Days)]]</f>
        <v>8</v>
      </c>
      <c r="D21" t="str">
        <f>SampleList[[#This Row],[Sample Description]]</f>
        <v>0.007mL/min at 300C for 2 days</v>
      </c>
      <c r="F21">
        <v>100</v>
      </c>
      <c r="G21">
        <v>24</v>
      </c>
      <c r="H21">
        <v>50</v>
      </c>
      <c r="I21">
        <v>30</v>
      </c>
      <c r="J21">
        <v>375</v>
      </c>
      <c r="K21">
        <v>68</v>
      </c>
      <c r="N21">
        <f>SUM(NMRPrep[[#This Row],[d-DMSO (uL) ]:[ NH4Cl (uL)]])</f>
        <v>647</v>
      </c>
      <c r="O21">
        <f>647</f>
        <v>647</v>
      </c>
      <c r="P21">
        <f>NMRPrep[[#This Row],[Total (uL) ]]-NMRPrep[[#This Row],[Target (uL)]]</f>
        <v>0</v>
      </c>
      <c r="R21">
        <f>(NMRPrep[[#This Row],[NH4Cl Stock Concentration (mM)]]*NMRPrep[[#This Row],[ NH4Cl (uL)]])/SUM(NMRPrep[[#This Row],[DI (uL) ]:[ NH4Cl (uL)]])</f>
        <v>0</v>
      </c>
    </row>
    <row r="22" spans="1:18" x14ac:dyDescent="0.25">
      <c r="A22" s="1">
        <f>SampleList[[#This Row],[Date Sampled]]</f>
        <v>46083</v>
      </c>
      <c r="B22" t="str" cm="1">
        <f t="array" ref="B22">IF(ISBLANK(INDEX(SampleList[NMR],ROW()-1)),"Not Requested",INDEX(SampleList[Experiment ID],ROW()-1))</f>
        <v>Not Requested</v>
      </c>
      <c r="C22">
        <f>SampleList[[#This Row],[Duration (Days)]]</f>
        <v>10</v>
      </c>
      <c r="D22" t="str">
        <f>SampleList[[#This Row],[Sample Description]]</f>
        <v>Tamarack continued</v>
      </c>
      <c r="F22">
        <v>100</v>
      </c>
      <c r="G22">
        <v>24</v>
      </c>
      <c r="H22">
        <v>50</v>
      </c>
      <c r="I22">
        <v>30</v>
      </c>
      <c r="J22">
        <v>375</v>
      </c>
      <c r="K22">
        <v>68</v>
      </c>
      <c r="N22">
        <f>SUM(NMRPrep[[#This Row],[d-DMSO (uL) ]:[ NH4Cl (uL)]])</f>
        <v>647</v>
      </c>
      <c r="O22">
        <f>647</f>
        <v>647</v>
      </c>
      <c r="P22">
        <f>NMRPrep[[#This Row],[Total (uL) ]]-NMRPrep[[#This Row],[Target (uL)]]</f>
        <v>0</v>
      </c>
      <c r="R22">
        <f>(NMRPrep[[#This Row],[NH4Cl Stock Concentration (mM)]]*NMRPrep[[#This Row],[ NH4Cl (uL)]])/SUM(NMRPrep[[#This Row],[DI (uL) ]:[ NH4Cl (uL)]])</f>
        <v>0</v>
      </c>
    </row>
    <row r="23" spans="1:18" x14ac:dyDescent="0.25">
      <c r="A23" s="1">
        <f>SampleList[[#This Row],[Date Sampled]]</f>
        <v>46083</v>
      </c>
      <c r="B23" t="str" cm="1">
        <f t="array" ref="B23">IF(ISBLANK(INDEX(SampleList[NMR],ROW()-1)),"Not Requested",INDEX(SampleList[Experiment ID],ROW()-1))</f>
        <v>Not Requested</v>
      </c>
      <c r="C23">
        <f>SampleList[[#This Row],[Duration (Days)]]</f>
        <v>2</v>
      </c>
      <c r="D23" t="str">
        <f>SampleList[[#This Row],[Sample Description]]</f>
        <v>Reactor 6 background</v>
      </c>
      <c r="F23">
        <v>100</v>
      </c>
      <c r="G23">
        <v>24</v>
      </c>
      <c r="H23">
        <v>50</v>
      </c>
      <c r="I23">
        <v>30</v>
      </c>
      <c r="J23">
        <v>375</v>
      </c>
      <c r="K23">
        <v>68</v>
      </c>
      <c r="N23">
        <f>SUM(NMRPrep[[#This Row],[d-DMSO (uL) ]:[ NH4Cl (uL)]])</f>
        <v>647</v>
      </c>
      <c r="O23">
        <f>647</f>
        <v>647</v>
      </c>
      <c r="P23">
        <f>NMRPrep[[#This Row],[Total (uL) ]]-NMRPrep[[#This Row],[Target (uL)]]</f>
        <v>0</v>
      </c>
      <c r="R23">
        <f>(NMRPrep[[#This Row],[NH4Cl Stock Concentration (mM)]]*NMRPrep[[#This Row],[ NH4Cl (uL)]])/SUM(NMRPrep[[#This Row],[DI (uL) ]:[ NH4Cl (uL)]])</f>
        <v>0</v>
      </c>
    </row>
    <row r="24" spans="1:18" x14ac:dyDescent="0.25">
      <c r="A24" s="1">
        <f>SampleList[[#This Row],[Date Sampled]]</f>
        <v>46086</v>
      </c>
      <c r="B24" t="str" cm="1">
        <f t="array" ref="B24">IF(ISBLANK(INDEX(SampleList[NMR],ROW()-1)),"Not Requested",INDEX(SampleList[Experiment ID],ROW()-1))</f>
        <v>Not Requested</v>
      </c>
      <c r="C24">
        <f>SampleList[[#This Row],[Duration (Days)]]</f>
        <v>52</v>
      </c>
      <c r="D24" t="str">
        <f>SampleList[[#This Row],[Sample Description]]</f>
        <v>Final liquid + gas sample</v>
      </c>
      <c r="F24">
        <v>100</v>
      </c>
      <c r="G24">
        <v>24</v>
      </c>
      <c r="H24">
        <v>50</v>
      </c>
      <c r="I24">
        <v>30</v>
      </c>
      <c r="J24">
        <v>375</v>
      </c>
      <c r="K24">
        <v>68</v>
      </c>
      <c r="N24">
        <f>SUM(NMRPrep[[#This Row],[d-DMSO (uL) ]:[ NH4Cl (uL)]])</f>
        <v>647</v>
      </c>
      <c r="O24">
        <f>647</f>
        <v>647</v>
      </c>
      <c r="P24">
        <f>NMRPrep[[#This Row],[Total (uL) ]]-NMRPrep[[#This Row],[Target (uL)]]</f>
        <v>0</v>
      </c>
      <c r="R24">
        <f>(NMRPrep[[#This Row],[NH4Cl Stock Concentration (mM)]]*NMRPrep[[#This Row],[ NH4Cl (uL)]])/SUM(NMRPrep[[#This Row],[DI (uL) ]:[ NH4Cl (uL)]])</f>
        <v>0</v>
      </c>
    </row>
    <row r="25" spans="1:18" x14ac:dyDescent="0.25">
      <c r="A25" s="1">
        <f>SampleList[[#This Row],[Date Sampled]]</f>
        <v>46086</v>
      </c>
      <c r="B25" t="str" cm="1">
        <f t="array" ref="B25">IF(ISBLANK(INDEX(SampleList[NMR],ROW()-1)),"Not Requested",INDEX(SampleList[Experiment ID],ROW()-1))</f>
        <v>Not Requested</v>
      </c>
      <c r="C25">
        <f>SampleList[[#This Row],[Duration (Days)]]</f>
        <v>22</v>
      </c>
      <c r="D25" t="str">
        <f>SampleList[[#This Row],[Sample Description]]</f>
        <v>2 days at 20C, hydrogen generated, final sample</v>
      </c>
      <c r="F25">
        <v>100</v>
      </c>
      <c r="G25">
        <v>24</v>
      </c>
      <c r="H25">
        <v>50</v>
      </c>
      <c r="I25">
        <v>30</v>
      </c>
      <c r="J25">
        <v>375</v>
      </c>
      <c r="K25">
        <v>68</v>
      </c>
      <c r="N25">
        <f>SUM(NMRPrep[[#This Row],[d-DMSO (uL) ]:[ NH4Cl (uL)]])</f>
        <v>647</v>
      </c>
      <c r="O25">
        <f>647</f>
        <v>647</v>
      </c>
      <c r="P25">
        <f>NMRPrep[[#This Row],[Total (uL) ]]-NMRPrep[[#This Row],[Target (uL)]]</f>
        <v>0</v>
      </c>
      <c r="R25">
        <f>(NMRPrep[[#This Row],[NH4Cl Stock Concentration (mM)]]*NMRPrep[[#This Row],[ NH4Cl (uL)]])/SUM(NMRPrep[[#This Row],[DI (uL) ]:[ NH4Cl (uL)]])</f>
        <v>0</v>
      </c>
    </row>
    <row r="26" spans="1:18" x14ac:dyDescent="0.25">
      <c r="A26" s="1">
        <f>SampleList[[#This Row],[Date Sampled]]</f>
        <v>46086</v>
      </c>
      <c r="B26" t="str" cm="1">
        <f t="array" ref="B26">IF(ISBLANK(INDEX(SampleList[NMR],ROW()-1)),"Not Requested",INDEX(SampleList[Experiment ID],ROW()-1))</f>
        <v>Not Requested</v>
      </c>
      <c r="C26">
        <f>SampleList[[#This Row],[Duration (Days)]]</f>
        <v>28</v>
      </c>
      <c r="D26" t="str">
        <f>SampleList[[#This Row],[Sample Description]]</f>
        <v>CaO Gas sample</v>
      </c>
      <c r="F26">
        <v>100</v>
      </c>
      <c r="G26">
        <v>24</v>
      </c>
      <c r="H26">
        <v>50</v>
      </c>
      <c r="I26">
        <v>30</v>
      </c>
      <c r="J26">
        <v>375</v>
      </c>
      <c r="K26">
        <v>68</v>
      </c>
      <c r="N26">
        <f>SUM(NMRPrep[[#This Row],[d-DMSO (uL) ]:[ NH4Cl (uL)]])</f>
        <v>647</v>
      </c>
      <c r="O26">
        <f>647</f>
        <v>647</v>
      </c>
      <c r="P26">
        <f>NMRPrep[[#This Row],[Total (uL) ]]-NMRPrep[[#This Row],[Target (uL)]]</f>
        <v>0</v>
      </c>
      <c r="R26">
        <f>(NMRPrep[[#This Row],[NH4Cl Stock Concentration (mM)]]*NMRPrep[[#This Row],[ NH4Cl (uL)]])/SUM(NMRPrep[[#This Row],[DI (uL) ]:[ NH4Cl (uL)]])</f>
        <v>0</v>
      </c>
    </row>
    <row r="27" spans="1:18" x14ac:dyDescent="0.25">
      <c r="A27" s="1">
        <f>SampleList[[#This Row],[Date Sampled]]</f>
        <v>46086</v>
      </c>
      <c r="B27" t="str" cm="1">
        <f t="array" ref="B27">IF(ISBLANK(INDEX(SampleList[NMR],ROW()-1)),"Not Requested",INDEX(SampleList[Experiment ID],ROW()-1))</f>
        <v>Not Requested</v>
      </c>
      <c r="C27">
        <f>SampleList[[#This Row],[Duration (Days)]]</f>
        <v>0</v>
      </c>
      <c r="D27" t="str">
        <f>SampleList[[#This Row],[Sample Description]]</f>
        <v>Pre-rxn brine check</v>
      </c>
      <c r="F27">
        <v>100</v>
      </c>
      <c r="G27">
        <v>24</v>
      </c>
      <c r="H27">
        <v>50</v>
      </c>
      <c r="I27">
        <v>30</v>
      </c>
      <c r="J27">
        <v>375</v>
      </c>
      <c r="K27">
        <v>68</v>
      </c>
      <c r="N27">
        <f>SUM(NMRPrep[[#This Row],[d-DMSO (uL) ]:[ NH4Cl (uL)]])</f>
        <v>647</v>
      </c>
      <c r="O27">
        <f>647</f>
        <v>647</v>
      </c>
      <c r="P27">
        <f>NMRPrep[[#This Row],[Total (uL) ]]-NMRPrep[[#This Row],[Target (uL)]]</f>
        <v>0</v>
      </c>
      <c r="R27">
        <f>(NMRPrep[[#This Row],[NH4Cl Stock Concentration (mM)]]*NMRPrep[[#This Row],[ NH4Cl (uL)]])/SUM(NMRPrep[[#This Row],[DI (uL) ]:[ NH4Cl (uL)]])</f>
        <v>0</v>
      </c>
    </row>
    <row r="28" spans="1:18" x14ac:dyDescent="0.25">
      <c r="A28" s="1">
        <f>SampleList[[#This Row],[Date Sampled]]</f>
        <v>46086</v>
      </c>
      <c r="B28" t="str" cm="1">
        <f t="array" ref="B28">IF(ISBLANK(INDEX(SampleList[NMR],ROW()-1)),"Not Requested",INDEX(SampleList[Experiment ID],ROW()-1))</f>
        <v>Not Requested</v>
      </c>
      <c r="C28">
        <f>SampleList[[#This Row],[Duration (Days)]]</f>
        <v>10</v>
      </c>
      <c r="D28" t="str">
        <f>SampleList[[#This Row],[Sample Description]]</f>
        <v>300C @ 4800 PSI</v>
      </c>
      <c r="F28">
        <v>100</v>
      </c>
      <c r="G28">
        <v>24</v>
      </c>
      <c r="H28">
        <v>50</v>
      </c>
      <c r="I28">
        <v>30</v>
      </c>
      <c r="J28">
        <v>375</v>
      </c>
      <c r="K28">
        <v>68</v>
      </c>
      <c r="N28">
        <f>SUM(NMRPrep[[#This Row],[d-DMSO (uL) ]:[ NH4Cl (uL)]])</f>
        <v>647</v>
      </c>
      <c r="O28">
        <f>647</f>
        <v>647</v>
      </c>
      <c r="P28">
        <f>NMRPrep[[#This Row],[Total (uL) ]]-NMRPrep[[#This Row],[Target (uL)]]</f>
        <v>0</v>
      </c>
      <c r="R28">
        <f>(NMRPrep[[#This Row],[NH4Cl Stock Concentration (mM)]]*NMRPrep[[#This Row],[ NH4Cl (uL)]])/SUM(NMRPrep[[#This Row],[DI (uL) ]:[ NH4Cl (uL)]])</f>
        <v>0</v>
      </c>
    </row>
    <row r="29" spans="1:18" x14ac:dyDescent="0.25">
      <c r="A29" s="1">
        <f>SampleList[[#This Row],[Date Sampled]]</f>
        <v>46086</v>
      </c>
      <c r="B29" t="str" cm="1">
        <f t="array" ref="B29">IF(ISBLANK(INDEX(SampleList[NMR],ROW()-1)),"Not Requested",INDEX(SampleList[Experiment ID],ROW()-1))</f>
        <v>Not Requested</v>
      </c>
      <c r="C29">
        <f>SampleList[[#This Row],[Duration (Days)]]</f>
        <v>12</v>
      </c>
      <c r="D29" t="str">
        <f>SampleList[[#This Row],[Sample Description]]</f>
        <v>Tamarack continued W:R 5:1</v>
      </c>
      <c r="F29">
        <v>100</v>
      </c>
      <c r="G29">
        <v>24</v>
      </c>
      <c r="H29">
        <v>50</v>
      </c>
      <c r="I29">
        <v>30</v>
      </c>
      <c r="J29">
        <v>375</v>
      </c>
      <c r="K29">
        <v>68</v>
      </c>
      <c r="N29">
        <f>SUM(NMRPrep[[#This Row],[d-DMSO (uL) ]:[ NH4Cl (uL)]])</f>
        <v>647</v>
      </c>
      <c r="O29">
        <f>647</f>
        <v>647</v>
      </c>
      <c r="P29">
        <f>NMRPrep[[#This Row],[Total (uL) ]]-NMRPrep[[#This Row],[Target (uL)]]</f>
        <v>0</v>
      </c>
      <c r="R29">
        <f>(NMRPrep[[#This Row],[NH4Cl Stock Concentration (mM)]]*NMRPrep[[#This Row],[ NH4Cl (uL)]])/SUM(NMRPrep[[#This Row],[DI (uL) ]:[ NH4Cl (uL)]])</f>
        <v>0</v>
      </c>
    </row>
    <row r="30" spans="1:18" x14ac:dyDescent="0.25">
      <c r="A30" s="1">
        <f>SampleList[[#This Row],[Date Sampled]]</f>
        <v>46086</v>
      </c>
      <c r="B30" t="str" cm="1">
        <f t="array" ref="B30">IF(ISBLANK(INDEX(SampleList[NMR],ROW()-1)),"Not Requested",INDEX(SampleList[Experiment ID],ROW()-1))</f>
        <v>Not Requested</v>
      </c>
      <c r="C30">
        <f>SampleList[[#This Row],[Duration (Days)]]</f>
        <v>0</v>
      </c>
      <c r="D30" t="str">
        <f>SampleList[[#This Row],[Sample Description]]</f>
        <v>Pre-rxn brine check</v>
      </c>
      <c r="F30">
        <v>100</v>
      </c>
      <c r="G30">
        <v>24</v>
      </c>
      <c r="H30">
        <v>50</v>
      </c>
      <c r="I30">
        <v>30</v>
      </c>
      <c r="J30">
        <v>375</v>
      </c>
      <c r="K30">
        <v>68</v>
      </c>
      <c r="N30">
        <f>SUM(NMRPrep[[#This Row],[d-DMSO (uL) ]:[ NH4Cl (uL)]])</f>
        <v>647</v>
      </c>
      <c r="O30">
        <f>647</f>
        <v>647</v>
      </c>
      <c r="P30">
        <f>NMRPrep[[#This Row],[Total (uL) ]]-NMRPrep[[#This Row],[Target (uL)]]</f>
        <v>0</v>
      </c>
      <c r="R30">
        <f>(NMRPrep[[#This Row],[NH4Cl Stock Concentration (mM)]]*NMRPrep[[#This Row],[ NH4Cl (uL)]])/SUM(NMRPrep[[#This Row],[DI (uL) ]:[ NH4Cl (uL)]])</f>
        <v>0</v>
      </c>
    </row>
    <row r="31" spans="1:18" x14ac:dyDescent="0.25">
      <c r="A31" s="1">
        <f>SampleList[[#This Row],[Date Sampled]]</f>
        <v>46092</v>
      </c>
      <c r="B31" t="str" cm="1">
        <f t="array" ref="B31">IF(ISBLANK(INDEX(SampleList[NMR],ROW()-1)),"Not Requested",INDEX(SampleList[Experiment ID],ROW()-1))</f>
        <v>Not Requested</v>
      </c>
      <c r="C31">
        <f>SampleList[[#This Row],[Duration (Days)]]</f>
        <v>34</v>
      </c>
      <c r="D31" t="str">
        <f>SampleList[[#This Row],[Sample Description]]</f>
        <v>CaO Gas sample</v>
      </c>
      <c r="F31">
        <v>100</v>
      </c>
      <c r="G31">
        <v>24</v>
      </c>
      <c r="H31">
        <v>50</v>
      </c>
      <c r="I31">
        <v>30</v>
      </c>
      <c r="J31">
        <v>375</v>
      </c>
      <c r="K31">
        <v>68</v>
      </c>
      <c r="N31">
        <f>SUM(NMRPrep[[#This Row],[d-DMSO (uL) ]:[ NH4Cl (uL)]])</f>
        <v>647</v>
      </c>
      <c r="O31">
        <f>647</f>
        <v>647</v>
      </c>
      <c r="P31">
        <f>NMRPrep[[#This Row],[Total (uL) ]]-NMRPrep[[#This Row],[Target (uL)]]</f>
        <v>0</v>
      </c>
      <c r="R31">
        <f>(NMRPrep[[#This Row],[NH4Cl Stock Concentration (mM)]]*NMRPrep[[#This Row],[ NH4Cl (uL)]])/SUM(NMRPrep[[#This Row],[DI (uL) ]:[ NH4Cl (uL)]])</f>
        <v>0</v>
      </c>
    </row>
    <row r="32" spans="1:18" x14ac:dyDescent="0.25">
      <c r="A32" s="1">
        <f>SampleList[[#This Row],[Date Sampled]]</f>
        <v>46092</v>
      </c>
      <c r="B32" t="str" cm="1">
        <f t="array" ref="B32">IF(ISBLANK(INDEX(SampleList[NMR],ROW()-1)),"Not Requested",INDEX(SampleList[Experiment ID],ROW()-1))</f>
        <v>Not Requested</v>
      </c>
      <c r="C32">
        <f>SampleList[[#This Row],[Duration (Days)]]</f>
        <v>9</v>
      </c>
      <c r="D32" t="str">
        <f>SampleList[[#This Row],[Sample Description]]</f>
        <v>Flow through 300C +3 days</v>
      </c>
      <c r="F32">
        <v>100</v>
      </c>
      <c r="G32">
        <v>24</v>
      </c>
      <c r="H32">
        <v>50</v>
      </c>
      <c r="I32">
        <v>30</v>
      </c>
      <c r="J32">
        <v>375</v>
      </c>
      <c r="K32">
        <v>68</v>
      </c>
      <c r="N32">
        <f>SUM(NMRPrep[[#This Row],[d-DMSO (uL) ]:[ NH4Cl (uL)]])</f>
        <v>647</v>
      </c>
      <c r="O32">
        <f>647</f>
        <v>647</v>
      </c>
      <c r="P32">
        <f>NMRPrep[[#This Row],[Total (uL) ]]-NMRPrep[[#This Row],[Target (uL)]]</f>
        <v>0</v>
      </c>
      <c r="R32">
        <f>(NMRPrep[[#This Row],[NH4Cl Stock Concentration (mM)]]*NMRPrep[[#This Row],[ NH4Cl (uL)]])/SUM(NMRPrep[[#This Row],[DI (uL) ]:[ NH4Cl (uL)]])</f>
        <v>0</v>
      </c>
    </row>
    <row r="33" spans="1:18" x14ac:dyDescent="0.25">
      <c r="A33" s="1">
        <f>SampleList[[#This Row],[Date Sampled]]</f>
        <v>46092</v>
      </c>
      <c r="B33" t="str" cm="1">
        <f t="array" ref="B33">IF(ISBLANK(INDEX(SampleList[NMR],ROW()-1)),"Not Requested",INDEX(SampleList[Experiment ID],ROW()-1))</f>
        <v>Not Requested</v>
      </c>
      <c r="C33">
        <f>SampleList[[#This Row],[Duration (Days)]]</f>
        <v>15</v>
      </c>
      <c r="D33" t="str">
        <f>SampleList[[#This Row],[Sample Description]]</f>
        <v>Flow throughfinal sampling</v>
      </c>
      <c r="F33">
        <v>100</v>
      </c>
      <c r="G33">
        <v>24</v>
      </c>
      <c r="H33">
        <v>50</v>
      </c>
      <c r="I33">
        <v>30</v>
      </c>
      <c r="J33">
        <v>375</v>
      </c>
      <c r="K33">
        <v>68</v>
      </c>
      <c r="N33">
        <f>SUM(NMRPrep[[#This Row],[d-DMSO (uL) ]:[ NH4Cl (uL)]])</f>
        <v>647</v>
      </c>
      <c r="O33">
        <f>647</f>
        <v>647</v>
      </c>
      <c r="P33">
        <f>NMRPrep[[#This Row],[Total (uL) ]]-NMRPrep[[#This Row],[Target (uL)]]</f>
        <v>0</v>
      </c>
      <c r="R33">
        <f>(NMRPrep[[#This Row],[NH4Cl Stock Concentration (mM)]]*NMRPrep[[#This Row],[ NH4Cl (uL)]])/SUM(NMRPrep[[#This Row],[DI (uL) ]:[ NH4Cl (uL)]])</f>
        <v>0</v>
      </c>
    </row>
    <row r="34" spans="1:18" x14ac:dyDescent="0.25">
      <c r="A34" s="1">
        <f>SampleList[[#This Row],[Date Sampled]]</f>
        <v>46087</v>
      </c>
      <c r="B34" t="str" cm="1">
        <f t="array" ref="B34">IF(ISBLANK(INDEX(SampleList[NMR],ROW()-1)),"Not Requested",INDEX(SampleList[Experiment ID],ROW()-1))</f>
        <v>Not Requested</v>
      </c>
      <c r="C34">
        <f>SampleList[[#This Row],[Duration (Days)]]</f>
        <v>0</v>
      </c>
      <c r="D34" t="str">
        <f>SampleList[[#This Row],[Sample Description]]</f>
        <v>Liquid and gas sample</v>
      </c>
      <c r="F34">
        <v>100</v>
      </c>
      <c r="G34">
        <v>24</v>
      </c>
      <c r="H34">
        <v>50</v>
      </c>
      <c r="I34">
        <v>30</v>
      </c>
      <c r="J34">
        <v>375</v>
      </c>
      <c r="K34">
        <v>68</v>
      </c>
      <c r="N34">
        <f>SUM(NMRPrep[[#This Row],[d-DMSO (uL) ]:[ NH4Cl (uL)]])</f>
        <v>647</v>
      </c>
      <c r="O34">
        <f>647</f>
        <v>647</v>
      </c>
      <c r="P34">
        <f>NMRPrep[[#This Row],[Total (uL) ]]-NMRPrep[[#This Row],[Target (uL)]]</f>
        <v>0</v>
      </c>
      <c r="R34">
        <f>(NMRPrep[[#This Row],[NH4Cl Stock Concentration (mM)]]*NMRPrep[[#This Row],[ NH4Cl (uL)]])/SUM(NMRPrep[[#This Row],[DI (uL) ]:[ NH4Cl (uL)]])</f>
        <v>0</v>
      </c>
    </row>
    <row r="35" spans="1:18" x14ac:dyDescent="0.25">
      <c r="A35" s="1">
        <f>SampleList[[#This Row],[Date Sampled]]</f>
        <v>46092</v>
      </c>
      <c r="B35" t="str" cm="1">
        <f t="array" ref="B35">IF(ISBLANK(INDEX(SampleList[NMR],ROW()-1)),"Not Requested",INDEX(SampleList[Experiment ID],ROW()-1))</f>
        <v>Not Requested</v>
      </c>
      <c r="C35">
        <f>SampleList[[#This Row],[Duration (Days)]]</f>
        <v>15</v>
      </c>
      <c r="D35" t="str">
        <f>SampleList[[#This Row],[Sample Description]]</f>
        <v>Tamarack W:R 5:1, low fluid level</v>
      </c>
      <c r="F35">
        <v>100</v>
      </c>
      <c r="G35">
        <v>24</v>
      </c>
      <c r="H35">
        <v>50</v>
      </c>
      <c r="I35">
        <v>30</v>
      </c>
      <c r="J35">
        <v>375</v>
      </c>
      <c r="K35">
        <v>68</v>
      </c>
      <c r="N35">
        <f>SUM(NMRPrep[[#This Row],[d-DMSO (uL) ]:[ NH4Cl (uL)]])</f>
        <v>647</v>
      </c>
      <c r="O35">
        <f>647</f>
        <v>647</v>
      </c>
      <c r="P35">
        <f>NMRPrep[[#This Row],[Total (uL) ]]-NMRPrep[[#This Row],[Target (uL)]]</f>
        <v>0</v>
      </c>
      <c r="R35">
        <f>(NMRPrep[[#This Row],[NH4Cl Stock Concentration (mM)]]*NMRPrep[[#This Row],[ NH4Cl (uL)]])/SUM(NMRPrep[[#This Row],[DI (uL) ]:[ NH4Cl (uL)]])</f>
        <v>0</v>
      </c>
    </row>
    <row r="36" spans="1:18" x14ac:dyDescent="0.25">
      <c r="A36" s="1">
        <f>SampleList[[#This Row],[Date Sampled]]</f>
        <v>46092</v>
      </c>
      <c r="B36" t="str" cm="1">
        <f t="array" ref="B36">IF(ISBLANK(INDEX(SampleList[NMR],ROW()-1)),"Not Requested",INDEX(SampleList[Experiment ID],ROW()-1))</f>
        <v>Not Requested</v>
      </c>
      <c r="C36">
        <f>SampleList[[#This Row],[Duration (Days)]]</f>
        <v>5</v>
      </c>
      <c r="D36" t="str">
        <f>SampleList[[#This Row],[Sample Description]]</f>
        <v>Liquid and gas sample</v>
      </c>
      <c r="F36">
        <v>100</v>
      </c>
      <c r="G36">
        <v>24</v>
      </c>
      <c r="H36">
        <v>50</v>
      </c>
      <c r="I36">
        <v>30</v>
      </c>
      <c r="J36">
        <v>375</v>
      </c>
      <c r="K36">
        <v>68</v>
      </c>
      <c r="N36">
        <f>SUM(NMRPrep[[#This Row],[d-DMSO (uL) ]:[ NH4Cl (uL)]])</f>
        <v>647</v>
      </c>
      <c r="O36">
        <f>647</f>
        <v>647</v>
      </c>
      <c r="P36">
        <f>NMRPrep[[#This Row],[Total (uL) ]]-NMRPrep[[#This Row],[Target (uL)]]</f>
        <v>0</v>
      </c>
      <c r="R36">
        <f>(NMRPrep[[#This Row],[NH4Cl Stock Concentration (mM)]]*NMRPrep[[#This Row],[ NH4Cl (uL)]])/SUM(NMRPrep[[#This Row],[DI (uL) ]:[ NH4Cl (uL)]])</f>
        <v>0</v>
      </c>
    </row>
    <row r="37" spans="1:18" x14ac:dyDescent="0.25">
      <c r="A37" s="1">
        <f>SampleList[[#This Row],[Date Sampled]]</f>
        <v>46092</v>
      </c>
      <c r="B37" t="str" cm="1">
        <f t="array" ref="B37">IF(ISBLANK(INDEX(SampleList[NMR],ROW()-1)),"Not Requested",INDEX(SampleList[Experiment ID],ROW()-1))</f>
        <v>Not Requested</v>
      </c>
      <c r="C37">
        <f>SampleList[[#This Row],[Duration (Days)]]</f>
        <v>4</v>
      </c>
      <c r="D37" t="str">
        <f>SampleList[[#This Row],[Sample Description]]</f>
        <v>Tamarack W:R 1:1, low fluid level</v>
      </c>
      <c r="F37">
        <v>100</v>
      </c>
      <c r="G37">
        <v>24</v>
      </c>
      <c r="H37">
        <v>50</v>
      </c>
      <c r="I37">
        <v>30</v>
      </c>
      <c r="J37">
        <v>375</v>
      </c>
      <c r="K37">
        <v>68</v>
      </c>
      <c r="N37">
        <f>SUM(NMRPrep[[#This Row],[d-DMSO (uL) ]:[ NH4Cl (uL)]])</f>
        <v>647</v>
      </c>
      <c r="O37">
        <f>647</f>
        <v>647</v>
      </c>
      <c r="P37">
        <f>NMRPrep[[#This Row],[Total (uL) ]]-NMRPrep[[#This Row],[Target (uL)]]</f>
        <v>0</v>
      </c>
      <c r="R37">
        <f>(NMRPrep[[#This Row],[NH4Cl Stock Concentration (mM)]]*NMRPrep[[#This Row],[ NH4Cl (uL)]])/SUM(NMRPrep[[#This Row],[DI (uL) ]:[ NH4Cl (uL)]])</f>
        <v>0</v>
      </c>
    </row>
    <row r="38" spans="1:18" x14ac:dyDescent="0.25">
      <c r="A38" s="1">
        <f>SampleList[[#This Row],[Date Sampled]]</f>
        <v>46099</v>
      </c>
      <c r="B38" t="str" cm="1">
        <f t="array" ref="B38">IF(ISBLANK(INDEX(SampleList[NMR],ROW()-1)),"Not Requested",INDEX(SampleList[Experiment ID],ROW()-1))</f>
        <v>HPHT_103</v>
      </c>
      <c r="C38">
        <f>SampleList[[#This Row],[Duration (Days)]]</f>
        <v>0</v>
      </c>
      <c r="D38" t="str">
        <f>SampleList[[#This Row],[Sample Description]]</f>
        <v>Pre-rxn brine check</v>
      </c>
      <c r="F38">
        <v>100</v>
      </c>
      <c r="G38">
        <v>24</v>
      </c>
      <c r="H38">
        <v>50</v>
      </c>
      <c r="I38">
        <v>30</v>
      </c>
      <c r="J38">
        <v>375</v>
      </c>
      <c r="K38">
        <v>68</v>
      </c>
      <c r="N38">
        <f>SUM(NMRPrep[[#This Row],[d-DMSO (uL) ]:[ NH4Cl (uL)]])</f>
        <v>647</v>
      </c>
      <c r="O38">
        <f>647</f>
        <v>647</v>
      </c>
      <c r="P38">
        <f>NMRPrep[[#This Row],[Total (uL) ]]-NMRPrep[[#This Row],[Target (uL)]]</f>
        <v>0</v>
      </c>
      <c r="R38">
        <f>(NMRPrep[[#This Row],[NH4Cl Stock Concentration (mM)]]*NMRPrep[[#This Row],[ NH4Cl (uL)]])/SUM(NMRPrep[[#This Row],[DI (uL) ]:[ NH4Cl (uL)]])</f>
        <v>0</v>
      </c>
    </row>
    <row r="39" spans="1:18" x14ac:dyDescent="0.25">
      <c r="A39" s="1">
        <f>SampleList[[#This Row],[Date Sampled]]</f>
        <v>46099</v>
      </c>
      <c r="B39" t="str" cm="1">
        <f t="array" ref="B39">IF(ISBLANK(INDEX(SampleList[NMR],ROW()-1)),"Not Requested",INDEX(SampleList[Experiment ID],ROW()-1))</f>
        <v>HPHT_104</v>
      </c>
      <c r="C39">
        <f>SampleList[[#This Row],[Duration (Days)]]</f>
        <v>0</v>
      </c>
      <c r="D39" t="str">
        <f>SampleList[[#This Row],[Sample Description]]</f>
        <v>Pre-rxn brine check</v>
      </c>
      <c r="F39">
        <v>100</v>
      </c>
      <c r="G39">
        <v>24</v>
      </c>
      <c r="H39">
        <v>50</v>
      </c>
      <c r="I39">
        <v>30</v>
      </c>
      <c r="J39">
        <v>375</v>
      </c>
      <c r="K39">
        <v>68</v>
      </c>
      <c r="N39">
        <f>SUM(NMRPrep[[#This Row],[d-DMSO (uL) ]:[ NH4Cl (uL)]])</f>
        <v>647</v>
      </c>
      <c r="O39">
        <f>647</f>
        <v>647</v>
      </c>
      <c r="P39">
        <f>NMRPrep[[#This Row],[Total (uL) ]]-NMRPrep[[#This Row],[Target (uL)]]</f>
        <v>0</v>
      </c>
      <c r="R39">
        <f>(NMRPrep[[#This Row],[NH4Cl Stock Concentration (mM)]]*NMRPrep[[#This Row],[ NH4Cl (uL)]])/SUM(NMRPrep[[#This Row],[DI (uL) ]:[ NH4Cl (uL)]])</f>
        <v>0</v>
      </c>
    </row>
    <row r="40" spans="1:18" x14ac:dyDescent="0.25">
      <c r="A40" s="1">
        <f>SampleList[[#This Row],[Date Sampled]]</f>
        <v>46097</v>
      </c>
      <c r="B40" t="str" cm="1">
        <f t="array" ref="B40">IF(ISBLANK(INDEX(SampleList[NMR],ROW()-1)),"Not Requested",INDEX(SampleList[Experiment ID],ROW()-1))</f>
        <v>HPHT_096</v>
      </c>
      <c r="C40">
        <f>SampleList[[#This Row],[Duration (Days)]]</f>
        <v>10</v>
      </c>
      <c r="D40" t="str">
        <f>SampleList[[#This Row],[Sample Description]]</f>
        <v>NMR tube 10 from 3/16/26</v>
      </c>
      <c r="F40">
        <v>100</v>
      </c>
      <c r="G40">
        <v>24</v>
      </c>
      <c r="H40">
        <v>50</v>
      </c>
      <c r="I40">
        <v>30</v>
      </c>
      <c r="J40">
        <v>375</v>
      </c>
      <c r="K40">
        <v>68</v>
      </c>
      <c r="N40">
        <f>SUM(NMRPrep[[#This Row],[d-DMSO (uL) ]:[ NH4Cl (uL)]])</f>
        <v>647</v>
      </c>
      <c r="O40">
        <f>647</f>
        <v>647</v>
      </c>
      <c r="P40">
        <f>NMRPrep[[#This Row],[Total (uL) ]]-NMRPrep[[#This Row],[Target (uL)]]</f>
        <v>0</v>
      </c>
      <c r="R40">
        <f>(NMRPrep[[#This Row],[NH4Cl Stock Concentration (mM)]]*NMRPrep[[#This Row],[ NH4Cl (uL)]])/SUM(NMRPrep[[#This Row],[DI (uL) ]:[ NH4Cl (uL)]])</f>
        <v>0</v>
      </c>
    </row>
    <row r="41" spans="1:18" x14ac:dyDescent="0.25">
      <c r="A41" s="1">
        <f>SampleList[[#This Row],[Date Sampled]]</f>
        <v>46099</v>
      </c>
      <c r="B41" t="str" cm="1">
        <f t="array" ref="B41">IF(ISBLANK(INDEX(SampleList[NMR],ROW()-1)),"Not Requested",INDEX(SampleList[Experiment ID],ROW()-1))</f>
        <v>NMR Standard</v>
      </c>
      <c r="C41">
        <f>SampleList[[#This Row],[Duration (Days)]]</f>
        <v>0</v>
      </c>
      <c r="D41" t="str">
        <f>SampleList[[#This Row],[Sample Description]]</f>
        <v>NH4 Standard NMR</v>
      </c>
      <c r="F41">
        <v>100</v>
      </c>
      <c r="G41">
        <v>24</v>
      </c>
      <c r="H41">
        <v>50</v>
      </c>
      <c r="I41">
        <v>30</v>
      </c>
      <c r="J41">
        <v>293</v>
      </c>
      <c r="K41">
        <v>0</v>
      </c>
      <c r="L41">
        <v>150</v>
      </c>
      <c r="N41">
        <f>SUM(NMRPrep[[#This Row],[d-DMSO (uL) ]:[ NH4Cl (uL)]])</f>
        <v>647</v>
      </c>
      <c r="O41">
        <f>647</f>
        <v>647</v>
      </c>
      <c r="P41">
        <f>NMRPrep[[#This Row],[Total (uL) ]]-NMRPrep[[#This Row],[Target (uL)]]</f>
        <v>0</v>
      </c>
      <c r="R41">
        <f>(NMRPrep[[#This Row],[NH4Cl Stock Concentration (mM)]]*NMRPrep[[#This Row],[ NH4Cl (uL)]])/SUM(NMRPrep[[#This Row],[DI (uL) ]:[ NH4Cl (uL)]])</f>
        <v>0</v>
      </c>
    </row>
    <row r="42" spans="1:18" x14ac:dyDescent="0.25">
      <c r="A42" s="1">
        <f>SampleList[[#This Row],[Date Sampled]]</f>
        <v>46099</v>
      </c>
      <c r="B42" t="str" cm="1">
        <f t="array" ref="B42">IF(ISBLANK(INDEX(SampleList[NMR],ROW()-1)),"Not Requested",INDEX(SampleList[Experiment ID],ROW()-1))</f>
        <v>HPHT_070_Desorption</v>
      </c>
      <c r="C42">
        <f>SampleList[[#This Row],[Duration (Days)]]</f>
        <v>5</v>
      </c>
      <c r="D42" t="str">
        <f>SampleList[[#This Row],[Sample Description]]</f>
        <v>Desorption test</v>
      </c>
      <c r="F42">
        <v>100</v>
      </c>
      <c r="G42">
        <v>24</v>
      </c>
      <c r="H42">
        <v>50</v>
      </c>
      <c r="I42">
        <v>30</v>
      </c>
      <c r="J42">
        <v>375</v>
      </c>
      <c r="K42">
        <v>68</v>
      </c>
      <c r="N42">
        <f>SUM(NMRPrep[[#This Row],[d-DMSO (uL) ]:[ NH4Cl (uL)]])</f>
        <v>647</v>
      </c>
      <c r="O42">
        <f>647</f>
        <v>647</v>
      </c>
      <c r="P42">
        <f>NMRPrep[[#This Row],[Total (uL) ]]-NMRPrep[[#This Row],[Target (uL)]]</f>
        <v>0</v>
      </c>
      <c r="R42">
        <f>(NMRPrep[[#This Row],[NH4Cl Stock Concentration (mM)]]*NMRPrep[[#This Row],[ NH4Cl (uL)]])/SUM(NMRPrep[[#This Row],[DI (uL) ]:[ NH4Cl (uL)]])</f>
        <v>0</v>
      </c>
    </row>
    <row r="43" spans="1:18" x14ac:dyDescent="0.25">
      <c r="A43" s="1">
        <f>SampleList[[#This Row],[Date Sampled]]</f>
        <v>46100</v>
      </c>
      <c r="B43" t="str" cm="1">
        <f t="array" ref="B43">IF(ISBLANK(INDEX(SampleList[NMR],ROW()-1)),"Not Requested",INDEX(SampleList[Experiment ID],ROW()-1))</f>
        <v>HPHT_089</v>
      </c>
      <c r="C43">
        <f>SampleList[[#This Row],[Duration (Days)]]</f>
        <v>3</v>
      </c>
      <c r="D43" t="str">
        <f>SampleList[[#This Row],[Sample Description]]</f>
        <v>Liquid and Gas sample</v>
      </c>
      <c r="E43">
        <v>1</v>
      </c>
      <c r="F43">
        <v>100</v>
      </c>
      <c r="G43">
        <v>24</v>
      </c>
      <c r="H43">
        <v>50</v>
      </c>
      <c r="I43">
        <v>30</v>
      </c>
      <c r="J43">
        <v>375</v>
      </c>
      <c r="K43">
        <v>68</v>
      </c>
      <c r="N43">
        <f>SUM(NMRPrep[[#This Row],[d-DMSO (uL) ]:[ NH4Cl (uL)]])</f>
        <v>647</v>
      </c>
      <c r="O43">
        <f>647</f>
        <v>647</v>
      </c>
      <c r="P43">
        <f>NMRPrep[[#This Row],[Total (uL) ]]-NMRPrep[[#This Row],[Target (uL)]]</f>
        <v>0</v>
      </c>
      <c r="R43">
        <f>(NMRPrep[[#This Row],[NH4Cl Stock Concentration (mM)]]*NMRPrep[[#This Row],[ NH4Cl (uL)]])/SUM(NMRPrep[[#This Row],[DI (uL) ]:[ NH4Cl (uL)]])</f>
        <v>0</v>
      </c>
    </row>
    <row r="44" spans="1:18" x14ac:dyDescent="0.25">
      <c r="A44" s="1">
        <f>SampleList[[#This Row],[Date Sampled]]</f>
        <v>46100</v>
      </c>
      <c r="B44" t="str" cm="1">
        <f t="array" ref="B44">IF(ISBLANK(INDEX(SampleList[NMR],ROW()-1)),"Not Requested",INDEX(SampleList[Experiment ID],ROW()-1))</f>
        <v>HPHT_096</v>
      </c>
      <c r="C44">
        <f>SampleList[[#This Row],[Duration (Days)]]</f>
        <v>13</v>
      </c>
      <c r="D44" t="str">
        <f>SampleList[[#This Row],[Sample Description]]</f>
        <v>Liquid and Gas sample</v>
      </c>
      <c r="E44">
        <v>2</v>
      </c>
      <c r="F44">
        <v>100</v>
      </c>
      <c r="G44">
        <v>24</v>
      </c>
      <c r="H44">
        <v>50</v>
      </c>
      <c r="I44">
        <v>30</v>
      </c>
      <c r="J44">
        <v>375</v>
      </c>
      <c r="K44">
        <v>68</v>
      </c>
      <c r="N44">
        <f>SUM(NMRPrep[[#This Row],[d-DMSO (uL) ]:[ NH4Cl (uL)]])</f>
        <v>647</v>
      </c>
      <c r="O44">
        <f>647</f>
        <v>647</v>
      </c>
      <c r="P44">
        <f>NMRPrep[[#This Row],[Total (uL) ]]-NMRPrep[[#This Row],[Target (uL)]]</f>
        <v>0</v>
      </c>
      <c r="R44">
        <f>(NMRPrep[[#This Row],[NH4Cl Stock Concentration (mM)]]*NMRPrep[[#This Row],[ NH4Cl (uL)]])/SUM(NMRPrep[[#This Row],[DI (uL) ]:[ NH4Cl (uL)]])</f>
        <v>0</v>
      </c>
    </row>
    <row r="45" spans="1:18" x14ac:dyDescent="0.25">
      <c r="A45" s="1">
        <f>SampleList[[#This Row],[Date Sampled]]</f>
        <v>46100</v>
      </c>
      <c r="B45" t="str" cm="1">
        <f t="array" ref="B45">IF(ISBLANK(INDEX(SampleList[NMR],ROW()-1)),"Not Requested",INDEX(SampleList[Experiment ID],ROW()-1))</f>
        <v>Not Requested</v>
      </c>
      <c r="C45">
        <f>SampleList[[#This Row],[Duration (Days)]]</f>
        <v>42</v>
      </c>
      <c r="D45" t="str">
        <f>SampleList[[#This Row],[Sample Description]]</f>
        <v>Gas sample</v>
      </c>
      <c r="N45">
        <f>SUM(NMRPrep[[#This Row],[d-DMSO (uL) ]:[ NH4Cl (uL)]])</f>
        <v>0</v>
      </c>
      <c r="O45">
        <f>647</f>
        <v>647</v>
      </c>
      <c r="P45">
        <f>NMRPrep[[#This Row],[Total (uL) ]]-NMRPrep[[#This Row],[Target (uL)]]</f>
        <v>-647</v>
      </c>
      <c r="R45" t="e">
        <f>(NMRPrep[[#This Row],[NH4Cl Stock Concentration (mM)]]*NMRPrep[[#This Row],[ NH4Cl (uL)]])/SUM(NMRPrep[[#This Row],[DI (uL) ]:[ NH4Cl (uL)]])</f>
        <v>#DIV/0!</v>
      </c>
    </row>
    <row r="46" spans="1:18" x14ac:dyDescent="0.25">
      <c r="A46" s="1">
        <f>SampleList[[#This Row],[Date Sampled]]</f>
        <v>46101</v>
      </c>
      <c r="B46" t="str" cm="1">
        <f t="array" ref="B46">IF(ISBLANK(INDEX(SampleList[NMR],ROW()-1)),"Not Requested",INDEX(SampleList[Experiment ID],ROW()-1))</f>
        <v>HPHT_097</v>
      </c>
      <c r="C46">
        <f>SampleList[[#This Row],[Duration (Days)]]</f>
        <v>8</v>
      </c>
      <c r="D46" t="str">
        <f>SampleList[[#This Row],[Sample Description]]</f>
        <v>Liquid sample</v>
      </c>
      <c r="E46">
        <v>3</v>
      </c>
      <c r="F46">
        <v>100</v>
      </c>
      <c r="G46">
        <v>24</v>
      </c>
      <c r="H46">
        <v>50</v>
      </c>
      <c r="I46">
        <v>30</v>
      </c>
      <c r="J46">
        <v>375</v>
      </c>
      <c r="K46">
        <v>68</v>
      </c>
      <c r="N46">
        <f>SUM(NMRPrep[[#This Row],[d-DMSO (uL) ]:[ NH4Cl (uL)]])</f>
        <v>647</v>
      </c>
      <c r="O46">
        <f>647</f>
        <v>647</v>
      </c>
      <c r="P46">
        <f>NMRPrep[[#This Row],[Total (uL) ]]-NMRPrep[[#This Row],[Target (uL)]]</f>
        <v>0</v>
      </c>
      <c r="R46">
        <f>(NMRPrep[[#This Row],[NH4Cl Stock Concentration (mM)]]*NMRPrep[[#This Row],[ NH4Cl (uL)]])/SUM(NMRPrep[[#This Row],[DI (uL) ]:[ NH4Cl (uL)]])</f>
        <v>0</v>
      </c>
    </row>
    <row r="47" spans="1:18" x14ac:dyDescent="0.25">
      <c r="A47" s="1">
        <f>SampleList[[#This Row],[Date Sampled]]</f>
        <v>46101</v>
      </c>
      <c r="B47" t="str" cm="1">
        <f t="array" ref="B47">IF(ISBLANK(INDEX(SampleList[NMR],ROW()-1)),"Not Requested",INDEX(SampleList[Experiment ID],ROW()-1))</f>
        <v>HPHT_105</v>
      </c>
      <c r="C47">
        <f>SampleList[[#This Row],[Duration (Days)]]</f>
        <v>3</v>
      </c>
      <c r="D47" t="str">
        <f>SampleList[[#This Row],[Sample Description]]</f>
        <v>Liquid and Gas sample</v>
      </c>
      <c r="E47">
        <v>4</v>
      </c>
      <c r="F47">
        <v>100</v>
      </c>
      <c r="G47">
        <v>24</v>
      </c>
      <c r="H47">
        <v>50</v>
      </c>
      <c r="I47">
        <v>30</v>
      </c>
      <c r="J47">
        <v>375</v>
      </c>
      <c r="K47">
        <v>68</v>
      </c>
      <c r="N47">
        <f>SUM(NMRPrep[[#This Row],[d-DMSO (uL) ]:[ NH4Cl (uL)]])</f>
        <v>647</v>
      </c>
      <c r="O47">
        <f>647</f>
        <v>647</v>
      </c>
      <c r="P47">
        <f>NMRPrep[[#This Row],[Total (uL) ]]-NMRPrep[[#This Row],[Target (uL)]]</f>
        <v>0</v>
      </c>
      <c r="R47">
        <f>(NMRPrep[[#This Row],[NH4Cl Stock Concentration (mM)]]*NMRPrep[[#This Row],[ NH4Cl (uL)]])/SUM(NMRPrep[[#This Row],[DI (uL) ]:[ NH4Cl (uL)]])</f>
        <v>0</v>
      </c>
    </row>
    <row r="48" spans="1:18" x14ac:dyDescent="0.25">
      <c r="A48" s="1">
        <f>SampleList[[#This Row],[Date Sampled]]</f>
        <v>46101</v>
      </c>
      <c r="B48" t="str" cm="1">
        <f t="array" ref="B48">IF(ISBLANK(INDEX(SampleList[NMR],ROW()-1)),"Not Requested",INDEX(SampleList[Experiment ID],ROW()-1))</f>
        <v>150uL NMR Standard</v>
      </c>
      <c r="C48">
        <f>SampleList[[#This Row],[Duration (Days)]]</f>
        <v>0</v>
      </c>
      <c r="D48" t="str">
        <f>SampleList[[#This Row],[Sample Description]]</f>
        <v>150uL 1mM NH4Cl</v>
      </c>
      <c r="E48">
        <v>5</v>
      </c>
      <c r="F48">
        <v>100</v>
      </c>
      <c r="G48">
        <v>24</v>
      </c>
      <c r="H48">
        <v>50</v>
      </c>
      <c r="I48">
        <v>30</v>
      </c>
      <c r="J48">
        <v>293</v>
      </c>
      <c r="K48">
        <v>0</v>
      </c>
      <c r="L48">
        <v>150</v>
      </c>
      <c r="N48">
        <f>SUM(NMRPrep[[#This Row],[d-DMSO (uL) ]:[ NH4Cl (uL)]])</f>
        <v>647</v>
      </c>
      <c r="O48">
        <f>647</f>
        <v>647</v>
      </c>
      <c r="P48">
        <f>NMRPrep[[#This Row],[Total (uL) ]]-NMRPrep[[#This Row],[Target (uL)]]</f>
        <v>0</v>
      </c>
      <c r="R48">
        <f>(NMRPrep[[#This Row],[NH4Cl Stock Concentration (mM)]]*NMRPrep[[#This Row],[ NH4Cl (uL)]])/SUM(NMRPrep[[#This Row],[DI (uL) ]:[ NH4Cl (uL)]])</f>
        <v>0</v>
      </c>
    </row>
    <row r="49" spans="1:18" x14ac:dyDescent="0.25">
      <c r="A49" s="1">
        <f>SampleList[[#This Row],[Date Sampled]]</f>
        <v>46104</v>
      </c>
      <c r="B49" t="str" cm="1">
        <f t="array" ref="B49">IF(ISBLANK(INDEX(SampleList[NMR],ROW()-1)),"Not Requested",INDEX(SampleList[Experiment ID],ROW()-1))</f>
        <v>HPHT_096</v>
      </c>
      <c r="C49">
        <f>SampleList[[#This Row],[Duration (Days)]]</f>
        <v>17</v>
      </c>
      <c r="D49" t="str">
        <f>SampleList[[#This Row],[Sample Description]]</f>
        <v>Liquid and gas sample, +450mg Pd</v>
      </c>
      <c r="N49">
        <f>SUM(NMRPrep[[#This Row],[d-DMSO (uL) ]:[ NH4Cl (uL)]])</f>
        <v>0</v>
      </c>
      <c r="O49">
        <f>647</f>
        <v>647</v>
      </c>
      <c r="P49">
        <f>NMRPrep[[#This Row],[Total (uL) ]]-NMRPrep[[#This Row],[Target (uL)]]</f>
        <v>-647</v>
      </c>
      <c r="R49" t="e">
        <f>(NMRPrep[[#This Row],[NH4Cl Stock Concentration (mM)]]*NMRPrep[[#This Row],[ NH4Cl (uL)]])/SUM(NMRPrep[[#This Row],[DI (uL) ]:[ NH4Cl (uL)]])</f>
        <v>#DIV/0!</v>
      </c>
    </row>
    <row r="50" spans="1:18" x14ac:dyDescent="0.25">
      <c r="A50" s="1">
        <f>SampleList[[#This Row],[Date Sampled]]</f>
        <v>46104</v>
      </c>
      <c r="B50" t="str" cm="1">
        <f t="array" ref="B50">IF(ISBLANK(INDEX(SampleList[NMR],ROW()-1)),"Not Requested",INDEX(SampleList[Experiment ID],ROW()-1))</f>
        <v>HPHT_089</v>
      </c>
      <c r="C50">
        <f>SampleList[[#This Row],[Duration (Days)]]</f>
        <v>7</v>
      </c>
      <c r="D50" t="str">
        <f>SampleList[[#This Row],[Sample Description]]</f>
        <v>Liquid and gas sample, pH adjust</v>
      </c>
      <c r="N50">
        <f>SUM(NMRPrep[[#This Row],[d-DMSO (uL) ]:[ NH4Cl (uL)]])</f>
        <v>0</v>
      </c>
      <c r="O50">
        <f>647</f>
        <v>647</v>
      </c>
      <c r="P50">
        <f>NMRPrep[[#This Row],[Total (uL) ]]-NMRPrep[[#This Row],[Target (uL)]]</f>
        <v>-647</v>
      </c>
      <c r="R50" t="e">
        <f>(NMRPrep[[#This Row],[NH4Cl Stock Concentration (mM)]]*NMRPrep[[#This Row],[ NH4Cl (uL)]])/SUM(NMRPrep[[#This Row],[DI (uL) ]:[ NH4Cl (uL)]])</f>
        <v>#DIV/0!</v>
      </c>
    </row>
    <row r="51" spans="1:18" x14ac:dyDescent="0.25">
      <c r="A51" s="1">
        <f>SampleList[[#This Row],[Date Sampled]]</f>
        <v>46104</v>
      </c>
      <c r="B51" t="str" cm="1">
        <f t="array" ref="B51">IF(ISBLANK(INDEX(SampleList[NMR],ROW()-1)),"Not Requested",INDEX(SampleList[Experiment ID],ROW()-1))</f>
        <v>Not Requested</v>
      </c>
      <c r="C51">
        <f>SampleList[[#This Row],[Duration (Days)]]</f>
        <v>46</v>
      </c>
      <c r="D51" t="str">
        <f>SampleList[[#This Row],[Sample Description]]</f>
        <v>Gas sample only</v>
      </c>
      <c r="N51">
        <f>SUM(NMRPrep[[#This Row],[d-DMSO (uL) ]:[ NH4Cl (uL)]])</f>
        <v>0</v>
      </c>
      <c r="O51">
        <f>647</f>
        <v>647</v>
      </c>
      <c r="P51">
        <f>NMRPrep[[#This Row],[Total (uL) ]]-NMRPrep[[#This Row],[Target (uL)]]</f>
        <v>-647</v>
      </c>
      <c r="R51" t="e">
        <f>(NMRPrep[[#This Row],[NH4Cl Stock Concentration (mM)]]*NMRPrep[[#This Row],[ NH4Cl (uL)]])/SUM(NMRPrep[[#This Row],[DI (uL) ]:[ NH4Cl (uL)]])</f>
        <v>#DIV/0!</v>
      </c>
    </row>
    <row r="52" spans="1:18" x14ac:dyDescent="0.25">
      <c r="A52" s="1">
        <f>SampleList[[#This Row],[Date Sampled]]</f>
        <v>46104</v>
      </c>
      <c r="B52" t="str" cm="1">
        <f t="array" ref="B52">IF(ISBLANK(INDEX(SampleList[NMR],ROW()-1)),"Not Requested",INDEX(SampleList[Experiment ID],ROW()-1))</f>
        <v>HPHT_097</v>
      </c>
      <c r="C52">
        <f>SampleList[[#This Row],[Duration (Days)]]</f>
        <v>11</v>
      </c>
      <c r="D52" t="str">
        <f>SampleList[[#This Row],[Sample Description]]</f>
        <v>Liquid and gas sample, pH adjust</v>
      </c>
      <c r="N52">
        <f>SUM(NMRPrep[[#This Row],[d-DMSO (uL) ]:[ NH4Cl (uL)]])</f>
        <v>0</v>
      </c>
      <c r="O52">
        <f>647</f>
        <v>647</v>
      </c>
      <c r="P52">
        <f>NMRPrep[[#This Row],[Total (uL) ]]-NMRPrep[[#This Row],[Target (uL)]]</f>
        <v>-647</v>
      </c>
      <c r="R52" t="e">
        <f>(NMRPrep[[#This Row],[NH4Cl Stock Concentration (mM)]]*NMRPrep[[#This Row],[ NH4Cl (uL)]])/SUM(NMRPrep[[#This Row],[DI (uL) ]:[ NH4Cl (uL)]])</f>
        <v>#DIV/0!</v>
      </c>
    </row>
    <row r="53" spans="1:18" x14ac:dyDescent="0.25">
      <c r="A53" s="1">
        <f>SampleList[[#This Row],[Date Sampled]]</f>
        <v>46104</v>
      </c>
      <c r="B53" t="str" cm="1">
        <f t="array" ref="B53">IF(ISBLANK(INDEX(SampleList[NMR],ROW()-1)),"Not Requested",INDEX(SampleList[Experiment ID],ROW()-1))</f>
        <v>HPHT_103</v>
      </c>
      <c r="C53">
        <f>SampleList[[#This Row],[Duration (Days)]]</f>
        <v>3</v>
      </c>
      <c r="D53" t="str">
        <f>SampleList[[#This Row],[Sample Description]]</f>
        <v>Liquid sample only</v>
      </c>
      <c r="N53">
        <f>SUM(NMRPrep[[#This Row],[d-DMSO (uL) ]:[ NH4Cl (uL)]])</f>
        <v>0</v>
      </c>
      <c r="O53">
        <f>647</f>
        <v>647</v>
      </c>
      <c r="P53">
        <f>NMRPrep[[#This Row],[Total (uL) ]]-NMRPrep[[#This Row],[Target (uL)]]</f>
        <v>-647</v>
      </c>
      <c r="R53" t="e">
        <f>(NMRPrep[[#This Row],[NH4Cl Stock Concentration (mM)]]*NMRPrep[[#This Row],[ NH4Cl (uL)]])/SUM(NMRPrep[[#This Row],[DI (uL) ]:[ NH4Cl (uL)]])</f>
        <v>#DIV/0!</v>
      </c>
    </row>
    <row r="54" spans="1:18" x14ac:dyDescent="0.25">
      <c r="A54" s="1">
        <f>SampleList[[#This Row],[Date Sampled]]</f>
        <v>46104</v>
      </c>
      <c r="B54" t="str" cm="1">
        <f t="array" ref="B54">IF(ISBLANK(INDEX(SampleList[NMR],ROW()-1)),"Not Requested",INDEX(SampleList[Experiment ID],ROW()-1))</f>
        <v>HPHT_104</v>
      </c>
      <c r="C54">
        <f>SampleList[[#This Row],[Duration (Days)]]</f>
        <v>3</v>
      </c>
      <c r="D54" t="str">
        <f>SampleList[[#This Row],[Sample Description]]</f>
        <v>Liquid sample only</v>
      </c>
      <c r="N54">
        <f>SUM(NMRPrep[[#This Row],[d-DMSO (uL) ]:[ NH4Cl (uL)]])</f>
        <v>0</v>
      </c>
      <c r="O54">
        <f>647</f>
        <v>647</v>
      </c>
      <c r="P54">
        <f>NMRPrep[[#This Row],[Total (uL) ]]-NMRPrep[[#This Row],[Target (uL)]]</f>
        <v>-647</v>
      </c>
      <c r="R54" t="e">
        <f>(NMRPrep[[#This Row],[NH4Cl Stock Concentration (mM)]]*NMRPrep[[#This Row],[ NH4Cl (uL)]])/SUM(NMRPrep[[#This Row],[DI (uL) ]:[ NH4Cl (uL)]])</f>
        <v>#DIV/0!</v>
      </c>
    </row>
    <row r="55" spans="1:18" x14ac:dyDescent="0.25">
      <c r="A55" s="1">
        <f>SampleList[[#This Row],[Date Sampled]]</f>
        <v>46104</v>
      </c>
      <c r="B55" t="str" cm="1">
        <f t="array" ref="B55">IF(ISBLANK(INDEX(SampleList[NMR],ROW()-1)),"Not Requested",INDEX(SampleList[Experiment ID],ROW()-1))</f>
        <v>HPHT_107</v>
      </c>
      <c r="C55">
        <f>SampleList[[#This Row],[Duration (Days)]]</f>
        <v>3</v>
      </c>
      <c r="D55" t="str">
        <f>SampleList[[#This Row],[Sample Description]]</f>
        <v>Liquid and gas sample</v>
      </c>
      <c r="N55">
        <f>SUM(NMRPrep[[#This Row],[d-DMSO (uL) ]:[ NH4Cl (uL)]])</f>
        <v>0</v>
      </c>
      <c r="O55">
        <f>647</f>
        <v>647</v>
      </c>
      <c r="P55">
        <f>NMRPrep[[#This Row],[Total (uL) ]]-NMRPrep[[#This Row],[Target (uL)]]</f>
        <v>-647</v>
      </c>
      <c r="R55" t="e">
        <f>(NMRPrep[[#This Row],[NH4Cl Stock Concentration (mM)]]*NMRPrep[[#This Row],[ NH4Cl (uL)]])/SUM(NMRPrep[[#This Row],[DI (uL) ]:[ NH4Cl (uL)]])</f>
        <v>#DIV/0!</v>
      </c>
    </row>
    <row r="56" spans="1:18" x14ac:dyDescent="0.25">
      <c r="A56" s="1">
        <f>SampleList[[#This Row],[Date Sampled]]</f>
        <v>0</v>
      </c>
      <c r="B56" t="str" cm="1">
        <f t="array" ref="B56">IF(ISBLANK(INDEX(SampleList[NMR],ROW()-1)),"Not Requested",INDEX(SampleList[Experiment ID],ROW()-1))</f>
        <v>Not Requested</v>
      </c>
      <c r="C56">
        <f>SampleList[[#This Row],[Duration (Days)]]</f>
        <v>0</v>
      </c>
      <c r="D56">
        <f>SampleList[[#This Row],[Sample Description]]</f>
        <v>0</v>
      </c>
      <c r="N56">
        <f>SUM(NMRPrep[[#This Row],[d-DMSO (uL) ]:[ NH4Cl (uL)]])</f>
        <v>0</v>
      </c>
      <c r="O56">
        <f>647</f>
        <v>647</v>
      </c>
      <c r="P56">
        <f>NMRPrep[[#This Row],[Total (uL) ]]-NMRPrep[[#This Row],[Target (uL)]]</f>
        <v>-647</v>
      </c>
      <c r="R56" t="e">
        <f>(NMRPrep[[#This Row],[NH4Cl Stock Concentration (mM)]]*NMRPrep[[#This Row],[ NH4Cl (uL)]])/SUM(NMRPrep[[#This Row],[DI (uL) ]:[ NH4Cl (uL)]])</f>
        <v>#DIV/0!</v>
      </c>
    </row>
    <row r="57" spans="1:18" x14ac:dyDescent="0.25">
      <c r="A57" s="1">
        <f>SampleList[[#This Row],[Date Sampled]]</f>
        <v>0</v>
      </c>
      <c r="B57" t="str" cm="1">
        <f t="array" ref="B57">IF(ISBLANK(INDEX(SampleList[NMR],ROW()-1)),"Not Requested",INDEX(SampleList[Experiment ID],ROW()-1))</f>
        <v>Not Requested</v>
      </c>
      <c r="C57">
        <f>SampleList[[#This Row],[Duration (Days)]]</f>
        <v>0</v>
      </c>
      <c r="D57">
        <f>SampleList[[#This Row],[Sample Description]]</f>
        <v>0</v>
      </c>
      <c r="N57">
        <f>SUM(NMRPrep[[#This Row],[d-DMSO (uL) ]:[ NH4Cl (uL)]])</f>
        <v>0</v>
      </c>
      <c r="O57">
        <f>647</f>
        <v>647</v>
      </c>
      <c r="P57">
        <f>NMRPrep[[#This Row],[Total (uL) ]]-NMRPrep[[#This Row],[Target (uL)]]</f>
        <v>-647</v>
      </c>
      <c r="R57" t="e">
        <f>(NMRPrep[[#This Row],[NH4Cl Stock Concentration (mM)]]*NMRPrep[[#This Row],[ NH4Cl (uL)]])/SUM(NMRPrep[[#This Row],[DI (uL) ]:[ NH4Cl (uL)]])</f>
        <v>#DIV/0!</v>
      </c>
    </row>
    <row r="58" spans="1:18" x14ac:dyDescent="0.25">
      <c r="A58" s="1">
        <f>SampleList[[#This Row],[Date Sampled]]</f>
        <v>0</v>
      </c>
      <c r="B58" t="str" cm="1">
        <f t="array" ref="B58">IF(ISBLANK(INDEX(SampleList[NMR],ROW()-1)),"Not Requested",INDEX(SampleList[Experiment ID],ROW()-1))</f>
        <v>Not Requested</v>
      </c>
      <c r="C58">
        <f>SampleList[[#This Row],[Duration (Days)]]</f>
        <v>0</v>
      </c>
      <c r="D58">
        <f>SampleList[[#This Row],[Sample Description]]</f>
        <v>0</v>
      </c>
      <c r="N58">
        <f>SUM(NMRPrep[[#This Row],[d-DMSO (uL) ]:[ NH4Cl (uL)]])</f>
        <v>0</v>
      </c>
      <c r="O58">
        <f>647</f>
        <v>647</v>
      </c>
      <c r="P58">
        <f>NMRPrep[[#This Row],[Total (uL) ]]-NMRPrep[[#This Row],[Target (uL)]]</f>
        <v>-647</v>
      </c>
      <c r="R58" t="e">
        <f>(NMRPrep[[#This Row],[NH4Cl Stock Concentration (mM)]]*NMRPrep[[#This Row],[ NH4Cl (uL)]])/SUM(NMRPrep[[#This Row],[DI (uL) ]:[ NH4Cl (uL)]])</f>
        <v>#DIV/0!</v>
      </c>
    </row>
    <row r="59" spans="1:18" x14ac:dyDescent="0.25">
      <c r="A59" s="1">
        <f>SampleList[[#This Row],[Date Sampled]]</f>
        <v>0</v>
      </c>
      <c r="B59" t="str" cm="1">
        <f t="array" ref="B59">IF(ISBLANK(INDEX(SampleList[NMR],ROW()-1)),"Not Requested",INDEX(SampleList[Experiment ID],ROW()-1))</f>
        <v>Not Requested</v>
      </c>
      <c r="C59">
        <f>SampleList[[#This Row],[Duration (Days)]]</f>
        <v>0</v>
      </c>
      <c r="D59">
        <f>SampleList[[#This Row],[Sample Description]]</f>
        <v>0</v>
      </c>
      <c r="N59">
        <f>SUM(NMRPrep[[#This Row],[d-DMSO (uL) ]:[ NH4Cl (uL)]])</f>
        <v>0</v>
      </c>
      <c r="O59">
        <f>647</f>
        <v>647</v>
      </c>
      <c r="P59">
        <f>NMRPrep[[#This Row],[Total (uL) ]]-NMRPrep[[#This Row],[Target (uL)]]</f>
        <v>-647</v>
      </c>
      <c r="R59" t="e">
        <f>(NMRPrep[[#This Row],[NH4Cl Stock Concentration (mM)]]*NMRPrep[[#This Row],[ NH4Cl (uL)]])/SUM(NMRPrep[[#This Row],[DI (uL) ]:[ NH4Cl (uL)]])</f>
        <v>#DIV/0!</v>
      </c>
    </row>
    <row r="60" spans="1:18" x14ac:dyDescent="0.25">
      <c r="A60" s="1">
        <f>SampleList[[#This Row],[Date Sampled]]</f>
        <v>0</v>
      </c>
      <c r="B60" t="str" cm="1">
        <f t="array" ref="B60">IF(ISBLANK(INDEX(SampleList[NMR],ROW()-1)),"Not Requested",INDEX(SampleList[Experiment ID],ROW()-1))</f>
        <v>Not Requested</v>
      </c>
      <c r="C60">
        <f>SampleList[[#This Row],[Duration (Days)]]</f>
        <v>0</v>
      </c>
      <c r="D60">
        <f>SampleList[[#This Row],[Sample Description]]</f>
        <v>0</v>
      </c>
      <c r="N60">
        <f>SUM(NMRPrep[[#This Row],[d-DMSO (uL) ]:[ NH4Cl (uL)]])</f>
        <v>0</v>
      </c>
      <c r="O60">
        <f>647</f>
        <v>647</v>
      </c>
      <c r="P60">
        <f>NMRPrep[[#This Row],[Total (uL) ]]-NMRPrep[[#This Row],[Target (uL)]]</f>
        <v>-647</v>
      </c>
      <c r="R60" t="e">
        <f>(NMRPrep[[#This Row],[NH4Cl Stock Concentration (mM)]]*NMRPrep[[#This Row],[ NH4Cl (uL)]])/SUM(NMRPrep[[#This Row],[DI (uL) ]:[ NH4Cl (uL)]])</f>
        <v>#DIV/0!</v>
      </c>
    </row>
    <row r="61" spans="1:18" x14ac:dyDescent="0.25">
      <c r="A61" s="1">
        <f>SampleList[[#This Row],[Date Sampled]]</f>
        <v>0</v>
      </c>
      <c r="B61" t="str" cm="1">
        <f t="array" ref="B61">IF(ISBLANK(INDEX(SampleList[NMR],ROW()-1)),"Not Requested",INDEX(SampleList[Experiment ID],ROW()-1))</f>
        <v>Not Requested</v>
      </c>
      <c r="C61">
        <f>SampleList[[#This Row],[Duration (Days)]]</f>
        <v>0</v>
      </c>
      <c r="D61">
        <f>SampleList[[#This Row],[Sample Description]]</f>
        <v>0</v>
      </c>
      <c r="N61">
        <f>SUM(NMRPrep[[#This Row],[d-DMSO (uL) ]:[ NH4Cl (uL)]])</f>
        <v>0</v>
      </c>
      <c r="O61">
        <f>647</f>
        <v>647</v>
      </c>
      <c r="P61">
        <f>NMRPrep[[#This Row],[Total (uL) ]]-NMRPrep[[#This Row],[Target (uL)]]</f>
        <v>-647</v>
      </c>
      <c r="R61" t="e">
        <f>(NMRPrep[[#This Row],[NH4Cl Stock Concentration (mM)]]*NMRPrep[[#This Row],[ NH4Cl (uL)]])/SUM(NMRPrep[[#This Row],[DI (uL) ]:[ NH4Cl (uL)]])</f>
        <v>#DIV/0!</v>
      </c>
    </row>
    <row r="62" spans="1:18" x14ac:dyDescent="0.25">
      <c r="A62" s="1">
        <f>SampleList[[#This Row],[Date Sampled]]</f>
        <v>0</v>
      </c>
      <c r="B62" t="str" cm="1">
        <f t="array" ref="B62">IF(ISBLANK(INDEX(SampleList[NMR],ROW()-1)),"Not Requested",INDEX(SampleList[Experiment ID],ROW()-1))</f>
        <v>Not Requested</v>
      </c>
      <c r="C62">
        <f>SampleList[[#This Row],[Duration (Days)]]</f>
        <v>0</v>
      </c>
      <c r="D62">
        <f>SampleList[[#This Row],[Sample Description]]</f>
        <v>0</v>
      </c>
      <c r="N62">
        <f>SUM(NMRPrep[[#This Row],[d-DMSO (uL) ]:[ NH4Cl (uL)]])</f>
        <v>0</v>
      </c>
      <c r="O62">
        <f>647</f>
        <v>647</v>
      </c>
      <c r="P62">
        <f>NMRPrep[[#This Row],[Total (uL) ]]-NMRPrep[[#This Row],[Target (uL)]]</f>
        <v>-647</v>
      </c>
      <c r="R62" t="e">
        <f>(NMRPrep[[#This Row],[NH4Cl Stock Concentration (mM)]]*NMRPrep[[#This Row],[ NH4Cl (uL)]])/SUM(NMRPrep[[#This Row],[DI (uL) ]:[ NH4Cl (uL)]])</f>
        <v>#DIV/0!</v>
      </c>
    </row>
    <row r="63" spans="1:18" x14ac:dyDescent="0.25">
      <c r="A63" s="1">
        <f>SampleList[[#This Row],[Date Sampled]]</f>
        <v>0</v>
      </c>
      <c r="B63" t="str" cm="1">
        <f t="array" ref="B63">IF(ISBLANK(INDEX(SampleList[NMR],ROW()-1)),"Not Requested",INDEX(SampleList[Experiment ID],ROW()-1))</f>
        <v>Not Requested</v>
      </c>
      <c r="C63">
        <f>SampleList[[#This Row],[Duration (Days)]]</f>
        <v>0</v>
      </c>
      <c r="D63">
        <f>SampleList[[#This Row],[Sample Description]]</f>
        <v>0</v>
      </c>
      <c r="N63">
        <f>SUM(NMRPrep[[#This Row],[d-DMSO (uL) ]:[ NH4Cl (uL)]])</f>
        <v>0</v>
      </c>
      <c r="O63">
        <f>647</f>
        <v>647</v>
      </c>
      <c r="P63">
        <f>NMRPrep[[#This Row],[Total (uL) ]]-NMRPrep[[#This Row],[Target (uL)]]</f>
        <v>-647</v>
      </c>
      <c r="R63" t="e">
        <f>(NMRPrep[[#This Row],[NH4Cl Stock Concentration (mM)]]*NMRPrep[[#This Row],[ NH4Cl (uL)]])/SUM(NMRPrep[[#This Row],[DI (uL) ]:[ NH4Cl (uL)]])</f>
        <v>#DIV/0!</v>
      </c>
    </row>
    <row r="64" spans="1:18" x14ac:dyDescent="0.25">
      <c r="A64" s="1">
        <f>SampleList[[#This Row],[Date Sampled]]</f>
        <v>0</v>
      </c>
      <c r="B64" t="str" cm="1">
        <f t="array" ref="B64">IF(ISBLANK(INDEX(SampleList[NMR],ROW()-1)),"Not Requested",INDEX(SampleList[Experiment ID],ROW()-1))</f>
        <v>Not Requested</v>
      </c>
      <c r="C64">
        <f>SampleList[[#This Row],[Duration (Days)]]</f>
        <v>0</v>
      </c>
      <c r="D64">
        <f>SampleList[[#This Row],[Sample Description]]</f>
        <v>0</v>
      </c>
      <c r="N64">
        <f>SUM(NMRPrep[[#This Row],[d-DMSO (uL) ]:[ NH4Cl (uL)]])</f>
        <v>0</v>
      </c>
      <c r="O64">
        <f>647</f>
        <v>647</v>
      </c>
      <c r="P64">
        <f>NMRPrep[[#This Row],[Total (uL) ]]-NMRPrep[[#This Row],[Target (uL)]]</f>
        <v>-647</v>
      </c>
      <c r="R64" t="e">
        <f>(NMRPrep[[#This Row],[NH4Cl Stock Concentration (mM)]]*NMRPrep[[#This Row],[ NH4Cl (uL)]])/SUM(NMRPrep[[#This Row],[DI (uL) ]:[ NH4Cl (uL)]])</f>
        <v>#DIV/0!</v>
      </c>
    </row>
    <row r="65" spans="1:18" x14ac:dyDescent="0.25">
      <c r="A65" s="1">
        <f>SampleList[[#This Row],[Date Sampled]]</f>
        <v>0</v>
      </c>
      <c r="B65" t="str" cm="1">
        <f t="array" ref="B65">IF(ISBLANK(INDEX(SampleList[NMR],ROW()-1)),"Not Requested",INDEX(SampleList[Experiment ID],ROW()-1))</f>
        <v>Not Requested</v>
      </c>
      <c r="C65">
        <f>SampleList[[#This Row],[Duration (Days)]]</f>
        <v>0</v>
      </c>
      <c r="D65">
        <f>SampleList[[#This Row],[Sample Description]]</f>
        <v>0</v>
      </c>
      <c r="N65">
        <f>SUM(NMRPrep[[#This Row],[d-DMSO (uL) ]:[ NH4Cl (uL)]])</f>
        <v>0</v>
      </c>
      <c r="O65">
        <f>647</f>
        <v>647</v>
      </c>
      <c r="P65">
        <f>NMRPrep[[#This Row],[Total (uL) ]]-NMRPrep[[#This Row],[Target (uL)]]</f>
        <v>-647</v>
      </c>
      <c r="R65" t="e">
        <f>(NMRPrep[[#This Row],[NH4Cl Stock Concentration (mM)]]*NMRPrep[[#This Row],[ NH4Cl (uL)]])/SUM(NMRPrep[[#This Row],[DI (uL) ]:[ NH4Cl (uL)]])</f>
        <v>#DIV/0!</v>
      </c>
    </row>
    <row r="66" spans="1:18" x14ac:dyDescent="0.25">
      <c r="A66" s="1">
        <f>SampleList[[#This Row],[Date Sampled]]</f>
        <v>0</v>
      </c>
      <c r="B66" t="str" cm="1">
        <f t="array" ref="B66">IF(ISBLANK(INDEX(SampleList[NMR],ROW()-1)),"Not Requested",INDEX(SampleList[Experiment ID],ROW()-1))</f>
        <v>Not Requested</v>
      </c>
      <c r="C66">
        <f>SampleList[[#This Row],[Duration (Days)]]</f>
        <v>0</v>
      </c>
      <c r="D66">
        <f>SampleList[[#This Row],[Sample Description]]</f>
        <v>0</v>
      </c>
      <c r="N66">
        <f>SUM(NMRPrep[[#This Row],[d-DMSO (uL) ]:[ NH4Cl (uL)]])</f>
        <v>0</v>
      </c>
      <c r="O66">
        <f>647</f>
        <v>647</v>
      </c>
      <c r="P66">
        <f>NMRPrep[[#This Row],[Total (uL) ]]-NMRPrep[[#This Row],[Target (uL)]]</f>
        <v>-647</v>
      </c>
      <c r="R66" t="e">
        <f>(NMRPrep[[#This Row],[NH4Cl Stock Concentration (mM)]]*NMRPrep[[#This Row],[ NH4Cl (uL)]])/SUM(NMRPrep[[#This Row],[DI (uL) ]:[ NH4Cl (uL)]])</f>
        <v>#DIV/0!</v>
      </c>
    </row>
    <row r="67" spans="1:18" x14ac:dyDescent="0.25">
      <c r="A67" s="1">
        <f>SampleList[[#This Row],[Date Sampled]]</f>
        <v>0</v>
      </c>
      <c r="B67" t="str" cm="1">
        <f t="array" ref="B67">IF(ISBLANK(INDEX(SampleList[NMR],ROW()-1)),"Not Requested",INDEX(SampleList[Experiment ID],ROW()-1))</f>
        <v>Not Requested</v>
      </c>
      <c r="C67">
        <f>SampleList[[#This Row],[Duration (Days)]]</f>
        <v>0</v>
      </c>
      <c r="D67">
        <f>SampleList[[#This Row],[Sample Description]]</f>
        <v>0</v>
      </c>
      <c r="N67">
        <f>SUM(NMRPrep[[#This Row],[d-DMSO (uL) ]:[ NH4Cl (uL)]])</f>
        <v>0</v>
      </c>
      <c r="O67">
        <f>647</f>
        <v>647</v>
      </c>
      <c r="P67">
        <f>NMRPrep[[#This Row],[Total (uL) ]]-NMRPrep[[#This Row],[Target (uL)]]</f>
        <v>-647</v>
      </c>
      <c r="R67" t="e">
        <f>(NMRPrep[[#This Row],[NH4Cl Stock Concentration (mM)]]*NMRPrep[[#This Row],[ NH4Cl (uL)]])/SUM(NMRPrep[[#This Row],[DI (uL) ]:[ NH4Cl (uL)]])</f>
        <v>#DIV/0!</v>
      </c>
    </row>
    <row r="68" spans="1:18" x14ac:dyDescent="0.25">
      <c r="A68" s="1">
        <f>SampleList[[#This Row],[Date Sampled]]</f>
        <v>0</v>
      </c>
      <c r="B68" t="str" cm="1">
        <f t="array" ref="B68">IF(ISBLANK(INDEX(SampleList[NMR],ROW()-1)),"Not Requested",INDEX(SampleList[Experiment ID],ROW()-1))</f>
        <v>Not Requested</v>
      </c>
      <c r="C68">
        <f>SampleList[[#This Row],[Duration (Days)]]</f>
        <v>0</v>
      </c>
      <c r="D68">
        <f>SampleList[[#This Row],[Sample Description]]</f>
        <v>0</v>
      </c>
      <c r="N68">
        <f>SUM(NMRPrep[[#This Row],[d-DMSO (uL) ]:[ NH4Cl (uL)]])</f>
        <v>0</v>
      </c>
      <c r="O68">
        <f>647</f>
        <v>647</v>
      </c>
      <c r="P68">
        <f>NMRPrep[[#This Row],[Total (uL) ]]-NMRPrep[[#This Row],[Target (uL)]]</f>
        <v>-647</v>
      </c>
      <c r="R68" t="e">
        <f>(NMRPrep[[#This Row],[NH4Cl Stock Concentration (mM)]]*NMRPrep[[#This Row],[ NH4Cl (uL)]])/SUM(NMRPrep[[#This Row],[DI (uL) ]:[ NH4Cl (uL)]])</f>
        <v>#DIV/0!</v>
      </c>
    </row>
    <row r="69" spans="1:18" x14ac:dyDescent="0.25">
      <c r="A69" s="1">
        <f>SampleList[[#This Row],[Date Sampled]]</f>
        <v>0</v>
      </c>
      <c r="B69" t="str" cm="1">
        <f t="array" ref="B69">IF(ISBLANK(INDEX(SampleList[NMR],ROW()-1)),"Not Requested",INDEX(SampleList[Experiment ID],ROW()-1))</f>
        <v>Not Requested</v>
      </c>
      <c r="C69">
        <f>SampleList[[#This Row],[Duration (Days)]]</f>
        <v>0</v>
      </c>
      <c r="D69">
        <f>SampleList[[#This Row],[Sample Description]]</f>
        <v>0</v>
      </c>
      <c r="N69">
        <f>SUM(NMRPrep[[#This Row],[d-DMSO (uL) ]:[ NH4Cl (uL)]])</f>
        <v>0</v>
      </c>
      <c r="O69">
        <f>647</f>
        <v>647</v>
      </c>
      <c r="P69">
        <f>NMRPrep[[#This Row],[Total (uL) ]]-NMRPrep[[#This Row],[Target (uL)]]</f>
        <v>-647</v>
      </c>
      <c r="R69" t="e">
        <f>(NMRPrep[[#This Row],[NH4Cl Stock Concentration (mM)]]*NMRPrep[[#This Row],[ NH4Cl (uL)]])/SUM(NMRPrep[[#This Row],[DI (uL) ]:[ NH4Cl (uL)]])</f>
        <v>#DIV/0!</v>
      </c>
    </row>
    <row r="70" spans="1:18" x14ac:dyDescent="0.25">
      <c r="A70" s="1">
        <f>SampleList[[#This Row],[Date Sampled]]</f>
        <v>0</v>
      </c>
      <c r="B70" t="str" cm="1">
        <f t="array" ref="B70">IF(ISBLANK(INDEX(SampleList[NMR],ROW()-1)),"Not Requested",INDEX(SampleList[Experiment ID],ROW()-1))</f>
        <v>Not Requested</v>
      </c>
      <c r="C70">
        <f>SampleList[[#This Row],[Duration (Days)]]</f>
        <v>0</v>
      </c>
      <c r="D70">
        <f>SampleList[[#This Row],[Sample Description]]</f>
        <v>0</v>
      </c>
      <c r="N70">
        <f>SUM(NMRPrep[[#This Row],[d-DMSO (uL) ]:[ NH4Cl (uL)]])</f>
        <v>0</v>
      </c>
      <c r="O70">
        <f>647</f>
        <v>647</v>
      </c>
      <c r="P70">
        <f>NMRPrep[[#This Row],[Total (uL) ]]-NMRPrep[[#This Row],[Target (uL)]]</f>
        <v>-647</v>
      </c>
      <c r="R70" t="e">
        <f>(NMRPrep[[#This Row],[NH4Cl Stock Concentration (mM)]]*NMRPrep[[#This Row],[ NH4Cl (uL)]])/SUM(NMRPrep[[#This Row],[DI (uL) ]:[ NH4Cl (uL)]])</f>
        <v>#DIV/0!</v>
      </c>
    </row>
    <row r="71" spans="1:18" x14ac:dyDescent="0.25">
      <c r="A71" s="1">
        <f>SampleList[[#This Row],[Date Sampled]]</f>
        <v>0</v>
      </c>
      <c r="B71" t="str" cm="1">
        <f t="array" ref="B71">IF(ISBLANK(INDEX(SampleList[NMR],ROW()-1)),"Not Requested",INDEX(SampleList[Experiment ID],ROW()-1))</f>
        <v>Not Requested</v>
      </c>
      <c r="C71">
        <f>SampleList[[#This Row],[Duration (Days)]]</f>
        <v>0</v>
      </c>
      <c r="D71">
        <f>SampleList[[#This Row],[Sample Description]]</f>
        <v>0</v>
      </c>
      <c r="N71">
        <f>SUM(NMRPrep[[#This Row],[d-DMSO (uL) ]:[ NH4Cl (uL)]])</f>
        <v>0</v>
      </c>
      <c r="O71">
        <f>647</f>
        <v>647</v>
      </c>
      <c r="P71">
        <f>NMRPrep[[#This Row],[Total (uL) ]]-NMRPrep[[#This Row],[Target (uL)]]</f>
        <v>-647</v>
      </c>
      <c r="R71" t="e">
        <f>(NMRPrep[[#This Row],[NH4Cl Stock Concentration (mM)]]*NMRPrep[[#This Row],[ NH4Cl (uL)]])/SUM(NMRPrep[[#This Row],[DI (uL) ]:[ NH4Cl (uL)]])</f>
        <v>#DIV/0!</v>
      </c>
    </row>
    <row r="72" spans="1:18" x14ac:dyDescent="0.25">
      <c r="A72" s="1">
        <f>SampleList[[#This Row],[Date Sampled]]</f>
        <v>0</v>
      </c>
      <c r="B72" t="str" cm="1">
        <f t="array" ref="B72">IF(ISBLANK(INDEX(SampleList[NMR],ROW()-1)),"Not Requested",INDEX(SampleList[Experiment ID],ROW()-1))</f>
        <v>Not Requested</v>
      </c>
      <c r="C72">
        <f>SampleList[[#This Row],[Duration (Days)]]</f>
        <v>0</v>
      </c>
      <c r="D72">
        <f>SampleList[[#This Row],[Sample Description]]</f>
        <v>0</v>
      </c>
      <c r="N72">
        <f>SUM(NMRPrep[[#This Row],[d-DMSO (uL) ]:[ NH4Cl (uL)]])</f>
        <v>0</v>
      </c>
      <c r="O72">
        <f>647</f>
        <v>647</v>
      </c>
      <c r="P72">
        <f>NMRPrep[[#This Row],[Total (uL) ]]-NMRPrep[[#This Row],[Target (uL)]]</f>
        <v>-647</v>
      </c>
      <c r="R72" t="e">
        <f>(NMRPrep[[#This Row],[NH4Cl Stock Concentration (mM)]]*NMRPrep[[#This Row],[ NH4Cl (uL)]])/SUM(NMRPrep[[#This Row],[DI (uL) ]:[ NH4Cl (uL)]])</f>
        <v>#DIV/0!</v>
      </c>
    </row>
    <row r="73" spans="1:18" x14ac:dyDescent="0.25">
      <c r="A73" s="1">
        <f>SampleList[[#This Row],[Date Sampled]]</f>
        <v>0</v>
      </c>
      <c r="B73" t="str" cm="1">
        <f t="array" ref="B73">IF(ISBLANK(INDEX(SampleList[NMR],ROW()-1)),"Not Requested",INDEX(SampleList[Experiment ID],ROW()-1))</f>
        <v>Not Requested</v>
      </c>
      <c r="C73">
        <f>SampleList[[#This Row],[Duration (Days)]]</f>
        <v>0</v>
      </c>
      <c r="D73">
        <f>SampleList[[#This Row],[Sample Description]]</f>
        <v>0</v>
      </c>
      <c r="N73">
        <f>SUM(NMRPrep[[#This Row],[d-DMSO (uL) ]:[ NH4Cl (uL)]])</f>
        <v>0</v>
      </c>
      <c r="O73">
        <f>647</f>
        <v>647</v>
      </c>
      <c r="P73">
        <f>NMRPrep[[#This Row],[Total (uL) ]]-NMRPrep[[#This Row],[Target (uL)]]</f>
        <v>-647</v>
      </c>
      <c r="R73" t="e">
        <f>(NMRPrep[[#This Row],[NH4Cl Stock Concentration (mM)]]*NMRPrep[[#This Row],[ NH4Cl (uL)]])/SUM(NMRPrep[[#This Row],[DI (uL) ]:[ NH4Cl (uL)]])</f>
        <v>#DIV/0!</v>
      </c>
    </row>
    <row r="74" spans="1:18" x14ac:dyDescent="0.25">
      <c r="A74" s="1">
        <f>SampleList[[#This Row],[Date Sampled]]</f>
        <v>0</v>
      </c>
      <c r="B74" t="str" cm="1">
        <f t="array" ref="B74">IF(ISBLANK(INDEX(SampleList[NMR],ROW()-1)),"Not Requested",INDEX(SampleList[Experiment ID],ROW()-1))</f>
        <v>Not Requested</v>
      </c>
      <c r="C74">
        <f>SampleList[[#This Row],[Duration (Days)]]</f>
        <v>0</v>
      </c>
      <c r="D74">
        <f>SampleList[[#This Row],[Sample Description]]</f>
        <v>0</v>
      </c>
      <c r="N74">
        <f>SUM(NMRPrep[[#This Row],[d-DMSO (uL) ]:[ NH4Cl (uL)]])</f>
        <v>0</v>
      </c>
      <c r="O74">
        <f>647</f>
        <v>647</v>
      </c>
      <c r="P74">
        <f>NMRPrep[[#This Row],[Total (uL) ]]-NMRPrep[[#This Row],[Target (uL)]]</f>
        <v>-647</v>
      </c>
      <c r="R74" t="e">
        <f>(NMRPrep[[#This Row],[NH4Cl Stock Concentration (mM)]]*NMRPrep[[#This Row],[ NH4Cl (uL)]])/SUM(NMRPrep[[#This Row],[DI (uL) ]:[ NH4Cl (uL)]])</f>
        <v>#DIV/0!</v>
      </c>
    </row>
    <row r="75" spans="1:18" x14ac:dyDescent="0.25">
      <c r="A75" s="1">
        <f>SampleList[[#This Row],[Date Sampled]]</f>
        <v>0</v>
      </c>
      <c r="B75" t="str" cm="1">
        <f t="array" ref="B75">IF(ISBLANK(INDEX(SampleList[NMR],ROW()-1)),"Not Requested",INDEX(SampleList[Experiment ID],ROW()-1))</f>
        <v>Not Requested</v>
      </c>
      <c r="C75">
        <f>SampleList[[#This Row],[Duration (Days)]]</f>
        <v>0</v>
      </c>
      <c r="D75">
        <f>SampleList[[#This Row],[Sample Description]]</f>
        <v>0</v>
      </c>
      <c r="N75">
        <f>SUM(NMRPrep[[#This Row],[d-DMSO (uL) ]:[ NH4Cl (uL)]])</f>
        <v>0</v>
      </c>
      <c r="O75">
        <f>647</f>
        <v>647</v>
      </c>
      <c r="P75">
        <f>NMRPrep[[#This Row],[Total (uL) ]]-NMRPrep[[#This Row],[Target (uL)]]</f>
        <v>-647</v>
      </c>
      <c r="R75" t="e">
        <f>(NMRPrep[[#This Row],[NH4Cl Stock Concentration (mM)]]*NMRPrep[[#This Row],[ NH4Cl (uL)]])/SUM(NMRPrep[[#This Row],[DI (uL) ]:[ NH4Cl (uL)]])</f>
        <v>#DIV/0!</v>
      </c>
    </row>
    <row r="76" spans="1:18" x14ac:dyDescent="0.25">
      <c r="A76" s="1">
        <f>SampleList[[#This Row],[Date Sampled]]</f>
        <v>0</v>
      </c>
      <c r="B76" t="str" cm="1">
        <f t="array" ref="B76">IF(ISBLANK(INDEX(SampleList[NMR],ROW()-1)),"Not Requested",INDEX(SampleList[Experiment ID],ROW()-1))</f>
        <v>Not Requested</v>
      </c>
      <c r="C76">
        <f>SampleList[[#This Row],[Duration (Days)]]</f>
        <v>0</v>
      </c>
      <c r="D76">
        <f>SampleList[[#This Row],[Sample Description]]</f>
        <v>0</v>
      </c>
      <c r="N76">
        <f>SUM(NMRPrep[[#This Row],[d-DMSO (uL) ]:[ NH4Cl (uL)]])</f>
        <v>0</v>
      </c>
      <c r="O76">
        <f>647</f>
        <v>647</v>
      </c>
      <c r="P76">
        <f>NMRPrep[[#This Row],[Total (uL) ]]-NMRPrep[[#This Row],[Target (uL)]]</f>
        <v>-647</v>
      </c>
      <c r="R76" t="e">
        <f>(NMRPrep[[#This Row],[NH4Cl Stock Concentration (mM)]]*NMRPrep[[#This Row],[ NH4Cl (uL)]])/SUM(NMRPrep[[#This Row],[DI (uL) ]:[ NH4Cl (uL)]])</f>
        <v>#DIV/0!</v>
      </c>
    </row>
    <row r="77" spans="1:18" x14ac:dyDescent="0.25">
      <c r="A77" s="1">
        <f>SampleList[[#This Row],[Date Sampled]]</f>
        <v>0</v>
      </c>
      <c r="B77" t="str" cm="1">
        <f t="array" ref="B77">IF(ISBLANK(INDEX(SampleList[NMR],ROW()-1)),"Not Requested",INDEX(SampleList[Experiment ID],ROW()-1))</f>
        <v>Not Requested</v>
      </c>
      <c r="C77">
        <f>SampleList[[#This Row],[Duration (Days)]]</f>
        <v>0</v>
      </c>
      <c r="D77">
        <f>SampleList[[#This Row],[Sample Description]]</f>
        <v>0</v>
      </c>
      <c r="N77">
        <f>SUM(NMRPrep[[#This Row],[d-DMSO (uL) ]:[ NH4Cl (uL)]])</f>
        <v>0</v>
      </c>
      <c r="O77">
        <f>647</f>
        <v>647</v>
      </c>
      <c r="P77">
        <f>NMRPrep[[#This Row],[Total (uL) ]]-NMRPrep[[#This Row],[Target (uL)]]</f>
        <v>-647</v>
      </c>
      <c r="R77" t="e">
        <f>(NMRPrep[[#This Row],[NH4Cl Stock Concentration (mM)]]*NMRPrep[[#This Row],[ NH4Cl (uL)]])/SUM(NMRPrep[[#This Row],[DI (uL) ]:[ NH4Cl (uL)]])</f>
        <v>#DIV/0!</v>
      </c>
    </row>
    <row r="78" spans="1:18" x14ac:dyDescent="0.25">
      <c r="A78" s="1">
        <f>SampleList[[#This Row],[Date Sampled]]</f>
        <v>0</v>
      </c>
      <c r="B78" t="str" cm="1">
        <f t="array" ref="B78">IF(ISBLANK(INDEX(SampleList[NMR],ROW()-1)),"Not Requested",INDEX(SampleList[Experiment ID],ROW()-1))</f>
        <v>Not Requested</v>
      </c>
      <c r="C78">
        <f>SampleList[[#This Row],[Duration (Days)]]</f>
        <v>0</v>
      </c>
      <c r="D78">
        <f>SampleList[[#This Row],[Sample Description]]</f>
        <v>0</v>
      </c>
      <c r="N78">
        <f>SUM(NMRPrep[[#This Row],[d-DMSO (uL) ]:[ NH4Cl (uL)]])</f>
        <v>0</v>
      </c>
      <c r="O78">
        <f>647</f>
        <v>647</v>
      </c>
      <c r="P78">
        <f>NMRPrep[[#This Row],[Total (uL) ]]-NMRPrep[[#This Row],[Target (uL)]]</f>
        <v>-647</v>
      </c>
      <c r="R78" t="e">
        <f>(NMRPrep[[#This Row],[NH4Cl Stock Concentration (mM)]]*NMRPrep[[#This Row],[ NH4Cl (uL)]])/SUM(NMRPrep[[#This Row],[DI (uL) ]:[ NH4Cl (uL)]])</f>
        <v>#DIV/0!</v>
      </c>
    </row>
    <row r="79" spans="1:18" x14ac:dyDescent="0.25">
      <c r="A79" s="1">
        <f>SampleList[[#This Row],[Date Sampled]]</f>
        <v>0</v>
      </c>
      <c r="B79" t="str" cm="1">
        <f t="array" ref="B79">IF(ISBLANK(INDEX(SampleList[NMR],ROW()-1)),"Not Requested",INDEX(SampleList[Experiment ID],ROW()-1))</f>
        <v>Not Requested</v>
      </c>
      <c r="C79">
        <f>SampleList[[#This Row],[Duration (Days)]]</f>
        <v>0</v>
      </c>
      <c r="D79">
        <f>SampleList[[#This Row],[Sample Description]]</f>
        <v>0</v>
      </c>
      <c r="N79">
        <f>SUM(NMRPrep[[#This Row],[d-DMSO (uL) ]:[ NH4Cl (uL)]])</f>
        <v>0</v>
      </c>
      <c r="O79">
        <f>647</f>
        <v>647</v>
      </c>
      <c r="P79">
        <f>NMRPrep[[#This Row],[Total (uL) ]]-NMRPrep[[#This Row],[Target (uL)]]</f>
        <v>-647</v>
      </c>
      <c r="R79" t="e">
        <f>(NMRPrep[[#This Row],[NH4Cl Stock Concentration (mM)]]*NMRPrep[[#This Row],[ NH4Cl (uL)]])/SUM(NMRPrep[[#This Row],[DI (uL) ]:[ NH4Cl (uL)]])</f>
        <v>#DIV/0!</v>
      </c>
    </row>
    <row r="80" spans="1:18" x14ac:dyDescent="0.25">
      <c r="A80" s="1">
        <f>SampleList[[#This Row],[Date Sampled]]</f>
        <v>0</v>
      </c>
      <c r="B80" t="str" cm="1">
        <f t="array" ref="B80">IF(ISBLANK(INDEX(SampleList[NMR],ROW()-1)),"Not Requested",INDEX(SampleList[Experiment ID],ROW()-1))</f>
        <v>Not Requested</v>
      </c>
      <c r="C80">
        <f>SampleList[[#This Row],[Duration (Days)]]</f>
        <v>0</v>
      </c>
      <c r="D80">
        <f>SampleList[[#This Row],[Sample Description]]</f>
        <v>0</v>
      </c>
      <c r="N80">
        <f>SUM(NMRPrep[[#This Row],[d-DMSO (uL) ]:[ NH4Cl (uL)]])</f>
        <v>0</v>
      </c>
      <c r="O80">
        <f>647</f>
        <v>647</v>
      </c>
      <c r="P80">
        <f>NMRPrep[[#This Row],[Total (uL) ]]-NMRPrep[[#This Row],[Target (uL)]]</f>
        <v>-647</v>
      </c>
      <c r="R80" t="e">
        <f>(NMRPrep[[#This Row],[NH4Cl Stock Concentration (mM)]]*NMRPrep[[#This Row],[ NH4Cl (uL)]])/SUM(NMRPrep[[#This Row],[DI (uL) ]:[ NH4Cl (uL)]])</f>
        <v>#DIV/0!</v>
      </c>
    </row>
    <row r="81" spans="1:18" x14ac:dyDescent="0.25">
      <c r="A81" s="1">
        <f>SampleList[[#This Row],[Date Sampled]]</f>
        <v>0</v>
      </c>
      <c r="B81" t="str" cm="1">
        <f t="array" ref="B81">IF(ISBLANK(INDEX(SampleList[NMR],ROW()-1)),"Not Requested",INDEX(SampleList[Experiment ID],ROW()-1))</f>
        <v>Not Requested</v>
      </c>
      <c r="C81">
        <f>SampleList[[#This Row],[Duration (Days)]]</f>
        <v>0</v>
      </c>
      <c r="D81">
        <f>SampleList[[#This Row],[Sample Description]]</f>
        <v>0</v>
      </c>
      <c r="N81">
        <f>SUM(NMRPrep[[#This Row],[d-DMSO (uL) ]:[ NH4Cl (uL)]])</f>
        <v>0</v>
      </c>
      <c r="O81">
        <f>647</f>
        <v>647</v>
      </c>
      <c r="P81">
        <f>NMRPrep[[#This Row],[Total (uL) ]]-NMRPrep[[#This Row],[Target (uL)]]</f>
        <v>-647</v>
      </c>
      <c r="R81" t="e">
        <f>(NMRPrep[[#This Row],[NH4Cl Stock Concentration (mM)]]*NMRPrep[[#This Row],[ NH4Cl (uL)]])/SUM(NMRPrep[[#This Row],[DI (uL) ]:[ NH4Cl (uL)]])</f>
        <v>#DIV/0!</v>
      </c>
    </row>
    <row r="82" spans="1:18" x14ac:dyDescent="0.25">
      <c r="A82" s="1">
        <f>SampleList[[#This Row],[Date Sampled]]</f>
        <v>0</v>
      </c>
      <c r="B82" t="str" cm="1">
        <f t="array" ref="B82">IF(ISBLANK(INDEX(SampleList[NMR],ROW()-1)),"Not Requested",INDEX(SampleList[Experiment ID],ROW()-1))</f>
        <v>Not Requested</v>
      </c>
      <c r="C82">
        <f>SampleList[[#This Row],[Duration (Days)]]</f>
        <v>0</v>
      </c>
      <c r="D82">
        <f>SampleList[[#This Row],[Sample Description]]</f>
        <v>0</v>
      </c>
      <c r="N82">
        <f>SUM(NMRPrep[[#This Row],[d-DMSO (uL) ]:[ NH4Cl (uL)]])</f>
        <v>0</v>
      </c>
      <c r="O82">
        <f>647</f>
        <v>647</v>
      </c>
      <c r="P82">
        <f>NMRPrep[[#This Row],[Total (uL) ]]-NMRPrep[[#This Row],[Target (uL)]]</f>
        <v>-647</v>
      </c>
      <c r="R82" t="e">
        <f>(NMRPrep[[#This Row],[NH4Cl Stock Concentration (mM)]]*NMRPrep[[#This Row],[ NH4Cl (uL)]])/SUM(NMRPrep[[#This Row],[DI (uL) ]:[ NH4Cl (uL)]])</f>
        <v>#DIV/0!</v>
      </c>
    </row>
    <row r="83" spans="1:18" x14ac:dyDescent="0.25">
      <c r="A83" s="1">
        <f>SampleList[[#This Row],[Date Sampled]]</f>
        <v>0</v>
      </c>
      <c r="B83" t="str" cm="1">
        <f t="array" ref="B83">IF(ISBLANK(INDEX(SampleList[NMR],ROW()-1)),"Not Requested",INDEX(SampleList[Experiment ID],ROW()-1))</f>
        <v>Not Requested</v>
      </c>
      <c r="C83">
        <f>SampleList[[#This Row],[Duration (Days)]]</f>
        <v>0</v>
      </c>
      <c r="D83">
        <f>SampleList[[#This Row],[Sample Description]]</f>
        <v>0</v>
      </c>
      <c r="N83">
        <f>SUM(NMRPrep[[#This Row],[d-DMSO (uL) ]:[ NH4Cl (uL)]])</f>
        <v>0</v>
      </c>
      <c r="O83">
        <f>647</f>
        <v>647</v>
      </c>
      <c r="P83">
        <f>NMRPrep[[#This Row],[Total (uL) ]]-NMRPrep[[#This Row],[Target (uL)]]</f>
        <v>-647</v>
      </c>
      <c r="R83" t="e">
        <f>(NMRPrep[[#This Row],[NH4Cl Stock Concentration (mM)]]*NMRPrep[[#This Row],[ NH4Cl (uL)]])/SUM(NMRPrep[[#This Row],[DI (uL) ]:[ NH4Cl (uL)]])</f>
        <v>#DIV/0!</v>
      </c>
    </row>
    <row r="84" spans="1:18" x14ac:dyDescent="0.25">
      <c r="A84" s="1">
        <f>SampleList[[#This Row],[Date Sampled]]</f>
        <v>0</v>
      </c>
      <c r="B84" t="str" cm="1">
        <f t="array" ref="B84">IF(ISBLANK(INDEX(SampleList[NMR],ROW()-1)),"Not Requested",INDEX(SampleList[Experiment ID],ROW()-1))</f>
        <v>Not Requested</v>
      </c>
      <c r="C84">
        <f>SampleList[[#This Row],[Duration (Days)]]</f>
        <v>0</v>
      </c>
      <c r="D84">
        <f>SampleList[[#This Row],[Sample Description]]</f>
        <v>0</v>
      </c>
      <c r="N84">
        <f>SUM(NMRPrep[[#This Row],[d-DMSO (uL) ]:[ NH4Cl (uL)]])</f>
        <v>0</v>
      </c>
      <c r="O84">
        <f>647</f>
        <v>647</v>
      </c>
      <c r="P84">
        <f>NMRPrep[[#This Row],[Total (uL) ]]-NMRPrep[[#This Row],[Target (uL)]]</f>
        <v>-647</v>
      </c>
      <c r="R84" t="e">
        <f>(NMRPrep[[#This Row],[NH4Cl Stock Concentration (mM)]]*NMRPrep[[#This Row],[ NH4Cl (uL)]])/SUM(NMRPrep[[#This Row],[DI (uL) ]:[ NH4Cl (uL)]])</f>
        <v>#DIV/0!</v>
      </c>
    </row>
    <row r="85" spans="1:18" x14ac:dyDescent="0.25">
      <c r="A85" s="1">
        <f>SampleList[[#This Row],[Date Sampled]]</f>
        <v>0</v>
      </c>
      <c r="B85" t="str" cm="1">
        <f t="array" ref="B85">IF(ISBLANK(INDEX(SampleList[NMR],ROW()-1)),"Not Requested",INDEX(SampleList[Experiment ID],ROW()-1))</f>
        <v>Not Requested</v>
      </c>
      <c r="C85">
        <f>SampleList[[#This Row],[Duration (Days)]]</f>
        <v>0</v>
      </c>
      <c r="D85">
        <f>SampleList[[#This Row],[Sample Description]]</f>
        <v>0</v>
      </c>
      <c r="N85">
        <f>SUM(NMRPrep[[#This Row],[d-DMSO (uL) ]:[ NH4Cl (uL)]])</f>
        <v>0</v>
      </c>
      <c r="O85">
        <f>647</f>
        <v>647</v>
      </c>
      <c r="P85">
        <f>NMRPrep[[#This Row],[Total (uL) ]]-NMRPrep[[#This Row],[Target (uL)]]</f>
        <v>-647</v>
      </c>
      <c r="R85" t="e">
        <f>(NMRPrep[[#This Row],[NH4Cl Stock Concentration (mM)]]*NMRPrep[[#This Row],[ NH4Cl (uL)]])/SUM(NMRPrep[[#This Row],[DI (uL) ]:[ NH4Cl (uL)]])</f>
        <v>#DIV/0!</v>
      </c>
    </row>
    <row r="86" spans="1:18" x14ac:dyDescent="0.25">
      <c r="A86" s="1">
        <f>SampleList[[#This Row],[Date Sampled]]</f>
        <v>0</v>
      </c>
      <c r="B86" t="str" cm="1">
        <f t="array" ref="B86">IF(ISBLANK(INDEX(SampleList[NMR],ROW()-1)),"Not Requested",INDEX(SampleList[Experiment ID],ROW()-1))</f>
        <v>Not Requested</v>
      </c>
      <c r="C86">
        <f>SampleList[[#This Row],[Duration (Days)]]</f>
        <v>0</v>
      </c>
      <c r="D86">
        <f>SampleList[[#This Row],[Sample Description]]</f>
        <v>0</v>
      </c>
      <c r="N86">
        <f>SUM(NMRPrep[[#This Row],[d-DMSO (uL) ]:[ NH4Cl (uL)]])</f>
        <v>0</v>
      </c>
      <c r="O86">
        <f>647</f>
        <v>647</v>
      </c>
      <c r="P86">
        <f>NMRPrep[[#This Row],[Total (uL) ]]-NMRPrep[[#This Row],[Target (uL)]]</f>
        <v>-647</v>
      </c>
      <c r="R86" t="e">
        <f>(NMRPrep[[#This Row],[NH4Cl Stock Concentration (mM)]]*NMRPrep[[#This Row],[ NH4Cl (uL)]])/SUM(NMRPrep[[#This Row],[DI (uL) ]:[ NH4Cl (uL)]])</f>
        <v>#DIV/0!</v>
      </c>
    </row>
    <row r="87" spans="1:18" x14ac:dyDescent="0.25">
      <c r="A87" s="1">
        <f>SampleList[[#This Row],[Date Sampled]]</f>
        <v>0</v>
      </c>
      <c r="B87" t="str" cm="1">
        <f t="array" ref="B87">IF(ISBLANK(INDEX(SampleList[NMR],ROW()-1)),"Not Requested",INDEX(SampleList[Experiment ID],ROW()-1))</f>
        <v>Not Requested</v>
      </c>
      <c r="C87">
        <f>SampleList[[#This Row],[Duration (Days)]]</f>
        <v>0</v>
      </c>
      <c r="D87">
        <f>SampleList[[#This Row],[Sample Description]]</f>
        <v>0</v>
      </c>
      <c r="N87">
        <f>SUM(NMRPrep[[#This Row],[d-DMSO (uL) ]:[ NH4Cl (uL)]])</f>
        <v>0</v>
      </c>
      <c r="O87">
        <f>647</f>
        <v>647</v>
      </c>
      <c r="P87">
        <f>NMRPrep[[#This Row],[Total (uL) ]]-NMRPrep[[#This Row],[Target (uL)]]</f>
        <v>-647</v>
      </c>
      <c r="R87" t="e">
        <f>(NMRPrep[[#This Row],[NH4Cl Stock Concentration (mM)]]*NMRPrep[[#This Row],[ NH4Cl (uL)]])/SUM(NMRPrep[[#This Row],[DI (uL) ]:[ NH4Cl (uL)]])</f>
        <v>#DIV/0!</v>
      </c>
    </row>
    <row r="88" spans="1:18" x14ac:dyDescent="0.25">
      <c r="A88" s="1">
        <f>SampleList[[#This Row],[Date Sampled]]</f>
        <v>0</v>
      </c>
      <c r="B88" t="str" cm="1">
        <f t="array" ref="B88">IF(ISBLANK(INDEX(SampleList[NMR],ROW()-1)),"Not Requested",INDEX(SampleList[Experiment ID],ROW()-1))</f>
        <v>Not Requested</v>
      </c>
      <c r="C88">
        <f>SampleList[[#This Row],[Duration (Days)]]</f>
        <v>0</v>
      </c>
      <c r="D88">
        <f>SampleList[[#This Row],[Sample Description]]</f>
        <v>0</v>
      </c>
      <c r="N88">
        <f>SUM(NMRPrep[[#This Row],[d-DMSO (uL) ]:[ NH4Cl (uL)]])</f>
        <v>0</v>
      </c>
      <c r="O88">
        <f>647</f>
        <v>647</v>
      </c>
      <c r="P88">
        <f>NMRPrep[[#This Row],[Total (uL) ]]-NMRPrep[[#This Row],[Target (uL)]]</f>
        <v>-647</v>
      </c>
      <c r="R88" t="e">
        <f>(NMRPrep[[#This Row],[NH4Cl Stock Concentration (mM)]]*NMRPrep[[#This Row],[ NH4Cl (uL)]])/SUM(NMRPrep[[#This Row],[DI (uL) ]:[ NH4Cl (uL)]])</f>
        <v>#DIV/0!</v>
      </c>
    </row>
    <row r="89" spans="1:18" x14ac:dyDescent="0.25">
      <c r="A89" s="1">
        <f>SampleList[[#This Row],[Date Sampled]]</f>
        <v>0</v>
      </c>
      <c r="B89" t="str" cm="1">
        <f t="array" ref="B89">IF(ISBLANK(INDEX(SampleList[NMR],ROW()-1)),"Not Requested",INDEX(SampleList[Experiment ID],ROW()-1))</f>
        <v>Not Requested</v>
      </c>
      <c r="C89">
        <f>SampleList[[#This Row],[Duration (Days)]]</f>
        <v>0</v>
      </c>
      <c r="D89">
        <f>SampleList[[#This Row],[Sample Description]]</f>
        <v>0</v>
      </c>
      <c r="N89">
        <f>SUM(NMRPrep[[#This Row],[d-DMSO (uL) ]:[ NH4Cl (uL)]])</f>
        <v>0</v>
      </c>
      <c r="O89">
        <f>647</f>
        <v>647</v>
      </c>
      <c r="P89">
        <f>NMRPrep[[#This Row],[Total (uL) ]]-NMRPrep[[#This Row],[Target (uL)]]</f>
        <v>-647</v>
      </c>
      <c r="R89" t="e">
        <f>(NMRPrep[[#This Row],[NH4Cl Stock Concentration (mM)]]*NMRPrep[[#This Row],[ NH4Cl (uL)]])/SUM(NMRPrep[[#This Row],[DI (uL) ]:[ NH4Cl (uL)]])</f>
        <v>#DIV/0!</v>
      </c>
    </row>
    <row r="90" spans="1:18" x14ac:dyDescent="0.25">
      <c r="A90" s="1">
        <f>SampleList[[#This Row],[Date Sampled]]</f>
        <v>0</v>
      </c>
      <c r="B90" t="str" cm="1">
        <f t="array" ref="B90">IF(ISBLANK(INDEX(SampleList[NMR],ROW()-1)),"Not Requested",INDEX(SampleList[Experiment ID],ROW()-1))</f>
        <v>Not Requested</v>
      </c>
      <c r="C90">
        <f>SampleList[[#This Row],[Duration (Days)]]</f>
        <v>0</v>
      </c>
      <c r="D90">
        <f>SampleList[[#This Row],[Sample Description]]</f>
        <v>0</v>
      </c>
      <c r="N90">
        <f>SUM(NMRPrep[[#This Row],[d-DMSO (uL) ]:[ NH4Cl (uL)]])</f>
        <v>0</v>
      </c>
      <c r="O90">
        <f>647</f>
        <v>647</v>
      </c>
      <c r="P90">
        <f>NMRPrep[[#This Row],[Total (uL) ]]-NMRPrep[[#This Row],[Target (uL)]]</f>
        <v>-647</v>
      </c>
      <c r="R90" t="e">
        <f>(NMRPrep[[#This Row],[NH4Cl Stock Concentration (mM)]]*NMRPrep[[#This Row],[ NH4Cl (uL)]])/SUM(NMRPrep[[#This Row],[DI (uL) ]:[ NH4Cl (uL)]])</f>
        <v>#DIV/0!</v>
      </c>
    </row>
    <row r="91" spans="1:18" x14ac:dyDescent="0.25">
      <c r="A91" s="1">
        <f>SampleList[[#This Row],[Date Sampled]]</f>
        <v>0</v>
      </c>
      <c r="B91" t="str" cm="1">
        <f t="array" ref="B91">IF(ISBLANK(INDEX(SampleList[NMR],ROW()-1)),"Not Requested",INDEX(SampleList[Experiment ID],ROW()-1))</f>
        <v>Not Requested</v>
      </c>
      <c r="C91">
        <f>SampleList[[#This Row],[Duration (Days)]]</f>
        <v>0</v>
      </c>
      <c r="D91">
        <f>SampleList[[#This Row],[Sample Description]]</f>
        <v>0</v>
      </c>
      <c r="N91">
        <f>SUM(NMRPrep[[#This Row],[d-DMSO (uL) ]:[ NH4Cl (uL)]])</f>
        <v>0</v>
      </c>
      <c r="O91">
        <f>647</f>
        <v>647</v>
      </c>
      <c r="P91">
        <f>NMRPrep[[#This Row],[Total (uL) ]]-NMRPrep[[#This Row],[Target (uL)]]</f>
        <v>-647</v>
      </c>
      <c r="R91" t="e">
        <f>(NMRPrep[[#This Row],[NH4Cl Stock Concentration (mM)]]*NMRPrep[[#This Row],[ NH4Cl (uL)]])/SUM(NMRPrep[[#This Row],[DI (uL) ]:[ NH4Cl (uL)]])</f>
        <v>#DIV/0!</v>
      </c>
    </row>
    <row r="92" spans="1:18" x14ac:dyDescent="0.25">
      <c r="A92" s="1">
        <f>SampleList[[#This Row],[Date Sampled]]</f>
        <v>0</v>
      </c>
      <c r="B92" t="str" cm="1">
        <f t="array" ref="B92">IF(ISBLANK(INDEX(SampleList[NMR],ROW()-1)),"Not Requested",INDEX(SampleList[Experiment ID],ROW()-1))</f>
        <v>Not Requested</v>
      </c>
      <c r="C92">
        <f>SampleList[[#This Row],[Duration (Days)]]</f>
        <v>0</v>
      </c>
      <c r="D92">
        <f>SampleList[[#This Row],[Sample Description]]</f>
        <v>0</v>
      </c>
      <c r="N92">
        <f>SUM(NMRPrep[[#This Row],[d-DMSO (uL) ]:[ NH4Cl (uL)]])</f>
        <v>0</v>
      </c>
      <c r="O92">
        <f>647</f>
        <v>647</v>
      </c>
      <c r="P92">
        <f>NMRPrep[[#This Row],[Total (uL) ]]-NMRPrep[[#This Row],[Target (uL)]]</f>
        <v>-647</v>
      </c>
      <c r="R92" t="e">
        <f>(NMRPrep[[#This Row],[NH4Cl Stock Concentration (mM)]]*NMRPrep[[#This Row],[ NH4Cl (uL)]])/SUM(NMRPrep[[#This Row],[DI (uL) ]:[ NH4Cl (uL)]])</f>
        <v>#DIV/0!</v>
      </c>
    </row>
    <row r="93" spans="1:18" x14ac:dyDescent="0.25">
      <c r="A93" s="1">
        <f>SampleList[[#This Row],[Date Sampled]]</f>
        <v>0</v>
      </c>
      <c r="B93" t="str" cm="1">
        <f t="array" ref="B93">IF(ISBLANK(INDEX(SampleList[NMR],ROW()-1)),"Not Requested",INDEX(SampleList[Experiment ID],ROW()-1))</f>
        <v>Not Requested</v>
      </c>
      <c r="C93">
        <f>SampleList[[#This Row],[Duration (Days)]]</f>
        <v>0</v>
      </c>
      <c r="D93">
        <f>SampleList[[#This Row],[Sample Description]]</f>
        <v>0</v>
      </c>
      <c r="N93">
        <f>SUM(NMRPrep[[#This Row],[d-DMSO (uL) ]:[ NH4Cl (uL)]])</f>
        <v>0</v>
      </c>
      <c r="O93">
        <f>647</f>
        <v>647</v>
      </c>
      <c r="P93">
        <f>NMRPrep[[#This Row],[Total (uL) ]]-NMRPrep[[#This Row],[Target (uL)]]</f>
        <v>-647</v>
      </c>
      <c r="R93" t="e">
        <f>(NMRPrep[[#This Row],[NH4Cl Stock Concentration (mM)]]*NMRPrep[[#This Row],[ NH4Cl (uL)]])/SUM(NMRPrep[[#This Row],[DI (uL) ]:[ NH4Cl (uL)]])</f>
        <v>#DIV/0!</v>
      </c>
    </row>
    <row r="94" spans="1:18" x14ac:dyDescent="0.25">
      <c r="A94" s="1">
        <f>SampleList[[#This Row],[Date Sampled]]</f>
        <v>0</v>
      </c>
      <c r="B94" t="str" cm="1">
        <f t="array" ref="B94">IF(ISBLANK(INDEX(SampleList[NMR],ROW()-1)),"Not Requested",INDEX(SampleList[Experiment ID],ROW()-1))</f>
        <v>Not Requested</v>
      </c>
      <c r="C94">
        <f>SampleList[[#This Row],[Duration (Days)]]</f>
        <v>0</v>
      </c>
      <c r="D94">
        <f>SampleList[[#This Row],[Sample Description]]</f>
        <v>0</v>
      </c>
      <c r="N94">
        <f>SUM(NMRPrep[[#This Row],[d-DMSO (uL) ]:[ NH4Cl (uL)]])</f>
        <v>0</v>
      </c>
      <c r="O94">
        <f>647</f>
        <v>647</v>
      </c>
      <c r="P94">
        <f>NMRPrep[[#This Row],[Total (uL) ]]-NMRPrep[[#This Row],[Target (uL)]]</f>
        <v>-647</v>
      </c>
      <c r="R94" t="e">
        <f>(NMRPrep[[#This Row],[NH4Cl Stock Concentration (mM)]]*NMRPrep[[#This Row],[ NH4Cl (uL)]])/SUM(NMRPrep[[#This Row],[DI (uL) ]:[ NH4Cl (uL)]])</f>
        <v>#DIV/0!</v>
      </c>
    </row>
    <row r="95" spans="1:18" x14ac:dyDescent="0.25">
      <c r="A95" s="1">
        <f>SampleList[[#This Row],[Date Sampled]]</f>
        <v>0</v>
      </c>
      <c r="B95" t="str" cm="1">
        <f t="array" ref="B95">IF(ISBLANK(INDEX(SampleList[NMR],ROW()-1)),"Not Requested",INDEX(SampleList[Experiment ID],ROW()-1))</f>
        <v>Not Requested</v>
      </c>
      <c r="C95">
        <f>SampleList[[#This Row],[Duration (Days)]]</f>
        <v>0</v>
      </c>
      <c r="D95">
        <f>SampleList[[#This Row],[Sample Description]]</f>
        <v>0</v>
      </c>
      <c r="N95">
        <f>SUM(NMRPrep[[#This Row],[d-DMSO (uL) ]:[ NH4Cl (uL)]])</f>
        <v>0</v>
      </c>
      <c r="O95">
        <f>647</f>
        <v>647</v>
      </c>
      <c r="P95">
        <f>NMRPrep[[#This Row],[Total (uL) ]]-NMRPrep[[#This Row],[Target (uL)]]</f>
        <v>-647</v>
      </c>
      <c r="R95" t="e">
        <f>(NMRPrep[[#This Row],[NH4Cl Stock Concentration (mM)]]*NMRPrep[[#This Row],[ NH4Cl (uL)]])/SUM(NMRPrep[[#This Row],[DI (uL) ]:[ NH4Cl (uL)]])</f>
        <v>#DIV/0!</v>
      </c>
    </row>
    <row r="96" spans="1:18" x14ac:dyDescent="0.25">
      <c r="A96" s="1">
        <f>SampleList[[#This Row],[Date Sampled]]</f>
        <v>0</v>
      </c>
      <c r="B96" t="str" cm="1">
        <f t="array" ref="B96">IF(ISBLANK(INDEX(SampleList[NMR],ROW()-1)),"Not Requested",INDEX(SampleList[Experiment ID],ROW()-1))</f>
        <v>Not Requested</v>
      </c>
      <c r="C96">
        <f>SampleList[[#This Row],[Duration (Days)]]</f>
        <v>0</v>
      </c>
      <c r="D96">
        <f>SampleList[[#This Row],[Sample Description]]</f>
        <v>0</v>
      </c>
      <c r="N96">
        <f>SUM(NMRPrep[[#This Row],[d-DMSO (uL) ]:[ NH4Cl (uL)]])</f>
        <v>0</v>
      </c>
      <c r="O96">
        <f>647</f>
        <v>647</v>
      </c>
      <c r="P96">
        <f>NMRPrep[[#This Row],[Total (uL) ]]-NMRPrep[[#This Row],[Target (uL)]]</f>
        <v>-647</v>
      </c>
      <c r="R96" t="e">
        <f>(NMRPrep[[#This Row],[NH4Cl Stock Concentration (mM)]]*NMRPrep[[#This Row],[ NH4Cl (uL)]])/SUM(NMRPrep[[#This Row],[DI (uL) ]:[ NH4Cl (uL)]])</f>
        <v>#DIV/0!</v>
      </c>
    </row>
    <row r="97" spans="1:18" x14ac:dyDescent="0.25">
      <c r="A97" s="1">
        <f>SampleList[[#This Row],[Date Sampled]]</f>
        <v>0</v>
      </c>
      <c r="B97" t="str" cm="1">
        <f t="array" ref="B97">IF(ISBLANK(INDEX(SampleList[NMR],ROW()-1)),"Not Requested",INDEX(SampleList[Experiment ID],ROW()-1))</f>
        <v>Not Requested</v>
      </c>
      <c r="C97">
        <f>SampleList[[#This Row],[Duration (Days)]]</f>
        <v>0</v>
      </c>
      <c r="D97">
        <f>SampleList[[#This Row],[Sample Description]]</f>
        <v>0</v>
      </c>
      <c r="N97">
        <f>SUM(NMRPrep[[#This Row],[d-DMSO (uL) ]:[ NH4Cl (uL)]])</f>
        <v>0</v>
      </c>
      <c r="O97">
        <f>647</f>
        <v>647</v>
      </c>
      <c r="P97">
        <f>NMRPrep[[#This Row],[Total (uL) ]]-NMRPrep[[#This Row],[Target (uL)]]</f>
        <v>-647</v>
      </c>
      <c r="R97" t="e">
        <f>(NMRPrep[[#This Row],[NH4Cl Stock Concentration (mM)]]*NMRPrep[[#This Row],[ NH4Cl (uL)]])/SUM(NMRPrep[[#This Row],[DI (uL) ]:[ NH4Cl (uL)]])</f>
        <v>#DIV/0!</v>
      </c>
    </row>
    <row r="98" spans="1:18" x14ac:dyDescent="0.25">
      <c r="A98" s="1">
        <f>SampleList[[#This Row],[Date Sampled]]</f>
        <v>0</v>
      </c>
      <c r="B98" t="str" cm="1">
        <f t="array" ref="B98">IF(ISBLANK(INDEX(SampleList[NMR],ROW()-1)),"Not Requested",INDEX(SampleList[Experiment ID],ROW()-1))</f>
        <v>Not Requested</v>
      </c>
      <c r="C98">
        <f>SampleList[[#This Row],[Duration (Days)]]</f>
        <v>0</v>
      </c>
      <c r="D98">
        <f>SampleList[[#This Row],[Sample Description]]</f>
        <v>0</v>
      </c>
      <c r="N98">
        <f>SUM(NMRPrep[[#This Row],[d-DMSO (uL) ]:[ NH4Cl (uL)]])</f>
        <v>0</v>
      </c>
      <c r="O98">
        <f>647</f>
        <v>647</v>
      </c>
      <c r="P98">
        <f>NMRPrep[[#This Row],[Total (uL) ]]-NMRPrep[[#This Row],[Target (uL)]]</f>
        <v>-647</v>
      </c>
      <c r="R98" t="e">
        <f>(NMRPrep[[#This Row],[NH4Cl Stock Concentration (mM)]]*NMRPrep[[#This Row],[ NH4Cl (uL)]])/SUM(NMRPrep[[#This Row],[DI (uL) ]:[ NH4Cl (uL)]])</f>
        <v>#DIV/0!</v>
      </c>
    </row>
    <row r="99" spans="1:18" x14ac:dyDescent="0.25">
      <c r="A99" s="1">
        <f>SampleList[[#This Row],[Date Sampled]]</f>
        <v>0</v>
      </c>
      <c r="B99" t="str" cm="1">
        <f t="array" ref="B99">IF(ISBLANK(INDEX(SampleList[NMR],ROW()-1)),"Not Requested",INDEX(SampleList[Experiment ID],ROW()-1))</f>
        <v>Not Requested</v>
      </c>
      <c r="C99">
        <f>SampleList[[#This Row],[Duration (Days)]]</f>
        <v>0</v>
      </c>
      <c r="D99">
        <f>SampleList[[#This Row],[Sample Description]]</f>
        <v>0</v>
      </c>
      <c r="N99">
        <f>SUM(NMRPrep[[#This Row],[d-DMSO (uL) ]:[ NH4Cl (uL)]])</f>
        <v>0</v>
      </c>
      <c r="O99">
        <f>647</f>
        <v>647</v>
      </c>
      <c r="P99">
        <f>NMRPrep[[#This Row],[Total (uL) ]]-NMRPrep[[#This Row],[Target (uL)]]</f>
        <v>-647</v>
      </c>
      <c r="R99" t="e">
        <f>(NMRPrep[[#This Row],[NH4Cl Stock Concentration (mM)]]*NMRPrep[[#This Row],[ NH4Cl (uL)]])/SUM(NMRPrep[[#This Row],[DI (uL) ]:[ NH4Cl (uL)]])</f>
        <v>#DIV/0!</v>
      </c>
    </row>
    <row r="100" spans="1:18" x14ac:dyDescent="0.25">
      <c r="A100" s="1">
        <f>SampleList[[#This Row],[Date Sampled]]</f>
        <v>0</v>
      </c>
      <c r="B100" t="str" cm="1">
        <f t="array" ref="B100">IF(ISBLANK(INDEX(SampleList[NMR],ROW()-1)),"Not Requested",INDEX(SampleList[Experiment ID],ROW()-1))</f>
        <v>Not Requested</v>
      </c>
      <c r="C100">
        <f>SampleList[[#This Row],[Duration (Days)]]</f>
        <v>0</v>
      </c>
      <c r="D100">
        <f>SampleList[[#This Row],[Sample Description]]</f>
        <v>0</v>
      </c>
      <c r="N100">
        <f>SUM(NMRPrep[[#This Row],[d-DMSO (uL) ]:[ NH4Cl (uL)]])</f>
        <v>0</v>
      </c>
      <c r="O100">
        <f>647</f>
        <v>647</v>
      </c>
      <c r="P100">
        <f>NMRPrep[[#This Row],[Total (uL) ]]-NMRPrep[[#This Row],[Target (uL)]]</f>
        <v>-647</v>
      </c>
      <c r="R100" t="e">
        <f>(NMRPrep[[#This Row],[NH4Cl Stock Concentration (mM)]]*NMRPrep[[#This Row],[ NH4Cl (uL)]])/SUM(NMRPrep[[#This Row],[DI (uL) ]:[ NH4Cl (uL)]])</f>
        <v>#DIV/0!</v>
      </c>
    </row>
    <row r="101" spans="1:18" x14ac:dyDescent="0.25">
      <c r="A101" s="1">
        <f>SampleList[[#This Row],[Date Sampled]]</f>
        <v>0</v>
      </c>
      <c r="B101" t="str" cm="1">
        <f t="array" ref="B101">IF(ISBLANK(INDEX(SampleList[NMR],ROW()-1)),"Not Requested",INDEX(SampleList[Experiment ID],ROW()-1))</f>
        <v>Not Requested</v>
      </c>
      <c r="C101">
        <f>SampleList[[#This Row],[Duration (Days)]]</f>
        <v>0</v>
      </c>
      <c r="D101">
        <f>SampleList[[#This Row],[Sample Description]]</f>
        <v>0</v>
      </c>
      <c r="N101">
        <f>SUM(NMRPrep[[#This Row],[d-DMSO (uL) ]:[ NH4Cl (uL)]])</f>
        <v>0</v>
      </c>
      <c r="O101">
        <f>647</f>
        <v>647</v>
      </c>
      <c r="P101">
        <f>NMRPrep[[#This Row],[Total (uL) ]]-NMRPrep[[#This Row],[Target (uL)]]</f>
        <v>-647</v>
      </c>
      <c r="R101" t="e">
        <f>(NMRPrep[[#This Row],[NH4Cl Stock Concentration (mM)]]*NMRPrep[[#This Row],[ NH4Cl (uL)]])/SUM(NMRPrep[[#This Row],[DI (uL) ]:[ NH4Cl (uL)]])</f>
        <v>#DIV/0!</v>
      </c>
    </row>
    <row r="102" spans="1:18" x14ac:dyDescent="0.25">
      <c r="A102" s="1">
        <f>SampleList[[#This Row],[Date Sampled]]</f>
        <v>0</v>
      </c>
      <c r="B102" t="str" cm="1">
        <f t="array" ref="B102">IF(ISBLANK(INDEX(SampleList[NMR],ROW()-1)),"Not Requested",INDEX(SampleList[Experiment ID],ROW()-1))</f>
        <v>Not Requested</v>
      </c>
      <c r="C102">
        <f>SampleList[[#This Row],[Duration (Days)]]</f>
        <v>0</v>
      </c>
      <c r="D102">
        <f>SampleList[[#This Row],[Sample Description]]</f>
        <v>0</v>
      </c>
      <c r="N102">
        <f>SUM(NMRPrep[[#This Row],[d-DMSO (uL) ]:[ NH4Cl (uL)]])</f>
        <v>0</v>
      </c>
      <c r="O102">
        <f>647</f>
        <v>647</v>
      </c>
      <c r="P102">
        <f>NMRPrep[[#This Row],[Total (uL) ]]-NMRPrep[[#This Row],[Target (uL)]]</f>
        <v>-647</v>
      </c>
      <c r="R102" t="e">
        <f>(NMRPrep[[#This Row],[NH4Cl Stock Concentration (mM)]]*NMRPrep[[#This Row],[ NH4Cl (uL)]])/SUM(NMRPrep[[#This Row],[DI (uL) ]:[ NH4Cl (uL)]])</f>
        <v>#DIV/0!</v>
      </c>
    </row>
    <row r="103" spans="1:18" x14ac:dyDescent="0.25">
      <c r="A103" s="1">
        <f>SampleList[[#This Row],[Date Sampled]]</f>
        <v>0</v>
      </c>
      <c r="B103" t="str" cm="1">
        <f t="array" ref="B103">IF(ISBLANK(INDEX(SampleList[NMR],ROW()-1)),"Not Requested",INDEX(SampleList[Experiment ID],ROW()-1))</f>
        <v>Not Requested</v>
      </c>
      <c r="C103">
        <f>SampleList[[#This Row],[Duration (Days)]]</f>
        <v>0</v>
      </c>
      <c r="D103">
        <f>SampleList[[#This Row],[Sample Description]]</f>
        <v>0</v>
      </c>
      <c r="N103">
        <f>SUM(NMRPrep[[#This Row],[d-DMSO (uL) ]:[ NH4Cl (uL)]])</f>
        <v>0</v>
      </c>
      <c r="O103">
        <f>647</f>
        <v>647</v>
      </c>
      <c r="P103">
        <f>NMRPrep[[#This Row],[Total (uL) ]]-NMRPrep[[#This Row],[Target (uL)]]</f>
        <v>-647</v>
      </c>
      <c r="R103" t="e">
        <f>(NMRPrep[[#This Row],[NH4Cl Stock Concentration (mM)]]*NMRPrep[[#This Row],[ NH4Cl (uL)]])/SUM(NMRPrep[[#This Row],[DI (uL) ]:[ NH4Cl (uL)]])</f>
        <v>#DIV/0!</v>
      </c>
    </row>
    <row r="104" spans="1:18" x14ac:dyDescent="0.25">
      <c r="A104" s="1">
        <f>SampleList[[#This Row],[Date Sampled]]</f>
        <v>0</v>
      </c>
      <c r="B104" t="str" cm="1">
        <f t="array" ref="B104">IF(ISBLANK(INDEX(SampleList[NMR],ROW()-1)),"Not Requested",INDEX(SampleList[Experiment ID],ROW()-1))</f>
        <v>Not Requested</v>
      </c>
      <c r="C104">
        <f>SampleList[[#This Row],[Duration (Days)]]</f>
        <v>0</v>
      </c>
      <c r="D104">
        <f>SampleList[[#This Row],[Sample Description]]</f>
        <v>0</v>
      </c>
      <c r="N104">
        <f>SUM(NMRPrep[[#This Row],[d-DMSO (uL) ]:[ NH4Cl (uL)]])</f>
        <v>0</v>
      </c>
      <c r="O104">
        <f>647</f>
        <v>647</v>
      </c>
      <c r="P104">
        <f>NMRPrep[[#This Row],[Total (uL) ]]-NMRPrep[[#This Row],[Target (uL)]]</f>
        <v>-647</v>
      </c>
      <c r="R104" t="e">
        <f>(NMRPrep[[#This Row],[NH4Cl Stock Concentration (mM)]]*NMRPrep[[#This Row],[ NH4Cl (uL)]])/SUM(NMRPrep[[#This Row],[DI (uL) ]:[ NH4Cl (uL)]])</f>
        <v>#DIV/0!</v>
      </c>
    </row>
    <row r="105" spans="1:18" x14ac:dyDescent="0.25">
      <c r="A105" s="1">
        <f>SampleList[[#This Row],[Date Sampled]]</f>
        <v>0</v>
      </c>
      <c r="B105" t="str" cm="1">
        <f t="array" ref="B105">IF(ISBLANK(INDEX(SampleList[NMR],ROW()-1)),"Not Requested",INDEX(SampleList[Experiment ID],ROW()-1))</f>
        <v>Not Requested</v>
      </c>
      <c r="C105">
        <f>SampleList[[#This Row],[Duration (Days)]]</f>
        <v>0</v>
      </c>
      <c r="D105">
        <f>SampleList[[#This Row],[Sample Description]]</f>
        <v>0</v>
      </c>
      <c r="N105">
        <f>SUM(NMRPrep[[#This Row],[d-DMSO (uL) ]:[ NH4Cl (uL)]])</f>
        <v>0</v>
      </c>
      <c r="O105">
        <f>647</f>
        <v>647</v>
      </c>
      <c r="P105">
        <f>NMRPrep[[#This Row],[Total (uL) ]]-NMRPrep[[#This Row],[Target (uL)]]</f>
        <v>-647</v>
      </c>
      <c r="R105" t="e">
        <f>(NMRPrep[[#This Row],[NH4Cl Stock Concentration (mM)]]*NMRPrep[[#This Row],[ NH4Cl (uL)]])/SUM(NMRPrep[[#This Row],[DI (uL) ]:[ NH4Cl (uL)]])</f>
        <v>#DIV/0!</v>
      </c>
    </row>
    <row r="106" spans="1:18" x14ac:dyDescent="0.25">
      <c r="A106" s="1">
        <f>SampleList[[#This Row],[Date Sampled]]</f>
        <v>0</v>
      </c>
      <c r="B106" t="str" cm="1">
        <f t="array" ref="B106">IF(ISBLANK(INDEX(SampleList[NMR],ROW()-1)),"Not Requested",INDEX(SampleList[Experiment ID],ROW()-1))</f>
        <v>Not Requested</v>
      </c>
      <c r="C106">
        <f>SampleList[[#This Row],[Duration (Days)]]</f>
        <v>0</v>
      </c>
      <c r="D106">
        <f>SampleList[[#This Row],[Sample Description]]</f>
        <v>0</v>
      </c>
      <c r="N106">
        <f>SUM(NMRPrep[[#This Row],[d-DMSO (uL) ]:[ NH4Cl (uL)]])</f>
        <v>0</v>
      </c>
      <c r="O106">
        <f>647</f>
        <v>647</v>
      </c>
      <c r="P106">
        <f>NMRPrep[[#This Row],[Total (uL) ]]-NMRPrep[[#This Row],[Target (uL)]]</f>
        <v>-647</v>
      </c>
      <c r="R106" t="e">
        <f>(NMRPrep[[#This Row],[NH4Cl Stock Concentration (mM)]]*NMRPrep[[#This Row],[ NH4Cl (uL)]])/SUM(NMRPrep[[#This Row],[DI (uL) ]:[ NH4Cl (uL)]])</f>
        <v>#DIV/0!</v>
      </c>
    </row>
    <row r="107" spans="1:18" x14ac:dyDescent="0.25">
      <c r="A107" s="1">
        <f>SampleList[[#This Row],[Date Sampled]]</f>
        <v>0</v>
      </c>
      <c r="B107" t="str" cm="1">
        <f t="array" ref="B107">IF(ISBLANK(INDEX(SampleList[NMR],ROW()-1)),"Not Requested",INDEX(SampleList[Experiment ID],ROW()-1))</f>
        <v>Not Requested</v>
      </c>
      <c r="C107">
        <f>SampleList[[#This Row],[Duration (Days)]]</f>
        <v>0</v>
      </c>
      <c r="D107">
        <f>SampleList[[#This Row],[Sample Description]]</f>
        <v>0</v>
      </c>
      <c r="N107">
        <f>SUM(NMRPrep[[#This Row],[d-DMSO (uL) ]:[ NH4Cl (uL)]])</f>
        <v>0</v>
      </c>
      <c r="O107">
        <f>647</f>
        <v>647</v>
      </c>
      <c r="P107">
        <f>NMRPrep[[#This Row],[Total (uL) ]]-NMRPrep[[#This Row],[Target (uL)]]</f>
        <v>-647</v>
      </c>
      <c r="R107" t="e">
        <f>(NMRPrep[[#This Row],[NH4Cl Stock Concentration (mM)]]*NMRPrep[[#This Row],[ NH4Cl (uL)]])/SUM(NMRPrep[[#This Row],[DI (uL) ]:[ NH4Cl (uL)]])</f>
        <v>#DIV/0!</v>
      </c>
    </row>
    <row r="108" spans="1:18" x14ac:dyDescent="0.25">
      <c r="A108" s="1">
        <f>SampleList[[#This Row],[Date Sampled]]</f>
        <v>0</v>
      </c>
      <c r="B108" t="str" cm="1">
        <f t="array" ref="B108">IF(ISBLANK(INDEX(SampleList[NMR],ROW()-1)),"Not Requested",INDEX(SampleList[Experiment ID],ROW()-1))</f>
        <v>Not Requested</v>
      </c>
      <c r="C108">
        <f>SampleList[[#This Row],[Duration (Days)]]</f>
        <v>0</v>
      </c>
      <c r="D108">
        <f>SampleList[[#This Row],[Sample Description]]</f>
        <v>0</v>
      </c>
      <c r="N108">
        <f>SUM(NMRPrep[[#This Row],[d-DMSO (uL) ]:[ NH4Cl (uL)]])</f>
        <v>0</v>
      </c>
      <c r="O108">
        <f>647</f>
        <v>647</v>
      </c>
      <c r="P108">
        <f>NMRPrep[[#This Row],[Total (uL) ]]-NMRPrep[[#This Row],[Target (uL)]]</f>
        <v>-647</v>
      </c>
      <c r="R108" t="e">
        <f>(NMRPrep[[#This Row],[NH4Cl Stock Concentration (mM)]]*NMRPrep[[#This Row],[ NH4Cl (uL)]])/SUM(NMRPrep[[#This Row],[DI (uL) ]:[ NH4Cl (uL)]])</f>
        <v>#DIV/0!</v>
      </c>
    </row>
    <row r="109" spans="1:18" x14ac:dyDescent="0.25">
      <c r="A109" s="1">
        <f>SampleList[[#This Row],[Date Sampled]]</f>
        <v>0</v>
      </c>
      <c r="B109" t="str" cm="1">
        <f t="array" ref="B109">IF(ISBLANK(INDEX(SampleList[NMR],ROW()-1)),"Not Requested",INDEX(SampleList[Experiment ID],ROW()-1))</f>
        <v>Not Requested</v>
      </c>
      <c r="C109">
        <f>SampleList[[#This Row],[Duration (Days)]]</f>
        <v>0</v>
      </c>
      <c r="D109">
        <f>SampleList[[#This Row],[Sample Description]]</f>
        <v>0</v>
      </c>
      <c r="N109">
        <f>SUM(NMRPrep[[#This Row],[d-DMSO (uL) ]:[ NH4Cl (uL)]])</f>
        <v>0</v>
      </c>
      <c r="O109">
        <f>647</f>
        <v>647</v>
      </c>
      <c r="P109">
        <f>NMRPrep[[#This Row],[Total (uL) ]]-NMRPrep[[#This Row],[Target (uL)]]</f>
        <v>-647</v>
      </c>
      <c r="R109" t="e">
        <f>(NMRPrep[[#This Row],[NH4Cl Stock Concentration (mM)]]*NMRPrep[[#This Row],[ NH4Cl (uL)]])/SUM(NMRPrep[[#This Row],[DI (uL) ]:[ NH4Cl (uL)]])</f>
        <v>#DIV/0!</v>
      </c>
    </row>
    <row r="110" spans="1:18" x14ac:dyDescent="0.25">
      <c r="A110" s="1">
        <f>SampleList[[#This Row],[Date Sampled]]</f>
        <v>0</v>
      </c>
      <c r="B110" t="str" cm="1">
        <f t="array" ref="B110">IF(ISBLANK(INDEX(SampleList[NMR],ROW()-1)),"Not Requested",INDEX(SampleList[Experiment ID],ROW()-1))</f>
        <v>Not Requested</v>
      </c>
      <c r="C110">
        <f>SampleList[[#This Row],[Duration (Days)]]</f>
        <v>0</v>
      </c>
      <c r="D110">
        <f>SampleList[[#This Row],[Sample Description]]</f>
        <v>0</v>
      </c>
      <c r="N110">
        <f>SUM(NMRPrep[[#This Row],[d-DMSO (uL) ]:[ NH4Cl (uL)]])</f>
        <v>0</v>
      </c>
      <c r="O110">
        <f>647</f>
        <v>647</v>
      </c>
      <c r="P110">
        <f>NMRPrep[[#This Row],[Total (uL) ]]-NMRPrep[[#This Row],[Target (uL)]]</f>
        <v>-647</v>
      </c>
      <c r="R110" t="e">
        <f>(NMRPrep[[#This Row],[NH4Cl Stock Concentration (mM)]]*NMRPrep[[#This Row],[ NH4Cl (uL)]])/SUM(NMRPrep[[#This Row],[DI (uL) ]:[ NH4Cl (uL)]])</f>
        <v>#DIV/0!</v>
      </c>
    </row>
    <row r="111" spans="1:18" x14ac:dyDescent="0.25">
      <c r="A111" s="1">
        <f>SampleList[[#This Row],[Date Sampled]]</f>
        <v>0</v>
      </c>
      <c r="B111" t="str" cm="1">
        <f t="array" ref="B111">IF(ISBLANK(INDEX(SampleList[NMR],ROW()-1)),"Not Requested",INDEX(SampleList[Experiment ID],ROW()-1))</f>
        <v>Not Requested</v>
      </c>
      <c r="C111">
        <f>SampleList[[#This Row],[Duration (Days)]]</f>
        <v>0</v>
      </c>
      <c r="D111">
        <f>SampleList[[#This Row],[Sample Description]]</f>
        <v>0</v>
      </c>
      <c r="N111">
        <f>SUM(NMRPrep[[#This Row],[d-DMSO (uL) ]:[ NH4Cl (uL)]])</f>
        <v>0</v>
      </c>
      <c r="O111">
        <f>647</f>
        <v>647</v>
      </c>
      <c r="P111">
        <f>NMRPrep[[#This Row],[Total (uL) ]]-NMRPrep[[#This Row],[Target (uL)]]</f>
        <v>-647</v>
      </c>
      <c r="R111" t="e">
        <f>(NMRPrep[[#This Row],[NH4Cl Stock Concentration (mM)]]*NMRPrep[[#This Row],[ NH4Cl (uL)]])/SUM(NMRPrep[[#This Row],[DI (uL) ]:[ NH4Cl (uL)]])</f>
        <v>#DIV/0!</v>
      </c>
    </row>
    <row r="112" spans="1:18" x14ac:dyDescent="0.25">
      <c r="A112" s="1">
        <f>SampleList[[#This Row],[Date Sampled]]</f>
        <v>0</v>
      </c>
      <c r="B112" t="str" cm="1">
        <f t="array" ref="B112">IF(ISBLANK(INDEX(SampleList[NMR],ROW()-1)),"Not Requested",INDEX(SampleList[Experiment ID],ROW()-1))</f>
        <v>Not Requested</v>
      </c>
      <c r="C112">
        <f>SampleList[[#This Row],[Duration (Days)]]</f>
        <v>0</v>
      </c>
      <c r="D112">
        <f>SampleList[[#This Row],[Sample Description]]</f>
        <v>0</v>
      </c>
      <c r="N112">
        <f>SUM(NMRPrep[[#This Row],[d-DMSO (uL) ]:[ NH4Cl (uL)]])</f>
        <v>0</v>
      </c>
      <c r="O112">
        <f>647</f>
        <v>647</v>
      </c>
      <c r="P112">
        <f>NMRPrep[[#This Row],[Total (uL) ]]-NMRPrep[[#This Row],[Target (uL)]]</f>
        <v>-647</v>
      </c>
      <c r="R112" t="e">
        <f>(NMRPrep[[#This Row],[NH4Cl Stock Concentration (mM)]]*NMRPrep[[#This Row],[ NH4Cl (uL)]])/SUM(NMRPrep[[#This Row],[DI (uL) ]:[ NH4Cl (uL)]])</f>
        <v>#DIV/0!</v>
      </c>
    </row>
    <row r="113" spans="1:18" x14ac:dyDescent="0.25">
      <c r="A113" s="1">
        <f>SampleList[[#This Row],[Date Sampled]]</f>
        <v>0</v>
      </c>
      <c r="B113" t="str" cm="1">
        <f t="array" ref="B113">IF(ISBLANK(INDEX(SampleList[NMR],ROW()-1)),"Not Requested",INDEX(SampleList[Experiment ID],ROW()-1))</f>
        <v>Not Requested</v>
      </c>
      <c r="C113">
        <f>SampleList[[#This Row],[Duration (Days)]]</f>
        <v>0</v>
      </c>
      <c r="D113">
        <f>SampleList[[#This Row],[Sample Description]]</f>
        <v>0</v>
      </c>
      <c r="N113">
        <f>SUM(NMRPrep[[#This Row],[d-DMSO (uL) ]:[ NH4Cl (uL)]])</f>
        <v>0</v>
      </c>
      <c r="O113">
        <f>647</f>
        <v>647</v>
      </c>
      <c r="P113">
        <f>NMRPrep[[#This Row],[Total (uL) ]]-NMRPrep[[#This Row],[Target (uL)]]</f>
        <v>-647</v>
      </c>
      <c r="R113" t="e">
        <f>(NMRPrep[[#This Row],[NH4Cl Stock Concentration (mM)]]*NMRPrep[[#This Row],[ NH4Cl (uL)]])/SUM(NMRPrep[[#This Row],[DI (uL) ]:[ NH4Cl (uL)]])</f>
        <v>#DIV/0!</v>
      </c>
    </row>
    <row r="114" spans="1:18" x14ac:dyDescent="0.25">
      <c r="A114" s="1">
        <f>SampleList[[#This Row],[Date Sampled]]</f>
        <v>0</v>
      </c>
      <c r="B114" t="str" cm="1">
        <f t="array" ref="B114">IF(ISBLANK(INDEX(SampleList[NMR],ROW()-1)),"Not Requested",INDEX(SampleList[Experiment ID],ROW()-1))</f>
        <v>Not Requested</v>
      </c>
      <c r="C114">
        <f>SampleList[[#This Row],[Duration (Days)]]</f>
        <v>0</v>
      </c>
      <c r="D114">
        <f>SampleList[[#This Row],[Sample Description]]</f>
        <v>0</v>
      </c>
      <c r="N114">
        <f>SUM(NMRPrep[[#This Row],[d-DMSO (uL) ]:[ NH4Cl (uL)]])</f>
        <v>0</v>
      </c>
      <c r="O114">
        <f>647</f>
        <v>647</v>
      </c>
      <c r="P114">
        <f>NMRPrep[[#This Row],[Total (uL) ]]-NMRPrep[[#This Row],[Target (uL)]]</f>
        <v>-647</v>
      </c>
      <c r="R114" t="e">
        <f>(NMRPrep[[#This Row],[NH4Cl Stock Concentration (mM)]]*NMRPrep[[#This Row],[ NH4Cl (uL)]])/SUM(NMRPrep[[#This Row],[DI (uL) ]:[ NH4Cl (uL)]])</f>
        <v>#DIV/0!</v>
      </c>
    </row>
    <row r="115" spans="1:18" x14ac:dyDescent="0.25">
      <c r="A115" s="1">
        <f>SampleList[[#This Row],[Date Sampled]]</f>
        <v>0</v>
      </c>
      <c r="B115" t="str" cm="1">
        <f t="array" ref="B115">IF(ISBLANK(INDEX(SampleList[NMR],ROW()-1)),"Not Requested",INDEX(SampleList[Experiment ID],ROW()-1))</f>
        <v>Not Requested</v>
      </c>
      <c r="C115">
        <f>SampleList[[#This Row],[Duration (Days)]]</f>
        <v>0</v>
      </c>
      <c r="D115">
        <f>SampleList[[#This Row],[Sample Description]]</f>
        <v>0</v>
      </c>
      <c r="N115">
        <f>SUM(NMRPrep[[#This Row],[d-DMSO (uL) ]:[ NH4Cl (uL)]])</f>
        <v>0</v>
      </c>
      <c r="O115">
        <f>647</f>
        <v>647</v>
      </c>
      <c r="P115">
        <f>NMRPrep[[#This Row],[Total (uL) ]]-NMRPrep[[#This Row],[Target (uL)]]</f>
        <v>-647</v>
      </c>
      <c r="R115" t="e">
        <f>(NMRPrep[[#This Row],[NH4Cl Stock Concentration (mM)]]*NMRPrep[[#This Row],[ NH4Cl (uL)]])/SUM(NMRPrep[[#This Row],[DI (uL) ]:[ NH4Cl (uL)]])</f>
        <v>#DIV/0!</v>
      </c>
    </row>
    <row r="116" spans="1:18" x14ac:dyDescent="0.25">
      <c r="A116" s="1">
        <f>SampleList[[#This Row],[Date Sampled]]</f>
        <v>0</v>
      </c>
      <c r="B116" t="str" cm="1">
        <f t="array" ref="B116">IF(ISBLANK(INDEX(SampleList[NMR],ROW()-1)),"Not Requested",INDEX(SampleList[Experiment ID],ROW()-1))</f>
        <v>Not Requested</v>
      </c>
      <c r="C116">
        <f>SampleList[[#This Row],[Duration (Days)]]</f>
        <v>0</v>
      </c>
      <c r="D116">
        <f>SampleList[[#This Row],[Sample Description]]</f>
        <v>0</v>
      </c>
      <c r="N116">
        <f>SUM(NMRPrep[[#This Row],[d-DMSO (uL) ]:[ NH4Cl (uL)]])</f>
        <v>0</v>
      </c>
      <c r="O116">
        <f>647</f>
        <v>647</v>
      </c>
      <c r="P116">
        <f>NMRPrep[[#This Row],[Total (uL) ]]-NMRPrep[[#This Row],[Target (uL)]]</f>
        <v>-647</v>
      </c>
      <c r="R116" t="e">
        <f>(NMRPrep[[#This Row],[NH4Cl Stock Concentration (mM)]]*NMRPrep[[#This Row],[ NH4Cl (uL)]])/SUM(NMRPrep[[#This Row],[DI (uL) ]:[ NH4Cl (uL)]])</f>
        <v>#DIV/0!</v>
      </c>
    </row>
    <row r="117" spans="1:18" x14ac:dyDescent="0.25">
      <c r="A117" s="1">
        <f>SampleList[[#This Row],[Date Sampled]]</f>
        <v>0</v>
      </c>
      <c r="B117" t="str" cm="1">
        <f t="array" ref="B117">IF(ISBLANK(INDEX(SampleList[NMR],ROW()-1)),"Not Requested",INDEX(SampleList[Experiment ID],ROW()-1))</f>
        <v>Not Requested</v>
      </c>
      <c r="C117">
        <f>SampleList[[#This Row],[Duration (Days)]]</f>
        <v>0</v>
      </c>
      <c r="D117">
        <f>SampleList[[#This Row],[Sample Description]]</f>
        <v>0</v>
      </c>
      <c r="N117">
        <f>SUM(NMRPrep[[#This Row],[d-DMSO (uL) ]:[ NH4Cl (uL)]])</f>
        <v>0</v>
      </c>
      <c r="O117">
        <f>647</f>
        <v>647</v>
      </c>
      <c r="P117">
        <f>NMRPrep[[#This Row],[Total (uL) ]]-NMRPrep[[#This Row],[Target (uL)]]</f>
        <v>-647</v>
      </c>
      <c r="R117" t="e">
        <f>(NMRPrep[[#This Row],[NH4Cl Stock Concentration (mM)]]*NMRPrep[[#This Row],[ NH4Cl (uL)]])/SUM(NMRPrep[[#This Row],[DI (uL) ]:[ NH4Cl (uL)]])</f>
        <v>#DIV/0!</v>
      </c>
    </row>
    <row r="118" spans="1:18" x14ac:dyDescent="0.25">
      <c r="A118" s="1">
        <f>SampleList[[#This Row],[Date Sampled]]</f>
        <v>0</v>
      </c>
      <c r="B118" t="str" cm="1">
        <f t="array" ref="B118">IF(ISBLANK(INDEX(SampleList[NMR],ROW()-1)),"Not Requested",INDEX(SampleList[Experiment ID],ROW()-1))</f>
        <v>Not Requested</v>
      </c>
      <c r="C118">
        <f>SampleList[[#This Row],[Duration (Days)]]</f>
        <v>0</v>
      </c>
      <c r="D118">
        <f>SampleList[[#This Row],[Sample Description]]</f>
        <v>0</v>
      </c>
      <c r="N118">
        <f>SUM(NMRPrep[[#This Row],[d-DMSO (uL) ]:[ NH4Cl (uL)]])</f>
        <v>0</v>
      </c>
      <c r="O118">
        <f>647</f>
        <v>647</v>
      </c>
      <c r="P118">
        <f>NMRPrep[[#This Row],[Total (uL) ]]-NMRPrep[[#This Row],[Target (uL)]]</f>
        <v>-647</v>
      </c>
      <c r="R118" t="e">
        <f>(NMRPrep[[#This Row],[NH4Cl Stock Concentration (mM)]]*NMRPrep[[#This Row],[ NH4Cl (uL)]])/SUM(NMRPrep[[#This Row],[DI (uL) ]:[ NH4Cl (uL)]])</f>
        <v>#DIV/0!</v>
      </c>
    </row>
    <row r="119" spans="1:18" x14ac:dyDescent="0.25">
      <c r="A119" s="1">
        <f>SampleList[[#This Row],[Date Sampled]]</f>
        <v>0</v>
      </c>
      <c r="B119" t="str" cm="1">
        <f t="array" ref="B119">IF(ISBLANK(INDEX(SampleList[NMR],ROW()-1)),"Not Requested",INDEX(SampleList[Experiment ID],ROW()-1))</f>
        <v>Not Requested</v>
      </c>
      <c r="C119">
        <f>SampleList[[#This Row],[Duration (Days)]]</f>
        <v>0</v>
      </c>
      <c r="D119">
        <f>SampleList[[#This Row],[Sample Description]]</f>
        <v>0</v>
      </c>
      <c r="N119">
        <f>SUM(NMRPrep[[#This Row],[d-DMSO (uL) ]:[ NH4Cl (uL)]])</f>
        <v>0</v>
      </c>
      <c r="O119">
        <f>647</f>
        <v>647</v>
      </c>
      <c r="P119">
        <f>NMRPrep[[#This Row],[Total (uL) ]]-NMRPrep[[#This Row],[Target (uL)]]</f>
        <v>-647</v>
      </c>
      <c r="R119" t="e">
        <f>(NMRPrep[[#This Row],[NH4Cl Stock Concentration (mM)]]*NMRPrep[[#This Row],[ NH4Cl (uL)]])/SUM(NMRPrep[[#This Row],[DI (uL) ]:[ NH4Cl (uL)]])</f>
        <v>#DIV/0!</v>
      </c>
    </row>
    <row r="120" spans="1:18" x14ac:dyDescent="0.25">
      <c r="A120" s="1">
        <f>SampleList[[#This Row],[Date Sampled]]</f>
        <v>0</v>
      </c>
      <c r="B120" t="str" cm="1">
        <f t="array" ref="B120">IF(ISBLANK(INDEX(SampleList[NMR],ROW()-1)),"Not Requested",INDEX(SampleList[Experiment ID],ROW()-1))</f>
        <v>Not Requested</v>
      </c>
      <c r="C120">
        <f>SampleList[[#This Row],[Duration (Days)]]</f>
        <v>0</v>
      </c>
      <c r="D120">
        <f>SampleList[[#This Row],[Sample Description]]</f>
        <v>0</v>
      </c>
      <c r="N120">
        <f>SUM(NMRPrep[[#This Row],[d-DMSO (uL) ]:[ NH4Cl (uL)]])</f>
        <v>0</v>
      </c>
      <c r="O120">
        <f>647</f>
        <v>647</v>
      </c>
      <c r="P120">
        <f>NMRPrep[[#This Row],[Total (uL) ]]-NMRPrep[[#This Row],[Target (uL)]]</f>
        <v>-647</v>
      </c>
      <c r="R120" t="e">
        <f>(NMRPrep[[#This Row],[NH4Cl Stock Concentration (mM)]]*NMRPrep[[#This Row],[ NH4Cl (uL)]])/SUM(NMRPrep[[#This Row],[DI (uL) ]:[ NH4Cl (uL)]])</f>
        <v>#DIV/0!</v>
      </c>
    </row>
    <row r="121" spans="1:18" x14ac:dyDescent="0.25">
      <c r="A121" s="1">
        <f>SampleList[[#This Row],[Date Sampled]]</f>
        <v>0</v>
      </c>
      <c r="B121" t="str" cm="1">
        <f t="array" ref="B121">IF(ISBLANK(INDEX(SampleList[NMR],ROW()-1)),"Not Requested",INDEX(SampleList[Experiment ID],ROW()-1))</f>
        <v>Not Requested</v>
      </c>
      <c r="C121">
        <f>SampleList[[#This Row],[Duration (Days)]]</f>
        <v>0</v>
      </c>
      <c r="D121">
        <f>SampleList[[#This Row],[Sample Description]]</f>
        <v>0</v>
      </c>
      <c r="N121">
        <f>SUM(NMRPrep[[#This Row],[d-DMSO (uL) ]:[ NH4Cl (uL)]])</f>
        <v>0</v>
      </c>
      <c r="O121">
        <f>647</f>
        <v>647</v>
      </c>
      <c r="P121">
        <f>NMRPrep[[#This Row],[Total (uL) ]]-NMRPrep[[#This Row],[Target (uL)]]</f>
        <v>-647</v>
      </c>
      <c r="R121" t="e">
        <f>(NMRPrep[[#This Row],[NH4Cl Stock Concentration (mM)]]*NMRPrep[[#This Row],[ NH4Cl (uL)]])/SUM(NMRPrep[[#This Row],[DI (uL) ]:[ NH4Cl (uL)]])</f>
        <v>#DIV/0!</v>
      </c>
    </row>
    <row r="122" spans="1:18" x14ac:dyDescent="0.25">
      <c r="A122" s="1">
        <f>SampleList[[#This Row],[Date Sampled]]</f>
        <v>0</v>
      </c>
      <c r="B122" t="str" cm="1">
        <f t="array" ref="B122">IF(ISBLANK(INDEX(SampleList[NMR],ROW()-1)),"Not Requested",INDEX(SampleList[Experiment ID],ROW()-1))</f>
        <v>Not Requested</v>
      </c>
      <c r="C122">
        <f>SampleList[[#This Row],[Duration (Days)]]</f>
        <v>0</v>
      </c>
      <c r="D122">
        <f>SampleList[[#This Row],[Sample Description]]</f>
        <v>0</v>
      </c>
      <c r="N122">
        <f>SUM(NMRPrep[[#This Row],[d-DMSO (uL) ]:[ NH4Cl (uL)]])</f>
        <v>0</v>
      </c>
      <c r="O122">
        <f>647</f>
        <v>647</v>
      </c>
      <c r="P122">
        <f>NMRPrep[[#This Row],[Total (uL) ]]-NMRPrep[[#This Row],[Target (uL)]]</f>
        <v>-647</v>
      </c>
      <c r="R122" t="e">
        <f>(NMRPrep[[#This Row],[NH4Cl Stock Concentration (mM)]]*NMRPrep[[#This Row],[ NH4Cl (uL)]])/SUM(NMRPrep[[#This Row],[DI (uL) ]:[ NH4Cl (uL)]])</f>
        <v>#DIV/0!</v>
      </c>
    </row>
    <row r="123" spans="1:18" x14ac:dyDescent="0.25">
      <c r="A123" s="1">
        <f>SampleList[[#This Row],[Date Sampled]]</f>
        <v>0</v>
      </c>
      <c r="B123" t="str" cm="1">
        <f t="array" ref="B123">IF(ISBLANK(INDEX(SampleList[NMR],ROW()-1)),"Not Requested",INDEX(SampleList[Experiment ID],ROW()-1))</f>
        <v>Not Requested</v>
      </c>
      <c r="C123">
        <f>SampleList[[#This Row],[Duration (Days)]]</f>
        <v>0</v>
      </c>
      <c r="D123">
        <f>SampleList[[#This Row],[Sample Description]]</f>
        <v>0</v>
      </c>
      <c r="N123">
        <f>SUM(NMRPrep[[#This Row],[d-DMSO (uL) ]:[ NH4Cl (uL)]])</f>
        <v>0</v>
      </c>
      <c r="O123">
        <f>647</f>
        <v>647</v>
      </c>
      <c r="P123">
        <f>NMRPrep[[#This Row],[Total (uL) ]]-NMRPrep[[#This Row],[Target (uL)]]</f>
        <v>-647</v>
      </c>
      <c r="R123" t="e">
        <f>(NMRPrep[[#This Row],[NH4Cl Stock Concentration (mM)]]*NMRPrep[[#This Row],[ NH4Cl (uL)]])/SUM(NMRPrep[[#This Row],[DI (uL) ]:[ NH4Cl (uL)]])</f>
        <v>#DIV/0!</v>
      </c>
    </row>
    <row r="124" spans="1:18" x14ac:dyDescent="0.25">
      <c r="A124" s="1">
        <f>SampleList[[#This Row],[Date Sampled]]</f>
        <v>0</v>
      </c>
      <c r="B124" t="str" cm="1">
        <f t="array" ref="B124">IF(ISBLANK(INDEX(SampleList[NMR],ROW()-1)),"Not Requested",INDEX(SampleList[Experiment ID],ROW()-1))</f>
        <v>Not Requested</v>
      </c>
      <c r="C124">
        <f>SampleList[[#This Row],[Duration (Days)]]</f>
        <v>0</v>
      </c>
      <c r="D124">
        <f>SampleList[[#This Row],[Sample Description]]</f>
        <v>0</v>
      </c>
      <c r="N124">
        <f>SUM(NMRPrep[[#This Row],[d-DMSO (uL) ]:[ NH4Cl (uL)]])</f>
        <v>0</v>
      </c>
      <c r="O124">
        <f>647</f>
        <v>647</v>
      </c>
      <c r="P124">
        <f>NMRPrep[[#This Row],[Total (uL) ]]-NMRPrep[[#This Row],[Target (uL)]]</f>
        <v>-647</v>
      </c>
      <c r="R124" t="e">
        <f>(NMRPrep[[#This Row],[NH4Cl Stock Concentration (mM)]]*NMRPrep[[#This Row],[ NH4Cl (uL)]])/SUM(NMRPrep[[#This Row],[DI (uL) ]:[ NH4Cl (uL)]])</f>
        <v>#DIV/0!</v>
      </c>
    </row>
    <row r="125" spans="1:18" x14ac:dyDescent="0.25">
      <c r="A125" s="1">
        <f>SampleList[[#This Row],[Date Sampled]]</f>
        <v>0</v>
      </c>
      <c r="B125" t="str" cm="1">
        <f t="array" ref="B125">IF(ISBLANK(INDEX(SampleList[NMR],ROW()-1)),"Not Requested",INDEX(SampleList[Experiment ID],ROW()-1))</f>
        <v>Not Requested</v>
      </c>
      <c r="C125">
        <f>SampleList[[#This Row],[Duration (Days)]]</f>
        <v>0</v>
      </c>
      <c r="D125">
        <f>SampleList[[#This Row],[Sample Description]]</f>
        <v>0</v>
      </c>
      <c r="N125">
        <f>SUM(NMRPrep[[#This Row],[d-DMSO (uL) ]:[ NH4Cl (uL)]])</f>
        <v>0</v>
      </c>
      <c r="O125">
        <f>647</f>
        <v>647</v>
      </c>
      <c r="P125">
        <f>NMRPrep[[#This Row],[Total (uL) ]]-NMRPrep[[#This Row],[Target (uL)]]</f>
        <v>-647</v>
      </c>
      <c r="R125" t="e">
        <f>(NMRPrep[[#This Row],[NH4Cl Stock Concentration (mM)]]*NMRPrep[[#This Row],[ NH4Cl (uL)]])/SUM(NMRPrep[[#This Row],[DI (uL) ]:[ NH4Cl (uL)]])</f>
        <v>#DIV/0!</v>
      </c>
    </row>
    <row r="126" spans="1:18" x14ac:dyDescent="0.25">
      <c r="A126" s="1">
        <f>SampleList[[#This Row],[Date Sampled]]</f>
        <v>0</v>
      </c>
      <c r="B126" t="str" cm="1">
        <f t="array" ref="B126">IF(ISBLANK(INDEX(SampleList[NMR],ROW()-1)),"Not Requested",INDEX(SampleList[Experiment ID],ROW()-1))</f>
        <v>Not Requested</v>
      </c>
      <c r="C126">
        <f>SampleList[[#This Row],[Duration (Days)]]</f>
        <v>0</v>
      </c>
      <c r="D126">
        <f>SampleList[[#This Row],[Sample Description]]</f>
        <v>0</v>
      </c>
      <c r="N126">
        <f>SUM(NMRPrep[[#This Row],[d-DMSO (uL) ]:[ NH4Cl (uL)]])</f>
        <v>0</v>
      </c>
      <c r="O126">
        <f>647</f>
        <v>647</v>
      </c>
      <c r="P126">
        <f>NMRPrep[[#This Row],[Total (uL) ]]-NMRPrep[[#This Row],[Target (uL)]]</f>
        <v>-647</v>
      </c>
      <c r="R126" t="e">
        <f>(NMRPrep[[#This Row],[NH4Cl Stock Concentration (mM)]]*NMRPrep[[#This Row],[ NH4Cl (uL)]])/SUM(NMRPrep[[#This Row],[DI (uL) ]:[ NH4Cl (uL)]])</f>
        <v>#DIV/0!</v>
      </c>
    </row>
    <row r="127" spans="1:18" x14ac:dyDescent="0.25">
      <c r="A127" s="1">
        <f>SampleList[[#This Row],[Date Sampled]]</f>
        <v>0</v>
      </c>
      <c r="B127" t="str" cm="1">
        <f t="array" ref="B127">IF(ISBLANK(INDEX(SampleList[NMR],ROW()-1)),"Not Requested",INDEX(SampleList[Experiment ID],ROW()-1))</f>
        <v>Not Requested</v>
      </c>
      <c r="C127">
        <f>SampleList[[#This Row],[Duration (Days)]]</f>
        <v>0</v>
      </c>
      <c r="D127">
        <f>SampleList[[#This Row],[Sample Description]]</f>
        <v>0</v>
      </c>
      <c r="N127">
        <f>SUM(NMRPrep[[#This Row],[d-DMSO (uL) ]:[ NH4Cl (uL)]])</f>
        <v>0</v>
      </c>
      <c r="O127">
        <f>647</f>
        <v>647</v>
      </c>
      <c r="P127">
        <f>NMRPrep[[#This Row],[Total (uL) ]]-NMRPrep[[#This Row],[Target (uL)]]</f>
        <v>-647</v>
      </c>
      <c r="R127" t="e">
        <f>(NMRPrep[[#This Row],[NH4Cl Stock Concentration (mM)]]*NMRPrep[[#This Row],[ NH4Cl (uL)]])/SUM(NMRPrep[[#This Row],[DI (uL) ]:[ NH4Cl (uL)]])</f>
        <v>#DIV/0!</v>
      </c>
    </row>
    <row r="128" spans="1:18" x14ac:dyDescent="0.25">
      <c r="A128" s="1">
        <f>SampleList[[#This Row],[Date Sampled]]</f>
        <v>0</v>
      </c>
      <c r="B128" t="str" cm="1">
        <f t="array" ref="B128">IF(ISBLANK(INDEX(SampleList[NMR],ROW()-1)),"Not Requested",INDEX(SampleList[Experiment ID],ROW()-1))</f>
        <v>Not Requested</v>
      </c>
      <c r="C128">
        <f>SampleList[[#This Row],[Duration (Days)]]</f>
        <v>0</v>
      </c>
      <c r="D128">
        <f>SampleList[[#This Row],[Sample Description]]</f>
        <v>0</v>
      </c>
      <c r="N128">
        <f>SUM(NMRPrep[[#This Row],[d-DMSO (uL) ]:[ NH4Cl (uL)]])</f>
        <v>0</v>
      </c>
      <c r="O128">
        <f>647</f>
        <v>647</v>
      </c>
      <c r="P128">
        <f>NMRPrep[[#This Row],[Total (uL) ]]-NMRPrep[[#This Row],[Target (uL)]]</f>
        <v>-647</v>
      </c>
      <c r="R128" t="e">
        <f>(NMRPrep[[#This Row],[NH4Cl Stock Concentration (mM)]]*NMRPrep[[#This Row],[ NH4Cl (uL)]])/SUM(NMRPrep[[#This Row],[DI (uL) ]:[ NH4Cl (uL)]])</f>
        <v>#DIV/0!</v>
      </c>
    </row>
    <row r="129" spans="1:18" x14ac:dyDescent="0.25">
      <c r="A129" s="1">
        <f>SampleList[[#This Row],[Date Sampled]]</f>
        <v>0</v>
      </c>
      <c r="B129" t="str" cm="1">
        <f t="array" ref="B129">IF(ISBLANK(INDEX(SampleList[NMR],ROW()-1)),"Not Requested",INDEX(SampleList[Experiment ID],ROW()-1))</f>
        <v>Not Requested</v>
      </c>
      <c r="C129">
        <f>SampleList[[#This Row],[Duration (Days)]]</f>
        <v>0</v>
      </c>
      <c r="D129">
        <f>SampleList[[#This Row],[Sample Description]]</f>
        <v>0</v>
      </c>
      <c r="N129">
        <f>SUM(NMRPrep[[#This Row],[d-DMSO (uL) ]:[ NH4Cl (uL)]])</f>
        <v>0</v>
      </c>
      <c r="O129">
        <f>647</f>
        <v>647</v>
      </c>
      <c r="P129">
        <f>NMRPrep[[#This Row],[Total (uL) ]]-NMRPrep[[#This Row],[Target (uL)]]</f>
        <v>-647</v>
      </c>
      <c r="R129" t="e">
        <f>(NMRPrep[[#This Row],[NH4Cl Stock Concentration (mM)]]*NMRPrep[[#This Row],[ NH4Cl (uL)]])/SUM(NMRPrep[[#This Row],[DI (uL) ]:[ NH4Cl (uL)]])</f>
        <v>#DIV/0!</v>
      </c>
    </row>
    <row r="130" spans="1:18" x14ac:dyDescent="0.25">
      <c r="A130" s="1">
        <f>SampleList[[#This Row],[Date Sampled]]</f>
        <v>0</v>
      </c>
      <c r="B130" t="str" cm="1">
        <f t="array" ref="B130">IF(ISBLANK(INDEX(SampleList[NMR],ROW()-1)),"Not Requested",INDEX(SampleList[Experiment ID],ROW()-1))</f>
        <v>Not Requested</v>
      </c>
      <c r="C130">
        <f>SampleList[[#This Row],[Duration (Days)]]</f>
        <v>0</v>
      </c>
      <c r="D130">
        <f>SampleList[[#This Row],[Sample Description]]</f>
        <v>0</v>
      </c>
      <c r="N130">
        <f>SUM(NMRPrep[[#This Row],[d-DMSO (uL) ]:[ NH4Cl (uL)]])</f>
        <v>0</v>
      </c>
      <c r="O130">
        <f>647</f>
        <v>647</v>
      </c>
      <c r="P130">
        <f>NMRPrep[[#This Row],[Total (uL) ]]-NMRPrep[[#This Row],[Target (uL)]]</f>
        <v>-647</v>
      </c>
      <c r="R130" t="e">
        <f>(NMRPrep[[#This Row],[NH4Cl Stock Concentration (mM)]]*NMRPrep[[#This Row],[ NH4Cl (uL)]])/SUM(NMRPrep[[#This Row],[DI (uL) ]:[ NH4Cl (uL)]])</f>
        <v>#DIV/0!</v>
      </c>
    </row>
    <row r="131" spans="1:18" x14ac:dyDescent="0.25">
      <c r="A131" s="1">
        <f>SampleList[[#This Row],[Date Sampled]]</f>
        <v>0</v>
      </c>
      <c r="B131" t="str" cm="1">
        <f t="array" ref="B131">IF(ISBLANK(INDEX(SampleList[NMR],ROW()-1)),"Not Requested",INDEX(SampleList[Experiment ID],ROW()-1))</f>
        <v>Not Requested</v>
      </c>
      <c r="C131">
        <f>SampleList[[#This Row],[Duration (Days)]]</f>
        <v>0</v>
      </c>
      <c r="D131">
        <f>SampleList[[#This Row],[Sample Description]]</f>
        <v>0</v>
      </c>
      <c r="N131">
        <f>SUM(NMRPrep[[#This Row],[d-DMSO (uL) ]:[ NH4Cl (uL)]])</f>
        <v>0</v>
      </c>
      <c r="O131">
        <f>647</f>
        <v>647</v>
      </c>
      <c r="P131">
        <f>NMRPrep[[#This Row],[Total (uL) ]]-NMRPrep[[#This Row],[Target (uL)]]</f>
        <v>-647</v>
      </c>
      <c r="R131" t="e">
        <f>(NMRPrep[[#This Row],[NH4Cl Stock Concentration (mM)]]*NMRPrep[[#This Row],[ NH4Cl (uL)]])/SUM(NMRPrep[[#This Row],[DI (uL) ]:[ NH4Cl (uL)]])</f>
        <v>#DIV/0!</v>
      </c>
    </row>
    <row r="132" spans="1:18" x14ac:dyDescent="0.25">
      <c r="A132" s="1">
        <f>SampleList[[#This Row],[Date Sampled]]</f>
        <v>0</v>
      </c>
      <c r="B132" t="str" cm="1">
        <f t="array" ref="B132">IF(ISBLANK(INDEX(SampleList[NMR],ROW()-1)),"Not Requested",INDEX(SampleList[Experiment ID],ROW()-1))</f>
        <v>Not Requested</v>
      </c>
      <c r="C132">
        <f>SampleList[[#This Row],[Duration (Days)]]</f>
        <v>0</v>
      </c>
      <c r="D132">
        <f>SampleList[[#This Row],[Sample Description]]</f>
        <v>0</v>
      </c>
      <c r="N132">
        <f>SUM(NMRPrep[[#This Row],[d-DMSO (uL) ]:[ NH4Cl (uL)]])</f>
        <v>0</v>
      </c>
      <c r="O132">
        <f>647</f>
        <v>647</v>
      </c>
      <c r="P132">
        <f>NMRPrep[[#This Row],[Total (uL) ]]-NMRPrep[[#This Row],[Target (uL)]]</f>
        <v>-647</v>
      </c>
      <c r="R132" t="e">
        <f>(NMRPrep[[#This Row],[NH4Cl Stock Concentration (mM)]]*NMRPrep[[#This Row],[ NH4Cl (uL)]])/SUM(NMRPrep[[#This Row],[DI (uL) ]:[ NH4Cl (uL)]])</f>
        <v>#DIV/0!</v>
      </c>
    </row>
    <row r="133" spans="1:18" x14ac:dyDescent="0.25">
      <c r="A133" s="1">
        <f>SampleList[[#This Row],[Date Sampled]]</f>
        <v>0</v>
      </c>
      <c r="B133" t="str" cm="1">
        <f t="array" ref="B133">IF(ISBLANK(INDEX(SampleList[NMR],ROW()-1)),"Not Requested",INDEX(SampleList[Experiment ID],ROW()-1))</f>
        <v>Not Requested</v>
      </c>
      <c r="C133">
        <f>SampleList[[#This Row],[Duration (Days)]]</f>
        <v>0</v>
      </c>
      <c r="D133">
        <f>SampleList[[#This Row],[Sample Description]]</f>
        <v>0</v>
      </c>
      <c r="N133">
        <f>SUM(NMRPrep[[#This Row],[d-DMSO (uL) ]:[ NH4Cl (uL)]])</f>
        <v>0</v>
      </c>
      <c r="O133">
        <f>647</f>
        <v>647</v>
      </c>
      <c r="P133">
        <f>NMRPrep[[#This Row],[Total (uL) ]]-NMRPrep[[#This Row],[Target (uL)]]</f>
        <v>-647</v>
      </c>
      <c r="R133" t="e">
        <f>(NMRPrep[[#This Row],[NH4Cl Stock Concentration (mM)]]*NMRPrep[[#This Row],[ NH4Cl (uL)]])/SUM(NMRPrep[[#This Row],[DI (uL) ]:[ NH4Cl (uL)]])</f>
        <v>#DIV/0!</v>
      </c>
    </row>
    <row r="134" spans="1:18" x14ac:dyDescent="0.25">
      <c r="A134" s="1">
        <f>SampleList[[#This Row],[Date Sampled]]</f>
        <v>0</v>
      </c>
      <c r="B134" t="str" cm="1">
        <f t="array" ref="B134">IF(ISBLANK(INDEX(SampleList[NMR],ROW()-1)),"Not Requested",INDEX(SampleList[Experiment ID],ROW()-1))</f>
        <v>Not Requested</v>
      </c>
      <c r="C134">
        <f>SampleList[[#This Row],[Duration (Days)]]</f>
        <v>0</v>
      </c>
      <c r="D134">
        <f>SampleList[[#This Row],[Sample Description]]</f>
        <v>0</v>
      </c>
      <c r="N134">
        <f>SUM(NMRPrep[[#This Row],[d-DMSO (uL) ]:[ NH4Cl (uL)]])</f>
        <v>0</v>
      </c>
      <c r="O134">
        <f>647</f>
        <v>647</v>
      </c>
      <c r="P134">
        <f>NMRPrep[[#This Row],[Total (uL) ]]-NMRPrep[[#This Row],[Target (uL)]]</f>
        <v>-647</v>
      </c>
      <c r="R134" t="e">
        <f>(NMRPrep[[#This Row],[NH4Cl Stock Concentration (mM)]]*NMRPrep[[#This Row],[ NH4Cl (uL)]])/SUM(NMRPrep[[#This Row],[DI (uL) ]:[ NH4Cl (uL)]])</f>
        <v>#DIV/0!</v>
      </c>
    </row>
    <row r="135" spans="1:18" x14ac:dyDescent="0.25">
      <c r="A135" s="1">
        <f>SampleList[[#This Row],[Date Sampled]]</f>
        <v>0</v>
      </c>
      <c r="B135" t="str" cm="1">
        <f t="array" ref="B135">IF(ISBLANK(INDEX(SampleList[NMR],ROW()-1)),"Not Requested",INDEX(SampleList[Experiment ID],ROW()-1))</f>
        <v>Not Requested</v>
      </c>
      <c r="C135">
        <f>SampleList[[#This Row],[Duration (Days)]]</f>
        <v>0</v>
      </c>
      <c r="D135">
        <f>SampleList[[#This Row],[Sample Description]]</f>
        <v>0</v>
      </c>
      <c r="N135">
        <f>SUM(NMRPrep[[#This Row],[d-DMSO (uL) ]:[ NH4Cl (uL)]])</f>
        <v>0</v>
      </c>
      <c r="O135">
        <f>647</f>
        <v>647</v>
      </c>
      <c r="P135">
        <f>NMRPrep[[#This Row],[Total (uL) ]]-NMRPrep[[#This Row],[Target (uL)]]</f>
        <v>-647</v>
      </c>
      <c r="R135" t="e">
        <f>(NMRPrep[[#This Row],[NH4Cl Stock Concentration (mM)]]*NMRPrep[[#This Row],[ NH4Cl (uL)]])/SUM(NMRPrep[[#This Row],[DI (uL) ]:[ NH4Cl (uL)]])</f>
        <v>#DIV/0!</v>
      </c>
    </row>
    <row r="136" spans="1:18" x14ac:dyDescent="0.25">
      <c r="A136" s="1">
        <f>SampleList[[#This Row],[Date Sampled]]</f>
        <v>0</v>
      </c>
      <c r="B136" t="str" cm="1">
        <f t="array" ref="B136">IF(ISBLANK(INDEX(SampleList[NMR],ROW()-1)),"Not Requested",INDEX(SampleList[Experiment ID],ROW()-1))</f>
        <v>Not Requested</v>
      </c>
      <c r="C136">
        <f>SampleList[[#This Row],[Duration (Days)]]</f>
        <v>0</v>
      </c>
      <c r="D136">
        <f>SampleList[[#This Row],[Sample Description]]</f>
        <v>0</v>
      </c>
      <c r="N136">
        <f>SUM(NMRPrep[[#This Row],[d-DMSO (uL) ]:[ NH4Cl (uL)]])</f>
        <v>0</v>
      </c>
      <c r="O136">
        <f>647</f>
        <v>647</v>
      </c>
      <c r="P136">
        <f>NMRPrep[[#This Row],[Total (uL) ]]-NMRPrep[[#This Row],[Target (uL)]]</f>
        <v>-647</v>
      </c>
      <c r="R136" t="e">
        <f>(NMRPrep[[#This Row],[NH4Cl Stock Concentration (mM)]]*NMRPrep[[#This Row],[ NH4Cl (uL)]])/SUM(NMRPrep[[#This Row],[DI (uL) ]:[ NH4Cl (uL)]])</f>
        <v>#DIV/0!</v>
      </c>
    </row>
    <row r="137" spans="1:18" x14ac:dyDescent="0.25">
      <c r="A137" s="1">
        <f>SampleList[[#This Row],[Date Sampled]]</f>
        <v>0</v>
      </c>
      <c r="B137" t="str" cm="1">
        <f t="array" ref="B137">IF(ISBLANK(INDEX(SampleList[NMR],ROW()-1)),"Not Requested",INDEX(SampleList[Experiment ID],ROW()-1))</f>
        <v>Not Requested</v>
      </c>
      <c r="C137">
        <f>SampleList[[#This Row],[Duration (Days)]]</f>
        <v>0</v>
      </c>
      <c r="D137">
        <f>SampleList[[#This Row],[Sample Description]]</f>
        <v>0</v>
      </c>
      <c r="N137">
        <f>SUM(NMRPrep[[#This Row],[d-DMSO (uL) ]:[ NH4Cl (uL)]])</f>
        <v>0</v>
      </c>
      <c r="O137">
        <f>647</f>
        <v>647</v>
      </c>
      <c r="P137">
        <f>NMRPrep[[#This Row],[Total (uL) ]]-NMRPrep[[#This Row],[Target (uL)]]</f>
        <v>-647</v>
      </c>
      <c r="R137" t="e">
        <f>(NMRPrep[[#This Row],[NH4Cl Stock Concentration (mM)]]*NMRPrep[[#This Row],[ NH4Cl (uL)]])/SUM(NMRPrep[[#This Row],[DI (uL) ]:[ NH4Cl (uL)]])</f>
        <v>#DIV/0!</v>
      </c>
    </row>
    <row r="138" spans="1:18" x14ac:dyDescent="0.25">
      <c r="A138" s="1">
        <f>SampleList[[#This Row],[Date Sampled]]</f>
        <v>0</v>
      </c>
      <c r="B138" t="str" cm="1">
        <f t="array" ref="B138">IF(ISBLANK(INDEX(SampleList[NMR],ROW()-1)),"Not Requested",INDEX(SampleList[Experiment ID],ROW()-1))</f>
        <v>Not Requested</v>
      </c>
      <c r="C138">
        <f>SampleList[[#This Row],[Duration (Days)]]</f>
        <v>0</v>
      </c>
      <c r="D138">
        <f>SampleList[[#This Row],[Sample Description]]</f>
        <v>0</v>
      </c>
      <c r="N138">
        <f>SUM(NMRPrep[[#This Row],[d-DMSO (uL) ]:[ NH4Cl (uL)]])</f>
        <v>0</v>
      </c>
      <c r="O138">
        <f>647</f>
        <v>647</v>
      </c>
      <c r="P138">
        <f>NMRPrep[[#This Row],[Total (uL) ]]-NMRPrep[[#This Row],[Target (uL)]]</f>
        <v>-647</v>
      </c>
      <c r="R138" t="e">
        <f>(NMRPrep[[#This Row],[NH4Cl Stock Concentration (mM)]]*NMRPrep[[#This Row],[ NH4Cl (uL)]])/SUM(NMRPrep[[#This Row],[DI (uL) ]:[ NH4Cl (uL)]])</f>
        <v>#DIV/0!</v>
      </c>
    </row>
    <row r="139" spans="1:18" x14ac:dyDescent="0.25">
      <c r="A139" s="1">
        <f>SampleList[[#This Row],[Date Sampled]]</f>
        <v>0</v>
      </c>
      <c r="B139" t="str" cm="1">
        <f t="array" ref="B139">IF(ISBLANK(INDEX(SampleList[NMR],ROW()-1)),"Not Requested",INDEX(SampleList[Experiment ID],ROW()-1))</f>
        <v>Not Requested</v>
      </c>
      <c r="C139">
        <f>SampleList[[#This Row],[Duration (Days)]]</f>
        <v>0</v>
      </c>
      <c r="D139">
        <f>SampleList[[#This Row],[Sample Description]]</f>
        <v>0</v>
      </c>
      <c r="N139">
        <f>SUM(NMRPrep[[#This Row],[d-DMSO (uL) ]:[ NH4Cl (uL)]])</f>
        <v>0</v>
      </c>
      <c r="O139">
        <f>647</f>
        <v>647</v>
      </c>
      <c r="P139">
        <f>NMRPrep[[#This Row],[Total (uL) ]]-NMRPrep[[#This Row],[Target (uL)]]</f>
        <v>-647</v>
      </c>
      <c r="R139" t="e">
        <f>(NMRPrep[[#This Row],[NH4Cl Stock Concentration (mM)]]*NMRPrep[[#This Row],[ NH4Cl (uL)]])/SUM(NMRPrep[[#This Row],[DI (uL) ]:[ NH4Cl (uL)]])</f>
        <v>#DIV/0!</v>
      </c>
    </row>
    <row r="140" spans="1:18" x14ac:dyDescent="0.25">
      <c r="A140" s="1">
        <f>SampleList[[#This Row],[Date Sampled]]</f>
        <v>0</v>
      </c>
      <c r="B140" t="str" cm="1">
        <f t="array" ref="B140">IF(ISBLANK(INDEX(SampleList[NMR],ROW()-1)),"Not Requested",INDEX(SampleList[Experiment ID],ROW()-1))</f>
        <v>Not Requested</v>
      </c>
      <c r="C140">
        <f>SampleList[[#This Row],[Duration (Days)]]</f>
        <v>0</v>
      </c>
      <c r="D140">
        <f>SampleList[[#This Row],[Sample Description]]</f>
        <v>0</v>
      </c>
      <c r="N140">
        <f>SUM(NMRPrep[[#This Row],[d-DMSO (uL) ]:[ NH4Cl (uL)]])</f>
        <v>0</v>
      </c>
      <c r="O140">
        <f>647</f>
        <v>647</v>
      </c>
      <c r="P140">
        <f>NMRPrep[[#This Row],[Total (uL) ]]-NMRPrep[[#This Row],[Target (uL)]]</f>
        <v>-647</v>
      </c>
      <c r="R140" t="e">
        <f>(NMRPrep[[#This Row],[NH4Cl Stock Concentration (mM)]]*NMRPrep[[#This Row],[ NH4Cl (uL)]])/SUM(NMRPrep[[#This Row],[DI (uL) ]:[ NH4Cl (uL)]])</f>
        <v>#DIV/0!</v>
      </c>
    </row>
    <row r="141" spans="1:18" x14ac:dyDescent="0.25">
      <c r="A141" s="1">
        <f>SampleList[[#This Row],[Date Sampled]]</f>
        <v>0</v>
      </c>
      <c r="B141" t="str" cm="1">
        <f t="array" ref="B141">IF(ISBLANK(INDEX(SampleList[NMR],ROW()-1)),"Not Requested",INDEX(SampleList[Experiment ID],ROW()-1))</f>
        <v>Not Requested</v>
      </c>
      <c r="C141">
        <f>SampleList[[#This Row],[Duration (Days)]]</f>
        <v>0</v>
      </c>
      <c r="D141">
        <f>SampleList[[#This Row],[Sample Description]]</f>
        <v>0</v>
      </c>
      <c r="N141">
        <f>SUM(NMRPrep[[#This Row],[d-DMSO (uL) ]:[ NH4Cl (uL)]])</f>
        <v>0</v>
      </c>
      <c r="O141">
        <f>647</f>
        <v>647</v>
      </c>
      <c r="P141">
        <f>NMRPrep[[#This Row],[Total (uL) ]]-NMRPrep[[#This Row],[Target (uL)]]</f>
        <v>-647</v>
      </c>
      <c r="R141" t="e">
        <f>(NMRPrep[[#This Row],[NH4Cl Stock Concentration (mM)]]*NMRPrep[[#This Row],[ NH4Cl (uL)]])/SUM(NMRPrep[[#This Row],[DI (uL) ]:[ NH4Cl (uL)]])</f>
        <v>#DIV/0!</v>
      </c>
    </row>
    <row r="142" spans="1:18" x14ac:dyDescent="0.25">
      <c r="A142" s="1">
        <f>SampleList[[#This Row],[Date Sampled]]</f>
        <v>0</v>
      </c>
      <c r="B142" t="str" cm="1">
        <f t="array" ref="B142">IF(ISBLANK(INDEX(SampleList[NMR],ROW()-1)),"Not Requested",INDEX(SampleList[Experiment ID],ROW()-1))</f>
        <v>Not Requested</v>
      </c>
      <c r="C142">
        <f>SampleList[[#This Row],[Duration (Days)]]</f>
        <v>0</v>
      </c>
      <c r="D142">
        <f>SampleList[[#This Row],[Sample Description]]</f>
        <v>0</v>
      </c>
      <c r="N142">
        <f>SUM(NMRPrep[[#This Row],[d-DMSO (uL) ]:[ NH4Cl (uL)]])</f>
        <v>0</v>
      </c>
      <c r="O142">
        <f>647</f>
        <v>647</v>
      </c>
      <c r="P142">
        <f>NMRPrep[[#This Row],[Total (uL) ]]-NMRPrep[[#This Row],[Target (uL)]]</f>
        <v>-647</v>
      </c>
      <c r="R142" t="e">
        <f>(NMRPrep[[#This Row],[NH4Cl Stock Concentration (mM)]]*NMRPrep[[#This Row],[ NH4Cl (uL)]])/SUM(NMRPrep[[#This Row],[DI (uL) ]:[ NH4Cl (uL)]])</f>
        <v>#DIV/0!</v>
      </c>
    </row>
    <row r="143" spans="1:18" x14ac:dyDescent="0.25">
      <c r="A143" s="1">
        <f>SampleList[[#This Row],[Date Sampled]]</f>
        <v>0</v>
      </c>
      <c r="B143" t="str" cm="1">
        <f t="array" ref="B143">IF(ISBLANK(INDEX(SampleList[NMR],ROW()-1)),"Not Requested",INDEX(SampleList[Experiment ID],ROW()-1))</f>
        <v>Not Requested</v>
      </c>
      <c r="C143">
        <f>SampleList[[#This Row],[Duration (Days)]]</f>
        <v>0</v>
      </c>
      <c r="D143">
        <f>SampleList[[#This Row],[Sample Description]]</f>
        <v>0</v>
      </c>
      <c r="N143">
        <f>SUM(NMRPrep[[#This Row],[d-DMSO (uL) ]:[ NH4Cl (uL)]])</f>
        <v>0</v>
      </c>
      <c r="O143">
        <f>647</f>
        <v>647</v>
      </c>
      <c r="P143">
        <f>NMRPrep[[#This Row],[Total (uL) ]]-NMRPrep[[#This Row],[Target (uL)]]</f>
        <v>-647</v>
      </c>
      <c r="R143" t="e">
        <f>(NMRPrep[[#This Row],[NH4Cl Stock Concentration (mM)]]*NMRPrep[[#This Row],[ NH4Cl (uL)]])/SUM(NMRPrep[[#This Row],[DI (uL) ]:[ NH4Cl (uL)]])</f>
        <v>#DIV/0!</v>
      </c>
    </row>
    <row r="144" spans="1:18" x14ac:dyDescent="0.25">
      <c r="A144" s="1">
        <f>SampleList[[#This Row],[Date Sampled]]</f>
        <v>0</v>
      </c>
      <c r="B144" t="str" cm="1">
        <f t="array" ref="B144">IF(ISBLANK(INDEX(SampleList[NMR],ROW()-1)),"Not Requested",INDEX(SampleList[Experiment ID],ROW()-1))</f>
        <v>Not Requested</v>
      </c>
      <c r="C144">
        <f>SampleList[[#This Row],[Duration (Days)]]</f>
        <v>0</v>
      </c>
      <c r="D144">
        <f>SampleList[[#This Row],[Sample Description]]</f>
        <v>0</v>
      </c>
      <c r="N144">
        <f>SUM(NMRPrep[[#This Row],[d-DMSO (uL) ]:[ NH4Cl (uL)]])</f>
        <v>0</v>
      </c>
      <c r="O144">
        <f>647</f>
        <v>647</v>
      </c>
      <c r="P144">
        <f>NMRPrep[[#This Row],[Total (uL) ]]-NMRPrep[[#This Row],[Target (uL)]]</f>
        <v>-647</v>
      </c>
      <c r="R144" t="e">
        <f>(NMRPrep[[#This Row],[NH4Cl Stock Concentration (mM)]]*NMRPrep[[#This Row],[ NH4Cl (uL)]])/SUM(NMRPrep[[#This Row],[DI (uL) ]:[ NH4Cl (uL)]])</f>
        <v>#DIV/0!</v>
      </c>
    </row>
    <row r="145" spans="1:18" x14ac:dyDescent="0.25">
      <c r="A145" s="1">
        <f>SampleList[[#This Row],[Date Sampled]]</f>
        <v>0</v>
      </c>
      <c r="B145" t="str" cm="1">
        <f t="array" ref="B145">IF(ISBLANK(INDEX(SampleList[NMR],ROW()-1)),"Not Requested",INDEX(SampleList[Experiment ID],ROW()-1))</f>
        <v>Not Requested</v>
      </c>
      <c r="C145">
        <f>SampleList[[#This Row],[Duration (Days)]]</f>
        <v>0</v>
      </c>
      <c r="D145">
        <f>SampleList[[#This Row],[Sample Description]]</f>
        <v>0</v>
      </c>
      <c r="N145">
        <f>SUM(NMRPrep[[#This Row],[d-DMSO (uL) ]:[ NH4Cl (uL)]])</f>
        <v>0</v>
      </c>
      <c r="O145">
        <f>647</f>
        <v>647</v>
      </c>
      <c r="P145">
        <f>NMRPrep[[#This Row],[Total (uL) ]]-NMRPrep[[#This Row],[Target (uL)]]</f>
        <v>-647</v>
      </c>
      <c r="R145" t="e">
        <f>(NMRPrep[[#This Row],[NH4Cl Stock Concentration (mM)]]*NMRPrep[[#This Row],[ NH4Cl (uL)]])/SUM(NMRPrep[[#This Row],[DI (uL) ]:[ NH4Cl (uL)]])</f>
        <v>#DIV/0!</v>
      </c>
    </row>
    <row r="146" spans="1:18" x14ac:dyDescent="0.25">
      <c r="A146" s="1">
        <f>SampleList[[#This Row],[Date Sampled]]</f>
        <v>0</v>
      </c>
      <c r="B146" t="str" cm="1">
        <f t="array" ref="B146">IF(ISBLANK(INDEX(SampleList[NMR],ROW()-1)),"Not Requested",INDEX(SampleList[Experiment ID],ROW()-1))</f>
        <v>Not Requested</v>
      </c>
      <c r="C146">
        <f>SampleList[[#This Row],[Duration (Days)]]</f>
        <v>0</v>
      </c>
      <c r="D146">
        <f>SampleList[[#This Row],[Sample Description]]</f>
        <v>0</v>
      </c>
      <c r="N146">
        <f>SUM(NMRPrep[[#This Row],[d-DMSO (uL) ]:[ NH4Cl (uL)]])</f>
        <v>0</v>
      </c>
      <c r="O146">
        <f>647</f>
        <v>647</v>
      </c>
      <c r="P146">
        <f>NMRPrep[[#This Row],[Total (uL) ]]-NMRPrep[[#This Row],[Target (uL)]]</f>
        <v>-647</v>
      </c>
      <c r="R146" t="e">
        <f>(NMRPrep[[#This Row],[NH4Cl Stock Concentration (mM)]]*NMRPrep[[#This Row],[ NH4Cl (uL)]])/SUM(NMRPrep[[#This Row],[DI (uL) ]:[ NH4Cl (uL)]])</f>
        <v>#DIV/0!</v>
      </c>
    </row>
    <row r="147" spans="1:18" x14ac:dyDescent="0.25">
      <c r="A147" s="1">
        <f>SampleList[[#This Row],[Date Sampled]]</f>
        <v>0</v>
      </c>
      <c r="B147" t="str" cm="1">
        <f t="array" ref="B147">IF(ISBLANK(INDEX(SampleList[NMR],ROW()-1)),"Not Requested",INDEX(SampleList[Experiment ID],ROW()-1))</f>
        <v>Not Requested</v>
      </c>
      <c r="C147">
        <f>SampleList[[#This Row],[Duration (Days)]]</f>
        <v>0</v>
      </c>
      <c r="D147">
        <f>SampleList[[#This Row],[Sample Description]]</f>
        <v>0</v>
      </c>
      <c r="N147">
        <f>SUM(NMRPrep[[#This Row],[d-DMSO (uL) ]:[ NH4Cl (uL)]])</f>
        <v>0</v>
      </c>
      <c r="O147">
        <f>647</f>
        <v>647</v>
      </c>
      <c r="P147">
        <f>NMRPrep[[#This Row],[Total (uL) ]]-NMRPrep[[#This Row],[Target (uL)]]</f>
        <v>-647</v>
      </c>
      <c r="R147" t="e">
        <f>(NMRPrep[[#This Row],[NH4Cl Stock Concentration (mM)]]*NMRPrep[[#This Row],[ NH4Cl (uL)]])/SUM(NMRPrep[[#This Row],[DI (uL) ]:[ NH4Cl (uL)]])</f>
        <v>#DIV/0!</v>
      </c>
    </row>
    <row r="148" spans="1:18" x14ac:dyDescent="0.25">
      <c r="A148" s="1">
        <f>SampleList[[#This Row],[Date Sampled]]</f>
        <v>0</v>
      </c>
      <c r="B148" t="str" cm="1">
        <f t="array" ref="B148">IF(ISBLANK(INDEX(SampleList[NMR],ROW()-1)),"Not Requested",INDEX(SampleList[Experiment ID],ROW()-1))</f>
        <v>Not Requested</v>
      </c>
      <c r="C148">
        <f>SampleList[[#This Row],[Duration (Days)]]</f>
        <v>0</v>
      </c>
      <c r="D148">
        <f>SampleList[[#This Row],[Sample Description]]</f>
        <v>0</v>
      </c>
      <c r="N148">
        <f>SUM(NMRPrep[[#This Row],[d-DMSO (uL) ]:[ NH4Cl (uL)]])</f>
        <v>0</v>
      </c>
      <c r="O148">
        <f>647</f>
        <v>647</v>
      </c>
      <c r="P148">
        <f>NMRPrep[[#This Row],[Total (uL) ]]-NMRPrep[[#This Row],[Target (uL)]]</f>
        <v>-647</v>
      </c>
      <c r="R148" t="e">
        <f>(NMRPrep[[#This Row],[NH4Cl Stock Concentration (mM)]]*NMRPrep[[#This Row],[ NH4Cl (uL)]])/SUM(NMRPrep[[#This Row],[DI (uL) ]:[ NH4Cl (uL)]])</f>
        <v>#DIV/0!</v>
      </c>
    </row>
    <row r="149" spans="1:18" x14ac:dyDescent="0.25">
      <c r="A149" s="1">
        <f>SampleList[[#This Row],[Date Sampled]]</f>
        <v>0</v>
      </c>
      <c r="B149" t="str" cm="1">
        <f t="array" ref="B149">IF(ISBLANK(INDEX(SampleList[NMR],ROW()-1)),"Not Requested",INDEX(SampleList[Experiment ID],ROW()-1))</f>
        <v>Not Requested</v>
      </c>
      <c r="C149">
        <f>SampleList[[#This Row],[Duration (Days)]]</f>
        <v>0</v>
      </c>
      <c r="D149">
        <f>SampleList[[#This Row],[Sample Description]]</f>
        <v>0</v>
      </c>
      <c r="N149">
        <f>SUM(NMRPrep[[#This Row],[d-DMSO (uL) ]:[ NH4Cl (uL)]])</f>
        <v>0</v>
      </c>
      <c r="O149">
        <f>647</f>
        <v>647</v>
      </c>
      <c r="P149">
        <f>NMRPrep[[#This Row],[Total (uL) ]]-NMRPrep[[#This Row],[Target (uL)]]</f>
        <v>-647</v>
      </c>
      <c r="R149" t="e">
        <f>(NMRPrep[[#This Row],[NH4Cl Stock Concentration (mM)]]*NMRPrep[[#This Row],[ NH4Cl (uL)]])/SUM(NMRPrep[[#This Row],[DI (uL) ]:[ NH4Cl (uL)]])</f>
        <v>#DIV/0!</v>
      </c>
    </row>
    <row r="150" spans="1:18" x14ac:dyDescent="0.25">
      <c r="A150" s="1">
        <f>SampleList[[#This Row],[Date Sampled]]</f>
        <v>0</v>
      </c>
      <c r="B150" t="str" cm="1">
        <f t="array" ref="B150">IF(ISBLANK(INDEX(SampleList[NMR],ROW()-1)),"Not Requested",INDEX(SampleList[Experiment ID],ROW()-1))</f>
        <v>Not Requested</v>
      </c>
      <c r="C150">
        <f>SampleList[[#This Row],[Duration (Days)]]</f>
        <v>0</v>
      </c>
      <c r="D150">
        <f>SampleList[[#This Row],[Sample Description]]</f>
        <v>0</v>
      </c>
      <c r="N150">
        <f>SUM(NMRPrep[[#This Row],[d-DMSO (uL) ]:[ NH4Cl (uL)]])</f>
        <v>0</v>
      </c>
      <c r="O150">
        <f>647</f>
        <v>647</v>
      </c>
      <c r="P150">
        <f>NMRPrep[[#This Row],[Total (uL) ]]-NMRPrep[[#This Row],[Target (uL)]]</f>
        <v>-647</v>
      </c>
      <c r="R150" t="e">
        <f>(NMRPrep[[#This Row],[NH4Cl Stock Concentration (mM)]]*NMRPrep[[#This Row],[ NH4Cl (uL)]])/SUM(NMRPrep[[#This Row],[DI (uL) ]:[ NH4Cl (uL)]])</f>
        <v>#DIV/0!</v>
      </c>
    </row>
    <row r="151" spans="1:18" x14ac:dyDescent="0.25">
      <c r="A151" s="1">
        <f>SampleList[[#This Row],[Date Sampled]]</f>
        <v>0</v>
      </c>
      <c r="B151" t="str" cm="1">
        <f t="array" ref="B151">IF(ISBLANK(INDEX(SampleList[NMR],ROW()-1)),"Not Requested",INDEX(SampleList[Experiment ID],ROW()-1))</f>
        <v>Not Requested</v>
      </c>
      <c r="C151">
        <f>SampleList[[#This Row],[Duration (Days)]]</f>
        <v>0</v>
      </c>
      <c r="D151">
        <f>SampleList[[#This Row],[Sample Description]]</f>
        <v>0</v>
      </c>
      <c r="N151">
        <f>SUM(NMRPrep[[#This Row],[d-DMSO (uL) ]:[ NH4Cl (uL)]])</f>
        <v>0</v>
      </c>
      <c r="O151">
        <f>647</f>
        <v>647</v>
      </c>
      <c r="P151">
        <f>NMRPrep[[#This Row],[Total (uL) ]]-NMRPrep[[#This Row],[Target (uL)]]</f>
        <v>-647</v>
      </c>
      <c r="R151" t="e">
        <f>(NMRPrep[[#This Row],[NH4Cl Stock Concentration (mM)]]*NMRPrep[[#This Row],[ NH4Cl (uL)]])/SUM(NMRPrep[[#This Row],[DI (uL) ]:[ NH4Cl (uL)]])</f>
        <v>#DIV/0!</v>
      </c>
    </row>
    <row r="152" spans="1:18" x14ac:dyDescent="0.25">
      <c r="A152" s="1">
        <f>SampleList[[#This Row],[Date Sampled]]</f>
        <v>0</v>
      </c>
      <c r="B152" t="str" cm="1">
        <f t="array" ref="B152">IF(ISBLANK(INDEX(SampleList[NMR],ROW()-1)),"Not Requested",INDEX(SampleList[Experiment ID],ROW()-1))</f>
        <v>Not Requested</v>
      </c>
      <c r="C152">
        <f>SampleList[[#This Row],[Duration (Days)]]</f>
        <v>0</v>
      </c>
      <c r="D152">
        <f>SampleList[[#This Row],[Sample Description]]</f>
        <v>0</v>
      </c>
      <c r="N152">
        <f>SUM(NMRPrep[[#This Row],[d-DMSO (uL) ]:[ NH4Cl (uL)]])</f>
        <v>0</v>
      </c>
      <c r="O152">
        <f>647</f>
        <v>647</v>
      </c>
      <c r="P152">
        <f>NMRPrep[[#This Row],[Total (uL) ]]-NMRPrep[[#This Row],[Target (uL)]]</f>
        <v>-647</v>
      </c>
      <c r="R152" t="e">
        <f>(NMRPrep[[#This Row],[NH4Cl Stock Concentration (mM)]]*NMRPrep[[#This Row],[ NH4Cl (uL)]])/SUM(NMRPrep[[#This Row],[DI (uL) ]:[ NH4Cl (uL)]])</f>
        <v>#DIV/0!</v>
      </c>
    </row>
    <row r="153" spans="1:18" x14ac:dyDescent="0.25">
      <c r="A153" s="1">
        <f>SampleList[[#This Row],[Date Sampled]]</f>
        <v>0</v>
      </c>
      <c r="B153" t="str" cm="1">
        <f t="array" ref="B153">IF(ISBLANK(INDEX(SampleList[NMR],ROW()-1)),"Not Requested",INDEX(SampleList[Experiment ID],ROW()-1))</f>
        <v>Not Requested</v>
      </c>
      <c r="C153">
        <f>SampleList[[#This Row],[Duration (Days)]]</f>
        <v>0</v>
      </c>
      <c r="D153">
        <f>SampleList[[#This Row],[Sample Description]]</f>
        <v>0</v>
      </c>
      <c r="N153">
        <f>SUM(NMRPrep[[#This Row],[d-DMSO (uL) ]:[ NH4Cl (uL)]])</f>
        <v>0</v>
      </c>
      <c r="O153">
        <f>647</f>
        <v>647</v>
      </c>
      <c r="P153">
        <f>NMRPrep[[#This Row],[Total (uL) ]]-NMRPrep[[#This Row],[Target (uL)]]</f>
        <v>-647</v>
      </c>
      <c r="R153" t="e">
        <f>(NMRPrep[[#This Row],[NH4Cl Stock Concentration (mM)]]*NMRPrep[[#This Row],[ NH4Cl (uL)]])/SUM(NMRPrep[[#This Row],[DI (uL) ]:[ NH4Cl (uL)]])</f>
        <v>#DIV/0!</v>
      </c>
    </row>
    <row r="154" spans="1:18" x14ac:dyDescent="0.25">
      <c r="A154" s="1">
        <f>SampleList[[#This Row],[Date Sampled]]</f>
        <v>0</v>
      </c>
      <c r="B154" t="str" cm="1">
        <f t="array" ref="B154">IF(ISBLANK(INDEX(SampleList[NMR],ROW()-1)),"Not Requested",INDEX(SampleList[Experiment ID],ROW()-1))</f>
        <v>Not Requested</v>
      </c>
      <c r="C154">
        <f>SampleList[[#This Row],[Duration (Days)]]</f>
        <v>0</v>
      </c>
      <c r="D154">
        <f>SampleList[[#This Row],[Sample Description]]</f>
        <v>0</v>
      </c>
      <c r="N154">
        <f>SUM(NMRPrep[[#This Row],[d-DMSO (uL) ]:[ NH4Cl (uL)]])</f>
        <v>0</v>
      </c>
      <c r="O154">
        <f>647</f>
        <v>647</v>
      </c>
      <c r="P154">
        <f>NMRPrep[[#This Row],[Total (uL) ]]-NMRPrep[[#This Row],[Target (uL)]]</f>
        <v>-647</v>
      </c>
      <c r="R154" t="e">
        <f>(NMRPrep[[#This Row],[NH4Cl Stock Concentration (mM)]]*NMRPrep[[#This Row],[ NH4Cl (uL)]])/SUM(NMRPrep[[#This Row],[DI (uL) ]:[ NH4Cl (uL)]])</f>
        <v>#DIV/0!</v>
      </c>
    </row>
    <row r="155" spans="1:18" x14ac:dyDescent="0.25">
      <c r="A155" s="1">
        <f>SampleList[[#This Row],[Date Sampled]]</f>
        <v>0</v>
      </c>
      <c r="B155" t="str" cm="1">
        <f t="array" ref="B155">IF(ISBLANK(INDEX(SampleList[NMR],ROW()-1)),"Not Requested",INDEX(SampleList[Experiment ID],ROW()-1))</f>
        <v>Not Requested</v>
      </c>
      <c r="C155">
        <f>SampleList[[#This Row],[Duration (Days)]]</f>
        <v>0</v>
      </c>
      <c r="D155">
        <f>SampleList[[#This Row],[Sample Description]]</f>
        <v>0</v>
      </c>
      <c r="N155">
        <f>SUM(NMRPrep[[#This Row],[d-DMSO (uL) ]:[ NH4Cl (uL)]])</f>
        <v>0</v>
      </c>
      <c r="O155">
        <f>647</f>
        <v>647</v>
      </c>
      <c r="P155">
        <f>NMRPrep[[#This Row],[Total (uL) ]]-NMRPrep[[#This Row],[Target (uL)]]</f>
        <v>-647</v>
      </c>
      <c r="R155" t="e">
        <f>(NMRPrep[[#This Row],[NH4Cl Stock Concentration (mM)]]*NMRPrep[[#This Row],[ NH4Cl (uL)]])/SUM(NMRPrep[[#This Row],[DI (uL) ]:[ NH4Cl (uL)]])</f>
        <v>#DIV/0!</v>
      </c>
    </row>
    <row r="156" spans="1:18" x14ac:dyDescent="0.25">
      <c r="A156" s="1">
        <f>SampleList[[#This Row],[Date Sampled]]</f>
        <v>0</v>
      </c>
      <c r="B156" t="str" cm="1">
        <f t="array" ref="B156">IF(ISBLANK(INDEX(SampleList[NMR],ROW()-1)),"Not Requested",INDEX(SampleList[Experiment ID],ROW()-1))</f>
        <v>Not Requested</v>
      </c>
      <c r="C156">
        <f>SampleList[[#This Row],[Duration (Days)]]</f>
        <v>0</v>
      </c>
      <c r="D156">
        <f>SampleList[[#This Row],[Sample Description]]</f>
        <v>0</v>
      </c>
      <c r="N156">
        <f>SUM(NMRPrep[[#This Row],[d-DMSO (uL) ]:[ NH4Cl (uL)]])</f>
        <v>0</v>
      </c>
      <c r="O156">
        <f>647</f>
        <v>647</v>
      </c>
      <c r="P156">
        <f>NMRPrep[[#This Row],[Total (uL) ]]-NMRPrep[[#This Row],[Target (uL)]]</f>
        <v>-647</v>
      </c>
      <c r="R156" t="e">
        <f>(NMRPrep[[#This Row],[NH4Cl Stock Concentration (mM)]]*NMRPrep[[#This Row],[ NH4Cl (uL)]])/SUM(NMRPrep[[#This Row],[DI (uL) ]:[ NH4Cl (uL)]])</f>
        <v>#DIV/0!</v>
      </c>
    </row>
    <row r="157" spans="1:18" x14ac:dyDescent="0.25">
      <c r="A157" s="1">
        <f>SampleList[[#This Row],[Date Sampled]]</f>
        <v>0</v>
      </c>
      <c r="B157" t="str" cm="1">
        <f t="array" ref="B157">IF(ISBLANK(INDEX(SampleList[NMR],ROW()-1)),"Not Requested",INDEX(SampleList[Experiment ID],ROW()-1))</f>
        <v>Not Requested</v>
      </c>
      <c r="C157">
        <f>SampleList[[#This Row],[Duration (Days)]]</f>
        <v>0</v>
      </c>
      <c r="D157">
        <f>SampleList[[#This Row],[Sample Description]]</f>
        <v>0</v>
      </c>
      <c r="N157">
        <f>SUM(NMRPrep[[#This Row],[d-DMSO (uL) ]:[ NH4Cl (uL)]])</f>
        <v>0</v>
      </c>
      <c r="O157">
        <f>647</f>
        <v>647</v>
      </c>
      <c r="P157">
        <f>NMRPrep[[#This Row],[Total (uL) ]]-NMRPrep[[#This Row],[Target (uL)]]</f>
        <v>-647</v>
      </c>
      <c r="R157" t="e">
        <f>(NMRPrep[[#This Row],[NH4Cl Stock Concentration (mM)]]*NMRPrep[[#This Row],[ NH4Cl (uL)]])/SUM(NMRPrep[[#This Row],[DI (uL) ]:[ NH4Cl (uL)]])</f>
        <v>#DIV/0!</v>
      </c>
    </row>
    <row r="158" spans="1:18" x14ac:dyDescent="0.25">
      <c r="A158" s="1">
        <f>SampleList[[#This Row],[Date Sampled]]</f>
        <v>0</v>
      </c>
      <c r="B158" t="str" cm="1">
        <f t="array" ref="B158">IF(ISBLANK(INDEX(SampleList[NMR],ROW()-1)),"Not Requested",INDEX(SampleList[Experiment ID],ROW()-1))</f>
        <v>Not Requested</v>
      </c>
      <c r="C158">
        <f>SampleList[[#This Row],[Duration (Days)]]</f>
        <v>0</v>
      </c>
      <c r="D158">
        <f>SampleList[[#This Row],[Sample Description]]</f>
        <v>0</v>
      </c>
      <c r="N158">
        <f>SUM(NMRPrep[[#This Row],[d-DMSO (uL) ]:[ NH4Cl (uL)]])</f>
        <v>0</v>
      </c>
      <c r="O158">
        <f>647</f>
        <v>647</v>
      </c>
      <c r="P158">
        <f>NMRPrep[[#This Row],[Total (uL) ]]-NMRPrep[[#This Row],[Target (uL)]]</f>
        <v>-647</v>
      </c>
      <c r="R158" t="e">
        <f>(NMRPrep[[#This Row],[NH4Cl Stock Concentration (mM)]]*NMRPrep[[#This Row],[ NH4Cl (uL)]])/SUM(NMRPrep[[#This Row],[DI (uL) ]:[ NH4Cl (uL)]])</f>
        <v>#DIV/0!</v>
      </c>
    </row>
    <row r="159" spans="1:18" x14ac:dyDescent="0.25">
      <c r="A159" s="1">
        <f>SampleList[[#This Row],[Date Sampled]]</f>
        <v>0</v>
      </c>
      <c r="B159" t="str" cm="1">
        <f t="array" ref="B159">IF(ISBLANK(INDEX(SampleList[NMR],ROW()-1)),"Not Requested",INDEX(SampleList[Experiment ID],ROW()-1))</f>
        <v>Not Requested</v>
      </c>
      <c r="C159">
        <f>SampleList[[#This Row],[Duration (Days)]]</f>
        <v>0</v>
      </c>
      <c r="D159">
        <f>SampleList[[#This Row],[Sample Description]]</f>
        <v>0</v>
      </c>
      <c r="N159">
        <f>SUM(NMRPrep[[#This Row],[d-DMSO (uL) ]:[ NH4Cl (uL)]])</f>
        <v>0</v>
      </c>
      <c r="O159">
        <f>647</f>
        <v>647</v>
      </c>
      <c r="P159">
        <f>NMRPrep[[#This Row],[Total (uL) ]]-NMRPrep[[#This Row],[Target (uL)]]</f>
        <v>-647</v>
      </c>
      <c r="R159" t="e">
        <f>(NMRPrep[[#This Row],[NH4Cl Stock Concentration (mM)]]*NMRPrep[[#This Row],[ NH4Cl (uL)]])/SUM(NMRPrep[[#This Row],[DI (uL) ]:[ NH4Cl (uL)]])</f>
        <v>#DIV/0!</v>
      </c>
    </row>
    <row r="160" spans="1:18" x14ac:dyDescent="0.25">
      <c r="A160" s="1">
        <f>SampleList[[#This Row],[Date Sampled]]</f>
        <v>0</v>
      </c>
      <c r="B160" t="str" cm="1">
        <f t="array" ref="B160">IF(ISBLANK(INDEX(SampleList[NMR],ROW()-1)),"Not Requested",INDEX(SampleList[Experiment ID],ROW()-1))</f>
        <v>Not Requested</v>
      </c>
      <c r="C160">
        <f>SampleList[[#This Row],[Duration (Days)]]</f>
        <v>0</v>
      </c>
      <c r="D160">
        <f>SampleList[[#This Row],[Sample Description]]</f>
        <v>0</v>
      </c>
      <c r="N160">
        <f>SUM(NMRPrep[[#This Row],[d-DMSO (uL) ]:[ NH4Cl (uL)]])</f>
        <v>0</v>
      </c>
      <c r="O160">
        <f>647</f>
        <v>647</v>
      </c>
      <c r="P160">
        <f>NMRPrep[[#This Row],[Total (uL) ]]-NMRPrep[[#This Row],[Target (uL)]]</f>
        <v>-647</v>
      </c>
      <c r="R160" t="e">
        <f>(NMRPrep[[#This Row],[NH4Cl Stock Concentration (mM)]]*NMRPrep[[#This Row],[ NH4Cl (uL)]])/SUM(NMRPrep[[#This Row],[DI (uL) ]:[ NH4Cl (uL)]])</f>
        <v>#DIV/0!</v>
      </c>
    </row>
    <row r="161" spans="1:18" x14ac:dyDescent="0.25">
      <c r="A161" s="1">
        <f>SampleList[[#This Row],[Date Sampled]]</f>
        <v>0</v>
      </c>
      <c r="B161" t="str" cm="1">
        <f t="array" ref="B161">IF(ISBLANK(INDEX(SampleList[NMR],ROW()-1)),"Not Requested",INDEX(SampleList[Experiment ID],ROW()-1))</f>
        <v>Not Requested</v>
      </c>
      <c r="C161">
        <f>SampleList[[#This Row],[Duration (Days)]]</f>
        <v>0</v>
      </c>
      <c r="D161">
        <f>SampleList[[#This Row],[Sample Description]]</f>
        <v>0</v>
      </c>
      <c r="N161">
        <f>SUM(NMRPrep[[#This Row],[d-DMSO (uL) ]:[ NH4Cl (uL)]])</f>
        <v>0</v>
      </c>
      <c r="O161">
        <f>647</f>
        <v>647</v>
      </c>
      <c r="P161">
        <f>NMRPrep[[#This Row],[Total (uL) ]]-NMRPrep[[#This Row],[Target (uL)]]</f>
        <v>-647</v>
      </c>
      <c r="R161" t="e">
        <f>(NMRPrep[[#This Row],[NH4Cl Stock Concentration (mM)]]*NMRPrep[[#This Row],[ NH4Cl (uL)]])/SUM(NMRPrep[[#This Row],[DI (uL) ]:[ NH4Cl (uL)]])</f>
        <v>#DIV/0!</v>
      </c>
    </row>
    <row r="162" spans="1:18" x14ac:dyDescent="0.25">
      <c r="A162" s="1">
        <f>SampleList[[#This Row],[Date Sampled]]</f>
        <v>0</v>
      </c>
      <c r="B162" t="str" cm="1">
        <f t="array" ref="B162">IF(ISBLANK(INDEX(SampleList[NMR],ROW()-1)),"Not Requested",INDEX(SampleList[Experiment ID],ROW()-1))</f>
        <v>Not Requested</v>
      </c>
      <c r="C162">
        <f>SampleList[[#This Row],[Duration (Days)]]</f>
        <v>0</v>
      </c>
      <c r="D162">
        <f>SampleList[[#This Row],[Sample Description]]</f>
        <v>0</v>
      </c>
      <c r="N162">
        <f>SUM(NMRPrep[[#This Row],[d-DMSO (uL) ]:[ NH4Cl (uL)]])</f>
        <v>0</v>
      </c>
      <c r="O162">
        <f>647</f>
        <v>647</v>
      </c>
      <c r="P162">
        <f>NMRPrep[[#This Row],[Total (uL) ]]-NMRPrep[[#This Row],[Target (uL)]]</f>
        <v>-647</v>
      </c>
      <c r="R162" t="e">
        <f>(NMRPrep[[#This Row],[NH4Cl Stock Concentration (mM)]]*NMRPrep[[#This Row],[ NH4Cl (uL)]])/SUM(NMRPrep[[#This Row],[DI (uL) ]:[ NH4Cl (uL)]])</f>
        <v>#DIV/0!</v>
      </c>
    </row>
    <row r="163" spans="1:18" x14ac:dyDescent="0.25">
      <c r="A163" s="1">
        <f>SampleList[[#This Row],[Date Sampled]]</f>
        <v>0</v>
      </c>
      <c r="B163" t="str" cm="1">
        <f t="array" ref="B163">IF(ISBLANK(INDEX(SampleList[NMR],ROW()-1)),"Not Requested",INDEX(SampleList[Experiment ID],ROW()-1))</f>
        <v>Not Requested</v>
      </c>
      <c r="C163">
        <f>SampleList[[#This Row],[Duration (Days)]]</f>
        <v>0</v>
      </c>
      <c r="D163">
        <f>SampleList[[#This Row],[Sample Description]]</f>
        <v>0</v>
      </c>
      <c r="N163">
        <f>SUM(NMRPrep[[#This Row],[d-DMSO (uL) ]:[ NH4Cl (uL)]])</f>
        <v>0</v>
      </c>
      <c r="O163">
        <f>647</f>
        <v>647</v>
      </c>
      <c r="P163">
        <f>NMRPrep[[#This Row],[Total (uL) ]]-NMRPrep[[#This Row],[Target (uL)]]</f>
        <v>-647</v>
      </c>
      <c r="R163" t="e">
        <f>(NMRPrep[[#This Row],[NH4Cl Stock Concentration (mM)]]*NMRPrep[[#This Row],[ NH4Cl (uL)]])/SUM(NMRPrep[[#This Row],[DI (uL) ]:[ NH4Cl (uL)]])</f>
        <v>#DIV/0!</v>
      </c>
    </row>
    <row r="164" spans="1:18" x14ac:dyDescent="0.25">
      <c r="A164" s="1">
        <f>SampleList[[#This Row],[Date Sampled]]</f>
        <v>0</v>
      </c>
      <c r="B164" t="str" cm="1">
        <f t="array" ref="B164">IF(ISBLANK(INDEX(SampleList[NMR],ROW()-1)),"Not Requested",INDEX(SampleList[Experiment ID],ROW()-1))</f>
        <v>Not Requested</v>
      </c>
      <c r="C164">
        <f>SampleList[[#This Row],[Duration (Days)]]</f>
        <v>0</v>
      </c>
      <c r="D164">
        <f>SampleList[[#This Row],[Sample Description]]</f>
        <v>0</v>
      </c>
      <c r="N164">
        <f>SUM(NMRPrep[[#This Row],[d-DMSO (uL) ]:[ NH4Cl (uL)]])</f>
        <v>0</v>
      </c>
      <c r="O164">
        <f>647</f>
        <v>647</v>
      </c>
      <c r="P164">
        <f>NMRPrep[[#This Row],[Total (uL) ]]-NMRPrep[[#This Row],[Target (uL)]]</f>
        <v>-647</v>
      </c>
      <c r="R164" t="e">
        <f>(NMRPrep[[#This Row],[NH4Cl Stock Concentration (mM)]]*NMRPrep[[#This Row],[ NH4Cl (uL)]])/SUM(NMRPrep[[#This Row],[DI (uL) ]:[ NH4Cl (uL)]])</f>
        <v>#DIV/0!</v>
      </c>
    </row>
    <row r="165" spans="1:18" x14ac:dyDescent="0.25">
      <c r="A165" s="1">
        <f>SampleList[[#This Row],[Date Sampled]]</f>
        <v>0</v>
      </c>
      <c r="B165" t="str" cm="1">
        <f t="array" ref="B165">IF(ISBLANK(INDEX(SampleList[NMR],ROW()-1)),"Not Requested",INDEX(SampleList[Experiment ID],ROW()-1))</f>
        <v>Not Requested</v>
      </c>
      <c r="C165">
        <f>SampleList[[#This Row],[Duration (Days)]]</f>
        <v>0</v>
      </c>
      <c r="D165">
        <f>SampleList[[#This Row],[Sample Description]]</f>
        <v>0</v>
      </c>
      <c r="N165">
        <f>SUM(NMRPrep[[#This Row],[d-DMSO (uL) ]:[ NH4Cl (uL)]])</f>
        <v>0</v>
      </c>
      <c r="O165">
        <f>647</f>
        <v>647</v>
      </c>
      <c r="P165">
        <f>NMRPrep[[#This Row],[Total (uL) ]]-NMRPrep[[#This Row],[Target (uL)]]</f>
        <v>-647</v>
      </c>
      <c r="R165" t="e">
        <f>(NMRPrep[[#This Row],[NH4Cl Stock Concentration (mM)]]*NMRPrep[[#This Row],[ NH4Cl (uL)]])/SUM(NMRPrep[[#This Row],[DI (uL) ]:[ NH4Cl (uL)]])</f>
        <v>#DIV/0!</v>
      </c>
    </row>
    <row r="166" spans="1:18" x14ac:dyDescent="0.25">
      <c r="A166" s="1">
        <f>SampleList[[#This Row],[Date Sampled]]</f>
        <v>0</v>
      </c>
      <c r="B166" t="str" cm="1">
        <f t="array" ref="B166">IF(ISBLANK(INDEX(SampleList[NMR],ROW()-1)),"Not Requested",INDEX(SampleList[Experiment ID],ROW()-1))</f>
        <v>Not Requested</v>
      </c>
      <c r="C166">
        <f>SampleList[[#This Row],[Duration (Days)]]</f>
        <v>0</v>
      </c>
      <c r="D166">
        <f>SampleList[[#This Row],[Sample Description]]</f>
        <v>0</v>
      </c>
      <c r="N166">
        <f>SUM(NMRPrep[[#This Row],[d-DMSO (uL) ]:[ NH4Cl (uL)]])</f>
        <v>0</v>
      </c>
      <c r="O166">
        <f>647</f>
        <v>647</v>
      </c>
      <c r="P166">
        <f>NMRPrep[[#This Row],[Total (uL) ]]-NMRPrep[[#This Row],[Target (uL)]]</f>
        <v>-647</v>
      </c>
      <c r="R166" t="e">
        <f>(NMRPrep[[#This Row],[NH4Cl Stock Concentration (mM)]]*NMRPrep[[#This Row],[ NH4Cl (uL)]])/SUM(NMRPrep[[#This Row],[DI (uL) ]:[ NH4Cl (uL)]])</f>
        <v>#DIV/0!</v>
      </c>
    </row>
    <row r="167" spans="1:18" x14ac:dyDescent="0.25">
      <c r="A167" s="1">
        <f>SampleList[[#This Row],[Date Sampled]]</f>
        <v>0</v>
      </c>
      <c r="B167" t="str" cm="1">
        <f t="array" ref="B167">IF(ISBLANK(INDEX(SampleList[NMR],ROW()-1)),"Not Requested",INDEX(SampleList[Experiment ID],ROW()-1))</f>
        <v>Not Requested</v>
      </c>
      <c r="C167">
        <f>SampleList[[#This Row],[Duration (Days)]]</f>
        <v>0</v>
      </c>
      <c r="D167">
        <f>SampleList[[#This Row],[Sample Description]]</f>
        <v>0</v>
      </c>
      <c r="N167">
        <f>SUM(NMRPrep[[#This Row],[d-DMSO (uL) ]:[ NH4Cl (uL)]])</f>
        <v>0</v>
      </c>
      <c r="O167">
        <f>647</f>
        <v>647</v>
      </c>
      <c r="P167">
        <f>NMRPrep[[#This Row],[Total (uL) ]]-NMRPrep[[#This Row],[Target (uL)]]</f>
        <v>-647</v>
      </c>
      <c r="R167" t="e">
        <f>(NMRPrep[[#This Row],[NH4Cl Stock Concentration (mM)]]*NMRPrep[[#This Row],[ NH4Cl (uL)]])/SUM(NMRPrep[[#This Row],[DI (uL) ]:[ NH4Cl (uL)]])</f>
        <v>#DIV/0!</v>
      </c>
    </row>
    <row r="168" spans="1:18" x14ac:dyDescent="0.25">
      <c r="A168" s="1">
        <f>SampleList[[#This Row],[Date Sampled]]</f>
        <v>0</v>
      </c>
      <c r="B168" t="str" cm="1">
        <f t="array" ref="B168">IF(ISBLANK(INDEX(SampleList[NMR],ROW()-1)),"Not Requested",INDEX(SampleList[Experiment ID],ROW()-1))</f>
        <v>Not Requested</v>
      </c>
      <c r="C168">
        <f>SampleList[[#This Row],[Duration (Days)]]</f>
        <v>0</v>
      </c>
      <c r="D168">
        <f>SampleList[[#This Row],[Sample Description]]</f>
        <v>0</v>
      </c>
      <c r="N168">
        <f>SUM(NMRPrep[[#This Row],[d-DMSO (uL) ]:[ NH4Cl (uL)]])</f>
        <v>0</v>
      </c>
      <c r="O168">
        <f>647</f>
        <v>647</v>
      </c>
      <c r="P168">
        <f>NMRPrep[[#This Row],[Total (uL) ]]-NMRPrep[[#This Row],[Target (uL)]]</f>
        <v>-647</v>
      </c>
      <c r="R168" t="e">
        <f>(NMRPrep[[#This Row],[NH4Cl Stock Concentration (mM)]]*NMRPrep[[#This Row],[ NH4Cl (uL)]])/SUM(NMRPrep[[#This Row],[DI (uL) ]:[ NH4Cl (uL)]])</f>
        <v>#DIV/0!</v>
      </c>
    </row>
    <row r="169" spans="1:18" x14ac:dyDescent="0.25">
      <c r="A169" s="1">
        <f>SampleList[[#This Row],[Date Sampled]]</f>
        <v>0</v>
      </c>
      <c r="B169" t="str" cm="1">
        <f t="array" ref="B169">IF(ISBLANK(INDEX(SampleList[NMR],ROW()-1)),"Not Requested",INDEX(SampleList[Experiment ID],ROW()-1))</f>
        <v>Not Requested</v>
      </c>
      <c r="C169">
        <f>SampleList[[#This Row],[Duration (Days)]]</f>
        <v>0</v>
      </c>
      <c r="D169">
        <f>SampleList[[#This Row],[Sample Description]]</f>
        <v>0</v>
      </c>
      <c r="N169">
        <f>SUM(NMRPrep[[#This Row],[d-DMSO (uL) ]:[ NH4Cl (uL)]])</f>
        <v>0</v>
      </c>
      <c r="O169">
        <f>647</f>
        <v>647</v>
      </c>
      <c r="P169">
        <f>NMRPrep[[#This Row],[Total (uL) ]]-NMRPrep[[#This Row],[Target (uL)]]</f>
        <v>-647</v>
      </c>
      <c r="R169" t="e">
        <f>(NMRPrep[[#This Row],[NH4Cl Stock Concentration (mM)]]*NMRPrep[[#This Row],[ NH4Cl (uL)]])/SUM(NMRPrep[[#This Row],[DI (uL) ]:[ NH4Cl (uL)]])</f>
        <v>#DIV/0!</v>
      </c>
    </row>
    <row r="170" spans="1:18" x14ac:dyDescent="0.25">
      <c r="A170" s="1">
        <f>SampleList[[#This Row],[Date Sampled]]</f>
        <v>0</v>
      </c>
      <c r="B170" t="str" cm="1">
        <f t="array" ref="B170">IF(ISBLANK(INDEX(SampleList[NMR],ROW()-1)),"Not Requested",INDEX(SampleList[Experiment ID],ROW()-1))</f>
        <v>Not Requested</v>
      </c>
      <c r="C170">
        <f>SampleList[[#This Row],[Duration (Days)]]</f>
        <v>0</v>
      </c>
      <c r="D170">
        <f>SampleList[[#This Row],[Sample Description]]</f>
        <v>0</v>
      </c>
      <c r="N170">
        <f>SUM(NMRPrep[[#This Row],[d-DMSO (uL) ]:[ NH4Cl (uL)]])</f>
        <v>0</v>
      </c>
      <c r="O170">
        <f>647</f>
        <v>647</v>
      </c>
      <c r="P170">
        <f>NMRPrep[[#This Row],[Total (uL) ]]-NMRPrep[[#This Row],[Target (uL)]]</f>
        <v>-647</v>
      </c>
      <c r="R170" t="e">
        <f>(NMRPrep[[#This Row],[NH4Cl Stock Concentration (mM)]]*NMRPrep[[#This Row],[ NH4Cl (uL)]])/SUM(NMRPrep[[#This Row],[DI (uL) ]:[ NH4Cl (uL)]])</f>
        <v>#DIV/0!</v>
      </c>
    </row>
    <row r="171" spans="1:18" x14ac:dyDescent="0.25">
      <c r="A171" s="1">
        <f>SampleList[[#This Row],[Date Sampled]]</f>
        <v>0</v>
      </c>
      <c r="B171" t="str" cm="1">
        <f t="array" ref="B171">IF(ISBLANK(INDEX(SampleList[NMR],ROW()-1)),"Not Requested",INDEX(SampleList[Experiment ID],ROW()-1))</f>
        <v>Not Requested</v>
      </c>
      <c r="C171">
        <f>SampleList[[#This Row],[Duration (Days)]]</f>
        <v>0</v>
      </c>
      <c r="D171">
        <f>SampleList[[#This Row],[Sample Description]]</f>
        <v>0</v>
      </c>
      <c r="N171">
        <f>SUM(NMRPrep[[#This Row],[d-DMSO (uL) ]:[ NH4Cl (uL)]])</f>
        <v>0</v>
      </c>
      <c r="O171">
        <f>647</f>
        <v>647</v>
      </c>
      <c r="P171">
        <f>NMRPrep[[#This Row],[Total (uL) ]]-NMRPrep[[#This Row],[Target (uL)]]</f>
        <v>-647</v>
      </c>
      <c r="R171" t="e">
        <f>(NMRPrep[[#This Row],[NH4Cl Stock Concentration (mM)]]*NMRPrep[[#This Row],[ NH4Cl (uL)]])/SUM(NMRPrep[[#This Row],[DI (uL) ]:[ NH4Cl (uL)]])</f>
        <v>#DIV/0!</v>
      </c>
    </row>
    <row r="172" spans="1:18" x14ac:dyDescent="0.25">
      <c r="A172" s="1">
        <f>SampleList[[#This Row],[Date Sampled]]</f>
        <v>0</v>
      </c>
      <c r="B172" t="str" cm="1">
        <f t="array" ref="B172">IF(ISBLANK(INDEX(SampleList[NMR],ROW()-1)),"Not Requested",INDEX(SampleList[Experiment ID],ROW()-1))</f>
        <v>Not Requested</v>
      </c>
      <c r="C172">
        <f>SampleList[[#This Row],[Duration (Days)]]</f>
        <v>0</v>
      </c>
      <c r="D172">
        <f>SampleList[[#This Row],[Sample Description]]</f>
        <v>0</v>
      </c>
      <c r="N172">
        <f>SUM(NMRPrep[[#This Row],[d-DMSO (uL) ]:[ NH4Cl (uL)]])</f>
        <v>0</v>
      </c>
      <c r="O172">
        <f>647</f>
        <v>647</v>
      </c>
      <c r="P172">
        <f>NMRPrep[[#This Row],[Total (uL) ]]-NMRPrep[[#This Row],[Target (uL)]]</f>
        <v>-647</v>
      </c>
      <c r="R172" t="e">
        <f>(NMRPrep[[#This Row],[NH4Cl Stock Concentration (mM)]]*NMRPrep[[#This Row],[ NH4Cl (uL)]])/SUM(NMRPrep[[#This Row],[DI (uL) ]:[ NH4Cl (uL)]])</f>
        <v>#DIV/0!</v>
      </c>
    </row>
    <row r="173" spans="1:18" x14ac:dyDescent="0.25">
      <c r="A173" s="1">
        <f>SampleList[[#This Row],[Date Sampled]]</f>
        <v>0</v>
      </c>
      <c r="B173" t="str" cm="1">
        <f t="array" ref="B173">IF(ISBLANK(INDEX(SampleList[NMR],ROW()-1)),"Not Requested",INDEX(SampleList[Experiment ID],ROW()-1))</f>
        <v>Not Requested</v>
      </c>
      <c r="C173">
        <f>SampleList[[#This Row],[Duration (Days)]]</f>
        <v>0</v>
      </c>
      <c r="D173">
        <f>SampleList[[#This Row],[Sample Description]]</f>
        <v>0</v>
      </c>
      <c r="N173">
        <f>SUM(NMRPrep[[#This Row],[d-DMSO (uL) ]:[ NH4Cl (uL)]])</f>
        <v>0</v>
      </c>
      <c r="O173">
        <f>647</f>
        <v>647</v>
      </c>
      <c r="P173">
        <f>NMRPrep[[#This Row],[Total (uL) ]]-NMRPrep[[#This Row],[Target (uL)]]</f>
        <v>-647</v>
      </c>
      <c r="R173" t="e">
        <f>(NMRPrep[[#This Row],[NH4Cl Stock Concentration (mM)]]*NMRPrep[[#This Row],[ NH4Cl (uL)]])/SUM(NMRPrep[[#This Row],[DI (uL) ]:[ NH4Cl (uL)]])</f>
        <v>#DIV/0!</v>
      </c>
    </row>
    <row r="174" spans="1:18" x14ac:dyDescent="0.25">
      <c r="A174" s="1">
        <f>SampleList[[#This Row],[Date Sampled]]</f>
        <v>0</v>
      </c>
      <c r="B174" t="str" cm="1">
        <f t="array" ref="B174">IF(ISBLANK(INDEX(SampleList[NMR],ROW()-1)),"Not Requested",INDEX(SampleList[Experiment ID],ROW()-1))</f>
        <v>Not Requested</v>
      </c>
      <c r="C174">
        <f>SampleList[[#This Row],[Duration (Days)]]</f>
        <v>0</v>
      </c>
      <c r="D174">
        <f>SampleList[[#This Row],[Sample Description]]</f>
        <v>0</v>
      </c>
      <c r="N174">
        <f>SUM(NMRPrep[[#This Row],[d-DMSO (uL) ]:[ NH4Cl (uL)]])</f>
        <v>0</v>
      </c>
      <c r="O174">
        <f>647</f>
        <v>647</v>
      </c>
      <c r="P174">
        <f>NMRPrep[[#This Row],[Total (uL) ]]-NMRPrep[[#This Row],[Target (uL)]]</f>
        <v>-647</v>
      </c>
      <c r="R174" t="e">
        <f>(NMRPrep[[#This Row],[NH4Cl Stock Concentration (mM)]]*NMRPrep[[#This Row],[ NH4Cl (uL)]])/SUM(NMRPrep[[#This Row],[DI (uL) ]:[ NH4Cl (uL)]])</f>
        <v>#DIV/0!</v>
      </c>
    </row>
    <row r="175" spans="1:18" x14ac:dyDescent="0.25">
      <c r="A175" s="1">
        <f>SampleList[[#This Row],[Date Sampled]]</f>
        <v>0</v>
      </c>
      <c r="B175" t="str" cm="1">
        <f t="array" ref="B175">IF(ISBLANK(INDEX(SampleList[NMR],ROW()-1)),"Not Requested",INDEX(SampleList[Experiment ID],ROW()-1))</f>
        <v>Not Requested</v>
      </c>
      <c r="C175">
        <f>SampleList[[#This Row],[Duration (Days)]]</f>
        <v>0</v>
      </c>
      <c r="D175">
        <f>SampleList[[#This Row],[Sample Description]]</f>
        <v>0</v>
      </c>
      <c r="N175">
        <f>SUM(NMRPrep[[#This Row],[d-DMSO (uL) ]:[ NH4Cl (uL)]])</f>
        <v>0</v>
      </c>
      <c r="O175">
        <f>647</f>
        <v>647</v>
      </c>
      <c r="P175">
        <f>NMRPrep[[#This Row],[Total (uL) ]]-NMRPrep[[#This Row],[Target (uL)]]</f>
        <v>-647</v>
      </c>
      <c r="R175" t="e">
        <f>(NMRPrep[[#This Row],[NH4Cl Stock Concentration (mM)]]*NMRPrep[[#This Row],[ NH4Cl (uL)]])/SUM(NMRPrep[[#This Row],[DI (uL) ]:[ NH4Cl (uL)]])</f>
        <v>#DIV/0!</v>
      </c>
    </row>
    <row r="176" spans="1:18" x14ac:dyDescent="0.25">
      <c r="A176" s="1">
        <f>SampleList[[#This Row],[Date Sampled]]</f>
        <v>0</v>
      </c>
      <c r="B176" t="str" cm="1">
        <f t="array" ref="B176">IF(ISBLANK(INDEX(SampleList[NMR],ROW()-1)),"Not Requested",INDEX(SampleList[Experiment ID],ROW()-1))</f>
        <v>Not Requested</v>
      </c>
      <c r="C176">
        <f>SampleList[[#This Row],[Duration (Days)]]</f>
        <v>0</v>
      </c>
      <c r="D176">
        <f>SampleList[[#This Row],[Sample Description]]</f>
        <v>0</v>
      </c>
      <c r="N176">
        <f>SUM(NMRPrep[[#This Row],[d-DMSO (uL) ]:[ NH4Cl (uL)]])</f>
        <v>0</v>
      </c>
      <c r="O176">
        <f>647</f>
        <v>647</v>
      </c>
      <c r="P176">
        <f>NMRPrep[[#This Row],[Total (uL) ]]-NMRPrep[[#This Row],[Target (uL)]]</f>
        <v>-647</v>
      </c>
      <c r="R176" t="e">
        <f>(NMRPrep[[#This Row],[NH4Cl Stock Concentration (mM)]]*NMRPrep[[#This Row],[ NH4Cl (uL)]])/SUM(NMRPrep[[#This Row],[DI (uL) ]:[ NH4Cl (uL)]])</f>
        <v>#DIV/0!</v>
      </c>
    </row>
    <row r="177" spans="1:18" x14ac:dyDescent="0.25">
      <c r="A177" s="1">
        <f>SampleList[[#This Row],[Date Sampled]]</f>
        <v>0</v>
      </c>
      <c r="B177" t="str" cm="1">
        <f t="array" ref="B177">IF(ISBLANK(INDEX(SampleList[NMR],ROW()-1)),"Not Requested",INDEX(SampleList[Experiment ID],ROW()-1))</f>
        <v>Not Requested</v>
      </c>
      <c r="C177">
        <f>SampleList[[#This Row],[Duration (Days)]]</f>
        <v>0</v>
      </c>
      <c r="D177">
        <f>SampleList[[#This Row],[Sample Description]]</f>
        <v>0</v>
      </c>
      <c r="N177">
        <f>SUM(NMRPrep[[#This Row],[d-DMSO (uL) ]:[ NH4Cl (uL)]])</f>
        <v>0</v>
      </c>
      <c r="O177">
        <f>647</f>
        <v>647</v>
      </c>
      <c r="P177">
        <f>NMRPrep[[#This Row],[Total (uL) ]]-NMRPrep[[#This Row],[Target (uL)]]</f>
        <v>-647</v>
      </c>
      <c r="R177" t="e">
        <f>(NMRPrep[[#This Row],[NH4Cl Stock Concentration (mM)]]*NMRPrep[[#This Row],[ NH4Cl (uL)]])/SUM(NMRPrep[[#This Row],[DI (uL) ]:[ NH4Cl (uL)]])</f>
        <v>#DIV/0!</v>
      </c>
    </row>
    <row r="178" spans="1:18" x14ac:dyDescent="0.25">
      <c r="A178" s="1">
        <f>SampleList[[#This Row],[Date Sampled]]</f>
        <v>0</v>
      </c>
      <c r="B178" t="str" cm="1">
        <f t="array" ref="B178">IF(ISBLANK(INDEX(SampleList[NMR],ROW()-1)),"Not Requested",INDEX(SampleList[Experiment ID],ROW()-1))</f>
        <v>Not Requested</v>
      </c>
      <c r="C178">
        <f>SampleList[[#This Row],[Duration (Days)]]</f>
        <v>0</v>
      </c>
      <c r="D178">
        <f>SampleList[[#This Row],[Sample Description]]</f>
        <v>0</v>
      </c>
      <c r="N178">
        <f>SUM(NMRPrep[[#This Row],[d-DMSO (uL) ]:[ NH4Cl (uL)]])</f>
        <v>0</v>
      </c>
      <c r="O178">
        <f>647</f>
        <v>647</v>
      </c>
      <c r="P178">
        <f>NMRPrep[[#This Row],[Total (uL) ]]-NMRPrep[[#This Row],[Target (uL)]]</f>
        <v>-647</v>
      </c>
      <c r="R178" t="e">
        <f>(NMRPrep[[#This Row],[NH4Cl Stock Concentration (mM)]]*NMRPrep[[#This Row],[ NH4Cl (uL)]])/SUM(NMRPrep[[#This Row],[DI (uL) ]:[ NH4Cl (uL)]])</f>
        <v>#DIV/0!</v>
      </c>
    </row>
    <row r="179" spans="1:18" x14ac:dyDescent="0.25">
      <c r="A179" s="1">
        <f>SampleList[[#This Row],[Date Sampled]]</f>
        <v>0</v>
      </c>
      <c r="B179" t="str" cm="1">
        <f t="array" ref="B179">IF(ISBLANK(INDEX(SampleList[NMR],ROW()-1)),"Not Requested",INDEX(SampleList[Experiment ID],ROW()-1))</f>
        <v>Not Requested</v>
      </c>
      <c r="C179">
        <f>SampleList[[#This Row],[Duration (Days)]]</f>
        <v>0</v>
      </c>
      <c r="D179">
        <f>SampleList[[#This Row],[Sample Description]]</f>
        <v>0</v>
      </c>
      <c r="N179">
        <f>SUM(NMRPrep[[#This Row],[d-DMSO (uL) ]:[ NH4Cl (uL)]])</f>
        <v>0</v>
      </c>
      <c r="O179">
        <f>647</f>
        <v>647</v>
      </c>
      <c r="P179">
        <f>NMRPrep[[#This Row],[Total (uL) ]]-NMRPrep[[#This Row],[Target (uL)]]</f>
        <v>-647</v>
      </c>
      <c r="R179" t="e">
        <f>(NMRPrep[[#This Row],[NH4Cl Stock Concentration (mM)]]*NMRPrep[[#This Row],[ NH4Cl (uL)]])/SUM(NMRPrep[[#This Row],[DI (uL) ]:[ NH4Cl (uL)]])</f>
        <v>#DIV/0!</v>
      </c>
    </row>
    <row r="180" spans="1:18" x14ac:dyDescent="0.25">
      <c r="A180" s="1">
        <f>SampleList[[#This Row],[Date Sampled]]</f>
        <v>0</v>
      </c>
      <c r="B180" t="str" cm="1">
        <f t="array" ref="B180">IF(ISBLANK(INDEX(SampleList[NMR],ROW()-1)),"Not Requested",INDEX(SampleList[Experiment ID],ROW()-1))</f>
        <v>Not Requested</v>
      </c>
      <c r="C180">
        <f>SampleList[[#This Row],[Duration (Days)]]</f>
        <v>0</v>
      </c>
      <c r="D180">
        <f>SampleList[[#This Row],[Sample Description]]</f>
        <v>0</v>
      </c>
      <c r="N180">
        <f>SUM(NMRPrep[[#This Row],[d-DMSO (uL) ]:[ NH4Cl (uL)]])</f>
        <v>0</v>
      </c>
      <c r="O180">
        <f>647</f>
        <v>647</v>
      </c>
      <c r="P180">
        <f>NMRPrep[[#This Row],[Total (uL) ]]-NMRPrep[[#This Row],[Target (uL)]]</f>
        <v>-647</v>
      </c>
      <c r="R180" t="e">
        <f>(NMRPrep[[#This Row],[NH4Cl Stock Concentration (mM)]]*NMRPrep[[#This Row],[ NH4Cl (uL)]])/SUM(NMRPrep[[#This Row],[DI (uL) ]:[ NH4Cl (uL)]])</f>
        <v>#DIV/0!</v>
      </c>
    </row>
    <row r="181" spans="1:18" x14ac:dyDescent="0.25">
      <c r="A181" s="1">
        <f>SampleList[[#This Row],[Date Sampled]]</f>
        <v>0</v>
      </c>
      <c r="B181" t="str" cm="1">
        <f t="array" ref="B181">IF(ISBLANK(INDEX(SampleList[NMR],ROW()-1)),"Not Requested",INDEX(SampleList[Experiment ID],ROW()-1))</f>
        <v>Not Requested</v>
      </c>
      <c r="C181">
        <f>SampleList[[#This Row],[Duration (Days)]]</f>
        <v>0</v>
      </c>
      <c r="D181">
        <f>SampleList[[#This Row],[Sample Description]]</f>
        <v>0</v>
      </c>
      <c r="N181">
        <f>SUM(NMRPrep[[#This Row],[d-DMSO (uL) ]:[ NH4Cl (uL)]])</f>
        <v>0</v>
      </c>
      <c r="O181">
        <f>647</f>
        <v>647</v>
      </c>
      <c r="P181">
        <f>NMRPrep[[#This Row],[Total (uL) ]]-NMRPrep[[#This Row],[Target (uL)]]</f>
        <v>-647</v>
      </c>
      <c r="R181" t="e">
        <f>(NMRPrep[[#This Row],[NH4Cl Stock Concentration (mM)]]*NMRPrep[[#This Row],[ NH4Cl (uL)]])/SUM(NMRPrep[[#This Row],[DI (uL) ]:[ NH4Cl (uL)]])</f>
        <v>#DIV/0!</v>
      </c>
    </row>
    <row r="182" spans="1:18" x14ac:dyDescent="0.25">
      <c r="A182" s="1">
        <f>SampleList[[#This Row],[Date Sampled]]</f>
        <v>0</v>
      </c>
      <c r="B182" t="str" cm="1">
        <f t="array" ref="B182">IF(ISBLANK(INDEX(SampleList[NMR],ROW()-1)),"Not Requested",INDEX(SampleList[Experiment ID],ROW()-1))</f>
        <v>Not Requested</v>
      </c>
      <c r="C182">
        <f>SampleList[[#This Row],[Duration (Days)]]</f>
        <v>0</v>
      </c>
      <c r="D182">
        <f>SampleList[[#This Row],[Sample Description]]</f>
        <v>0</v>
      </c>
      <c r="N182">
        <f>SUM(NMRPrep[[#This Row],[d-DMSO (uL) ]:[ NH4Cl (uL)]])</f>
        <v>0</v>
      </c>
      <c r="O182">
        <f>647</f>
        <v>647</v>
      </c>
      <c r="P182">
        <f>NMRPrep[[#This Row],[Total (uL) ]]-NMRPrep[[#This Row],[Target (uL)]]</f>
        <v>-647</v>
      </c>
      <c r="R182" t="e">
        <f>(NMRPrep[[#This Row],[NH4Cl Stock Concentration (mM)]]*NMRPrep[[#This Row],[ NH4Cl (uL)]])/SUM(NMRPrep[[#This Row],[DI (uL) ]:[ NH4Cl (uL)]])</f>
        <v>#DIV/0!</v>
      </c>
    </row>
    <row r="183" spans="1:18" x14ac:dyDescent="0.25">
      <c r="A183" s="1">
        <f>SampleList[[#This Row],[Date Sampled]]</f>
        <v>0</v>
      </c>
      <c r="B183" t="str" cm="1">
        <f t="array" ref="B183">IF(ISBLANK(INDEX(SampleList[NMR],ROW()-1)),"Not Requested",INDEX(SampleList[Experiment ID],ROW()-1))</f>
        <v>Not Requested</v>
      </c>
      <c r="C183">
        <f>SampleList[[#This Row],[Duration (Days)]]</f>
        <v>0</v>
      </c>
      <c r="D183">
        <f>SampleList[[#This Row],[Sample Description]]</f>
        <v>0</v>
      </c>
      <c r="N183">
        <f>SUM(NMRPrep[[#This Row],[d-DMSO (uL) ]:[ NH4Cl (uL)]])</f>
        <v>0</v>
      </c>
      <c r="O183">
        <f>647</f>
        <v>647</v>
      </c>
      <c r="P183">
        <f>NMRPrep[[#This Row],[Total (uL) ]]-NMRPrep[[#This Row],[Target (uL)]]</f>
        <v>-647</v>
      </c>
      <c r="R183" t="e">
        <f>(NMRPrep[[#This Row],[NH4Cl Stock Concentration (mM)]]*NMRPrep[[#This Row],[ NH4Cl (uL)]])/SUM(NMRPrep[[#This Row],[DI (uL) ]:[ NH4Cl (uL)]])</f>
        <v>#DIV/0!</v>
      </c>
    </row>
    <row r="184" spans="1:18" x14ac:dyDescent="0.25">
      <c r="A184" s="1">
        <f>SampleList[[#This Row],[Date Sampled]]</f>
        <v>0</v>
      </c>
      <c r="B184" t="str" cm="1">
        <f t="array" ref="B184">IF(ISBLANK(INDEX(SampleList[NMR],ROW()-1)),"Not Requested",INDEX(SampleList[Experiment ID],ROW()-1))</f>
        <v>Not Requested</v>
      </c>
      <c r="C184">
        <f>SampleList[[#This Row],[Duration (Days)]]</f>
        <v>0</v>
      </c>
      <c r="D184">
        <f>SampleList[[#This Row],[Sample Description]]</f>
        <v>0</v>
      </c>
      <c r="N184">
        <f>SUM(NMRPrep[[#This Row],[d-DMSO (uL) ]:[ NH4Cl (uL)]])</f>
        <v>0</v>
      </c>
      <c r="O184">
        <f>647</f>
        <v>647</v>
      </c>
      <c r="P184">
        <f>NMRPrep[[#This Row],[Total (uL) ]]-NMRPrep[[#This Row],[Target (uL)]]</f>
        <v>-647</v>
      </c>
      <c r="R184" t="e">
        <f>(NMRPrep[[#This Row],[NH4Cl Stock Concentration (mM)]]*NMRPrep[[#This Row],[ NH4Cl (uL)]])/SUM(NMRPrep[[#This Row],[DI (uL) ]:[ NH4Cl (uL)]])</f>
        <v>#DIV/0!</v>
      </c>
    </row>
    <row r="185" spans="1:18" x14ac:dyDescent="0.25">
      <c r="A185" s="1">
        <f>SampleList[[#This Row],[Date Sampled]]</f>
        <v>0</v>
      </c>
      <c r="B185" t="str" cm="1">
        <f t="array" ref="B185">IF(ISBLANK(INDEX(SampleList[NMR],ROW()-1)),"Not Requested",INDEX(SampleList[Experiment ID],ROW()-1))</f>
        <v>Not Requested</v>
      </c>
      <c r="C185">
        <f>SampleList[[#This Row],[Duration (Days)]]</f>
        <v>0</v>
      </c>
      <c r="D185">
        <f>SampleList[[#This Row],[Sample Description]]</f>
        <v>0</v>
      </c>
      <c r="N185">
        <f>SUM(NMRPrep[[#This Row],[d-DMSO (uL) ]:[ NH4Cl (uL)]])</f>
        <v>0</v>
      </c>
      <c r="O185">
        <f>647</f>
        <v>647</v>
      </c>
      <c r="P185">
        <f>NMRPrep[[#This Row],[Total (uL) ]]-NMRPrep[[#This Row],[Target (uL)]]</f>
        <v>-647</v>
      </c>
      <c r="R185" t="e">
        <f>(NMRPrep[[#This Row],[NH4Cl Stock Concentration (mM)]]*NMRPrep[[#This Row],[ NH4Cl (uL)]])/SUM(NMRPrep[[#This Row],[DI (uL) ]:[ NH4Cl (uL)]])</f>
        <v>#DIV/0!</v>
      </c>
    </row>
    <row r="186" spans="1:18" x14ac:dyDescent="0.25">
      <c r="A186" s="1">
        <f>SampleList[[#This Row],[Date Sampled]]</f>
        <v>0</v>
      </c>
      <c r="B186" t="str" cm="1">
        <f t="array" ref="B186">IF(ISBLANK(INDEX(SampleList[NMR],ROW()-1)),"Not Requested",INDEX(SampleList[Experiment ID],ROW()-1))</f>
        <v>Not Requested</v>
      </c>
      <c r="C186">
        <f>SampleList[[#This Row],[Duration (Days)]]</f>
        <v>0</v>
      </c>
      <c r="D186">
        <f>SampleList[[#This Row],[Sample Description]]</f>
        <v>0</v>
      </c>
      <c r="N186">
        <f>SUM(NMRPrep[[#This Row],[d-DMSO (uL) ]:[ NH4Cl (uL)]])</f>
        <v>0</v>
      </c>
      <c r="O186">
        <f>647</f>
        <v>647</v>
      </c>
      <c r="P186">
        <f>NMRPrep[[#This Row],[Total (uL) ]]-NMRPrep[[#This Row],[Target (uL)]]</f>
        <v>-647</v>
      </c>
      <c r="R186" t="e">
        <f>(NMRPrep[[#This Row],[NH4Cl Stock Concentration (mM)]]*NMRPrep[[#This Row],[ NH4Cl (uL)]])/SUM(NMRPrep[[#This Row],[DI (uL) ]:[ NH4Cl (uL)]])</f>
        <v>#DIV/0!</v>
      </c>
    </row>
    <row r="187" spans="1:18" x14ac:dyDescent="0.25">
      <c r="A187" s="1">
        <f>SampleList[[#This Row],[Date Sampled]]</f>
        <v>0</v>
      </c>
      <c r="B187" t="str" cm="1">
        <f t="array" ref="B187">IF(ISBLANK(INDEX(SampleList[NMR],ROW()-1)),"Not Requested",INDEX(SampleList[Experiment ID],ROW()-1))</f>
        <v>Not Requested</v>
      </c>
      <c r="C187">
        <f>SampleList[[#This Row],[Duration (Days)]]</f>
        <v>0</v>
      </c>
      <c r="D187">
        <f>SampleList[[#This Row],[Sample Description]]</f>
        <v>0</v>
      </c>
      <c r="N187">
        <f>SUM(NMRPrep[[#This Row],[d-DMSO (uL) ]:[ NH4Cl (uL)]])</f>
        <v>0</v>
      </c>
      <c r="O187">
        <f>647</f>
        <v>647</v>
      </c>
      <c r="P187">
        <f>NMRPrep[[#This Row],[Total (uL) ]]-NMRPrep[[#This Row],[Target (uL)]]</f>
        <v>-647</v>
      </c>
      <c r="R187" t="e">
        <f>(NMRPrep[[#This Row],[NH4Cl Stock Concentration (mM)]]*NMRPrep[[#This Row],[ NH4Cl (uL)]])/SUM(NMRPrep[[#This Row],[DI (uL) ]:[ NH4Cl (uL)]])</f>
        <v>#DIV/0!</v>
      </c>
    </row>
    <row r="188" spans="1:18" x14ac:dyDescent="0.25">
      <c r="A188" s="1">
        <f>SampleList[[#This Row],[Date Sampled]]</f>
        <v>0</v>
      </c>
      <c r="B188" t="str" cm="1">
        <f t="array" ref="B188">IF(ISBLANK(INDEX(SampleList[NMR],ROW()-1)),"Not Requested",INDEX(SampleList[Experiment ID],ROW()-1))</f>
        <v>Not Requested</v>
      </c>
      <c r="C188">
        <f>SampleList[[#This Row],[Duration (Days)]]</f>
        <v>0</v>
      </c>
      <c r="D188">
        <f>SampleList[[#This Row],[Sample Description]]</f>
        <v>0</v>
      </c>
      <c r="N188">
        <f>SUM(NMRPrep[[#This Row],[d-DMSO (uL) ]:[ NH4Cl (uL)]])</f>
        <v>0</v>
      </c>
      <c r="O188">
        <f>647</f>
        <v>647</v>
      </c>
      <c r="P188">
        <f>NMRPrep[[#This Row],[Total (uL) ]]-NMRPrep[[#This Row],[Target (uL)]]</f>
        <v>-647</v>
      </c>
      <c r="R188" t="e">
        <f>(NMRPrep[[#This Row],[NH4Cl Stock Concentration (mM)]]*NMRPrep[[#This Row],[ NH4Cl (uL)]])/SUM(NMRPrep[[#This Row],[DI (uL) ]:[ NH4Cl (uL)]])</f>
        <v>#DIV/0!</v>
      </c>
    </row>
    <row r="189" spans="1:18" x14ac:dyDescent="0.25">
      <c r="A189" s="1">
        <f>SampleList[[#This Row],[Date Sampled]]</f>
        <v>0</v>
      </c>
      <c r="B189" t="str" cm="1">
        <f t="array" ref="B189">IF(ISBLANK(INDEX(SampleList[NMR],ROW()-1)),"Not Requested",INDEX(SampleList[Experiment ID],ROW()-1))</f>
        <v>Not Requested</v>
      </c>
      <c r="C189">
        <f>SampleList[[#This Row],[Duration (Days)]]</f>
        <v>0</v>
      </c>
      <c r="D189">
        <f>SampleList[[#This Row],[Sample Description]]</f>
        <v>0</v>
      </c>
      <c r="N189">
        <f>SUM(NMRPrep[[#This Row],[d-DMSO (uL) ]:[ NH4Cl (uL)]])</f>
        <v>0</v>
      </c>
      <c r="O189">
        <f>647</f>
        <v>647</v>
      </c>
      <c r="P189">
        <f>NMRPrep[[#This Row],[Total (uL) ]]-NMRPrep[[#This Row],[Target (uL)]]</f>
        <v>-647</v>
      </c>
      <c r="R189" t="e">
        <f>(NMRPrep[[#This Row],[NH4Cl Stock Concentration (mM)]]*NMRPrep[[#This Row],[ NH4Cl (uL)]])/SUM(NMRPrep[[#This Row],[DI (uL) ]:[ NH4Cl (uL)]])</f>
        <v>#DIV/0!</v>
      </c>
    </row>
    <row r="190" spans="1:18" x14ac:dyDescent="0.25">
      <c r="A190" s="1">
        <f>SampleList[[#This Row],[Date Sampled]]</f>
        <v>0</v>
      </c>
      <c r="B190" t="str" cm="1">
        <f t="array" ref="B190">IF(ISBLANK(INDEX(SampleList[NMR],ROW()-1)),"Not Requested",INDEX(SampleList[Experiment ID],ROW()-1))</f>
        <v>Not Requested</v>
      </c>
      <c r="C190">
        <f>SampleList[[#This Row],[Duration (Days)]]</f>
        <v>0</v>
      </c>
      <c r="D190">
        <f>SampleList[[#This Row],[Sample Description]]</f>
        <v>0</v>
      </c>
      <c r="N190">
        <f>SUM(NMRPrep[[#This Row],[d-DMSO (uL) ]:[ NH4Cl (uL)]])</f>
        <v>0</v>
      </c>
      <c r="O190">
        <f>647</f>
        <v>647</v>
      </c>
      <c r="P190">
        <f>NMRPrep[[#This Row],[Total (uL) ]]-NMRPrep[[#This Row],[Target (uL)]]</f>
        <v>-647</v>
      </c>
      <c r="R190" t="e">
        <f>(NMRPrep[[#This Row],[NH4Cl Stock Concentration (mM)]]*NMRPrep[[#This Row],[ NH4Cl (uL)]])/SUM(NMRPrep[[#This Row],[DI (uL) ]:[ NH4Cl (uL)]])</f>
        <v>#DIV/0!</v>
      </c>
    </row>
    <row r="191" spans="1:18" x14ac:dyDescent="0.25">
      <c r="A191" s="1">
        <f>SampleList[[#This Row],[Date Sampled]]</f>
        <v>0</v>
      </c>
      <c r="B191" t="str" cm="1">
        <f t="array" ref="B191">IF(ISBLANK(INDEX(SampleList[NMR],ROW()-1)),"Not Requested",INDEX(SampleList[Experiment ID],ROW()-1))</f>
        <v>Not Requested</v>
      </c>
      <c r="C191">
        <f>SampleList[[#This Row],[Duration (Days)]]</f>
        <v>0</v>
      </c>
      <c r="D191">
        <f>SampleList[[#This Row],[Sample Description]]</f>
        <v>0</v>
      </c>
      <c r="N191">
        <f>SUM(NMRPrep[[#This Row],[d-DMSO (uL) ]:[ NH4Cl (uL)]])</f>
        <v>0</v>
      </c>
      <c r="O191">
        <f>647</f>
        <v>647</v>
      </c>
      <c r="P191">
        <f>NMRPrep[[#This Row],[Total (uL) ]]-NMRPrep[[#This Row],[Target (uL)]]</f>
        <v>-647</v>
      </c>
      <c r="R191" t="e">
        <f>(NMRPrep[[#This Row],[NH4Cl Stock Concentration (mM)]]*NMRPrep[[#This Row],[ NH4Cl (uL)]])/SUM(NMRPrep[[#This Row],[DI (uL) ]:[ NH4Cl (uL)]])</f>
        <v>#DIV/0!</v>
      </c>
    </row>
    <row r="192" spans="1:18" x14ac:dyDescent="0.25">
      <c r="A192" s="1">
        <f>SampleList[[#This Row],[Date Sampled]]</f>
        <v>0</v>
      </c>
      <c r="B192" t="str" cm="1">
        <f t="array" ref="B192">IF(ISBLANK(INDEX(SampleList[NMR],ROW()-1)),"Not Requested",INDEX(SampleList[Experiment ID],ROW()-1))</f>
        <v>Not Requested</v>
      </c>
      <c r="C192">
        <f>SampleList[[#This Row],[Duration (Days)]]</f>
        <v>0</v>
      </c>
      <c r="D192">
        <f>SampleList[[#This Row],[Sample Description]]</f>
        <v>0</v>
      </c>
      <c r="N192">
        <f>SUM(NMRPrep[[#This Row],[d-DMSO (uL) ]:[ NH4Cl (uL)]])</f>
        <v>0</v>
      </c>
      <c r="O192">
        <f>647</f>
        <v>647</v>
      </c>
      <c r="P192">
        <f>NMRPrep[[#This Row],[Total (uL) ]]-NMRPrep[[#This Row],[Target (uL)]]</f>
        <v>-647</v>
      </c>
      <c r="R192" t="e">
        <f>(NMRPrep[[#This Row],[NH4Cl Stock Concentration (mM)]]*NMRPrep[[#This Row],[ NH4Cl (uL)]])/SUM(NMRPrep[[#This Row],[DI (uL) ]:[ NH4Cl (uL)]])</f>
        <v>#DIV/0!</v>
      </c>
    </row>
    <row r="193" spans="1:18" x14ac:dyDescent="0.25">
      <c r="A193" s="1">
        <f>SampleList[[#This Row],[Date Sampled]]</f>
        <v>0</v>
      </c>
      <c r="B193" t="str" cm="1">
        <f t="array" ref="B193">IF(ISBLANK(INDEX(SampleList[NMR],ROW()-1)),"Not Requested",INDEX(SampleList[Experiment ID],ROW()-1))</f>
        <v>Not Requested</v>
      </c>
      <c r="C193">
        <f>SampleList[[#This Row],[Duration (Days)]]</f>
        <v>0</v>
      </c>
      <c r="D193">
        <f>SampleList[[#This Row],[Sample Description]]</f>
        <v>0</v>
      </c>
      <c r="N193">
        <f>SUM(NMRPrep[[#This Row],[d-DMSO (uL) ]:[ NH4Cl (uL)]])</f>
        <v>0</v>
      </c>
      <c r="O193">
        <f>647</f>
        <v>647</v>
      </c>
      <c r="P193">
        <f>NMRPrep[[#This Row],[Total (uL) ]]-NMRPrep[[#This Row],[Target (uL)]]</f>
        <v>-647</v>
      </c>
      <c r="R193" t="e">
        <f>(NMRPrep[[#This Row],[NH4Cl Stock Concentration (mM)]]*NMRPrep[[#This Row],[ NH4Cl (uL)]])/SUM(NMRPrep[[#This Row],[DI (uL) ]:[ NH4Cl (uL)]])</f>
        <v>#DIV/0!</v>
      </c>
    </row>
    <row r="194" spans="1:18" x14ac:dyDescent="0.25">
      <c r="A194" s="1">
        <f>SampleList[[#This Row],[Date Sampled]]</f>
        <v>0</v>
      </c>
      <c r="B194" t="str" cm="1">
        <f t="array" ref="B194">IF(ISBLANK(INDEX(SampleList[NMR],ROW()-1)),"Not Requested",INDEX(SampleList[Experiment ID],ROW()-1))</f>
        <v>Not Requested</v>
      </c>
      <c r="C194">
        <f>SampleList[[#This Row],[Duration (Days)]]</f>
        <v>0</v>
      </c>
      <c r="D194">
        <f>SampleList[[#This Row],[Sample Description]]</f>
        <v>0</v>
      </c>
      <c r="N194">
        <f>SUM(NMRPrep[[#This Row],[d-DMSO (uL) ]:[ NH4Cl (uL)]])</f>
        <v>0</v>
      </c>
      <c r="O194">
        <f>647</f>
        <v>647</v>
      </c>
      <c r="P194">
        <f>NMRPrep[[#This Row],[Total (uL) ]]-NMRPrep[[#This Row],[Target (uL)]]</f>
        <v>-647</v>
      </c>
      <c r="R194" t="e">
        <f>(NMRPrep[[#This Row],[NH4Cl Stock Concentration (mM)]]*NMRPrep[[#This Row],[ NH4Cl (uL)]])/SUM(NMRPrep[[#This Row],[DI (uL) ]:[ NH4Cl (uL)]])</f>
        <v>#DIV/0!</v>
      </c>
    </row>
    <row r="195" spans="1:18" x14ac:dyDescent="0.25">
      <c r="A195" s="1">
        <f>SampleList[[#This Row],[Date Sampled]]</f>
        <v>0</v>
      </c>
      <c r="B195" t="str" cm="1">
        <f t="array" ref="B195">IF(ISBLANK(INDEX(SampleList[NMR],ROW()-1)),"Not Requested",INDEX(SampleList[Experiment ID],ROW()-1))</f>
        <v>Not Requested</v>
      </c>
      <c r="C195">
        <f>SampleList[[#This Row],[Duration (Days)]]</f>
        <v>0</v>
      </c>
      <c r="D195">
        <f>SampleList[[#This Row],[Sample Description]]</f>
        <v>0</v>
      </c>
      <c r="N195">
        <f>SUM(NMRPrep[[#This Row],[d-DMSO (uL) ]:[ NH4Cl (uL)]])</f>
        <v>0</v>
      </c>
      <c r="O195">
        <f>647</f>
        <v>647</v>
      </c>
      <c r="P195">
        <f>NMRPrep[[#This Row],[Total (uL) ]]-NMRPrep[[#This Row],[Target (uL)]]</f>
        <v>-647</v>
      </c>
      <c r="R195" t="e">
        <f>(NMRPrep[[#This Row],[NH4Cl Stock Concentration (mM)]]*NMRPrep[[#This Row],[ NH4Cl (uL)]])/SUM(NMRPrep[[#This Row],[DI (uL) ]:[ NH4Cl (uL)]])</f>
        <v>#DIV/0!</v>
      </c>
    </row>
    <row r="196" spans="1:18" x14ac:dyDescent="0.25">
      <c r="A196" s="1">
        <f>SampleList[[#This Row],[Date Sampled]]</f>
        <v>0</v>
      </c>
      <c r="B196" t="str" cm="1">
        <f t="array" ref="B196">IF(ISBLANK(INDEX(SampleList[NMR],ROW()-1)),"Not Requested",INDEX(SampleList[Experiment ID],ROW()-1))</f>
        <v>Not Requested</v>
      </c>
      <c r="C196">
        <f>SampleList[[#This Row],[Duration (Days)]]</f>
        <v>0</v>
      </c>
      <c r="D196">
        <f>SampleList[[#This Row],[Sample Description]]</f>
        <v>0</v>
      </c>
      <c r="N196">
        <f>SUM(NMRPrep[[#This Row],[d-DMSO (uL) ]:[ NH4Cl (uL)]])</f>
        <v>0</v>
      </c>
      <c r="O196">
        <f>647</f>
        <v>647</v>
      </c>
      <c r="P196">
        <f>NMRPrep[[#This Row],[Total (uL) ]]-NMRPrep[[#This Row],[Target (uL)]]</f>
        <v>-647</v>
      </c>
      <c r="R196" t="e">
        <f>(NMRPrep[[#This Row],[NH4Cl Stock Concentration (mM)]]*NMRPrep[[#This Row],[ NH4Cl (uL)]])/SUM(NMRPrep[[#This Row],[DI (uL) ]:[ NH4Cl (uL)]])</f>
        <v>#DIV/0!</v>
      </c>
    </row>
    <row r="197" spans="1:18" x14ac:dyDescent="0.25">
      <c r="A197" s="1">
        <f>SampleList[[#This Row],[Date Sampled]]</f>
        <v>0</v>
      </c>
      <c r="B197" t="str" cm="1">
        <f t="array" ref="B197">IF(ISBLANK(INDEX(SampleList[NMR],ROW()-1)),"Not Requested",INDEX(SampleList[Experiment ID],ROW()-1))</f>
        <v>Not Requested</v>
      </c>
      <c r="C197">
        <f>SampleList[[#This Row],[Duration (Days)]]</f>
        <v>0</v>
      </c>
      <c r="D197">
        <f>SampleList[[#This Row],[Sample Description]]</f>
        <v>0</v>
      </c>
      <c r="N197">
        <f>SUM(NMRPrep[[#This Row],[d-DMSO (uL) ]:[ NH4Cl (uL)]])</f>
        <v>0</v>
      </c>
      <c r="O197">
        <f>647</f>
        <v>647</v>
      </c>
      <c r="P197">
        <f>NMRPrep[[#This Row],[Total (uL) ]]-NMRPrep[[#This Row],[Target (uL)]]</f>
        <v>-647</v>
      </c>
      <c r="R197" t="e">
        <f>(NMRPrep[[#This Row],[NH4Cl Stock Concentration (mM)]]*NMRPrep[[#This Row],[ NH4Cl (uL)]])/SUM(NMRPrep[[#This Row],[DI (uL) ]:[ NH4Cl (uL)]])</f>
        <v>#DIV/0!</v>
      </c>
    </row>
    <row r="198" spans="1:18" x14ac:dyDescent="0.25">
      <c r="A198" s="1">
        <f>SampleList[[#This Row],[Date Sampled]]</f>
        <v>0</v>
      </c>
      <c r="B198" t="str" cm="1">
        <f t="array" ref="B198">IF(ISBLANK(INDEX(SampleList[NMR],ROW()-1)),"Not Requested",INDEX(SampleList[Experiment ID],ROW()-1))</f>
        <v>Not Requested</v>
      </c>
      <c r="C198">
        <f>SampleList[[#This Row],[Duration (Days)]]</f>
        <v>0</v>
      </c>
      <c r="D198">
        <f>SampleList[[#This Row],[Sample Description]]</f>
        <v>0</v>
      </c>
      <c r="N198">
        <f>SUM(NMRPrep[[#This Row],[d-DMSO (uL) ]:[ NH4Cl (uL)]])</f>
        <v>0</v>
      </c>
      <c r="O198">
        <f>647</f>
        <v>647</v>
      </c>
      <c r="P198">
        <f>NMRPrep[[#This Row],[Total (uL) ]]-NMRPrep[[#This Row],[Target (uL)]]</f>
        <v>-647</v>
      </c>
      <c r="R198" t="e">
        <f>(NMRPrep[[#This Row],[NH4Cl Stock Concentration (mM)]]*NMRPrep[[#This Row],[ NH4Cl (uL)]])/SUM(NMRPrep[[#This Row],[DI (uL) ]:[ NH4Cl (uL)]])</f>
        <v>#DIV/0!</v>
      </c>
    </row>
    <row r="199" spans="1:18" x14ac:dyDescent="0.25">
      <c r="A199" s="1">
        <f>SampleList[[#This Row],[Date Sampled]]</f>
        <v>0</v>
      </c>
      <c r="B199" t="str" cm="1">
        <f t="array" ref="B199">IF(ISBLANK(INDEX(SampleList[NMR],ROW()-1)),"Not Requested",INDEX(SampleList[Experiment ID],ROW()-1))</f>
        <v>Not Requested</v>
      </c>
      <c r="C199">
        <f>SampleList[[#This Row],[Duration (Days)]]</f>
        <v>0</v>
      </c>
      <c r="D199">
        <f>SampleList[[#This Row],[Sample Description]]</f>
        <v>0</v>
      </c>
      <c r="N199">
        <f>SUM(NMRPrep[[#This Row],[d-DMSO (uL) ]:[ NH4Cl (uL)]])</f>
        <v>0</v>
      </c>
      <c r="O199">
        <f>647</f>
        <v>647</v>
      </c>
      <c r="P199">
        <f>NMRPrep[[#This Row],[Total (uL) ]]-NMRPrep[[#This Row],[Target (uL)]]</f>
        <v>-647</v>
      </c>
      <c r="R199" t="e">
        <f>(NMRPrep[[#This Row],[NH4Cl Stock Concentration (mM)]]*NMRPrep[[#This Row],[ NH4Cl (uL)]])/SUM(NMRPrep[[#This Row],[DI (uL) ]:[ NH4Cl (uL)]])</f>
        <v>#DIV/0!</v>
      </c>
    </row>
    <row r="200" spans="1:18" x14ac:dyDescent="0.25">
      <c r="A200" s="1">
        <f>SampleList[[#This Row],[Date Sampled]]</f>
        <v>0</v>
      </c>
      <c r="B200" t="str" cm="1">
        <f t="array" ref="B200">IF(ISBLANK(INDEX(SampleList[NMR],ROW()-1)),"Not Requested",INDEX(SampleList[Experiment ID],ROW()-1))</f>
        <v>Not Requested</v>
      </c>
      <c r="C200">
        <f>SampleList[[#This Row],[Duration (Days)]]</f>
        <v>0</v>
      </c>
      <c r="D200">
        <f>SampleList[[#This Row],[Sample Description]]</f>
        <v>0</v>
      </c>
      <c r="N200">
        <f>SUM(NMRPrep[[#This Row],[d-DMSO (uL) ]:[ NH4Cl (uL)]])</f>
        <v>0</v>
      </c>
      <c r="O200">
        <f>647</f>
        <v>647</v>
      </c>
      <c r="P200">
        <f>NMRPrep[[#This Row],[Total (uL) ]]-NMRPrep[[#This Row],[Target (uL)]]</f>
        <v>-647</v>
      </c>
      <c r="R200" t="e">
        <f>(NMRPrep[[#This Row],[NH4Cl Stock Concentration (mM)]]*NMRPrep[[#This Row],[ NH4Cl (uL)]])/SUM(NMRPrep[[#This Row],[DI (uL) ]:[ NH4Cl (uL)]])</f>
        <v>#DIV/0!</v>
      </c>
    </row>
    <row r="201" spans="1:18" x14ac:dyDescent="0.25">
      <c r="A201" s="1">
        <f>SampleList[[#This Row],[Date Sampled]]</f>
        <v>0</v>
      </c>
      <c r="B201" t="str" cm="1">
        <f t="array" ref="B201">IF(ISBLANK(INDEX(SampleList[NMR],ROW()-1)),"Not Requested",INDEX(SampleList[Experiment ID],ROW()-1))</f>
        <v>Not Requested</v>
      </c>
      <c r="C201">
        <f>SampleList[[#This Row],[Duration (Days)]]</f>
        <v>0</v>
      </c>
      <c r="D201">
        <f>SampleList[[#This Row],[Sample Description]]</f>
        <v>0</v>
      </c>
      <c r="N201">
        <f>SUM(NMRPrep[[#This Row],[d-DMSO (uL) ]:[ NH4Cl (uL)]])</f>
        <v>0</v>
      </c>
      <c r="O201">
        <f>647</f>
        <v>647</v>
      </c>
      <c r="P201">
        <f>NMRPrep[[#This Row],[Total (uL) ]]-NMRPrep[[#This Row],[Target (uL)]]</f>
        <v>-647</v>
      </c>
      <c r="R201" t="e">
        <f>(NMRPrep[[#This Row],[NH4Cl Stock Concentration (mM)]]*NMRPrep[[#This Row],[ NH4Cl (uL)]])/SUM(NMRPrep[[#This Row],[DI (uL) ]:[ NH4Cl (uL)]])</f>
        <v>#DIV/0!</v>
      </c>
    </row>
    <row r="202" spans="1:18" x14ac:dyDescent="0.25">
      <c r="A202" s="1">
        <f>SampleList[[#This Row],[Date Sampled]]</f>
        <v>0</v>
      </c>
      <c r="B202" t="str" cm="1">
        <f t="array" ref="B202">IF(ISBLANK(INDEX(SampleList[NMR],ROW()-1)),"Not Requested",INDEX(SampleList[Experiment ID],ROW()-1))</f>
        <v>Not Requested</v>
      </c>
      <c r="C202">
        <f>SampleList[[#This Row],[Duration (Days)]]</f>
        <v>0</v>
      </c>
      <c r="D202">
        <f>SampleList[[#This Row],[Sample Description]]</f>
        <v>0</v>
      </c>
      <c r="N202">
        <f>SUM(NMRPrep[[#This Row],[d-DMSO (uL) ]:[ NH4Cl (uL)]])</f>
        <v>0</v>
      </c>
      <c r="O202">
        <f>647</f>
        <v>647</v>
      </c>
      <c r="P202">
        <f>NMRPrep[[#This Row],[Total (uL) ]]-NMRPrep[[#This Row],[Target (uL)]]</f>
        <v>-647</v>
      </c>
      <c r="R202" t="e">
        <f>(NMRPrep[[#This Row],[NH4Cl Stock Concentration (mM)]]*NMRPrep[[#This Row],[ NH4Cl (uL)]])/SUM(NMRPrep[[#This Row],[DI (uL) ]:[ NH4Cl (uL)]])</f>
        <v>#DIV/0!</v>
      </c>
    </row>
    <row r="203" spans="1:18" x14ac:dyDescent="0.25">
      <c r="A203" s="1">
        <f>SampleList[[#This Row],[Date Sampled]]</f>
        <v>0</v>
      </c>
      <c r="B203" t="str" cm="1">
        <f t="array" ref="B203">IF(ISBLANK(INDEX(SampleList[NMR],ROW()-1)),"Not Requested",INDEX(SampleList[Experiment ID],ROW()-1))</f>
        <v>Not Requested</v>
      </c>
      <c r="C203">
        <f>SampleList[[#This Row],[Duration (Days)]]</f>
        <v>0</v>
      </c>
      <c r="D203">
        <f>SampleList[[#This Row],[Sample Description]]</f>
        <v>0</v>
      </c>
      <c r="N203">
        <f>SUM(NMRPrep[[#This Row],[d-DMSO (uL) ]:[ NH4Cl (uL)]])</f>
        <v>0</v>
      </c>
      <c r="O203">
        <f>647</f>
        <v>647</v>
      </c>
      <c r="P203">
        <f>NMRPrep[[#This Row],[Total (uL) ]]-NMRPrep[[#This Row],[Target (uL)]]</f>
        <v>-647</v>
      </c>
      <c r="R203" t="e">
        <f>(NMRPrep[[#This Row],[NH4Cl Stock Concentration (mM)]]*NMRPrep[[#This Row],[ NH4Cl (uL)]])/SUM(NMRPrep[[#This Row],[DI (uL) ]:[ NH4Cl (uL)]])</f>
        <v>#DIV/0!</v>
      </c>
    </row>
    <row r="204" spans="1:18" x14ac:dyDescent="0.25">
      <c r="A204" s="1">
        <f>SampleList[[#This Row],[Date Sampled]]</f>
        <v>0</v>
      </c>
      <c r="B204" t="str" cm="1">
        <f t="array" ref="B204">IF(ISBLANK(INDEX(SampleList[NMR],ROW()-1)),"Not Requested",INDEX(SampleList[Experiment ID],ROW()-1))</f>
        <v>Not Requested</v>
      </c>
      <c r="C204">
        <f>SampleList[[#This Row],[Duration (Days)]]</f>
        <v>0</v>
      </c>
      <c r="D204">
        <f>SampleList[[#This Row],[Sample Description]]</f>
        <v>0</v>
      </c>
      <c r="N204">
        <f>SUM(NMRPrep[[#This Row],[d-DMSO (uL) ]:[ NH4Cl (uL)]])</f>
        <v>0</v>
      </c>
      <c r="O204">
        <f>647</f>
        <v>647</v>
      </c>
      <c r="P204">
        <f>NMRPrep[[#This Row],[Total (uL) ]]-NMRPrep[[#This Row],[Target (uL)]]</f>
        <v>-647</v>
      </c>
      <c r="R204" t="e">
        <f>(NMRPrep[[#This Row],[NH4Cl Stock Concentration (mM)]]*NMRPrep[[#This Row],[ NH4Cl (uL)]])/SUM(NMRPrep[[#This Row],[DI (uL) ]:[ NH4Cl (uL)]])</f>
        <v>#DIV/0!</v>
      </c>
    </row>
    <row r="205" spans="1:18" x14ac:dyDescent="0.25">
      <c r="A205" s="1">
        <f>SampleList[[#This Row],[Date Sampled]]</f>
        <v>0</v>
      </c>
      <c r="B205" t="str" cm="1">
        <f t="array" ref="B205">IF(ISBLANK(INDEX(SampleList[NMR],ROW()-1)),"Not Requested",INDEX(SampleList[Experiment ID],ROW()-1))</f>
        <v>Not Requested</v>
      </c>
      <c r="C205">
        <f>SampleList[[#This Row],[Duration (Days)]]</f>
        <v>0</v>
      </c>
      <c r="D205">
        <f>SampleList[[#This Row],[Sample Description]]</f>
        <v>0</v>
      </c>
      <c r="N205">
        <f>SUM(NMRPrep[[#This Row],[d-DMSO (uL) ]:[ NH4Cl (uL)]])</f>
        <v>0</v>
      </c>
      <c r="O205">
        <f>647</f>
        <v>647</v>
      </c>
      <c r="P205">
        <f>NMRPrep[[#This Row],[Total (uL) ]]-NMRPrep[[#This Row],[Target (uL)]]</f>
        <v>-647</v>
      </c>
      <c r="R205" t="e">
        <f>(NMRPrep[[#This Row],[NH4Cl Stock Concentration (mM)]]*NMRPrep[[#This Row],[ NH4Cl (uL)]])/SUM(NMRPrep[[#This Row],[DI (uL) ]:[ NH4Cl (uL)]])</f>
        <v>#DIV/0!</v>
      </c>
    </row>
    <row r="206" spans="1:18" x14ac:dyDescent="0.25">
      <c r="A206" s="1">
        <f>SampleList[[#This Row],[Date Sampled]]</f>
        <v>0</v>
      </c>
      <c r="B206" t="str" cm="1">
        <f t="array" ref="B206">IF(ISBLANK(INDEX(SampleList[NMR],ROW()-1)),"Not Requested",INDEX(SampleList[Experiment ID],ROW()-1))</f>
        <v>Not Requested</v>
      </c>
      <c r="C206">
        <f>SampleList[[#This Row],[Duration (Days)]]</f>
        <v>0</v>
      </c>
      <c r="D206">
        <f>SampleList[[#This Row],[Sample Description]]</f>
        <v>0</v>
      </c>
      <c r="N206">
        <f>SUM(NMRPrep[[#This Row],[d-DMSO (uL) ]:[ NH4Cl (uL)]])</f>
        <v>0</v>
      </c>
      <c r="O206">
        <f>647</f>
        <v>647</v>
      </c>
      <c r="P206">
        <f>NMRPrep[[#This Row],[Total (uL) ]]-NMRPrep[[#This Row],[Target (uL)]]</f>
        <v>-647</v>
      </c>
      <c r="R206" t="e">
        <f>(NMRPrep[[#This Row],[NH4Cl Stock Concentration (mM)]]*NMRPrep[[#This Row],[ NH4Cl (uL)]])/SUM(NMRPrep[[#This Row],[DI (uL) ]:[ NH4Cl (uL)]])</f>
        <v>#DIV/0!</v>
      </c>
    </row>
    <row r="207" spans="1:18" x14ac:dyDescent="0.25">
      <c r="A207" s="1">
        <f>SampleList[[#This Row],[Date Sampled]]</f>
        <v>0</v>
      </c>
      <c r="B207" t="str" cm="1">
        <f t="array" ref="B207">IF(ISBLANK(INDEX(SampleList[NMR],ROW()-1)),"Not Requested",INDEX(SampleList[Experiment ID],ROW()-1))</f>
        <v>Not Requested</v>
      </c>
      <c r="C207">
        <f>SampleList[[#This Row],[Duration (Days)]]</f>
        <v>0</v>
      </c>
      <c r="D207">
        <f>SampleList[[#This Row],[Sample Description]]</f>
        <v>0</v>
      </c>
      <c r="N207">
        <f>SUM(NMRPrep[[#This Row],[d-DMSO (uL) ]:[ NH4Cl (uL)]])</f>
        <v>0</v>
      </c>
      <c r="O207">
        <f>647</f>
        <v>647</v>
      </c>
      <c r="P207">
        <f>NMRPrep[[#This Row],[Total (uL) ]]-NMRPrep[[#This Row],[Target (uL)]]</f>
        <v>-647</v>
      </c>
      <c r="R207" t="e">
        <f>(NMRPrep[[#This Row],[NH4Cl Stock Concentration (mM)]]*NMRPrep[[#This Row],[ NH4Cl (uL)]])/SUM(NMRPrep[[#This Row],[DI (uL) ]:[ NH4Cl (uL)]])</f>
        <v>#DIV/0!</v>
      </c>
    </row>
    <row r="208" spans="1:18" x14ac:dyDescent="0.25">
      <c r="A208" s="1">
        <f>SampleList[[#This Row],[Date Sampled]]</f>
        <v>0</v>
      </c>
      <c r="B208" t="str" cm="1">
        <f t="array" ref="B208">IF(ISBLANK(INDEX(SampleList[NMR],ROW()-1)),"Not Requested",INDEX(SampleList[Experiment ID],ROW()-1))</f>
        <v>Not Requested</v>
      </c>
      <c r="C208">
        <f>SampleList[[#This Row],[Duration (Days)]]</f>
        <v>0</v>
      </c>
      <c r="D208">
        <f>SampleList[[#This Row],[Sample Description]]</f>
        <v>0</v>
      </c>
      <c r="N208">
        <f>SUM(NMRPrep[[#This Row],[d-DMSO (uL) ]:[ NH4Cl (uL)]])</f>
        <v>0</v>
      </c>
      <c r="O208">
        <f>647</f>
        <v>647</v>
      </c>
      <c r="P208">
        <f>NMRPrep[[#This Row],[Total (uL) ]]-NMRPrep[[#This Row],[Target (uL)]]</f>
        <v>-647</v>
      </c>
      <c r="R208" t="e">
        <f>(NMRPrep[[#This Row],[NH4Cl Stock Concentration (mM)]]*NMRPrep[[#This Row],[ NH4Cl (uL)]])/SUM(NMRPrep[[#This Row],[DI (uL) ]:[ NH4Cl (uL)]])</f>
        <v>#DIV/0!</v>
      </c>
    </row>
    <row r="209" spans="1:18" x14ac:dyDescent="0.25">
      <c r="A209" s="1">
        <f>SampleList[[#This Row],[Date Sampled]]</f>
        <v>0</v>
      </c>
      <c r="B209" t="str" cm="1">
        <f t="array" ref="B209">IF(ISBLANK(INDEX(SampleList[NMR],ROW()-1)),"Not Requested",INDEX(SampleList[Experiment ID],ROW()-1))</f>
        <v>Not Requested</v>
      </c>
      <c r="C209">
        <f>SampleList[[#This Row],[Duration (Days)]]</f>
        <v>0</v>
      </c>
      <c r="D209">
        <f>SampleList[[#This Row],[Sample Description]]</f>
        <v>0</v>
      </c>
      <c r="N209">
        <f>SUM(NMRPrep[[#This Row],[d-DMSO (uL) ]:[ NH4Cl (uL)]])</f>
        <v>0</v>
      </c>
      <c r="O209">
        <f>647</f>
        <v>647</v>
      </c>
      <c r="P209">
        <f>NMRPrep[[#This Row],[Total (uL) ]]-NMRPrep[[#This Row],[Target (uL)]]</f>
        <v>-647</v>
      </c>
      <c r="R209" t="e">
        <f>(NMRPrep[[#This Row],[NH4Cl Stock Concentration (mM)]]*NMRPrep[[#This Row],[ NH4Cl (uL)]])/SUM(NMRPrep[[#This Row],[DI (uL) ]:[ NH4Cl (uL)]])</f>
        <v>#DIV/0!</v>
      </c>
    </row>
    <row r="210" spans="1:18" x14ac:dyDescent="0.25">
      <c r="A210" s="1">
        <f>SampleList[[#This Row],[Date Sampled]]</f>
        <v>0</v>
      </c>
      <c r="B210" t="str" cm="1">
        <f t="array" ref="B210">IF(ISBLANK(INDEX(SampleList[NMR],ROW()-1)),"Not Requested",INDEX(SampleList[Experiment ID],ROW()-1))</f>
        <v>Not Requested</v>
      </c>
      <c r="C210">
        <f>SampleList[[#This Row],[Duration (Days)]]</f>
        <v>0</v>
      </c>
      <c r="D210">
        <f>SampleList[[#This Row],[Sample Description]]</f>
        <v>0</v>
      </c>
      <c r="N210">
        <f>SUM(NMRPrep[[#This Row],[d-DMSO (uL) ]:[ NH4Cl (uL)]])</f>
        <v>0</v>
      </c>
      <c r="O210">
        <f>647</f>
        <v>647</v>
      </c>
      <c r="P210">
        <f>NMRPrep[[#This Row],[Total (uL) ]]-NMRPrep[[#This Row],[Target (uL)]]</f>
        <v>-647</v>
      </c>
      <c r="R210" t="e">
        <f>(NMRPrep[[#This Row],[NH4Cl Stock Concentration (mM)]]*NMRPrep[[#This Row],[ NH4Cl (uL)]])/SUM(NMRPrep[[#This Row],[DI (uL) ]:[ NH4Cl (uL)]])</f>
        <v>#DIV/0!</v>
      </c>
    </row>
    <row r="211" spans="1:18" x14ac:dyDescent="0.25">
      <c r="A211" s="1">
        <f>SampleList[[#This Row],[Date Sampled]]</f>
        <v>0</v>
      </c>
      <c r="B211" t="str" cm="1">
        <f t="array" ref="B211">IF(ISBLANK(INDEX(SampleList[NMR],ROW()-1)),"Not Requested",INDEX(SampleList[Experiment ID],ROW()-1))</f>
        <v>Not Requested</v>
      </c>
      <c r="C211">
        <f>SampleList[[#This Row],[Duration (Days)]]</f>
        <v>0</v>
      </c>
      <c r="D211">
        <f>SampleList[[#This Row],[Sample Description]]</f>
        <v>0</v>
      </c>
      <c r="N211">
        <f>SUM(NMRPrep[[#This Row],[d-DMSO (uL) ]:[ NH4Cl (uL)]])</f>
        <v>0</v>
      </c>
      <c r="O211">
        <f>647</f>
        <v>647</v>
      </c>
      <c r="P211">
        <f>NMRPrep[[#This Row],[Total (uL) ]]-NMRPrep[[#This Row],[Target (uL)]]</f>
        <v>-647</v>
      </c>
      <c r="R211" t="e">
        <f>(NMRPrep[[#This Row],[NH4Cl Stock Concentration (mM)]]*NMRPrep[[#This Row],[ NH4Cl (uL)]])/SUM(NMRPrep[[#This Row],[DI (uL) ]:[ NH4Cl (uL)]])</f>
        <v>#DIV/0!</v>
      </c>
    </row>
    <row r="212" spans="1:18" x14ac:dyDescent="0.25">
      <c r="A212" s="1">
        <f>SampleList[[#This Row],[Date Sampled]]</f>
        <v>0</v>
      </c>
      <c r="B212" t="str" cm="1">
        <f t="array" ref="B212">IF(ISBLANK(INDEX(SampleList[NMR],ROW()-1)),"Not Requested",INDEX(SampleList[Experiment ID],ROW()-1))</f>
        <v>Not Requested</v>
      </c>
      <c r="C212">
        <f>SampleList[[#This Row],[Duration (Days)]]</f>
        <v>0</v>
      </c>
      <c r="D212">
        <f>SampleList[[#This Row],[Sample Description]]</f>
        <v>0</v>
      </c>
      <c r="N212">
        <f>SUM(NMRPrep[[#This Row],[d-DMSO (uL) ]:[ NH4Cl (uL)]])</f>
        <v>0</v>
      </c>
      <c r="O212">
        <f>647</f>
        <v>647</v>
      </c>
      <c r="P212">
        <f>NMRPrep[[#This Row],[Total (uL) ]]-NMRPrep[[#This Row],[Target (uL)]]</f>
        <v>-647</v>
      </c>
      <c r="R212" t="e">
        <f>(NMRPrep[[#This Row],[NH4Cl Stock Concentration (mM)]]*NMRPrep[[#This Row],[ NH4Cl (uL)]])/SUM(NMRPrep[[#This Row],[DI (uL) ]:[ NH4Cl (uL)]])</f>
        <v>#DIV/0!</v>
      </c>
    </row>
    <row r="213" spans="1:18" x14ac:dyDescent="0.25">
      <c r="A213" s="1">
        <f>SampleList[[#This Row],[Date Sampled]]</f>
        <v>0</v>
      </c>
      <c r="B213" t="str" cm="1">
        <f t="array" ref="B213">IF(ISBLANK(INDEX(SampleList[NMR],ROW()-1)),"Not Requested",INDEX(SampleList[Experiment ID],ROW()-1))</f>
        <v>Not Requested</v>
      </c>
      <c r="C213">
        <f>SampleList[[#This Row],[Duration (Days)]]</f>
        <v>0</v>
      </c>
      <c r="D213">
        <f>SampleList[[#This Row],[Sample Description]]</f>
        <v>0</v>
      </c>
      <c r="N213">
        <f>SUM(NMRPrep[[#This Row],[d-DMSO (uL) ]:[ NH4Cl (uL)]])</f>
        <v>0</v>
      </c>
      <c r="O213">
        <f>647</f>
        <v>647</v>
      </c>
      <c r="P213">
        <f>NMRPrep[[#This Row],[Total (uL) ]]-NMRPrep[[#This Row],[Target (uL)]]</f>
        <v>-647</v>
      </c>
      <c r="R213" t="e">
        <f>(NMRPrep[[#This Row],[NH4Cl Stock Concentration (mM)]]*NMRPrep[[#This Row],[ NH4Cl (uL)]])/SUM(NMRPrep[[#This Row],[DI (uL) ]:[ NH4Cl (uL)]])</f>
        <v>#DIV/0!</v>
      </c>
    </row>
    <row r="214" spans="1:18" x14ac:dyDescent="0.25">
      <c r="A214" s="1">
        <f>SampleList[[#This Row],[Date Sampled]]</f>
        <v>0</v>
      </c>
      <c r="B214" t="str" cm="1">
        <f t="array" ref="B214">IF(ISBLANK(INDEX(SampleList[NMR],ROW()-1)),"Not Requested",INDEX(SampleList[Experiment ID],ROW()-1))</f>
        <v>Not Requested</v>
      </c>
      <c r="C214">
        <f>SampleList[[#This Row],[Duration (Days)]]</f>
        <v>0</v>
      </c>
      <c r="D214">
        <f>SampleList[[#This Row],[Sample Description]]</f>
        <v>0</v>
      </c>
      <c r="N214">
        <f>SUM(NMRPrep[[#This Row],[d-DMSO (uL) ]:[ NH4Cl (uL)]])</f>
        <v>0</v>
      </c>
      <c r="O214">
        <f>647</f>
        <v>647</v>
      </c>
      <c r="P214">
        <f>NMRPrep[[#This Row],[Total (uL) ]]-NMRPrep[[#This Row],[Target (uL)]]</f>
        <v>-647</v>
      </c>
      <c r="R214" t="e">
        <f>(NMRPrep[[#This Row],[NH4Cl Stock Concentration (mM)]]*NMRPrep[[#This Row],[ NH4Cl (uL)]])/SUM(NMRPrep[[#This Row],[DI (uL) ]:[ NH4Cl (uL)]])</f>
        <v>#DIV/0!</v>
      </c>
    </row>
    <row r="215" spans="1:18" x14ac:dyDescent="0.25">
      <c r="A215" s="1">
        <f>SampleList[[#This Row],[Date Sampled]]</f>
        <v>0</v>
      </c>
      <c r="B215" t="str" cm="1">
        <f t="array" ref="B215">IF(ISBLANK(INDEX(SampleList[NMR],ROW()-1)),"Not Requested",INDEX(SampleList[Experiment ID],ROW()-1))</f>
        <v>Not Requested</v>
      </c>
      <c r="C215">
        <f>SampleList[[#This Row],[Duration (Days)]]</f>
        <v>0</v>
      </c>
      <c r="D215">
        <f>SampleList[[#This Row],[Sample Description]]</f>
        <v>0</v>
      </c>
      <c r="N215">
        <f>SUM(NMRPrep[[#This Row],[d-DMSO (uL) ]:[ NH4Cl (uL)]])</f>
        <v>0</v>
      </c>
      <c r="O215">
        <f>647</f>
        <v>647</v>
      </c>
      <c r="P215">
        <f>NMRPrep[[#This Row],[Total (uL) ]]-NMRPrep[[#This Row],[Target (uL)]]</f>
        <v>-647</v>
      </c>
      <c r="R215" t="e">
        <f>(NMRPrep[[#This Row],[NH4Cl Stock Concentration (mM)]]*NMRPrep[[#This Row],[ NH4Cl (uL)]])/SUM(NMRPrep[[#This Row],[DI (uL) ]:[ NH4Cl (uL)]])</f>
        <v>#DIV/0!</v>
      </c>
    </row>
    <row r="216" spans="1:18" x14ac:dyDescent="0.25">
      <c r="A216" s="1">
        <f>SampleList[[#This Row],[Date Sampled]]</f>
        <v>0</v>
      </c>
      <c r="B216" t="str" cm="1">
        <f t="array" ref="B216">IF(ISBLANK(INDEX(SampleList[NMR],ROW()-1)),"Not Requested",INDEX(SampleList[Experiment ID],ROW()-1))</f>
        <v>Not Requested</v>
      </c>
      <c r="C216">
        <f>SampleList[[#This Row],[Duration (Days)]]</f>
        <v>0</v>
      </c>
      <c r="D216">
        <f>SampleList[[#This Row],[Sample Description]]</f>
        <v>0</v>
      </c>
      <c r="N216">
        <f>SUM(NMRPrep[[#This Row],[d-DMSO (uL) ]:[ NH4Cl (uL)]])</f>
        <v>0</v>
      </c>
      <c r="O216">
        <f>647</f>
        <v>647</v>
      </c>
      <c r="P216">
        <f>NMRPrep[[#This Row],[Total (uL) ]]-NMRPrep[[#This Row],[Target (uL)]]</f>
        <v>-647</v>
      </c>
      <c r="R216" t="e">
        <f>(NMRPrep[[#This Row],[NH4Cl Stock Concentration (mM)]]*NMRPrep[[#This Row],[ NH4Cl (uL)]])/SUM(NMRPrep[[#This Row],[DI (uL) ]:[ NH4Cl (uL)]])</f>
        <v>#DIV/0!</v>
      </c>
    </row>
    <row r="217" spans="1:18" x14ac:dyDescent="0.25">
      <c r="A217" s="1">
        <f>SampleList[[#This Row],[Date Sampled]]</f>
        <v>0</v>
      </c>
      <c r="B217" t="str" cm="1">
        <f t="array" ref="B217">IF(ISBLANK(INDEX(SampleList[NMR],ROW()-1)),"Not Requested",INDEX(SampleList[Experiment ID],ROW()-1))</f>
        <v>Not Requested</v>
      </c>
      <c r="C217">
        <f>SampleList[[#This Row],[Duration (Days)]]</f>
        <v>0</v>
      </c>
      <c r="D217">
        <f>SampleList[[#This Row],[Sample Description]]</f>
        <v>0</v>
      </c>
      <c r="N217">
        <f>SUM(NMRPrep[[#This Row],[d-DMSO (uL) ]:[ NH4Cl (uL)]])</f>
        <v>0</v>
      </c>
      <c r="O217">
        <f>647</f>
        <v>647</v>
      </c>
      <c r="P217">
        <f>NMRPrep[[#This Row],[Total (uL) ]]-NMRPrep[[#This Row],[Target (uL)]]</f>
        <v>-647</v>
      </c>
      <c r="R217" t="e">
        <f>(NMRPrep[[#This Row],[NH4Cl Stock Concentration (mM)]]*NMRPrep[[#This Row],[ NH4Cl (uL)]])/SUM(NMRPrep[[#This Row],[DI (uL) ]:[ NH4Cl (uL)]])</f>
        <v>#DIV/0!</v>
      </c>
    </row>
    <row r="218" spans="1:18" x14ac:dyDescent="0.25">
      <c r="A218" s="1">
        <f>SampleList[[#This Row],[Date Sampled]]</f>
        <v>0</v>
      </c>
      <c r="B218" t="str" cm="1">
        <f t="array" ref="B218">IF(ISBLANK(INDEX(SampleList[NMR],ROW()-1)),"Not Requested",INDEX(SampleList[Experiment ID],ROW()-1))</f>
        <v>Not Requested</v>
      </c>
      <c r="C218">
        <f>SampleList[[#This Row],[Duration (Days)]]</f>
        <v>0</v>
      </c>
      <c r="D218">
        <f>SampleList[[#This Row],[Sample Description]]</f>
        <v>0</v>
      </c>
      <c r="N218">
        <f>SUM(NMRPrep[[#This Row],[d-DMSO (uL) ]:[ NH4Cl (uL)]])</f>
        <v>0</v>
      </c>
      <c r="O218">
        <f>647</f>
        <v>647</v>
      </c>
      <c r="P218">
        <f>NMRPrep[[#This Row],[Total (uL) ]]-NMRPrep[[#This Row],[Target (uL)]]</f>
        <v>-647</v>
      </c>
      <c r="R218" t="e">
        <f>(NMRPrep[[#This Row],[NH4Cl Stock Concentration (mM)]]*NMRPrep[[#This Row],[ NH4Cl (uL)]])/SUM(NMRPrep[[#This Row],[DI (uL) ]:[ NH4Cl (uL)]])</f>
        <v>#DIV/0!</v>
      </c>
    </row>
    <row r="219" spans="1:18" x14ac:dyDescent="0.25">
      <c r="A219" s="1">
        <f>SampleList[[#This Row],[Date Sampled]]</f>
        <v>0</v>
      </c>
      <c r="B219" t="str" cm="1">
        <f t="array" ref="B219">IF(ISBLANK(INDEX(SampleList[NMR],ROW()-1)),"Not Requested",INDEX(SampleList[Experiment ID],ROW()-1))</f>
        <v>Not Requested</v>
      </c>
      <c r="C219">
        <f>SampleList[[#This Row],[Duration (Days)]]</f>
        <v>0</v>
      </c>
      <c r="D219">
        <f>SampleList[[#This Row],[Sample Description]]</f>
        <v>0</v>
      </c>
      <c r="N219">
        <f>SUM(NMRPrep[[#This Row],[d-DMSO (uL) ]:[ NH4Cl (uL)]])</f>
        <v>0</v>
      </c>
      <c r="O219">
        <f>647</f>
        <v>647</v>
      </c>
      <c r="P219">
        <f>NMRPrep[[#This Row],[Total (uL) ]]-NMRPrep[[#This Row],[Target (uL)]]</f>
        <v>-647</v>
      </c>
      <c r="R219" t="e">
        <f>(NMRPrep[[#This Row],[NH4Cl Stock Concentration (mM)]]*NMRPrep[[#This Row],[ NH4Cl (uL)]])/SUM(NMRPrep[[#This Row],[DI (uL) ]:[ NH4Cl (uL)]])</f>
        <v>#DIV/0!</v>
      </c>
    </row>
    <row r="220" spans="1:18" x14ac:dyDescent="0.25">
      <c r="A220" s="1">
        <f>SampleList[[#This Row],[Date Sampled]]</f>
        <v>0</v>
      </c>
      <c r="B220" t="str" cm="1">
        <f t="array" ref="B220">IF(ISBLANK(INDEX(SampleList[NMR],ROW()-1)),"Not Requested",INDEX(SampleList[Experiment ID],ROW()-1))</f>
        <v>Not Requested</v>
      </c>
      <c r="C220">
        <f>SampleList[[#This Row],[Duration (Days)]]</f>
        <v>0</v>
      </c>
      <c r="D220">
        <f>SampleList[[#This Row],[Sample Description]]</f>
        <v>0</v>
      </c>
      <c r="N220">
        <f>SUM(NMRPrep[[#This Row],[d-DMSO (uL) ]:[ NH4Cl (uL)]])</f>
        <v>0</v>
      </c>
      <c r="O220">
        <f>647</f>
        <v>647</v>
      </c>
      <c r="P220">
        <f>NMRPrep[[#This Row],[Total (uL) ]]-NMRPrep[[#This Row],[Target (uL)]]</f>
        <v>-647</v>
      </c>
      <c r="R220" t="e">
        <f>(NMRPrep[[#This Row],[NH4Cl Stock Concentration (mM)]]*NMRPrep[[#This Row],[ NH4Cl (uL)]])/SUM(NMRPrep[[#This Row],[DI (uL) ]:[ NH4Cl (uL)]])</f>
        <v>#DIV/0!</v>
      </c>
    </row>
    <row r="221" spans="1:18" x14ac:dyDescent="0.25">
      <c r="A221" s="1">
        <f>SampleList[[#This Row],[Date Sampled]]</f>
        <v>0</v>
      </c>
      <c r="B221" t="str" cm="1">
        <f t="array" ref="B221">IF(ISBLANK(INDEX(SampleList[NMR],ROW()-1)),"Not Requested",INDEX(SampleList[Experiment ID],ROW()-1))</f>
        <v>Not Requested</v>
      </c>
      <c r="C221">
        <f>SampleList[[#This Row],[Duration (Days)]]</f>
        <v>0</v>
      </c>
      <c r="D221">
        <f>SampleList[[#This Row],[Sample Description]]</f>
        <v>0</v>
      </c>
      <c r="N221">
        <f>SUM(NMRPrep[[#This Row],[d-DMSO (uL) ]:[ NH4Cl (uL)]])</f>
        <v>0</v>
      </c>
      <c r="O221">
        <f>647</f>
        <v>647</v>
      </c>
      <c r="P221">
        <f>NMRPrep[[#This Row],[Total (uL) ]]-NMRPrep[[#This Row],[Target (uL)]]</f>
        <v>-647</v>
      </c>
      <c r="R221" t="e">
        <f>(NMRPrep[[#This Row],[NH4Cl Stock Concentration (mM)]]*NMRPrep[[#This Row],[ NH4Cl (uL)]])/SUM(NMRPrep[[#This Row],[DI (uL) ]:[ NH4Cl (uL)]])</f>
        <v>#DIV/0!</v>
      </c>
    </row>
    <row r="222" spans="1:18" x14ac:dyDescent="0.25">
      <c r="A222" s="1">
        <f>SampleList[[#This Row],[Date Sampled]]</f>
        <v>0</v>
      </c>
      <c r="B222" t="str" cm="1">
        <f t="array" ref="B222">IF(ISBLANK(INDEX(SampleList[NMR],ROW()-1)),"Not Requested",INDEX(SampleList[Experiment ID],ROW()-1))</f>
        <v>Not Requested</v>
      </c>
      <c r="C222">
        <f>SampleList[[#This Row],[Duration (Days)]]</f>
        <v>0</v>
      </c>
      <c r="D222">
        <f>SampleList[[#This Row],[Sample Description]]</f>
        <v>0</v>
      </c>
      <c r="N222">
        <f>SUM(NMRPrep[[#This Row],[d-DMSO (uL) ]:[ NH4Cl (uL)]])</f>
        <v>0</v>
      </c>
      <c r="O222">
        <f>647</f>
        <v>647</v>
      </c>
      <c r="P222">
        <f>NMRPrep[[#This Row],[Total (uL) ]]-NMRPrep[[#This Row],[Target (uL)]]</f>
        <v>-647</v>
      </c>
      <c r="R222" t="e">
        <f>(NMRPrep[[#This Row],[NH4Cl Stock Concentration (mM)]]*NMRPrep[[#This Row],[ NH4Cl (uL)]])/SUM(NMRPrep[[#This Row],[DI (uL) ]:[ NH4Cl (uL)]])</f>
        <v>#DIV/0!</v>
      </c>
    </row>
    <row r="223" spans="1:18" x14ac:dyDescent="0.25">
      <c r="A223" s="1">
        <f>SampleList[[#This Row],[Date Sampled]]</f>
        <v>0</v>
      </c>
      <c r="B223" t="str" cm="1">
        <f t="array" ref="B223">IF(ISBLANK(INDEX(SampleList[NMR],ROW()-1)),"Not Requested",INDEX(SampleList[Experiment ID],ROW()-1))</f>
        <v>Not Requested</v>
      </c>
      <c r="C223">
        <f>SampleList[[#This Row],[Duration (Days)]]</f>
        <v>0</v>
      </c>
      <c r="D223">
        <f>SampleList[[#This Row],[Sample Description]]</f>
        <v>0</v>
      </c>
      <c r="N223">
        <f>SUM(NMRPrep[[#This Row],[d-DMSO (uL) ]:[ NH4Cl (uL)]])</f>
        <v>0</v>
      </c>
      <c r="O223">
        <f>647</f>
        <v>647</v>
      </c>
      <c r="P223">
        <f>NMRPrep[[#This Row],[Total (uL) ]]-NMRPrep[[#This Row],[Target (uL)]]</f>
        <v>-647</v>
      </c>
      <c r="R223" t="e">
        <f>(NMRPrep[[#This Row],[NH4Cl Stock Concentration (mM)]]*NMRPrep[[#This Row],[ NH4Cl (uL)]])/SUM(NMRPrep[[#This Row],[DI (uL) ]:[ NH4Cl (uL)]])</f>
        <v>#DIV/0!</v>
      </c>
    </row>
    <row r="224" spans="1:18" x14ac:dyDescent="0.25">
      <c r="A224" s="1">
        <f>SampleList[[#This Row],[Date Sampled]]</f>
        <v>0</v>
      </c>
      <c r="B224" t="str" cm="1">
        <f t="array" ref="B224">IF(ISBLANK(INDEX(SampleList[NMR],ROW()-1)),"Not Requested",INDEX(SampleList[Experiment ID],ROW()-1))</f>
        <v>Not Requested</v>
      </c>
      <c r="C224">
        <f>SampleList[[#This Row],[Duration (Days)]]</f>
        <v>0</v>
      </c>
      <c r="D224">
        <f>SampleList[[#This Row],[Sample Description]]</f>
        <v>0</v>
      </c>
      <c r="N224">
        <f>SUM(NMRPrep[[#This Row],[d-DMSO (uL) ]:[ NH4Cl (uL)]])</f>
        <v>0</v>
      </c>
      <c r="O224">
        <f>647</f>
        <v>647</v>
      </c>
      <c r="P224">
        <f>NMRPrep[[#This Row],[Total (uL) ]]-NMRPrep[[#This Row],[Target (uL)]]</f>
        <v>-647</v>
      </c>
      <c r="R224" t="e">
        <f>(NMRPrep[[#This Row],[NH4Cl Stock Concentration (mM)]]*NMRPrep[[#This Row],[ NH4Cl (uL)]])/SUM(NMRPrep[[#This Row],[DI (uL) ]:[ NH4Cl (uL)]])</f>
        <v>#DIV/0!</v>
      </c>
    </row>
    <row r="225" spans="1:18" x14ac:dyDescent="0.25">
      <c r="A225" s="1">
        <f>SampleList[[#This Row],[Date Sampled]]</f>
        <v>0</v>
      </c>
      <c r="B225" t="str" cm="1">
        <f t="array" ref="B225">IF(ISBLANK(INDEX(SampleList[NMR],ROW()-1)),"Not Requested",INDEX(SampleList[Experiment ID],ROW()-1))</f>
        <v>Not Requested</v>
      </c>
      <c r="C225">
        <f>SampleList[[#This Row],[Duration (Days)]]</f>
        <v>0</v>
      </c>
      <c r="D225">
        <f>SampleList[[#This Row],[Sample Description]]</f>
        <v>0</v>
      </c>
      <c r="N225">
        <f>SUM(NMRPrep[[#This Row],[d-DMSO (uL) ]:[ NH4Cl (uL)]])</f>
        <v>0</v>
      </c>
      <c r="O225">
        <f>647</f>
        <v>647</v>
      </c>
      <c r="P225">
        <f>NMRPrep[[#This Row],[Total (uL) ]]-NMRPrep[[#This Row],[Target (uL)]]</f>
        <v>-647</v>
      </c>
      <c r="R225" t="e">
        <f>(NMRPrep[[#This Row],[NH4Cl Stock Concentration (mM)]]*NMRPrep[[#This Row],[ NH4Cl (uL)]])/SUM(NMRPrep[[#This Row],[DI (uL) ]:[ NH4Cl (uL)]])</f>
        <v>#DIV/0!</v>
      </c>
    </row>
    <row r="226" spans="1:18" x14ac:dyDescent="0.25">
      <c r="A226" s="1">
        <f>SampleList[[#This Row],[Date Sampled]]</f>
        <v>0</v>
      </c>
      <c r="B226" t="str" cm="1">
        <f t="array" ref="B226">IF(ISBLANK(INDEX(SampleList[NMR],ROW()-1)),"Not Requested",INDEX(SampleList[Experiment ID],ROW()-1))</f>
        <v>Not Requested</v>
      </c>
      <c r="C226">
        <f>SampleList[[#This Row],[Duration (Days)]]</f>
        <v>0</v>
      </c>
      <c r="D226">
        <f>SampleList[[#This Row],[Sample Description]]</f>
        <v>0</v>
      </c>
      <c r="N226">
        <f>SUM(NMRPrep[[#This Row],[d-DMSO (uL) ]:[ NH4Cl (uL)]])</f>
        <v>0</v>
      </c>
      <c r="O226">
        <f>647</f>
        <v>647</v>
      </c>
      <c r="P226">
        <f>NMRPrep[[#This Row],[Total (uL) ]]-NMRPrep[[#This Row],[Target (uL)]]</f>
        <v>-647</v>
      </c>
      <c r="R226" t="e">
        <f>(NMRPrep[[#This Row],[NH4Cl Stock Concentration (mM)]]*NMRPrep[[#This Row],[ NH4Cl (uL)]])/SUM(NMRPrep[[#This Row],[DI (uL) ]:[ NH4Cl (uL)]])</f>
        <v>#DIV/0!</v>
      </c>
    </row>
    <row r="227" spans="1:18" x14ac:dyDescent="0.25">
      <c r="A227" s="1">
        <f>SampleList[[#This Row],[Date Sampled]]</f>
        <v>0</v>
      </c>
      <c r="B227" t="str" cm="1">
        <f t="array" ref="B227">IF(ISBLANK(INDEX(SampleList[NMR],ROW()-1)),"Not Requested",INDEX(SampleList[Experiment ID],ROW()-1))</f>
        <v>Not Requested</v>
      </c>
      <c r="C227">
        <f>SampleList[[#This Row],[Duration (Days)]]</f>
        <v>0</v>
      </c>
      <c r="D227">
        <f>SampleList[[#This Row],[Sample Description]]</f>
        <v>0</v>
      </c>
      <c r="N227">
        <f>SUM(NMRPrep[[#This Row],[d-DMSO (uL) ]:[ NH4Cl (uL)]])</f>
        <v>0</v>
      </c>
      <c r="O227">
        <f>647</f>
        <v>647</v>
      </c>
      <c r="P227">
        <f>NMRPrep[[#This Row],[Total (uL) ]]-NMRPrep[[#This Row],[Target (uL)]]</f>
        <v>-647</v>
      </c>
      <c r="R227" t="e">
        <f>(NMRPrep[[#This Row],[NH4Cl Stock Concentration (mM)]]*NMRPrep[[#This Row],[ NH4Cl (uL)]])/SUM(NMRPrep[[#This Row],[DI (uL) ]:[ NH4Cl (uL)]])</f>
        <v>#DIV/0!</v>
      </c>
    </row>
    <row r="228" spans="1:18" x14ac:dyDescent="0.25">
      <c r="A228" s="1">
        <f>SampleList[[#This Row],[Date Sampled]]</f>
        <v>0</v>
      </c>
      <c r="B228" t="str" cm="1">
        <f t="array" ref="B228">IF(ISBLANK(INDEX(SampleList[NMR],ROW()-1)),"Not Requested",INDEX(SampleList[Experiment ID],ROW()-1))</f>
        <v>Not Requested</v>
      </c>
      <c r="C228">
        <f>SampleList[[#This Row],[Duration (Days)]]</f>
        <v>0</v>
      </c>
      <c r="D228">
        <f>SampleList[[#This Row],[Sample Description]]</f>
        <v>0</v>
      </c>
      <c r="N228">
        <f>SUM(NMRPrep[[#This Row],[d-DMSO (uL) ]:[ NH4Cl (uL)]])</f>
        <v>0</v>
      </c>
      <c r="O228">
        <f>647</f>
        <v>647</v>
      </c>
      <c r="P228">
        <f>NMRPrep[[#This Row],[Total (uL) ]]-NMRPrep[[#This Row],[Target (uL)]]</f>
        <v>-647</v>
      </c>
      <c r="R228" t="e">
        <f>(NMRPrep[[#This Row],[NH4Cl Stock Concentration (mM)]]*NMRPrep[[#This Row],[ NH4Cl (uL)]])/SUM(NMRPrep[[#This Row],[DI (uL) ]:[ NH4Cl (uL)]])</f>
        <v>#DIV/0!</v>
      </c>
    </row>
    <row r="229" spans="1:18" x14ac:dyDescent="0.25">
      <c r="A229" s="1">
        <f>SampleList[[#This Row],[Date Sampled]]</f>
        <v>0</v>
      </c>
      <c r="B229" t="str" cm="1">
        <f t="array" ref="B229">IF(ISBLANK(INDEX(SampleList[NMR],ROW()-1)),"Not Requested",INDEX(SampleList[Experiment ID],ROW()-1))</f>
        <v>Not Requested</v>
      </c>
      <c r="C229">
        <f>SampleList[[#This Row],[Duration (Days)]]</f>
        <v>0</v>
      </c>
      <c r="D229">
        <f>SampleList[[#This Row],[Sample Description]]</f>
        <v>0</v>
      </c>
      <c r="N229">
        <f>SUM(NMRPrep[[#This Row],[d-DMSO (uL) ]:[ NH4Cl (uL)]])</f>
        <v>0</v>
      </c>
      <c r="O229">
        <f>647</f>
        <v>647</v>
      </c>
      <c r="P229">
        <f>NMRPrep[[#This Row],[Total (uL) ]]-NMRPrep[[#This Row],[Target (uL)]]</f>
        <v>-647</v>
      </c>
      <c r="R229" t="e">
        <f>(NMRPrep[[#This Row],[NH4Cl Stock Concentration (mM)]]*NMRPrep[[#This Row],[ NH4Cl (uL)]])/SUM(NMRPrep[[#This Row],[DI (uL) ]:[ NH4Cl (uL)]])</f>
        <v>#DIV/0!</v>
      </c>
    </row>
    <row r="230" spans="1:18" x14ac:dyDescent="0.25">
      <c r="A230" s="1">
        <f>SampleList[[#This Row],[Date Sampled]]</f>
        <v>0</v>
      </c>
      <c r="B230" t="str" cm="1">
        <f t="array" ref="B230">IF(ISBLANK(INDEX(SampleList[NMR],ROW()-1)),"Not Requested",INDEX(SampleList[Experiment ID],ROW()-1))</f>
        <v>Not Requested</v>
      </c>
      <c r="C230">
        <f>SampleList[[#This Row],[Duration (Days)]]</f>
        <v>0</v>
      </c>
      <c r="D230">
        <f>SampleList[[#This Row],[Sample Description]]</f>
        <v>0</v>
      </c>
      <c r="N230">
        <f>SUM(NMRPrep[[#This Row],[d-DMSO (uL) ]:[ NH4Cl (uL)]])</f>
        <v>0</v>
      </c>
      <c r="O230">
        <f>647</f>
        <v>647</v>
      </c>
      <c r="P230">
        <f>NMRPrep[[#This Row],[Total (uL) ]]-NMRPrep[[#This Row],[Target (uL)]]</f>
        <v>-647</v>
      </c>
      <c r="R230" t="e">
        <f>(NMRPrep[[#This Row],[NH4Cl Stock Concentration (mM)]]*NMRPrep[[#This Row],[ NH4Cl (uL)]])/SUM(NMRPrep[[#This Row],[DI (uL) ]:[ NH4Cl (uL)]])</f>
        <v>#DIV/0!</v>
      </c>
    </row>
    <row r="231" spans="1:18" x14ac:dyDescent="0.25">
      <c r="A231" s="1">
        <f>SampleList[[#This Row],[Date Sampled]]</f>
        <v>0</v>
      </c>
      <c r="B231" t="str" cm="1">
        <f t="array" ref="B231">IF(ISBLANK(INDEX(SampleList[NMR],ROW()-1)),"Not Requested",INDEX(SampleList[Experiment ID],ROW()-1))</f>
        <v>Not Requested</v>
      </c>
      <c r="C231">
        <f>SampleList[[#This Row],[Duration (Days)]]</f>
        <v>0</v>
      </c>
      <c r="D231">
        <f>SampleList[[#This Row],[Sample Description]]</f>
        <v>0</v>
      </c>
      <c r="N231">
        <f>SUM(NMRPrep[[#This Row],[d-DMSO (uL) ]:[ NH4Cl (uL)]])</f>
        <v>0</v>
      </c>
      <c r="O231">
        <f>647</f>
        <v>647</v>
      </c>
      <c r="P231">
        <f>NMRPrep[[#This Row],[Total (uL) ]]-NMRPrep[[#This Row],[Target (uL)]]</f>
        <v>-647</v>
      </c>
      <c r="R231" t="e">
        <f>(NMRPrep[[#This Row],[NH4Cl Stock Concentration (mM)]]*NMRPrep[[#This Row],[ NH4Cl (uL)]])/SUM(NMRPrep[[#This Row],[DI (uL) ]:[ NH4Cl (uL)]])</f>
        <v>#DIV/0!</v>
      </c>
    </row>
    <row r="232" spans="1:18" x14ac:dyDescent="0.25">
      <c r="A232" s="1">
        <f>SampleList[[#This Row],[Date Sampled]]</f>
        <v>0</v>
      </c>
      <c r="B232" t="str" cm="1">
        <f t="array" ref="B232">IF(ISBLANK(INDEX(SampleList[NMR],ROW()-1)),"Not Requested",INDEX(SampleList[Experiment ID],ROW()-1))</f>
        <v>Not Requested</v>
      </c>
      <c r="C232">
        <f>SampleList[[#This Row],[Duration (Days)]]</f>
        <v>0</v>
      </c>
      <c r="D232">
        <f>SampleList[[#This Row],[Sample Description]]</f>
        <v>0</v>
      </c>
      <c r="N232">
        <f>SUM(NMRPrep[[#This Row],[d-DMSO (uL) ]:[ NH4Cl (uL)]])</f>
        <v>0</v>
      </c>
      <c r="O232">
        <f>647</f>
        <v>647</v>
      </c>
      <c r="P232">
        <f>NMRPrep[[#This Row],[Total (uL) ]]-NMRPrep[[#This Row],[Target (uL)]]</f>
        <v>-647</v>
      </c>
      <c r="R232" t="e">
        <f>(NMRPrep[[#This Row],[NH4Cl Stock Concentration (mM)]]*NMRPrep[[#This Row],[ NH4Cl (uL)]])/SUM(NMRPrep[[#This Row],[DI (uL) ]:[ NH4Cl (uL)]])</f>
        <v>#DIV/0!</v>
      </c>
    </row>
    <row r="233" spans="1:18" x14ac:dyDescent="0.25">
      <c r="A233" s="1">
        <f>SampleList[[#This Row],[Date Sampled]]</f>
        <v>0</v>
      </c>
      <c r="B233" t="str" cm="1">
        <f t="array" ref="B233">IF(ISBLANK(INDEX(SampleList[NMR],ROW()-1)),"Not Requested",INDEX(SampleList[Experiment ID],ROW()-1))</f>
        <v>Not Requested</v>
      </c>
      <c r="C233">
        <f>SampleList[[#This Row],[Duration (Days)]]</f>
        <v>0</v>
      </c>
      <c r="D233">
        <f>SampleList[[#This Row],[Sample Description]]</f>
        <v>0</v>
      </c>
      <c r="N233">
        <f>SUM(NMRPrep[[#This Row],[d-DMSO (uL) ]:[ NH4Cl (uL)]])</f>
        <v>0</v>
      </c>
      <c r="O233">
        <f>647</f>
        <v>647</v>
      </c>
      <c r="P233">
        <f>NMRPrep[[#This Row],[Total (uL) ]]-NMRPrep[[#This Row],[Target (uL)]]</f>
        <v>-647</v>
      </c>
      <c r="R233" t="e">
        <f>(NMRPrep[[#This Row],[NH4Cl Stock Concentration (mM)]]*NMRPrep[[#This Row],[ NH4Cl (uL)]])/SUM(NMRPrep[[#This Row],[DI (uL) ]:[ NH4Cl (uL)]])</f>
        <v>#DIV/0!</v>
      </c>
    </row>
    <row r="234" spans="1:18" x14ac:dyDescent="0.25">
      <c r="A234" s="1">
        <f>SampleList[[#This Row],[Date Sampled]]</f>
        <v>0</v>
      </c>
      <c r="B234" t="str" cm="1">
        <f t="array" ref="B234">IF(ISBLANK(INDEX(SampleList[NMR],ROW()-1)),"Not Requested",INDEX(SampleList[Experiment ID],ROW()-1))</f>
        <v>Not Requested</v>
      </c>
      <c r="C234">
        <f>SampleList[[#This Row],[Duration (Days)]]</f>
        <v>0</v>
      </c>
      <c r="D234">
        <f>SampleList[[#This Row],[Sample Description]]</f>
        <v>0</v>
      </c>
      <c r="N234">
        <f>SUM(NMRPrep[[#This Row],[d-DMSO (uL) ]:[ NH4Cl (uL)]])</f>
        <v>0</v>
      </c>
      <c r="O234">
        <f>647</f>
        <v>647</v>
      </c>
      <c r="P234">
        <f>NMRPrep[[#This Row],[Total (uL) ]]-NMRPrep[[#This Row],[Target (uL)]]</f>
        <v>-647</v>
      </c>
      <c r="R234" t="e">
        <f>(NMRPrep[[#This Row],[NH4Cl Stock Concentration (mM)]]*NMRPrep[[#This Row],[ NH4Cl (uL)]])/SUM(NMRPrep[[#This Row],[DI (uL) ]:[ NH4Cl (uL)]])</f>
        <v>#DIV/0!</v>
      </c>
    </row>
    <row r="235" spans="1:18" x14ac:dyDescent="0.25">
      <c r="A235" s="1">
        <f>SampleList[[#This Row],[Date Sampled]]</f>
        <v>0</v>
      </c>
      <c r="B235" t="str" cm="1">
        <f t="array" ref="B235">IF(ISBLANK(INDEX(SampleList[NMR],ROW()-1)),"Not Requested",INDEX(SampleList[Experiment ID],ROW()-1))</f>
        <v>Not Requested</v>
      </c>
      <c r="C235">
        <f>SampleList[[#This Row],[Duration (Days)]]</f>
        <v>0</v>
      </c>
      <c r="D235">
        <f>SampleList[[#This Row],[Sample Description]]</f>
        <v>0</v>
      </c>
      <c r="N235">
        <f>SUM(NMRPrep[[#This Row],[d-DMSO (uL) ]:[ NH4Cl (uL)]])</f>
        <v>0</v>
      </c>
      <c r="O235">
        <f>647</f>
        <v>647</v>
      </c>
      <c r="P235">
        <f>NMRPrep[[#This Row],[Total (uL) ]]-NMRPrep[[#This Row],[Target (uL)]]</f>
        <v>-647</v>
      </c>
      <c r="R235" t="e">
        <f>(NMRPrep[[#This Row],[NH4Cl Stock Concentration (mM)]]*NMRPrep[[#This Row],[ NH4Cl (uL)]])/SUM(NMRPrep[[#This Row],[DI (uL) ]:[ NH4Cl (uL)]])</f>
        <v>#DIV/0!</v>
      </c>
    </row>
    <row r="236" spans="1:18" x14ac:dyDescent="0.25">
      <c r="A236" s="1">
        <f>SampleList[[#This Row],[Date Sampled]]</f>
        <v>0</v>
      </c>
      <c r="B236" t="str" cm="1">
        <f t="array" ref="B236">IF(ISBLANK(INDEX(SampleList[NMR],ROW()-1)),"Not Requested",INDEX(SampleList[Experiment ID],ROW()-1))</f>
        <v>Not Requested</v>
      </c>
      <c r="C236">
        <f>SampleList[[#This Row],[Duration (Days)]]</f>
        <v>0</v>
      </c>
      <c r="D236">
        <f>SampleList[[#This Row],[Sample Description]]</f>
        <v>0</v>
      </c>
      <c r="N236">
        <f>SUM(NMRPrep[[#This Row],[d-DMSO (uL) ]:[ NH4Cl (uL)]])</f>
        <v>0</v>
      </c>
      <c r="O236">
        <f>647</f>
        <v>647</v>
      </c>
      <c r="P236">
        <f>NMRPrep[[#This Row],[Total (uL) ]]-NMRPrep[[#This Row],[Target (uL)]]</f>
        <v>-647</v>
      </c>
      <c r="R236" t="e">
        <f>(NMRPrep[[#This Row],[NH4Cl Stock Concentration (mM)]]*NMRPrep[[#This Row],[ NH4Cl (uL)]])/SUM(NMRPrep[[#This Row],[DI (uL) ]:[ NH4Cl (uL)]])</f>
        <v>#DIV/0!</v>
      </c>
    </row>
    <row r="237" spans="1:18" x14ac:dyDescent="0.25">
      <c r="A237" s="1">
        <f>SampleList[[#This Row],[Date Sampled]]</f>
        <v>0</v>
      </c>
      <c r="B237" t="str" cm="1">
        <f t="array" ref="B237">IF(ISBLANK(INDEX(SampleList[NMR],ROW()-1)),"Not Requested",INDEX(SampleList[Experiment ID],ROW()-1))</f>
        <v>Not Requested</v>
      </c>
      <c r="C237">
        <f>SampleList[[#This Row],[Duration (Days)]]</f>
        <v>0</v>
      </c>
      <c r="D237">
        <f>SampleList[[#This Row],[Sample Description]]</f>
        <v>0</v>
      </c>
      <c r="N237">
        <f>SUM(NMRPrep[[#This Row],[d-DMSO (uL) ]:[ NH4Cl (uL)]])</f>
        <v>0</v>
      </c>
      <c r="O237">
        <f>647</f>
        <v>647</v>
      </c>
      <c r="P237">
        <f>NMRPrep[[#This Row],[Total (uL) ]]-NMRPrep[[#This Row],[Target (uL)]]</f>
        <v>-647</v>
      </c>
      <c r="R237" t="e">
        <f>(NMRPrep[[#This Row],[NH4Cl Stock Concentration (mM)]]*NMRPrep[[#This Row],[ NH4Cl (uL)]])/SUM(NMRPrep[[#This Row],[DI (uL) ]:[ NH4Cl (uL)]])</f>
        <v>#DIV/0!</v>
      </c>
    </row>
    <row r="238" spans="1:18" x14ac:dyDescent="0.25">
      <c r="A238" s="1">
        <f>SampleList[[#This Row],[Date Sampled]]</f>
        <v>0</v>
      </c>
      <c r="B238" t="str" cm="1">
        <f t="array" ref="B238">IF(ISBLANK(INDEX(SampleList[NMR],ROW()-1)),"Not Requested",INDEX(SampleList[Experiment ID],ROW()-1))</f>
        <v>Not Requested</v>
      </c>
      <c r="C238">
        <f>SampleList[[#This Row],[Duration (Days)]]</f>
        <v>0</v>
      </c>
      <c r="D238">
        <f>SampleList[[#This Row],[Sample Description]]</f>
        <v>0</v>
      </c>
      <c r="N238">
        <f>SUM(NMRPrep[[#This Row],[d-DMSO (uL) ]:[ NH4Cl (uL)]])</f>
        <v>0</v>
      </c>
      <c r="O238">
        <f>647</f>
        <v>647</v>
      </c>
      <c r="P238">
        <f>NMRPrep[[#This Row],[Total (uL) ]]-NMRPrep[[#This Row],[Target (uL)]]</f>
        <v>-647</v>
      </c>
      <c r="R238" t="e">
        <f>(NMRPrep[[#This Row],[NH4Cl Stock Concentration (mM)]]*NMRPrep[[#This Row],[ NH4Cl (uL)]])/SUM(NMRPrep[[#This Row],[DI (uL) ]:[ NH4Cl (uL)]])</f>
        <v>#DIV/0!</v>
      </c>
    </row>
    <row r="239" spans="1:18" x14ac:dyDescent="0.25">
      <c r="A239" s="1">
        <f>SampleList[[#This Row],[Date Sampled]]</f>
        <v>0</v>
      </c>
      <c r="B239" t="str" cm="1">
        <f t="array" ref="B239">IF(ISBLANK(INDEX(SampleList[NMR],ROW()-1)),"Not Requested",INDEX(SampleList[Experiment ID],ROW()-1))</f>
        <v>Not Requested</v>
      </c>
      <c r="C239">
        <f>SampleList[[#This Row],[Duration (Days)]]</f>
        <v>0</v>
      </c>
      <c r="D239">
        <f>SampleList[[#This Row],[Sample Description]]</f>
        <v>0</v>
      </c>
      <c r="N239">
        <f>SUM(NMRPrep[[#This Row],[d-DMSO (uL) ]:[ NH4Cl (uL)]])</f>
        <v>0</v>
      </c>
      <c r="O239">
        <f>647</f>
        <v>647</v>
      </c>
      <c r="P239">
        <f>NMRPrep[[#This Row],[Total (uL) ]]-NMRPrep[[#This Row],[Target (uL)]]</f>
        <v>-647</v>
      </c>
      <c r="R239" t="e">
        <f>(NMRPrep[[#This Row],[NH4Cl Stock Concentration (mM)]]*NMRPrep[[#This Row],[ NH4Cl (uL)]])/SUM(NMRPrep[[#This Row],[DI (uL) ]:[ NH4Cl (uL)]])</f>
        <v>#DIV/0!</v>
      </c>
    </row>
    <row r="240" spans="1:18" x14ac:dyDescent="0.25">
      <c r="A240" s="1">
        <f>SampleList[[#This Row],[Date Sampled]]</f>
        <v>0</v>
      </c>
      <c r="B240" t="str" cm="1">
        <f t="array" ref="B240">IF(ISBLANK(INDEX(SampleList[NMR],ROW()-1)),"Not Requested",INDEX(SampleList[Experiment ID],ROW()-1))</f>
        <v>Not Requested</v>
      </c>
      <c r="C240">
        <f>SampleList[[#This Row],[Duration (Days)]]</f>
        <v>0</v>
      </c>
      <c r="D240">
        <f>SampleList[[#This Row],[Sample Description]]</f>
        <v>0</v>
      </c>
      <c r="N240">
        <f>SUM(NMRPrep[[#This Row],[d-DMSO (uL) ]:[ NH4Cl (uL)]])</f>
        <v>0</v>
      </c>
      <c r="O240">
        <f>647</f>
        <v>647</v>
      </c>
      <c r="P240">
        <f>NMRPrep[[#This Row],[Total (uL) ]]-NMRPrep[[#This Row],[Target (uL)]]</f>
        <v>-647</v>
      </c>
      <c r="R240" t="e">
        <f>(NMRPrep[[#This Row],[NH4Cl Stock Concentration (mM)]]*NMRPrep[[#This Row],[ NH4Cl (uL)]])/SUM(NMRPrep[[#This Row],[DI (uL) ]:[ NH4Cl (uL)]])</f>
        <v>#DIV/0!</v>
      </c>
    </row>
    <row r="241" spans="1:18" x14ac:dyDescent="0.25">
      <c r="A241" s="1">
        <f>SampleList[[#This Row],[Date Sampled]]</f>
        <v>0</v>
      </c>
      <c r="B241" t="str" cm="1">
        <f t="array" ref="B241">IF(ISBLANK(INDEX(SampleList[NMR],ROW()-1)),"Not Requested",INDEX(SampleList[Experiment ID],ROW()-1))</f>
        <v>Not Requested</v>
      </c>
      <c r="C241">
        <f>SampleList[[#This Row],[Duration (Days)]]</f>
        <v>0</v>
      </c>
      <c r="D241">
        <f>SampleList[[#This Row],[Sample Description]]</f>
        <v>0</v>
      </c>
      <c r="N241">
        <f>SUM(NMRPrep[[#This Row],[d-DMSO (uL) ]:[ NH4Cl (uL)]])</f>
        <v>0</v>
      </c>
      <c r="O241">
        <f>647</f>
        <v>647</v>
      </c>
      <c r="P241">
        <f>NMRPrep[[#This Row],[Total (uL) ]]-NMRPrep[[#This Row],[Target (uL)]]</f>
        <v>-647</v>
      </c>
      <c r="R241" t="e">
        <f>(NMRPrep[[#This Row],[NH4Cl Stock Concentration (mM)]]*NMRPrep[[#This Row],[ NH4Cl (uL)]])/SUM(NMRPrep[[#This Row],[DI (uL) ]:[ NH4Cl (uL)]])</f>
        <v>#DIV/0!</v>
      </c>
    </row>
    <row r="242" spans="1:18" x14ac:dyDescent="0.25">
      <c r="A242" s="1">
        <f>SampleList[[#This Row],[Date Sampled]]</f>
        <v>0</v>
      </c>
      <c r="B242" t="str" cm="1">
        <f t="array" ref="B242">IF(ISBLANK(INDEX(SampleList[NMR],ROW()-1)),"Not Requested",INDEX(SampleList[Experiment ID],ROW()-1))</f>
        <v>Not Requested</v>
      </c>
      <c r="C242">
        <f>SampleList[[#This Row],[Duration (Days)]]</f>
        <v>0</v>
      </c>
      <c r="D242">
        <f>SampleList[[#This Row],[Sample Description]]</f>
        <v>0</v>
      </c>
      <c r="N242">
        <f>SUM(NMRPrep[[#This Row],[d-DMSO (uL) ]:[ NH4Cl (uL)]])</f>
        <v>0</v>
      </c>
      <c r="O242">
        <f>647</f>
        <v>647</v>
      </c>
      <c r="P242">
        <f>NMRPrep[[#This Row],[Total (uL) ]]-NMRPrep[[#This Row],[Target (uL)]]</f>
        <v>-647</v>
      </c>
      <c r="R242" t="e">
        <f>(NMRPrep[[#This Row],[NH4Cl Stock Concentration (mM)]]*NMRPrep[[#This Row],[ NH4Cl (uL)]])/SUM(NMRPrep[[#This Row],[DI (uL) ]:[ NH4Cl (uL)]])</f>
        <v>#DIV/0!</v>
      </c>
    </row>
    <row r="243" spans="1:18" x14ac:dyDescent="0.25">
      <c r="A243" s="1">
        <f>SampleList[[#This Row],[Date Sampled]]</f>
        <v>0</v>
      </c>
      <c r="B243" t="str" cm="1">
        <f t="array" ref="B243">IF(ISBLANK(INDEX(SampleList[NMR],ROW()-1)),"Not Requested",INDEX(SampleList[Experiment ID],ROW()-1))</f>
        <v>Not Requested</v>
      </c>
      <c r="C243">
        <f>SampleList[[#This Row],[Duration (Days)]]</f>
        <v>0</v>
      </c>
      <c r="D243">
        <f>SampleList[[#This Row],[Sample Description]]</f>
        <v>0</v>
      </c>
      <c r="N243">
        <f>SUM(NMRPrep[[#This Row],[d-DMSO (uL) ]:[ NH4Cl (uL)]])</f>
        <v>0</v>
      </c>
      <c r="O243">
        <f>647</f>
        <v>647</v>
      </c>
      <c r="P243">
        <f>NMRPrep[[#This Row],[Total (uL) ]]-NMRPrep[[#This Row],[Target (uL)]]</f>
        <v>-647</v>
      </c>
      <c r="R243" t="e">
        <f>(NMRPrep[[#This Row],[NH4Cl Stock Concentration (mM)]]*NMRPrep[[#This Row],[ NH4Cl (uL)]])/SUM(NMRPrep[[#This Row],[DI (uL) ]:[ NH4Cl (uL)]])</f>
        <v>#DIV/0!</v>
      </c>
    </row>
    <row r="244" spans="1:18" x14ac:dyDescent="0.25">
      <c r="A244" s="1">
        <f>SampleList[[#This Row],[Date Sampled]]</f>
        <v>0</v>
      </c>
      <c r="B244" t="str" cm="1">
        <f t="array" ref="B244">IF(ISBLANK(INDEX(SampleList[NMR],ROW()-1)),"Not Requested",INDEX(SampleList[Experiment ID],ROW()-1))</f>
        <v>Not Requested</v>
      </c>
      <c r="C244">
        <f>SampleList[[#This Row],[Duration (Days)]]</f>
        <v>0</v>
      </c>
      <c r="D244">
        <f>SampleList[[#This Row],[Sample Description]]</f>
        <v>0</v>
      </c>
      <c r="N244">
        <f>SUM(NMRPrep[[#This Row],[d-DMSO (uL) ]:[ NH4Cl (uL)]])</f>
        <v>0</v>
      </c>
      <c r="O244">
        <f>647</f>
        <v>647</v>
      </c>
      <c r="P244">
        <f>NMRPrep[[#This Row],[Total (uL) ]]-NMRPrep[[#This Row],[Target (uL)]]</f>
        <v>-647</v>
      </c>
      <c r="R244" t="e">
        <f>(NMRPrep[[#This Row],[NH4Cl Stock Concentration (mM)]]*NMRPrep[[#This Row],[ NH4Cl (uL)]])/SUM(NMRPrep[[#This Row],[DI (uL) ]:[ NH4Cl (uL)]])</f>
        <v>#DIV/0!</v>
      </c>
    </row>
    <row r="245" spans="1:18" x14ac:dyDescent="0.25">
      <c r="A245" s="1">
        <f>SampleList[[#This Row],[Date Sampled]]</f>
        <v>0</v>
      </c>
      <c r="B245" t="str" cm="1">
        <f t="array" ref="B245">IF(ISBLANK(INDEX(SampleList[NMR],ROW()-1)),"Not Requested",INDEX(SampleList[Experiment ID],ROW()-1))</f>
        <v>Not Requested</v>
      </c>
      <c r="C245">
        <f>SampleList[[#This Row],[Duration (Days)]]</f>
        <v>0</v>
      </c>
      <c r="D245">
        <f>SampleList[[#This Row],[Sample Description]]</f>
        <v>0</v>
      </c>
      <c r="N245">
        <f>SUM(NMRPrep[[#This Row],[d-DMSO (uL) ]:[ NH4Cl (uL)]])</f>
        <v>0</v>
      </c>
      <c r="O245">
        <f>647</f>
        <v>647</v>
      </c>
      <c r="P245">
        <f>NMRPrep[[#This Row],[Total (uL) ]]-NMRPrep[[#This Row],[Target (uL)]]</f>
        <v>-647</v>
      </c>
      <c r="R245" t="e">
        <f>(NMRPrep[[#This Row],[NH4Cl Stock Concentration (mM)]]*NMRPrep[[#This Row],[ NH4Cl (uL)]])/SUM(NMRPrep[[#This Row],[DI (uL) ]:[ NH4Cl (uL)]])</f>
        <v>#DIV/0!</v>
      </c>
    </row>
    <row r="246" spans="1:18" x14ac:dyDescent="0.25">
      <c r="A246" s="1">
        <f>SampleList[[#This Row],[Date Sampled]]</f>
        <v>0</v>
      </c>
      <c r="B246" t="str" cm="1">
        <f t="array" ref="B246">IF(ISBLANK(INDEX(SampleList[NMR],ROW()-1)),"Not Requested",INDEX(SampleList[Experiment ID],ROW()-1))</f>
        <v>Not Requested</v>
      </c>
      <c r="C246">
        <f>SampleList[[#This Row],[Duration (Days)]]</f>
        <v>0</v>
      </c>
      <c r="D246">
        <f>SampleList[[#This Row],[Sample Description]]</f>
        <v>0</v>
      </c>
      <c r="N246">
        <f>SUM(NMRPrep[[#This Row],[d-DMSO (uL) ]:[ NH4Cl (uL)]])</f>
        <v>0</v>
      </c>
      <c r="O246">
        <f>647</f>
        <v>647</v>
      </c>
      <c r="P246">
        <f>NMRPrep[[#This Row],[Total (uL) ]]-NMRPrep[[#This Row],[Target (uL)]]</f>
        <v>-647</v>
      </c>
      <c r="R246" t="e">
        <f>(NMRPrep[[#This Row],[NH4Cl Stock Concentration (mM)]]*NMRPrep[[#This Row],[ NH4Cl (uL)]])/SUM(NMRPrep[[#This Row],[DI (uL) ]:[ NH4Cl (uL)]])</f>
        <v>#DIV/0!</v>
      </c>
    </row>
    <row r="247" spans="1:18" x14ac:dyDescent="0.25">
      <c r="A247" s="1">
        <f>SampleList[[#This Row],[Date Sampled]]</f>
        <v>0</v>
      </c>
      <c r="B247" t="str" cm="1">
        <f t="array" ref="B247">IF(ISBLANK(INDEX(SampleList[NMR],ROW()-1)),"Not Requested",INDEX(SampleList[Experiment ID],ROW()-1))</f>
        <v>Not Requested</v>
      </c>
      <c r="C247">
        <f>SampleList[[#This Row],[Duration (Days)]]</f>
        <v>0</v>
      </c>
      <c r="D247">
        <f>SampleList[[#This Row],[Sample Description]]</f>
        <v>0</v>
      </c>
      <c r="N247">
        <f>SUM(NMRPrep[[#This Row],[d-DMSO (uL) ]:[ NH4Cl (uL)]])</f>
        <v>0</v>
      </c>
      <c r="O247">
        <f>647</f>
        <v>647</v>
      </c>
      <c r="P247">
        <f>NMRPrep[[#This Row],[Total (uL) ]]-NMRPrep[[#This Row],[Target (uL)]]</f>
        <v>-647</v>
      </c>
      <c r="R247" t="e">
        <f>(NMRPrep[[#This Row],[NH4Cl Stock Concentration (mM)]]*NMRPrep[[#This Row],[ NH4Cl (uL)]])/SUM(NMRPrep[[#This Row],[DI (uL) ]:[ NH4Cl (uL)]])</f>
        <v>#DIV/0!</v>
      </c>
    </row>
    <row r="248" spans="1:18" x14ac:dyDescent="0.25">
      <c r="A248" s="1">
        <f>SampleList[[#This Row],[Date Sampled]]</f>
        <v>0</v>
      </c>
      <c r="B248" t="str" cm="1">
        <f t="array" ref="B248">IF(ISBLANK(INDEX(SampleList[NMR],ROW()-1)),"Not Requested",INDEX(SampleList[Experiment ID],ROW()-1))</f>
        <v>Not Requested</v>
      </c>
      <c r="C248">
        <f>SampleList[[#This Row],[Duration (Days)]]</f>
        <v>0</v>
      </c>
      <c r="D248">
        <f>SampleList[[#This Row],[Sample Description]]</f>
        <v>0</v>
      </c>
      <c r="N248">
        <f>SUM(NMRPrep[[#This Row],[d-DMSO (uL) ]:[ NH4Cl (uL)]])</f>
        <v>0</v>
      </c>
      <c r="O248">
        <f>647</f>
        <v>647</v>
      </c>
      <c r="P248">
        <f>NMRPrep[[#This Row],[Total (uL) ]]-NMRPrep[[#This Row],[Target (uL)]]</f>
        <v>-647</v>
      </c>
      <c r="R248" t="e">
        <f>(NMRPrep[[#This Row],[NH4Cl Stock Concentration (mM)]]*NMRPrep[[#This Row],[ NH4Cl (uL)]])/SUM(NMRPrep[[#This Row],[DI (uL) ]:[ NH4Cl (uL)]])</f>
        <v>#DIV/0!</v>
      </c>
    </row>
    <row r="249" spans="1:18" x14ac:dyDescent="0.25">
      <c r="A249" s="1">
        <f>SampleList[[#This Row],[Date Sampled]]</f>
        <v>0</v>
      </c>
      <c r="B249" t="str" cm="1">
        <f t="array" ref="B249">IF(ISBLANK(INDEX(SampleList[NMR],ROW()-1)),"Not Requested",INDEX(SampleList[Experiment ID],ROW()-1))</f>
        <v>Not Requested</v>
      </c>
      <c r="C249">
        <f>SampleList[[#This Row],[Duration (Days)]]</f>
        <v>0</v>
      </c>
      <c r="D249">
        <f>SampleList[[#This Row],[Sample Description]]</f>
        <v>0</v>
      </c>
      <c r="N249">
        <f>SUM(NMRPrep[[#This Row],[d-DMSO (uL) ]:[ NH4Cl (uL)]])</f>
        <v>0</v>
      </c>
      <c r="O249">
        <f>647</f>
        <v>647</v>
      </c>
      <c r="P249">
        <f>NMRPrep[[#This Row],[Total (uL) ]]-NMRPrep[[#This Row],[Target (uL)]]</f>
        <v>-647</v>
      </c>
      <c r="R249" t="e">
        <f>(NMRPrep[[#This Row],[NH4Cl Stock Concentration (mM)]]*NMRPrep[[#This Row],[ NH4Cl (uL)]])/SUM(NMRPrep[[#This Row],[DI (uL) ]:[ NH4Cl (uL)]])</f>
        <v>#DIV/0!</v>
      </c>
    </row>
    <row r="250" spans="1:18" x14ac:dyDescent="0.25">
      <c r="A250" s="1">
        <f>SampleList[[#This Row],[Date Sampled]]</f>
        <v>0</v>
      </c>
      <c r="B250" t="str" cm="1">
        <f t="array" ref="B250">IF(ISBLANK(INDEX(SampleList[NMR],ROW()-1)),"Not Requested",INDEX(SampleList[Experiment ID],ROW()-1))</f>
        <v>Not Requested</v>
      </c>
      <c r="C250">
        <f>SampleList[[#This Row],[Duration (Days)]]</f>
        <v>0</v>
      </c>
      <c r="D250">
        <f>SampleList[[#This Row],[Sample Description]]</f>
        <v>0</v>
      </c>
      <c r="N250">
        <f>SUM(NMRPrep[[#This Row],[d-DMSO (uL) ]:[ NH4Cl (uL)]])</f>
        <v>0</v>
      </c>
      <c r="O250">
        <f>647</f>
        <v>647</v>
      </c>
      <c r="P250">
        <f>NMRPrep[[#This Row],[Total (uL) ]]-NMRPrep[[#This Row],[Target (uL)]]</f>
        <v>-647</v>
      </c>
      <c r="R250" t="e">
        <f>(NMRPrep[[#This Row],[NH4Cl Stock Concentration (mM)]]*NMRPrep[[#This Row],[ NH4Cl (uL)]])/SUM(NMRPrep[[#This Row],[DI (uL) ]:[ NH4Cl (uL)]])</f>
        <v>#DIV/0!</v>
      </c>
    </row>
    <row r="251" spans="1:18" x14ac:dyDescent="0.25">
      <c r="A251" s="1">
        <f>SampleList[[#This Row],[Date Sampled]]</f>
        <v>0</v>
      </c>
      <c r="B251" t="str" cm="1">
        <f t="array" ref="B251">IF(ISBLANK(INDEX(SampleList[NMR],ROW()-1)),"Not Requested",INDEX(SampleList[Experiment ID],ROW()-1))</f>
        <v>Not Requested</v>
      </c>
      <c r="C251">
        <f>SampleList[[#This Row],[Duration (Days)]]</f>
        <v>0</v>
      </c>
      <c r="D251">
        <f>SampleList[[#This Row],[Sample Description]]</f>
        <v>0</v>
      </c>
      <c r="N251">
        <f>SUM(NMRPrep[[#This Row],[d-DMSO (uL) ]:[ NH4Cl (uL)]])</f>
        <v>0</v>
      </c>
      <c r="O251">
        <f>647</f>
        <v>647</v>
      </c>
      <c r="P251">
        <f>NMRPrep[[#This Row],[Total (uL) ]]-NMRPrep[[#This Row],[Target (uL)]]</f>
        <v>-647</v>
      </c>
      <c r="R251" t="e">
        <f>(NMRPrep[[#This Row],[NH4Cl Stock Concentration (mM)]]*NMRPrep[[#This Row],[ NH4Cl (uL)]])/SUM(NMRPrep[[#This Row],[DI (uL) ]:[ NH4Cl (uL)]])</f>
        <v>#DIV/0!</v>
      </c>
    </row>
    <row r="252" spans="1:18" x14ac:dyDescent="0.25">
      <c r="A252" s="1">
        <f>SampleList[[#This Row],[Date Sampled]]</f>
        <v>0</v>
      </c>
      <c r="B252" t="str" cm="1">
        <f t="array" ref="B252">IF(ISBLANK(INDEX(SampleList[NMR],ROW()-1)),"Not Requested",INDEX(SampleList[Experiment ID],ROW()-1))</f>
        <v>Not Requested</v>
      </c>
      <c r="C252">
        <f>SampleList[[#This Row],[Duration (Days)]]</f>
        <v>0</v>
      </c>
      <c r="D252">
        <f>SampleList[[#This Row],[Sample Description]]</f>
        <v>0</v>
      </c>
      <c r="N252">
        <f>SUM(NMRPrep[[#This Row],[d-DMSO (uL) ]:[ NH4Cl (uL)]])</f>
        <v>0</v>
      </c>
      <c r="O252">
        <f>647</f>
        <v>647</v>
      </c>
      <c r="P252">
        <f>NMRPrep[[#This Row],[Total (uL) ]]-NMRPrep[[#This Row],[Target (uL)]]</f>
        <v>-647</v>
      </c>
      <c r="R252" t="e">
        <f>(NMRPrep[[#This Row],[NH4Cl Stock Concentration (mM)]]*NMRPrep[[#This Row],[ NH4Cl (uL)]])/SUM(NMRPrep[[#This Row],[DI (uL) ]:[ NH4Cl (uL)]])</f>
        <v>#DIV/0!</v>
      </c>
    </row>
    <row r="253" spans="1:18" x14ac:dyDescent="0.25">
      <c r="A253" s="1">
        <f>SampleList[[#This Row],[Date Sampled]]</f>
        <v>0</v>
      </c>
      <c r="B253" t="str" cm="1">
        <f t="array" ref="B253">IF(ISBLANK(INDEX(SampleList[NMR],ROW()-1)),"Not Requested",INDEX(SampleList[Experiment ID],ROW()-1))</f>
        <v>Not Requested</v>
      </c>
      <c r="C253">
        <f>SampleList[[#This Row],[Duration (Days)]]</f>
        <v>0</v>
      </c>
      <c r="D253">
        <f>SampleList[[#This Row],[Sample Description]]</f>
        <v>0</v>
      </c>
      <c r="N253">
        <f>SUM(NMRPrep[[#This Row],[d-DMSO (uL) ]:[ NH4Cl (uL)]])</f>
        <v>0</v>
      </c>
      <c r="O253">
        <f>647</f>
        <v>647</v>
      </c>
      <c r="P253">
        <f>NMRPrep[[#This Row],[Total (uL) ]]-NMRPrep[[#This Row],[Target (uL)]]</f>
        <v>-647</v>
      </c>
      <c r="R253" t="e">
        <f>(NMRPrep[[#This Row],[NH4Cl Stock Concentration (mM)]]*NMRPrep[[#This Row],[ NH4Cl (uL)]])/SUM(NMRPrep[[#This Row],[DI (uL) ]:[ NH4Cl (uL)]])</f>
        <v>#DIV/0!</v>
      </c>
    </row>
    <row r="254" spans="1:18" x14ac:dyDescent="0.25">
      <c r="A254" s="1">
        <f>SampleList[[#This Row],[Date Sampled]]</f>
        <v>0</v>
      </c>
      <c r="B254" t="str" cm="1">
        <f t="array" ref="B254">IF(ISBLANK(INDEX(SampleList[NMR],ROW()-1)),"Not Requested",INDEX(SampleList[Experiment ID],ROW()-1))</f>
        <v>Not Requested</v>
      </c>
      <c r="C254">
        <f>SampleList[[#This Row],[Duration (Days)]]</f>
        <v>0</v>
      </c>
      <c r="D254">
        <f>SampleList[[#This Row],[Sample Description]]</f>
        <v>0</v>
      </c>
      <c r="N254">
        <f>SUM(NMRPrep[[#This Row],[d-DMSO (uL) ]:[ NH4Cl (uL)]])</f>
        <v>0</v>
      </c>
      <c r="O254">
        <f>647</f>
        <v>647</v>
      </c>
      <c r="P254">
        <f>NMRPrep[[#This Row],[Total (uL) ]]-NMRPrep[[#This Row],[Target (uL)]]</f>
        <v>-647</v>
      </c>
      <c r="R254" t="e">
        <f>(NMRPrep[[#This Row],[NH4Cl Stock Concentration (mM)]]*NMRPrep[[#This Row],[ NH4Cl (uL)]])/SUM(NMRPrep[[#This Row],[DI (uL) ]:[ NH4Cl (uL)]])</f>
        <v>#DIV/0!</v>
      </c>
    </row>
    <row r="255" spans="1:18" x14ac:dyDescent="0.25">
      <c r="A255" s="1">
        <f>SampleList[[#This Row],[Date Sampled]]</f>
        <v>0</v>
      </c>
      <c r="B255" t="str" cm="1">
        <f t="array" ref="B255">IF(ISBLANK(INDEX(SampleList[NMR],ROW()-1)),"Not Requested",INDEX(SampleList[Experiment ID],ROW()-1))</f>
        <v>Not Requested</v>
      </c>
      <c r="C255">
        <f>SampleList[[#This Row],[Duration (Days)]]</f>
        <v>0</v>
      </c>
      <c r="D255">
        <f>SampleList[[#This Row],[Sample Description]]</f>
        <v>0</v>
      </c>
      <c r="N255">
        <f>SUM(NMRPrep[[#This Row],[d-DMSO (uL) ]:[ NH4Cl (uL)]])</f>
        <v>0</v>
      </c>
      <c r="O255">
        <f>647</f>
        <v>647</v>
      </c>
      <c r="P255">
        <f>NMRPrep[[#This Row],[Total (uL) ]]-NMRPrep[[#This Row],[Target (uL)]]</f>
        <v>-647</v>
      </c>
      <c r="R255" t="e">
        <f>(NMRPrep[[#This Row],[NH4Cl Stock Concentration (mM)]]*NMRPrep[[#This Row],[ NH4Cl (uL)]])/SUM(NMRPrep[[#This Row],[DI (uL) ]:[ NH4Cl (uL)]])</f>
        <v>#DIV/0!</v>
      </c>
    </row>
    <row r="256" spans="1:18" x14ac:dyDescent="0.25">
      <c r="A256" s="1">
        <f>SampleList[[#This Row],[Date Sampled]]</f>
        <v>0</v>
      </c>
      <c r="B256" t="str" cm="1">
        <f t="array" ref="B256">IF(ISBLANK(INDEX(SampleList[NMR],ROW()-1)),"Not Requested",INDEX(SampleList[Experiment ID],ROW()-1))</f>
        <v>Not Requested</v>
      </c>
      <c r="C256">
        <f>SampleList[[#This Row],[Duration (Days)]]</f>
        <v>0</v>
      </c>
      <c r="D256">
        <f>SampleList[[#This Row],[Sample Description]]</f>
        <v>0</v>
      </c>
      <c r="N256">
        <f>SUM(NMRPrep[[#This Row],[d-DMSO (uL) ]:[ NH4Cl (uL)]])</f>
        <v>0</v>
      </c>
      <c r="O256">
        <f>647</f>
        <v>647</v>
      </c>
      <c r="P256">
        <f>NMRPrep[[#This Row],[Total (uL) ]]-NMRPrep[[#This Row],[Target (uL)]]</f>
        <v>-647</v>
      </c>
      <c r="R256" t="e">
        <f>(NMRPrep[[#This Row],[NH4Cl Stock Concentration (mM)]]*NMRPrep[[#This Row],[ NH4Cl (uL)]])/SUM(NMRPrep[[#This Row],[DI (uL) ]:[ NH4Cl (uL)]])</f>
        <v>#DIV/0!</v>
      </c>
    </row>
    <row r="257" spans="1:18" x14ac:dyDescent="0.25">
      <c r="A257" s="1">
        <f>SampleList[[#This Row],[Date Sampled]]</f>
        <v>0</v>
      </c>
      <c r="B257" t="str" cm="1">
        <f t="array" ref="B257">IF(ISBLANK(INDEX(SampleList[NMR],ROW()-1)),"Not Requested",INDEX(SampleList[Experiment ID],ROW()-1))</f>
        <v>Not Requested</v>
      </c>
      <c r="C257">
        <f>SampleList[[#This Row],[Duration (Days)]]</f>
        <v>0</v>
      </c>
      <c r="D257">
        <f>SampleList[[#This Row],[Sample Description]]</f>
        <v>0</v>
      </c>
      <c r="N257">
        <f>SUM(NMRPrep[[#This Row],[d-DMSO (uL) ]:[ NH4Cl (uL)]])</f>
        <v>0</v>
      </c>
      <c r="O257">
        <f>647</f>
        <v>647</v>
      </c>
      <c r="P257">
        <f>NMRPrep[[#This Row],[Total (uL) ]]-NMRPrep[[#This Row],[Target (uL)]]</f>
        <v>-647</v>
      </c>
      <c r="R257" t="e">
        <f>(NMRPrep[[#This Row],[NH4Cl Stock Concentration (mM)]]*NMRPrep[[#This Row],[ NH4Cl (uL)]])/SUM(NMRPrep[[#This Row],[DI (uL) ]:[ NH4Cl (uL)]])</f>
        <v>#DIV/0!</v>
      </c>
    </row>
    <row r="258" spans="1:18" x14ac:dyDescent="0.25">
      <c r="A258" s="1">
        <f>SampleList[[#This Row],[Date Sampled]]</f>
        <v>0</v>
      </c>
      <c r="B258" t="str" cm="1">
        <f t="array" ref="B258">IF(ISBLANK(INDEX(SampleList[NMR],ROW()-1)),"Not Requested",INDEX(SampleList[Experiment ID],ROW()-1))</f>
        <v>Not Requested</v>
      </c>
      <c r="C258">
        <f>SampleList[[#This Row],[Duration (Days)]]</f>
        <v>0</v>
      </c>
      <c r="D258">
        <f>SampleList[[#This Row],[Sample Description]]</f>
        <v>0</v>
      </c>
      <c r="N258">
        <f>SUM(NMRPrep[[#This Row],[d-DMSO (uL) ]:[ NH4Cl (uL)]])</f>
        <v>0</v>
      </c>
      <c r="O258">
        <f>647</f>
        <v>647</v>
      </c>
      <c r="P258">
        <f>NMRPrep[[#This Row],[Total (uL) ]]-NMRPrep[[#This Row],[Target (uL)]]</f>
        <v>-647</v>
      </c>
      <c r="R258" t="e">
        <f>(NMRPrep[[#This Row],[NH4Cl Stock Concentration (mM)]]*NMRPrep[[#This Row],[ NH4Cl (uL)]])/SUM(NMRPrep[[#This Row],[DI (uL) ]:[ NH4Cl (uL)]])</f>
        <v>#DIV/0!</v>
      </c>
    </row>
    <row r="259" spans="1:18" x14ac:dyDescent="0.25">
      <c r="A259" s="1">
        <f>SampleList[[#This Row],[Date Sampled]]</f>
        <v>0</v>
      </c>
      <c r="B259" t="str" cm="1">
        <f t="array" ref="B259">IF(ISBLANK(INDEX(SampleList[NMR],ROW()-1)),"Not Requested",INDEX(SampleList[Experiment ID],ROW()-1))</f>
        <v>Not Requested</v>
      </c>
      <c r="C259">
        <f>SampleList[[#This Row],[Duration (Days)]]</f>
        <v>0</v>
      </c>
      <c r="D259">
        <f>SampleList[[#This Row],[Sample Description]]</f>
        <v>0</v>
      </c>
      <c r="N259">
        <f>SUM(NMRPrep[[#This Row],[d-DMSO (uL) ]:[ NH4Cl (uL)]])</f>
        <v>0</v>
      </c>
      <c r="O259">
        <f>647</f>
        <v>647</v>
      </c>
      <c r="P259">
        <f>NMRPrep[[#This Row],[Total (uL) ]]-NMRPrep[[#This Row],[Target (uL)]]</f>
        <v>-647</v>
      </c>
      <c r="R259" t="e">
        <f>(NMRPrep[[#This Row],[NH4Cl Stock Concentration (mM)]]*NMRPrep[[#This Row],[ NH4Cl (uL)]])/SUM(NMRPrep[[#This Row],[DI (uL) ]:[ NH4Cl (uL)]])</f>
        <v>#DIV/0!</v>
      </c>
    </row>
    <row r="260" spans="1:18" x14ac:dyDescent="0.25">
      <c r="A260" s="1">
        <f>SampleList[[#This Row],[Date Sampled]]</f>
        <v>0</v>
      </c>
      <c r="B260" t="str" cm="1">
        <f t="array" ref="B260">IF(ISBLANK(INDEX(SampleList[NMR],ROW()-1)),"Not Requested",INDEX(SampleList[Experiment ID],ROW()-1))</f>
        <v>Not Requested</v>
      </c>
      <c r="C260">
        <f>SampleList[[#This Row],[Duration (Days)]]</f>
        <v>0</v>
      </c>
      <c r="D260">
        <f>SampleList[[#This Row],[Sample Description]]</f>
        <v>0</v>
      </c>
      <c r="N260">
        <f>SUM(NMRPrep[[#This Row],[d-DMSO (uL) ]:[ NH4Cl (uL)]])</f>
        <v>0</v>
      </c>
      <c r="O260">
        <f>647</f>
        <v>647</v>
      </c>
      <c r="P260">
        <f>NMRPrep[[#This Row],[Total (uL) ]]-NMRPrep[[#This Row],[Target (uL)]]</f>
        <v>-647</v>
      </c>
      <c r="R260" t="e">
        <f>(NMRPrep[[#This Row],[NH4Cl Stock Concentration (mM)]]*NMRPrep[[#This Row],[ NH4Cl (uL)]])/SUM(NMRPrep[[#This Row],[DI (uL) ]:[ NH4Cl (uL)]])</f>
        <v>#DIV/0!</v>
      </c>
    </row>
    <row r="261" spans="1:18" x14ac:dyDescent="0.25">
      <c r="A261" s="1">
        <f>SampleList[[#This Row],[Date Sampled]]</f>
        <v>0</v>
      </c>
      <c r="B261" t="str" cm="1">
        <f t="array" ref="B261">IF(ISBLANK(INDEX(SampleList[NMR],ROW()-1)),"Not Requested",INDEX(SampleList[Experiment ID],ROW()-1))</f>
        <v>Not Requested</v>
      </c>
      <c r="C261">
        <f>SampleList[[#This Row],[Duration (Days)]]</f>
        <v>0</v>
      </c>
      <c r="D261">
        <f>SampleList[[#This Row],[Sample Description]]</f>
        <v>0</v>
      </c>
      <c r="N261">
        <f>SUM(NMRPrep[[#This Row],[d-DMSO (uL) ]:[ NH4Cl (uL)]])</f>
        <v>0</v>
      </c>
      <c r="O261">
        <f>647</f>
        <v>647</v>
      </c>
      <c r="P261">
        <f>NMRPrep[[#This Row],[Total (uL) ]]-NMRPrep[[#This Row],[Target (uL)]]</f>
        <v>-647</v>
      </c>
      <c r="R261" t="e">
        <f>(NMRPrep[[#This Row],[NH4Cl Stock Concentration (mM)]]*NMRPrep[[#This Row],[ NH4Cl (uL)]])/SUM(NMRPrep[[#This Row],[DI (uL) ]:[ NH4Cl (uL)]])</f>
        <v>#DIV/0!</v>
      </c>
    </row>
    <row r="262" spans="1:18" x14ac:dyDescent="0.25">
      <c r="A262" s="1">
        <f>SampleList[[#This Row],[Date Sampled]]</f>
        <v>0</v>
      </c>
      <c r="B262" t="str" cm="1">
        <f t="array" ref="B262">IF(ISBLANK(INDEX(SampleList[NMR],ROW()-1)),"Not Requested",INDEX(SampleList[Experiment ID],ROW()-1))</f>
        <v>Not Requested</v>
      </c>
      <c r="C262">
        <f>SampleList[[#This Row],[Duration (Days)]]</f>
        <v>0</v>
      </c>
      <c r="D262">
        <f>SampleList[[#This Row],[Sample Description]]</f>
        <v>0</v>
      </c>
      <c r="N262">
        <f>SUM(NMRPrep[[#This Row],[d-DMSO (uL) ]:[ NH4Cl (uL)]])</f>
        <v>0</v>
      </c>
      <c r="O262">
        <f>647</f>
        <v>647</v>
      </c>
      <c r="P262">
        <f>NMRPrep[[#This Row],[Total (uL) ]]-NMRPrep[[#This Row],[Target (uL)]]</f>
        <v>-647</v>
      </c>
      <c r="R262" t="e">
        <f>(NMRPrep[[#This Row],[NH4Cl Stock Concentration (mM)]]*NMRPrep[[#This Row],[ NH4Cl (uL)]])/SUM(NMRPrep[[#This Row],[DI (uL) ]:[ NH4Cl (uL)]])</f>
        <v>#DIV/0!</v>
      </c>
    </row>
    <row r="263" spans="1:18" x14ac:dyDescent="0.25">
      <c r="A263" s="1">
        <f>SampleList[[#This Row],[Date Sampled]]</f>
        <v>0</v>
      </c>
      <c r="B263" t="str" cm="1">
        <f t="array" ref="B263">IF(ISBLANK(INDEX(SampleList[NMR],ROW()-1)),"Not Requested",INDEX(SampleList[Experiment ID],ROW()-1))</f>
        <v>Not Requested</v>
      </c>
      <c r="C263">
        <f>SampleList[[#This Row],[Duration (Days)]]</f>
        <v>0</v>
      </c>
      <c r="D263">
        <f>SampleList[[#This Row],[Sample Description]]</f>
        <v>0</v>
      </c>
      <c r="N263">
        <f>SUM(NMRPrep[[#This Row],[d-DMSO (uL) ]:[ NH4Cl (uL)]])</f>
        <v>0</v>
      </c>
      <c r="O263">
        <f>647</f>
        <v>647</v>
      </c>
      <c r="P263">
        <f>NMRPrep[[#This Row],[Total (uL) ]]-NMRPrep[[#This Row],[Target (uL)]]</f>
        <v>-647</v>
      </c>
      <c r="R263" t="e">
        <f>(NMRPrep[[#This Row],[NH4Cl Stock Concentration (mM)]]*NMRPrep[[#This Row],[ NH4Cl (uL)]])/SUM(NMRPrep[[#This Row],[DI (uL) ]:[ NH4Cl (uL)]])</f>
        <v>#DIV/0!</v>
      </c>
    </row>
    <row r="264" spans="1:18" x14ac:dyDescent="0.25">
      <c r="A264" s="1">
        <f>SampleList[[#This Row],[Date Sampled]]</f>
        <v>0</v>
      </c>
      <c r="B264" t="str" cm="1">
        <f t="array" ref="B264">IF(ISBLANK(INDEX(SampleList[NMR],ROW()-1)),"Not Requested",INDEX(SampleList[Experiment ID],ROW()-1))</f>
        <v>Not Requested</v>
      </c>
      <c r="C264">
        <f>SampleList[[#This Row],[Duration (Days)]]</f>
        <v>0</v>
      </c>
      <c r="D264">
        <f>SampleList[[#This Row],[Sample Description]]</f>
        <v>0</v>
      </c>
      <c r="N264">
        <f>SUM(NMRPrep[[#This Row],[d-DMSO (uL) ]:[ NH4Cl (uL)]])</f>
        <v>0</v>
      </c>
      <c r="O264">
        <f>647</f>
        <v>647</v>
      </c>
      <c r="P264">
        <f>NMRPrep[[#This Row],[Total (uL) ]]-NMRPrep[[#This Row],[Target (uL)]]</f>
        <v>-647</v>
      </c>
      <c r="R264" t="e">
        <f>(NMRPrep[[#This Row],[NH4Cl Stock Concentration (mM)]]*NMRPrep[[#This Row],[ NH4Cl (uL)]])/SUM(NMRPrep[[#This Row],[DI (uL) ]:[ NH4Cl (uL)]])</f>
        <v>#DIV/0!</v>
      </c>
    </row>
    <row r="265" spans="1:18" x14ac:dyDescent="0.25">
      <c r="A265" s="1">
        <f>SampleList[[#This Row],[Date Sampled]]</f>
        <v>0</v>
      </c>
      <c r="B265" t="str" cm="1">
        <f t="array" ref="B265">IF(ISBLANK(INDEX(SampleList[NMR],ROW()-1)),"Not Requested",INDEX(SampleList[Experiment ID],ROW()-1))</f>
        <v>Not Requested</v>
      </c>
      <c r="C265">
        <f>SampleList[[#This Row],[Duration (Days)]]</f>
        <v>0</v>
      </c>
      <c r="D265">
        <f>SampleList[[#This Row],[Sample Description]]</f>
        <v>0</v>
      </c>
      <c r="N265">
        <f>SUM(NMRPrep[[#This Row],[d-DMSO (uL) ]:[ NH4Cl (uL)]])</f>
        <v>0</v>
      </c>
      <c r="O265">
        <f>647</f>
        <v>647</v>
      </c>
      <c r="P265">
        <f>NMRPrep[[#This Row],[Total (uL) ]]-NMRPrep[[#This Row],[Target (uL)]]</f>
        <v>-647</v>
      </c>
      <c r="R265" t="e">
        <f>(NMRPrep[[#This Row],[NH4Cl Stock Concentration (mM)]]*NMRPrep[[#This Row],[ NH4Cl (uL)]])/SUM(NMRPrep[[#This Row],[DI (uL) ]:[ NH4Cl (uL)]])</f>
        <v>#DIV/0!</v>
      </c>
    </row>
    <row r="266" spans="1:18" x14ac:dyDescent="0.25">
      <c r="A266" s="1">
        <f>SampleList[[#This Row],[Date Sampled]]</f>
        <v>0</v>
      </c>
      <c r="B266" t="str" cm="1">
        <f t="array" ref="B266">IF(ISBLANK(INDEX(SampleList[NMR],ROW()-1)),"Not Requested",INDEX(SampleList[Experiment ID],ROW()-1))</f>
        <v>Not Requested</v>
      </c>
      <c r="C266">
        <f>SampleList[[#This Row],[Duration (Days)]]</f>
        <v>0</v>
      </c>
      <c r="D266">
        <f>SampleList[[#This Row],[Sample Description]]</f>
        <v>0</v>
      </c>
      <c r="N266">
        <f>SUM(NMRPrep[[#This Row],[d-DMSO (uL) ]:[ NH4Cl (uL)]])</f>
        <v>0</v>
      </c>
      <c r="O266">
        <f>647</f>
        <v>647</v>
      </c>
      <c r="P266">
        <f>NMRPrep[[#This Row],[Total (uL) ]]-NMRPrep[[#This Row],[Target (uL)]]</f>
        <v>-647</v>
      </c>
      <c r="R266" t="e">
        <f>(NMRPrep[[#This Row],[NH4Cl Stock Concentration (mM)]]*NMRPrep[[#This Row],[ NH4Cl (uL)]])/SUM(NMRPrep[[#This Row],[DI (uL) ]:[ NH4Cl (uL)]])</f>
        <v>#DIV/0!</v>
      </c>
    </row>
    <row r="267" spans="1:18" x14ac:dyDescent="0.25">
      <c r="A267" s="1">
        <f>SampleList[[#This Row],[Date Sampled]]</f>
        <v>0</v>
      </c>
      <c r="B267" t="str" cm="1">
        <f t="array" ref="B267">IF(ISBLANK(INDEX(SampleList[NMR],ROW()-1)),"Not Requested",INDEX(SampleList[Experiment ID],ROW()-1))</f>
        <v>Not Requested</v>
      </c>
      <c r="C267">
        <f>SampleList[[#This Row],[Duration (Days)]]</f>
        <v>0</v>
      </c>
      <c r="D267">
        <f>SampleList[[#This Row],[Sample Description]]</f>
        <v>0</v>
      </c>
      <c r="N267">
        <f>SUM(NMRPrep[[#This Row],[d-DMSO (uL) ]:[ NH4Cl (uL)]])</f>
        <v>0</v>
      </c>
      <c r="O267">
        <f>647</f>
        <v>647</v>
      </c>
      <c r="P267">
        <f>NMRPrep[[#This Row],[Total (uL) ]]-NMRPrep[[#This Row],[Target (uL)]]</f>
        <v>-647</v>
      </c>
      <c r="R267" t="e">
        <f>(NMRPrep[[#This Row],[NH4Cl Stock Concentration (mM)]]*NMRPrep[[#This Row],[ NH4Cl (uL)]])/SUM(NMRPrep[[#This Row],[DI (uL) ]:[ NH4Cl (uL)]])</f>
        <v>#DIV/0!</v>
      </c>
    </row>
    <row r="268" spans="1:18" x14ac:dyDescent="0.25">
      <c r="A268" s="1">
        <f>SampleList[[#This Row],[Date Sampled]]</f>
        <v>0</v>
      </c>
      <c r="B268" t="str" cm="1">
        <f t="array" ref="B268">IF(ISBLANK(INDEX(SampleList[NMR],ROW()-1)),"Not Requested",INDEX(SampleList[Experiment ID],ROW()-1))</f>
        <v>Not Requested</v>
      </c>
      <c r="C268">
        <f>SampleList[[#This Row],[Duration (Days)]]</f>
        <v>0</v>
      </c>
      <c r="D268">
        <f>SampleList[[#This Row],[Sample Description]]</f>
        <v>0</v>
      </c>
      <c r="N268">
        <f>SUM(NMRPrep[[#This Row],[d-DMSO (uL) ]:[ NH4Cl (uL)]])</f>
        <v>0</v>
      </c>
      <c r="O268">
        <f>647</f>
        <v>647</v>
      </c>
      <c r="P268">
        <f>NMRPrep[[#This Row],[Total (uL) ]]-NMRPrep[[#This Row],[Target (uL)]]</f>
        <v>-647</v>
      </c>
      <c r="R268" t="e">
        <f>(NMRPrep[[#This Row],[NH4Cl Stock Concentration (mM)]]*NMRPrep[[#This Row],[ NH4Cl (uL)]])/SUM(NMRPrep[[#This Row],[DI (uL) ]:[ NH4Cl (uL)]])</f>
        <v>#DIV/0!</v>
      </c>
    </row>
    <row r="269" spans="1:18" x14ac:dyDescent="0.25">
      <c r="A269" s="1">
        <f>SampleList[[#This Row],[Date Sampled]]</f>
        <v>0</v>
      </c>
      <c r="B269" t="str" cm="1">
        <f t="array" ref="B269">IF(ISBLANK(INDEX(SampleList[NMR],ROW()-1)),"Not Requested",INDEX(SampleList[Experiment ID],ROW()-1))</f>
        <v>Not Requested</v>
      </c>
      <c r="C269">
        <f>SampleList[[#This Row],[Duration (Days)]]</f>
        <v>0</v>
      </c>
      <c r="D269">
        <f>SampleList[[#This Row],[Sample Description]]</f>
        <v>0</v>
      </c>
      <c r="N269">
        <f>SUM(NMRPrep[[#This Row],[d-DMSO (uL) ]:[ NH4Cl (uL)]])</f>
        <v>0</v>
      </c>
      <c r="O269">
        <f>647</f>
        <v>647</v>
      </c>
      <c r="P269">
        <f>NMRPrep[[#This Row],[Total (uL) ]]-NMRPrep[[#This Row],[Target (uL)]]</f>
        <v>-647</v>
      </c>
      <c r="R269" t="e">
        <f>(NMRPrep[[#This Row],[NH4Cl Stock Concentration (mM)]]*NMRPrep[[#This Row],[ NH4Cl (uL)]])/SUM(NMRPrep[[#This Row],[DI (uL) ]:[ NH4Cl (uL)]])</f>
        <v>#DIV/0!</v>
      </c>
    </row>
    <row r="270" spans="1:18" x14ac:dyDescent="0.25">
      <c r="A270" s="1">
        <f>SampleList[[#This Row],[Date Sampled]]</f>
        <v>0</v>
      </c>
      <c r="B270" t="str" cm="1">
        <f t="array" ref="B270">IF(ISBLANK(INDEX(SampleList[NMR],ROW()-1)),"Not Requested",INDEX(SampleList[Experiment ID],ROW()-1))</f>
        <v>Not Requested</v>
      </c>
      <c r="C270">
        <f>SampleList[[#This Row],[Duration (Days)]]</f>
        <v>0</v>
      </c>
      <c r="D270">
        <f>SampleList[[#This Row],[Sample Description]]</f>
        <v>0</v>
      </c>
      <c r="N270">
        <f>SUM(NMRPrep[[#This Row],[d-DMSO (uL) ]:[ NH4Cl (uL)]])</f>
        <v>0</v>
      </c>
      <c r="O270">
        <f>647</f>
        <v>647</v>
      </c>
      <c r="P270">
        <f>NMRPrep[[#This Row],[Total (uL) ]]-NMRPrep[[#This Row],[Target (uL)]]</f>
        <v>-647</v>
      </c>
      <c r="R270" t="e">
        <f>(NMRPrep[[#This Row],[NH4Cl Stock Concentration (mM)]]*NMRPrep[[#This Row],[ NH4Cl (uL)]])/SUM(NMRPrep[[#This Row],[DI (uL) ]:[ NH4Cl (uL)]])</f>
        <v>#DIV/0!</v>
      </c>
    </row>
    <row r="271" spans="1:18" x14ac:dyDescent="0.25">
      <c r="A271" s="1">
        <f>SampleList[[#This Row],[Date Sampled]]</f>
        <v>0</v>
      </c>
      <c r="B271" t="str" cm="1">
        <f t="array" ref="B271">IF(ISBLANK(INDEX(SampleList[NMR],ROW()-1)),"Not Requested",INDEX(SampleList[Experiment ID],ROW()-1))</f>
        <v>Not Requested</v>
      </c>
      <c r="C271">
        <f>SampleList[[#This Row],[Duration (Days)]]</f>
        <v>0</v>
      </c>
      <c r="D271">
        <f>SampleList[[#This Row],[Sample Description]]</f>
        <v>0</v>
      </c>
      <c r="N271">
        <f>SUM(NMRPrep[[#This Row],[d-DMSO (uL) ]:[ NH4Cl (uL)]])</f>
        <v>0</v>
      </c>
      <c r="O271">
        <f>647</f>
        <v>647</v>
      </c>
      <c r="P271">
        <f>NMRPrep[[#This Row],[Total (uL) ]]-NMRPrep[[#This Row],[Target (uL)]]</f>
        <v>-647</v>
      </c>
      <c r="R271" t="e">
        <f>(NMRPrep[[#This Row],[NH4Cl Stock Concentration (mM)]]*NMRPrep[[#This Row],[ NH4Cl (uL)]])/SUM(NMRPrep[[#This Row],[DI (uL) ]:[ NH4Cl (uL)]])</f>
        <v>#DIV/0!</v>
      </c>
    </row>
    <row r="272" spans="1:18" x14ac:dyDescent="0.25">
      <c r="A272" s="1">
        <f>SampleList[[#This Row],[Date Sampled]]</f>
        <v>0</v>
      </c>
      <c r="B272" t="str" cm="1">
        <f t="array" ref="B272">IF(ISBLANK(INDEX(SampleList[NMR],ROW()-1)),"Not Requested",INDEX(SampleList[Experiment ID],ROW()-1))</f>
        <v>Not Requested</v>
      </c>
      <c r="C272">
        <f>SampleList[[#This Row],[Duration (Days)]]</f>
        <v>0</v>
      </c>
      <c r="D272">
        <f>SampleList[[#This Row],[Sample Description]]</f>
        <v>0</v>
      </c>
      <c r="N272">
        <f>SUM(NMRPrep[[#This Row],[d-DMSO (uL) ]:[ NH4Cl (uL)]])</f>
        <v>0</v>
      </c>
      <c r="O272">
        <f>647</f>
        <v>647</v>
      </c>
      <c r="P272">
        <f>NMRPrep[[#This Row],[Total (uL) ]]-NMRPrep[[#This Row],[Target (uL)]]</f>
        <v>-647</v>
      </c>
      <c r="R272" t="e">
        <f>(NMRPrep[[#This Row],[NH4Cl Stock Concentration (mM)]]*NMRPrep[[#This Row],[ NH4Cl (uL)]])/SUM(NMRPrep[[#This Row],[DI (uL) ]:[ NH4Cl (uL)]])</f>
        <v>#DIV/0!</v>
      </c>
    </row>
    <row r="273" spans="1:18" x14ac:dyDescent="0.25">
      <c r="A273" s="1">
        <f>SampleList[[#This Row],[Date Sampled]]</f>
        <v>0</v>
      </c>
      <c r="B273" t="str" cm="1">
        <f t="array" ref="B273">IF(ISBLANK(INDEX(SampleList[NMR],ROW()-1)),"Not Requested",INDEX(SampleList[Experiment ID],ROW()-1))</f>
        <v>Not Requested</v>
      </c>
      <c r="C273">
        <f>SampleList[[#This Row],[Duration (Days)]]</f>
        <v>0</v>
      </c>
      <c r="D273">
        <f>SampleList[[#This Row],[Sample Description]]</f>
        <v>0</v>
      </c>
      <c r="N273">
        <f>SUM(NMRPrep[[#This Row],[d-DMSO (uL) ]:[ NH4Cl (uL)]])</f>
        <v>0</v>
      </c>
      <c r="O273">
        <f>647</f>
        <v>647</v>
      </c>
      <c r="P273">
        <f>NMRPrep[[#This Row],[Total (uL) ]]-NMRPrep[[#This Row],[Target (uL)]]</f>
        <v>-647</v>
      </c>
      <c r="R273" t="e">
        <f>(NMRPrep[[#This Row],[NH4Cl Stock Concentration (mM)]]*NMRPrep[[#This Row],[ NH4Cl (uL)]])/SUM(NMRPrep[[#This Row],[DI (uL) ]:[ NH4Cl (uL)]])</f>
        <v>#DIV/0!</v>
      </c>
    </row>
    <row r="274" spans="1:18" x14ac:dyDescent="0.25">
      <c r="A274" s="1">
        <f>SampleList[[#This Row],[Date Sampled]]</f>
        <v>0</v>
      </c>
      <c r="B274" t="str" cm="1">
        <f t="array" ref="B274">IF(ISBLANK(INDEX(SampleList[NMR],ROW()-1)),"Not Requested",INDEX(SampleList[Experiment ID],ROW()-1))</f>
        <v>Not Requested</v>
      </c>
      <c r="C274">
        <f>SampleList[[#This Row],[Duration (Days)]]</f>
        <v>0</v>
      </c>
      <c r="D274">
        <f>SampleList[[#This Row],[Sample Description]]</f>
        <v>0</v>
      </c>
      <c r="N274">
        <f>SUM(NMRPrep[[#This Row],[d-DMSO (uL) ]:[ NH4Cl (uL)]])</f>
        <v>0</v>
      </c>
      <c r="O274">
        <f>647</f>
        <v>647</v>
      </c>
      <c r="P274">
        <f>NMRPrep[[#This Row],[Total (uL) ]]-NMRPrep[[#This Row],[Target (uL)]]</f>
        <v>-647</v>
      </c>
      <c r="R274" t="e">
        <f>(NMRPrep[[#This Row],[NH4Cl Stock Concentration (mM)]]*NMRPrep[[#This Row],[ NH4Cl (uL)]])/SUM(NMRPrep[[#This Row],[DI (uL) ]:[ NH4Cl (uL)]])</f>
        <v>#DIV/0!</v>
      </c>
    </row>
    <row r="275" spans="1:18" x14ac:dyDescent="0.25">
      <c r="A275" s="1">
        <f>SampleList[[#This Row],[Date Sampled]]</f>
        <v>0</v>
      </c>
      <c r="B275" t="str" cm="1">
        <f t="array" ref="B275">IF(ISBLANK(INDEX(SampleList[NMR],ROW()-1)),"Not Requested",INDEX(SampleList[Experiment ID],ROW()-1))</f>
        <v>Not Requested</v>
      </c>
      <c r="C275">
        <f>SampleList[[#This Row],[Duration (Days)]]</f>
        <v>0</v>
      </c>
      <c r="D275">
        <f>SampleList[[#This Row],[Sample Description]]</f>
        <v>0</v>
      </c>
      <c r="N275">
        <f>SUM(NMRPrep[[#This Row],[d-DMSO (uL) ]:[ NH4Cl (uL)]])</f>
        <v>0</v>
      </c>
      <c r="O275">
        <f>647</f>
        <v>647</v>
      </c>
      <c r="P275">
        <f>NMRPrep[[#This Row],[Total (uL) ]]-NMRPrep[[#This Row],[Target (uL)]]</f>
        <v>-647</v>
      </c>
      <c r="R275" t="e">
        <f>(NMRPrep[[#This Row],[NH4Cl Stock Concentration (mM)]]*NMRPrep[[#This Row],[ NH4Cl (uL)]])/SUM(NMRPrep[[#This Row],[DI (uL) ]:[ NH4Cl (uL)]])</f>
        <v>#DIV/0!</v>
      </c>
    </row>
    <row r="276" spans="1:18" x14ac:dyDescent="0.25">
      <c r="A276" s="1">
        <f>SampleList[[#This Row],[Date Sampled]]</f>
        <v>0</v>
      </c>
      <c r="B276" t="str" cm="1">
        <f t="array" ref="B276">IF(ISBLANK(INDEX(SampleList[NMR],ROW()-1)),"Not Requested",INDEX(SampleList[Experiment ID],ROW()-1))</f>
        <v>Not Requested</v>
      </c>
      <c r="C276">
        <f>SampleList[[#This Row],[Duration (Days)]]</f>
        <v>0</v>
      </c>
      <c r="D276">
        <f>SampleList[[#This Row],[Sample Description]]</f>
        <v>0</v>
      </c>
      <c r="N276">
        <f>SUM(NMRPrep[[#This Row],[d-DMSO (uL) ]:[ NH4Cl (uL)]])</f>
        <v>0</v>
      </c>
      <c r="O276">
        <f>647</f>
        <v>647</v>
      </c>
      <c r="P276">
        <f>NMRPrep[[#This Row],[Total (uL) ]]-NMRPrep[[#This Row],[Target (uL)]]</f>
        <v>-647</v>
      </c>
      <c r="R276" t="e">
        <f>(NMRPrep[[#This Row],[NH4Cl Stock Concentration (mM)]]*NMRPrep[[#This Row],[ NH4Cl (uL)]])/SUM(NMRPrep[[#This Row],[DI (uL) ]:[ NH4Cl (uL)]])</f>
        <v>#DIV/0!</v>
      </c>
    </row>
    <row r="277" spans="1:18" x14ac:dyDescent="0.25">
      <c r="A277" s="1">
        <f>SampleList[[#This Row],[Date Sampled]]</f>
        <v>0</v>
      </c>
      <c r="B277" t="str" cm="1">
        <f t="array" ref="B277">IF(ISBLANK(INDEX(SampleList[NMR],ROW()-1)),"Not Requested",INDEX(SampleList[Experiment ID],ROW()-1))</f>
        <v>Not Requested</v>
      </c>
      <c r="C277">
        <f>SampleList[[#This Row],[Duration (Days)]]</f>
        <v>0</v>
      </c>
      <c r="D277">
        <f>SampleList[[#This Row],[Sample Description]]</f>
        <v>0</v>
      </c>
      <c r="N277">
        <f>SUM(NMRPrep[[#This Row],[d-DMSO (uL) ]:[ NH4Cl (uL)]])</f>
        <v>0</v>
      </c>
      <c r="O277">
        <f>647</f>
        <v>647</v>
      </c>
      <c r="P277">
        <f>NMRPrep[[#This Row],[Total (uL) ]]-NMRPrep[[#This Row],[Target (uL)]]</f>
        <v>-647</v>
      </c>
      <c r="R277" t="e">
        <f>(NMRPrep[[#This Row],[NH4Cl Stock Concentration (mM)]]*NMRPrep[[#This Row],[ NH4Cl (uL)]])/SUM(NMRPrep[[#This Row],[DI (uL) ]:[ NH4Cl (uL)]])</f>
        <v>#DIV/0!</v>
      </c>
    </row>
    <row r="278" spans="1:18" x14ac:dyDescent="0.25">
      <c r="A278" s="1">
        <f>SampleList[[#This Row],[Date Sampled]]</f>
        <v>0</v>
      </c>
      <c r="B278" t="str" cm="1">
        <f t="array" ref="B278">IF(ISBLANK(INDEX(SampleList[NMR],ROW()-1)),"Not Requested",INDEX(SampleList[Experiment ID],ROW()-1))</f>
        <v>Not Requested</v>
      </c>
      <c r="C278">
        <f>SampleList[[#This Row],[Duration (Days)]]</f>
        <v>0</v>
      </c>
      <c r="D278">
        <f>SampleList[[#This Row],[Sample Description]]</f>
        <v>0</v>
      </c>
      <c r="N278">
        <f>SUM(NMRPrep[[#This Row],[d-DMSO (uL) ]:[ NH4Cl (uL)]])</f>
        <v>0</v>
      </c>
      <c r="O278">
        <f>647</f>
        <v>647</v>
      </c>
      <c r="P278">
        <f>NMRPrep[[#This Row],[Total (uL) ]]-NMRPrep[[#This Row],[Target (uL)]]</f>
        <v>-647</v>
      </c>
      <c r="R278" t="e">
        <f>(NMRPrep[[#This Row],[NH4Cl Stock Concentration (mM)]]*NMRPrep[[#This Row],[ NH4Cl (uL)]])/SUM(NMRPrep[[#This Row],[DI (uL) ]:[ NH4Cl (uL)]])</f>
        <v>#DIV/0!</v>
      </c>
    </row>
    <row r="279" spans="1:18" x14ac:dyDescent="0.25">
      <c r="A279" s="1">
        <f>SampleList[[#This Row],[Date Sampled]]</f>
        <v>0</v>
      </c>
      <c r="B279" t="str" cm="1">
        <f t="array" ref="B279">IF(ISBLANK(INDEX(SampleList[NMR],ROW()-1)),"Not Requested",INDEX(SampleList[Experiment ID],ROW()-1))</f>
        <v>Not Requested</v>
      </c>
      <c r="C279">
        <f>SampleList[[#This Row],[Duration (Days)]]</f>
        <v>0</v>
      </c>
      <c r="D279">
        <f>SampleList[[#This Row],[Sample Description]]</f>
        <v>0</v>
      </c>
      <c r="N279">
        <f>SUM(NMRPrep[[#This Row],[d-DMSO (uL) ]:[ NH4Cl (uL)]])</f>
        <v>0</v>
      </c>
      <c r="O279">
        <f>647</f>
        <v>647</v>
      </c>
      <c r="P279">
        <f>NMRPrep[[#This Row],[Total (uL) ]]-NMRPrep[[#This Row],[Target (uL)]]</f>
        <v>-647</v>
      </c>
      <c r="R279" t="e">
        <f>(NMRPrep[[#This Row],[NH4Cl Stock Concentration (mM)]]*NMRPrep[[#This Row],[ NH4Cl (uL)]])/SUM(NMRPrep[[#This Row],[DI (uL) ]:[ NH4Cl (uL)]])</f>
        <v>#DIV/0!</v>
      </c>
    </row>
    <row r="280" spans="1:18" x14ac:dyDescent="0.25">
      <c r="A280" s="1">
        <f>SampleList[[#This Row],[Date Sampled]]</f>
        <v>0</v>
      </c>
      <c r="B280" t="str" cm="1">
        <f t="array" ref="B280">IF(ISBLANK(INDEX(SampleList[NMR],ROW()-1)),"Not Requested",INDEX(SampleList[Experiment ID],ROW()-1))</f>
        <v>Not Requested</v>
      </c>
      <c r="C280">
        <f>SampleList[[#This Row],[Duration (Days)]]</f>
        <v>0</v>
      </c>
      <c r="D280">
        <f>SampleList[[#This Row],[Sample Description]]</f>
        <v>0</v>
      </c>
      <c r="N280">
        <f>SUM(NMRPrep[[#This Row],[d-DMSO (uL) ]:[ NH4Cl (uL)]])</f>
        <v>0</v>
      </c>
      <c r="O280">
        <f>647</f>
        <v>647</v>
      </c>
      <c r="P280">
        <f>NMRPrep[[#This Row],[Total (uL) ]]-NMRPrep[[#This Row],[Target (uL)]]</f>
        <v>-647</v>
      </c>
      <c r="R280" t="e">
        <f>(NMRPrep[[#This Row],[NH4Cl Stock Concentration (mM)]]*NMRPrep[[#This Row],[ NH4Cl (uL)]])/SUM(NMRPrep[[#This Row],[DI (uL) ]:[ NH4Cl (uL)]])</f>
        <v>#DIV/0!</v>
      </c>
    </row>
    <row r="281" spans="1:18" x14ac:dyDescent="0.25">
      <c r="A281" s="1">
        <f>SampleList[[#This Row],[Date Sampled]]</f>
        <v>0</v>
      </c>
      <c r="B281" t="str" cm="1">
        <f t="array" ref="B281">IF(ISBLANK(INDEX(SampleList[NMR],ROW()-1)),"Not Requested",INDEX(SampleList[Experiment ID],ROW()-1))</f>
        <v>Not Requested</v>
      </c>
      <c r="C281">
        <f>SampleList[[#This Row],[Duration (Days)]]</f>
        <v>0</v>
      </c>
      <c r="D281">
        <f>SampleList[[#This Row],[Sample Description]]</f>
        <v>0</v>
      </c>
      <c r="N281">
        <f>SUM(NMRPrep[[#This Row],[d-DMSO (uL) ]:[ NH4Cl (uL)]])</f>
        <v>0</v>
      </c>
      <c r="O281">
        <f>647</f>
        <v>647</v>
      </c>
      <c r="P281">
        <f>NMRPrep[[#This Row],[Total (uL) ]]-NMRPrep[[#This Row],[Target (uL)]]</f>
        <v>-647</v>
      </c>
      <c r="R281" t="e">
        <f>(NMRPrep[[#This Row],[NH4Cl Stock Concentration (mM)]]*NMRPrep[[#This Row],[ NH4Cl (uL)]])/SUM(NMRPrep[[#This Row],[DI (uL) ]:[ NH4Cl (uL)]])</f>
        <v>#DIV/0!</v>
      </c>
    </row>
    <row r="282" spans="1:18" x14ac:dyDescent="0.25">
      <c r="A282" s="1">
        <f>SampleList[[#This Row],[Date Sampled]]</f>
        <v>0</v>
      </c>
      <c r="B282" t="str" cm="1">
        <f t="array" ref="B282">IF(ISBLANK(INDEX(SampleList[NMR],ROW()-1)),"Not Requested",INDEX(SampleList[Experiment ID],ROW()-1))</f>
        <v>Not Requested</v>
      </c>
      <c r="C282">
        <f>SampleList[[#This Row],[Duration (Days)]]</f>
        <v>0</v>
      </c>
      <c r="D282">
        <f>SampleList[[#This Row],[Sample Description]]</f>
        <v>0</v>
      </c>
      <c r="N282">
        <f>SUM(NMRPrep[[#This Row],[d-DMSO (uL) ]:[ NH4Cl (uL)]])</f>
        <v>0</v>
      </c>
      <c r="O282">
        <f>647</f>
        <v>647</v>
      </c>
      <c r="P282">
        <f>NMRPrep[[#This Row],[Total (uL) ]]-NMRPrep[[#This Row],[Target (uL)]]</f>
        <v>-647</v>
      </c>
      <c r="R282" t="e">
        <f>(NMRPrep[[#This Row],[NH4Cl Stock Concentration (mM)]]*NMRPrep[[#This Row],[ NH4Cl (uL)]])/SUM(NMRPrep[[#This Row],[DI (uL) ]:[ NH4Cl (uL)]])</f>
        <v>#DIV/0!</v>
      </c>
    </row>
    <row r="283" spans="1:18" x14ac:dyDescent="0.25">
      <c r="A283" s="1">
        <f>SampleList[[#This Row],[Date Sampled]]</f>
        <v>0</v>
      </c>
      <c r="B283" t="str" cm="1">
        <f t="array" ref="B283">IF(ISBLANK(INDEX(SampleList[NMR],ROW()-1)),"Not Requested",INDEX(SampleList[Experiment ID],ROW()-1))</f>
        <v>Not Requested</v>
      </c>
      <c r="C283">
        <f>SampleList[[#This Row],[Duration (Days)]]</f>
        <v>0</v>
      </c>
      <c r="D283">
        <f>SampleList[[#This Row],[Sample Description]]</f>
        <v>0</v>
      </c>
      <c r="N283">
        <f>SUM(NMRPrep[[#This Row],[d-DMSO (uL) ]:[ NH4Cl (uL)]])</f>
        <v>0</v>
      </c>
      <c r="O283">
        <f>647</f>
        <v>647</v>
      </c>
      <c r="P283">
        <f>NMRPrep[[#This Row],[Total (uL) ]]-NMRPrep[[#This Row],[Target (uL)]]</f>
        <v>-647</v>
      </c>
      <c r="R283" t="e">
        <f>(NMRPrep[[#This Row],[NH4Cl Stock Concentration (mM)]]*NMRPrep[[#This Row],[ NH4Cl (uL)]])/SUM(NMRPrep[[#This Row],[DI (uL) ]:[ NH4Cl (uL)]])</f>
        <v>#DIV/0!</v>
      </c>
    </row>
    <row r="284" spans="1:18" x14ac:dyDescent="0.25">
      <c r="A284" s="1">
        <f>SampleList[[#This Row],[Date Sampled]]</f>
        <v>0</v>
      </c>
      <c r="B284" t="str" cm="1">
        <f t="array" ref="B284">IF(ISBLANK(INDEX(SampleList[NMR],ROW()-1)),"Not Requested",INDEX(SampleList[Experiment ID],ROW()-1))</f>
        <v>Not Requested</v>
      </c>
      <c r="C284">
        <f>SampleList[[#This Row],[Duration (Days)]]</f>
        <v>0</v>
      </c>
      <c r="D284">
        <f>SampleList[[#This Row],[Sample Description]]</f>
        <v>0</v>
      </c>
      <c r="N284">
        <f>SUM(NMRPrep[[#This Row],[d-DMSO (uL) ]:[ NH4Cl (uL)]])</f>
        <v>0</v>
      </c>
      <c r="O284">
        <f>647</f>
        <v>647</v>
      </c>
      <c r="P284">
        <f>NMRPrep[[#This Row],[Total (uL) ]]-NMRPrep[[#This Row],[Target (uL)]]</f>
        <v>-647</v>
      </c>
      <c r="R284" t="e">
        <f>(NMRPrep[[#This Row],[NH4Cl Stock Concentration (mM)]]*NMRPrep[[#This Row],[ NH4Cl (uL)]])/SUM(NMRPrep[[#This Row],[DI (uL) ]:[ NH4Cl (uL)]])</f>
        <v>#DIV/0!</v>
      </c>
    </row>
    <row r="285" spans="1:18" x14ac:dyDescent="0.25">
      <c r="A285" s="1">
        <f>SampleList[[#This Row],[Date Sampled]]</f>
        <v>0</v>
      </c>
      <c r="B285" t="str" cm="1">
        <f t="array" ref="B285">IF(ISBLANK(INDEX(SampleList[NMR],ROW()-1)),"Not Requested",INDEX(SampleList[Experiment ID],ROW()-1))</f>
        <v>Not Requested</v>
      </c>
      <c r="C285">
        <f>SampleList[[#This Row],[Duration (Days)]]</f>
        <v>0</v>
      </c>
      <c r="D285">
        <f>SampleList[[#This Row],[Sample Description]]</f>
        <v>0</v>
      </c>
      <c r="N285">
        <f>SUM(NMRPrep[[#This Row],[d-DMSO (uL) ]:[ NH4Cl (uL)]])</f>
        <v>0</v>
      </c>
      <c r="O285">
        <f>647</f>
        <v>647</v>
      </c>
      <c r="P285">
        <f>NMRPrep[[#This Row],[Total (uL) ]]-NMRPrep[[#This Row],[Target (uL)]]</f>
        <v>-647</v>
      </c>
      <c r="R285" t="e">
        <f>(NMRPrep[[#This Row],[NH4Cl Stock Concentration (mM)]]*NMRPrep[[#This Row],[ NH4Cl (uL)]])/SUM(NMRPrep[[#This Row],[DI (uL) ]:[ NH4Cl (uL)]])</f>
        <v>#DIV/0!</v>
      </c>
    </row>
    <row r="286" spans="1:18" x14ac:dyDescent="0.25">
      <c r="A286" s="1">
        <f>SampleList[[#This Row],[Date Sampled]]</f>
        <v>0</v>
      </c>
      <c r="B286" t="str" cm="1">
        <f t="array" ref="B286">IF(ISBLANK(INDEX(SampleList[NMR],ROW()-1)),"Not Requested",INDEX(SampleList[Experiment ID],ROW()-1))</f>
        <v>Not Requested</v>
      </c>
      <c r="C286">
        <f>SampleList[[#This Row],[Duration (Days)]]</f>
        <v>0</v>
      </c>
      <c r="D286">
        <f>SampleList[[#This Row],[Sample Description]]</f>
        <v>0</v>
      </c>
      <c r="N286">
        <f>SUM(NMRPrep[[#This Row],[d-DMSO (uL) ]:[ NH4Cl (uL)]])</f>
        <v>0</v>
      </c>
      <c r="O286">
        <f>647</f>
        <v>647</v>
      </c>
      <c r="P286">
        <f>NMRPrep[[#This Row],[Total (uL) ]]-NMRPrep[[#This Row],[Target (uL)]]</f>
        <v>-647</v>
      </c>
      <c r="R286" t="e">
        <f>(NMRPrep[[#This Row],[NH4Cl Stock Concentration (mM)]]*NMRPrep[[#This Row],[ NH4Cl (uL)]])/SUM(NMRPrep[[#This Row],[DI (uL) ]:[ NH4Cl (uL)]])</f>
        <v>#DIV/0!</v>
      </c>
    </row>
    <row r="287" spans="1:18" x14ac:dyDescent="0.25">
      <c r="A287" s="1">
        <f>SampleList[[#This Row],[Date Sampled]]</f>
        <v>0</v>
      </c>
      <c r="B287" t="str" cm="1">
        <f t="array" ref="B287">IF(ISBLANK(INDEX(SampleList[NMR],ROW()-1)),"Not Requested",INDEX(SampleList[Experiment ID],ROW()-1))</f>
        <v>Not Requested</v>
      </c>
      <c r="C287">
        <f>SampleList[[#This Row],[Duration (Days)]]</f>
        <v>0</v>
      </c>
      <c r="D287">
        <f>SampleList[[#This Row],[Sample Description]]</f>
        <v>0</v>
      </c>
      <c r="N287">
        <f>SUM(NMRPrep[[#This Row],[d-DMSO (uL) ]:[ NH4Cl (uL)]])</f>
        <v>0</v>
      </c>
      <c r="O287">
        <f>647</f>
        <v>647</v>
      </c>
      <c r="P287">
        <f>NMRPrep[[#This Row],[Total (uL) ]]-NMRPrep[[#This Row],[Target (uL)]]</f>
        <v>-647</v>
      </c>
      <c r="R287" t="e">
        <f>(NMRPrep[[#This Row],[NH4Cl Stock Concentration (mM)]]*NMRPrep[[#This Row],[ NH4Cl (uL)]])/SUM(NMRPrep[[#This Row],[DI (uL) ]:[ NH4Cl (uL)]])</f>
        <v>#DIV/0!</v>
      </c>
    </row>
    <row r="288" spans="1:18" x14ac:dyDescent="0.25">
      <c r="A288" s="1">
        <f>SampleList[[#This Row],[Date Sampled]]</f>
        <v>0</v>
      </c>
      <c r="B288" t="str" cm="1">
        <f t="array" ref="B288">IF(ISBLANK(INDEX(SampleList[NMR],ROW()-1)),"Not Requested",INDEX(SampleList[Experiment ID],ROW()-1))</f>
        <v>Not Requested</v>
      </c>
      <c r="C288">
        <f>SampleList[[#This Row],[Duration (Days)]]</f>
        <v>0</v>
      </c>
      <c r="D288">
        <f>SampleList[[#This Row],[Sample Description]]</f>
        <v>0</v>
      </c>
      <c r="N288">
        <f>SUM(NMRPrep[[#This Row],[d-DMSO (uL) ]:[ NH4Cl (uL)]])</f>
        <v>0</v>
      </c>
      <c r="O288">
        <f>647</f>
        <v>647</v>
      </c>
      <c r="P288">
        <f>NMRPrep[[#This Row],[Total (uL) ]]-NMRPrep[[#This Row],[Target (uL)]]</f>
        <v>-647</v>
      </c>
      <c r="R288" t="e">
        <f>(NMRPrep[[#This Row],[NH4Cl Stock Concentration (mM)]]*NMRPrep[[#This Row],[ NH4Cl (uL)]])/SUM(NMRPrep[[#This Row],[DI (uL) ]:[ NH4Cl (uL)]])</f>
        <v>#DIV/0!</v>
      </c>
    </row>
    <row r="289" spans="1:18" x14ac:dyDescent="0.25">
      <c r="A289" s="1">
        <f>SampleList[[#This Row],[Date Sampled]]</f>
        <v>0</v>
      </c>
      <c r="B289" t="str" cm="1">
        <f t="array" ref="B289">IF(ISBLANK(INDEX(SampleList[NMR],ROW()-1)),"Not Requested",INDEX(SampleList[Experiment ID],ROW()-1))</f>
        <v>Not Requested</v>
      </c>
      <c r="C289">
        <f>SampleList[[#This Row],[Duration (Days)]]</f>
        <v>0</v>
      </c>
      <c r="D289">
        <f>SampleList[[#This Row],[Sample Description]]</f>
        <v>0</v>
      </c>
      <c r="N289">
        <f>SUM(NMRPrep[[#This Row],[d-DMSO (uL) ]:[ NH4Cl (uL)]])</f>
        <v>0</v>
      </c>
      <c r="O289">
        <f>647</f>
        <v>647</v>
      </c>
      <c r="P289">
        <f>NMRPrep[[#This Row],[Total (uL) ]]-NMRPrep[[#This Row],[Target (uL)]]</f>
        <v>-647</v>
      </c>
      <c r="R289" t="e">
        <f>(NMRPrep[[#This Row],[NH4Cl Stock Concentration (mM)]]*NMRPrep[[#This Row],[ NH4Cl (uL)]])/SUM(NMRPrep[[#This Row],[DI (uL) ]:[ NH4Cl (uL)]])</f>
        <v>#DIV/0!</v>
      </c>
    </row>
    <row r="290" spans="1:18" x14ac:dyDescent="0.25">
      <c r="A290" s="1">
        <f>SampleList[[#This Row],[Date Sampled]]</f>
        <v>0</v>
      </c>
      <c r="B290" t="str" cm="1">
        <f t="array" ref="B290">IF(ISBLANK(INDEX(SampleList[NMR],ROW()-1)),"Not Requested",INDEX(SampleList[Experiment ID],ROW()-1))</f>
        <v>Not Requested</v>
      </c>
      <c r="C290">
        <f>SampleList[[#This Row],[Duration (Days)]]</f>
        <v>0</v>
      </c>
      <c r="D290">
        <f>SampleList[[#This Row],[Sample Description]]</f>
        <v>0</v>
      </c>
      <c r="N290">
        <f>SUM(NMRPrep[[#This Row],[d-DMSO (uL) ]:[ NH4Cl (uL)]])</f>
        <v>0</v>
      </c>
      <c r="O290">
        <f>647</f>
        <v>647</v>
      </c>
      <c r="P290">
        <f>NMRPrep[[#This Row],[Total (uL) ]]-NMRPrep[[#This Row],[Target (uL)]]</f>
        <v>-647</v>
      </c>
      <c r="R290" t="e">
        <f>(NMRPrep[[#This Row],[NH4Cl Stock Concentration (mM)]]*NMRPrep[[#This Row],[ NH4Cl (uL)]])/SUM(NMRPrep[[#This Row],[DI (uL) ]:[ NH4Cl (uL)]])</f>
        <v>#DIV/0!</v>
      </c>
    </row>
    <row r="291" spans="1:18" x14ac:dyDescent="0.25">
      <c r="A291" s="1">
        <f>SampleList[[#This Row],[Date Sampled]]</f>
        <v>0</v>
      </c>
      <c r="B291" t="str" cm="1">
        <f t="array" ref="B291">IF(ISBLANK(INDEX(SampleList[NMR],ROW()-1)),"Not Requested",INDEX(SampleList[Experiment ID],ROW()-1))</f>
        <v>Not Requested</v>
      </c>
      <c r="C291">
        <f>SampleList[[#This Row],[Duration (Days)]]</f>
        <v>0</v>
      </c>
      <c r="D291">
        <f>SampleList[[#This Row],[Sample Description]]</f>
        <v>0</v>
      </c>
      <c r="N291">
        <f>SUM(NMRPrep[[#This Row],[d-DMSO (uL) ]:[ NH4Cl (uL)]])</f>
        <v>0</v>
      </c>
      <c r="O291">
        <f>647</f>
        <v>647</v>
      </c>
      <c r="P291">
        <f>NMRPrep[[#This Row],[Total (uL) ]]-NMRPrep[[#This Row],[Target (uL)]]</f>
        <v>-647</v>
      </c>
      <c r="R291" t="e">
        <f>(NMRPrep[[#This Row],[NH4Cl Stock Concentration (mM)]]*NMRPrep[[#This Row],[ NH4Cl (uL)]])/SUM(NMRPrep[[#This Row],[DI (uL) ]:[ NH4Cl (uL)]])</f>
        <v>#DIV/0!</v>
      </c>
    </row>
    <row r="292" spans="1:18" x14ac:dyDescent="0.25">
      <c r="A292" s="1">
        <f>SampleList[[#This Row],[Date Sampled]]</f>
        <v>0</v>
      </c>
      <c r="B292" t="str" cm="1">
        <f t="array" ref="B292">IF(ISBLANK(INDEX(SampleList[NMR],ROW()-1)),"Not Requested",INDEX(SampleList[Experiment ID],ROW()-1))</f>
        <v>Not Requested</v>
      </c>
      <c r="C292">
        <f>SampleList[[#This Row],[Duration (Days)]]</f>
        <v>0</v>
      </c>
      <c r="D292">
        <f>SampleList[[#This Row],[Sample Description]]</f>
        <v>0</v>
      </c>
      <c r="N292">
        <f>SUM(NMRPrep[[#This Row],[d-DMSO (uL) ]:[ NH4Cl (uL)]])</f>
        <v>0</v>
      </c>
      <c r="O292">
        <f>647</f>
        <v>647</v>
      </c>
      <c r="P292">
        <f>NMRPrep[[#This Row],[Total (uL) ]]-NMRPrep[[#This Row],[Target (uL)]]</f>
        <v>-647</v>
      </c>
      <c r="R292" t="e">
        <f>(NMRPrep[[#This Row],[NH4Cl Stock Concentration (mM)]]*NMRPrep[[#This Row],[ NH4Cl (uL)]])/SUM(NMRPrep[[#This Row],[DI (uL) ]:[ NH4Cl (uL)]])</f>
        <v>#DIV/0!</v>
      </c>
    </row>
    <row r="293" spans="1:18" x14ac:dyDescent="0.25">
      <c r="A293" s="1">
        <f>SampleList[[#This Row],[Date Sampled]]</f>
        <v>0</v>
      </c>
      <c r="B293" t="str" cm="1">
        <f t="array" ref="B293">IF(ISBLANK(INDEX(SampleList[NMR],ROW()-1)),"Not Requested",INDEX(SampleList[Experiment ID],ROW()-1))</f>
        <v>Not Requested</v>
      </c>
      <c r="C293">
        <f>SampleList[[#This Row],[Duration (Days)]]</f>
        <v>0</v>
      </c>
      <c r="D293">
        <f>SampleList[[#This Row],[Sample Description]]</f>
        <v>0</v>
      </c>
      <c r="N293">
        <f>SUM(NMRPrep[[#This Row],[d-DMSO (uL) ]:[ NH4Cl (uL)]])</f>
        <v>0</v>
      </c>
      <c r="O293">
        <f>647</f>
        <v>647</v>
      </c>
      <c r="P293">
        <f>NMRPrep[[#This Row],[Total (uL) ]]-NMRPrep[[#This Row],[Target (uL)]]</f>
        <v>-647</v>
      </c>
      <c r="R293" t="e">
        <f>(NMRPrep[[#This Row],[NH4Cl Stock Concentration (mM)]]*NMRPrep[[#This Row],[ NH4Cl (uL)]])/SUM(NMRPrep[[#This Row],[DI (uL) ]:[ NH4Cl (uL)]])</f>
        <v>#DIV/0!</v>
      </c>
    </row>
    <row r="294" spans="1:18" x14ac:dyDescent="0.25">
      <c r="A294" s="1">
        <f>SampleList[[#This Row],[Date Sampled]]</f>
        <v>0</v>
      </c>
      <c r="B294" t="str" cm="1">
        <f t="array" ref="B294">IF(ISBLANK(INDEX(SampleList[NMR],ROW()-1)),"Not Requested",INDEX(SampleList[Experiment ID],ROW()-1))</f>
        <v>Not Requested</v>
      </c>
      <c r="C294">
        <f>SampleList[[#This Row],[Duration (Days)]]</f>
        <v>0</v>
      </c>
      <c r="D294">
        <f>SampleList[[#This Row],[Sample Description]]</f>
        <v>0</v>
      </c>
      <c r="N294">
        <f>SUM(NMRPrep[[#This Row],[d-DMSO (uL) ]:[ NH4Cl (uL)]])</f>
        <v>0</v>
      </c>
      <c r="O294">
        <f>647</f>
        <v>647</v>
      </c>
      <c r="P294">
        <f>NMRPrep[[#This Row],[Total (uL) ]]-NMRPrep[[#This Row],[Target (uL)]]</f>
        <v>-647</v>
      </c>
      <c r="R294" t="e">
        <f>(NMRPrep[[#This Row],[NH4Cl Stock Concentration (mM)]]*NMRPrep[[#This Row],[ NH4Cl (uL)]])/SUM(NMRPrep[[#This Row],[DI (uL) ]:[ NH4Cl (uL)]])</f>
        <v>#DIV/0!</v>
      </c>
    </row>
    <row r="295" spans="1:18" x14ac:dyDescent="0.25">
      <c r="A295" s="1">
        <f>SampleList[[#This Row],[Date Sampled]]</f>
        <v>0</v>
      </c>
      <c r="B295" t="str" cm="1">
        <f t="array" ref="B295">IF(ISBLANK(INDEX(SampleList[NMR],ROW()-1)),"Not Requested",INDEX(SampleList[Experiment ID],ROW()-1))</f>
        <v>Not Requested</v>
      </c>
      <c r="C295">
        <f>SampleList[[#This Row],[Duration (Days)]]</f>
        <v>0</v>
      </c>
      <c r="D295">
        <f>SampleList[[#This Row],[Sample Description]]</f>
        <v>0</v>
      </c>
      <c r="N295">
        <f>SUM(NMRPrep[[#This Row],[d-DMSO (uL) ]:[ NH4Cl (uL)]])</f>
        <v>0</v>
      </c>
      <c r="O295">
        <f>647</f>
        <v>647</v>
      </c>
      <c r="P295">
        <f>NMRPrep[[#This Row],[Total (uL) ]]-NMRPrep[[#This Row],[Target (uL)]]</f>
        <v>-647</v>
      </c>
      <c r="R295" t="e">
        <f>(NMRPrep[[#This Row],[NH4Cl Stock Concentration (mM)]]*NMRPrep[[#This Row],[ NH4Cl (uL)]])/SUM(NMRPrep[[#This Row],[DI (uL) ]:[ NH4Cl (uL)]])</f>
        <v>#DIV/0!</v>
      </c>
    </row>
    <row r="296" spans="1:18" x14ac:dyDescent="0.25">
      <c r="A296" s="1">
        <f>SampleList[[#This Row],[Date Sampled]]</f>
        <v>0</v>
      </c>
      <c r="B296" t="str" cm="1">
        <f t="array" ref="B296">IF(ISBLANK(INDEX(SampleList[NMR],ROW()-1)),"Not Requested",INDEX(SampleList[Experiment ID],ROW()-1))</f>
        <v>Not Requested</v>
      </c>
      <c r="C296">
        <f>SampleList[[#This Row],[Duration (Days)]]</f>
        <v>0</v>
      </c>
      <c r="D296">
        <f>SampleList[[#This Row],[Sample Description]]</f>
        <v>0</v>
      </c>
      <c r="N296">
        <f>SUM(NMRPrep[[#This Row],[d-DMSO (uL) ]:[ NH4Cl (uL)]])</f>
        <v>0</v>
      </c>
      <c r="O296">
        <f>647</f>
        <v>647</v>
      </c>
      <c r="P296">
        <f>NMRPrep[[#This Row],[Total (uL) ]]-NMRPrep[[#This Row],[Target (uL)]]</f>
        <v>-647</v>
      </c>
      <c r="R296" t="e">
        <f>(NMRPrep[[#This Row],[NH4Cl Stock Concentration (mM)]]*NMRPrep[[#This Row],[ NH4Cl (uL)]])/SUM(NMRPrep[[#This Row],[DI (uL) ]:[ NH4Cl (uL)]])</f>
        <v>#DIV/0!</v>
      </c>
    </row>
    <row r="297" spans="1:18" x14ac:dyDescent="0.25">
      <c r="A297" s="1">
        <f>SampleList[[#This Row],[Date Sampled]]</f>
        <v>0</v>
      </c>
      <c r="B297" t="str" cm="1">
        <f t="array" ref="B297">IF(ISBLANK(INDEX(SampleList[NMR],ROW()-1)),"Not Requested",INDEX(SampleList[Experiment ID],ROW()-1))</f>
        <v>Not Requested</v>
      </c>
      <c r="C297">
        <f>SampleList[[#This Row],[Duration (Days)]]</f>
        <v>0</v>
      </c>
      <c r="D297">
        <f>SampleList[[#This Row],[Sample Description]]</f>
        <v>0</v>
      </c>
      <c r="N297">
        <f>SUM(NMRPrep[[#This Row],[d-DMSO (uL) ]:[ NH4Cl (uL)]])</f>
        <v>0</v>
      </c>
      <c r="O297">
        <f>647</f>
        <v>647</v>
      </c>
      <c r="P297">
        <f>NMRPrep[[#This Row],[Total (uL) ]]-NMRPrep[[#This Row],[Target (uL)]]</f>
        <v>-647</v>
      </c>
      <c r="R297" t="e">
        <f>(NMRPrep[[#This Row],[NH4Cl Stock Concentration (mM)]]*NMRPrep[[#This Row],[ NH4Cl (uL)]])/SUM(NMRPrep[[#This Row],[DI (uL) ]:[ NH4Cl (uL)]])</f>
        <v>#DIV/0!</v>
      </c>
    </row>
    <row r="298" spans="1:18" x14ac:dyDescent="0.25">
      <c r="A298" s="1">
        <f>SampleList[[#This Row],[Date Sampled]]</f>
        <v>0</v>
      </c>
      <c r="B298" t="str" cm="1">
        <f t="array" ref="B298">IF(ISBLANK(INDEX(SampleList[NMR],ROW()-1)),"Not Requested",INDEX(SampleList[Experiment ID],ROW()-1))</f>
        <v>Not Requested</v>
      </c>
      <c r="C298">
        <f>SampleList[[#This Row],[Duration (Days)]]</f>
        <v>0</v>
      </c>
      <c r="D298">
        <f>SampleList[[#This Row],[Sample Description]]</f>
        <v>0</v>
      </c>
      <c r="N298">
        <f>SUM(NMRPrep[[#This Row],[d-DMSO (uL) ]:[ NH4Cl (uL)]])</f>
        <v>0</v>
      </c>
      <c r="O298">
        <f>647</f>
        <v>647</v>
      </c>
      <c r="P298">
        <f>NMRPrep[[#This Row],[Total (uL) ]]-NMRPrep[[#This Row],[Target (uL)]]</f>
        <v>-647</v>
      </c>
      <c r="R298" t="e">
        <f>(NMRPrep[[#This Row],[NH4Cl Stock Concentration (mM)]]*NMRPrep[[#This Row],[ NH4Cl (uL)]])/SUM(NMRPrep[[#This Row],[DI (uL) ]:[ NH4Cl (uL)]])</f>
        <v>#DIV/0!</v>
      </c>
    </row>
    <row r="299" spans="1:18" x14ac:dyDescent="0.25">
      <c r="A299" s="1">
        <f>SampleList[[#This Row],[Date Sampled]]</f>
        <v>0</v>
      </c>
      <c r="B299" t="str" cm="1">
        <f t="array" ref="B299">IF(ISBLANK(INDEX(SampleList[NMR],ROW()-1)),"Not Requested",INDEX(SampleList[Experiment ID],ROW()-1))</f>
        <v>Not Requested</v>
      </c>
      <c r="C299">
        <f>SampleList[[#This Row],[Duration (Days)]]</f>
        <v>0</v>
      </c>
      <c r="D299">
        <f>SampleList[[#This Row],[Sample Description]]</f>
        <v>0</v>
      </c>
      <c r="N299">
        <f>SUM(NMRPrep[[#This Row],[d-DMSO (uL) ]:[ NH4Cl (uL)]])</f>
        <v>0</v>
      </c>
      <c r="O299">
        <f>647</f>
        <v>647</v>
      </c>
      <c r="P299">
        <f>NMRPrep[[#This Row],[Total (uL) ]]-NMRPrep[[#This Row],[Target (uL)]]</f>
        <v>-647</v>
      </c>
      <c r="R299" t="e">
        <f>(NMRPrep[[#This Row],[NH4Cl Stock Concentration (mM)]]*NMRPrep[[#This Row],[ NH4Cl (uL)]])/SUM(NMRPrep[[#This Row],[DI (uL) ]:[ NH4Cl (uL)]])</f>
        <v>#DIV/0!</v>
      </c>
    </row>
    <row r="300" spans="1:18" x14ac:dyDescent="0.25">
      <c r="A300" s="1">
        <f>SampleList[[#This Row],[Date Sampled]]</f>
        <v>0</v>
      </c>
      <c r="B300" t="str" cm="1">
        <f t="array" ref="B300">IF(ISBLANK(INDEX(SampleList[NMR],ROW()-1)),"Not Requested",INDEX(SampleList[Experiment ID],ROW()-1))</f>
        <v>Not Requested</v>
      </c>
      <c r="C300">
        <f>SampleList[[#This Row],[Duration (Days)]]</f>
        <v>0</v>
      </c>
      <c r="D300">
        <f>SampleList[[#This Row],[Sample Description]]</f>
        <v>0</v>
      </c>
      <c r="N300">
        <f>SUM(NMRPrep[[#This Row],[d-DMSO (uL) ]:[ NH4Cl (uL)]])</f>
        <v>0</v>
      </c>
      <c r="O300">
        <f>647</f>
        <v>647</v>
      </c>
      <c r="P300">
        <f>NMRPrep[[#This Row],[Total (uL) ]]-NMRPrep[[#This Row],[Target (uL)]]</f>
        <v>-647</v>
      </c>
      <c r="R300" t="e">
        <f>(NMRPrep[[#This Row],[NH4Cl Stock Concentration (mM)]]*NMRPrep[[#This Row],[ NH4Cl (uL)]])/SUM(NMRPrep[[#This Row],[DI (uL) ]:[ NH4Cl (uL)]])</f>
        <v>#DIV/0!</v>
      </c>
    </row>
    <row r="301" spans="1:18" x14ac:dyDescent="0.25">
      <c r="A301" s="1">
        <f>SampleList[[#This Row],[Date Sampled]]</f>
        <v>0</v>
      </c>
      <c r="B301" t="str" cm="1">
        <f t="array" ref="B301">IF(ISBLANK(INDEX(SampleList[NMR],ROW()-1)),"Not Requested",INDEX(SampleList[Experiment ID],ROW()-1))</f>
        <v>Not Requested</v>
      </c>
      <c r="C301">
        <f>SampleList[[#This Row],[Duration (Days)]]</f>
        <v>0</v>
      </c>
      <c r="D301">
        <f>SampleList[[#This Row],[Sample Description]]</f>
        <v>0</v>
      </c>
      <c r="N301">
        <f>SUM(NMRPrep[[#This Row],[d-DMSO (uL) ]:[ NH4Cl (uL)]])</f>
        <v>0</v>
      </c>
      <c r="O301">
        <f>647</f>
        <v>647</v>
      </c>
      <c r="P301">
        <f>NMRPrep[[#This Row],[Total (uL) ]]-NMRPrep[[#This Row],[Target (uL)]]</f>
        <v>-647</v>
      </c>
      <c r="R301" t="e">
        <f>(NMRPrep[[#This Row],[NH4Cl Stock Concentration (mM)]]*NMRPrep[[#This Row],[ NH4Cl (uL)]])/SUM(NMRPrep[[#This Row],[DI (uL) ]:[ NH4Cl (uL)]])</f>
        <v>#DIV/0!</v>
      </c>
    </row>
    <row r="302" spans="1:18" x14ac:dyDescent="0.25">
      <c r="A302" s="1">
        <f>SampleList[[#This Row],[Date Sampled]]</f>
        <v>0</v>
      </c>
      <c r="B302" t="str" cm="1">
        <f t="array" ref="B302">IF(ISBLANK(INDEX(SampleList[NMR],ROW()-1)),"Not Requested",INDEX(SampleList[Experiment ID],ROW()-1))</f>
        <v>Not Requested</v>
      </c>
      <c r="C302">
        <f>SampleList[[#This Row],[Duration (Days)]]</f>
        <v>0</v>
      </c>
      <c r="D302">
        <f>SampleList[[#This Row],[Sample Description]]</f>
        <v>0</v>
      </c>
      <c r="N302">
        <f>SUM(NMRPrep[[#This Row],[d-DMSO (uL) ]:[ NH4Cl (uL)]])</f>
        <v>0</v>
      </c>
      <c r="O302">
        <f>647</f>
        <v>647</v>
      </c>
      <c r="P302">
        <f>NMRPrep[[#This Row],[Total (uL) ]]-NMRPrep[[#This Row],[Target (uL)]]</f>
        <v>-647</v>
      </c>
      <c r="R302" t="e">
        <f>(NMRPrep[[#This Row],[NH4Cl Stock Concentration (mM)]]*NMRPrep[[#This Row],[ NH4Cl (uL)]])/SUM(NMRPrep[[#This Row],[DI (uL) ]:[ NH4Cl (uL)]])</f>
        <v>#DIV/0!</v>
      </c>
    </row>
    <row r="303" spans="1:18" x14ac:dyDescent="0.25">
      <c r="A303" s="1">
        <f>SampleList[[#This Row],[Date Sampled]]</f>
        <v>0</v>
      </c>
      <c r="B303" t="str" cm="1">
        <f t="array" ref="B303">IF(ISBLANK(INDEX(SampleList[NMR],ROW()-1)),"Not Requested",INDEX(SampleList[Experiment ID],ROW()-1))</f>
        <v>Not Requested</v>
      </c>
      <c r="C303">
        <f>SampleList[[#This Row],[Duration (Days)]]</f>
        <v>0</v>
      </c>
      <c r="D303">
        <f>SampleList[[#This Row],[Sample Description]]</f>
        <v>0</v>
      </c>
      <c r="N303">
        <f>SUM(NMRPrep[[#This Row],[d-DMSO (uL) ]:[ NH4Cl (uL)]])</f>
        <v>0</v>
      </c>
      <c r="O303">
        <f>647</f>
        <v>647</v>
      </c>
      <c r="P303">
        <f>NMRPrep[[#This Row],[Total (uL) ]]-NMRPrep[[#This Row],[Target (uL)]]</f>
        <v>-647</v>
      </c>
      <c r="R303" t="e">
        <f>(NMRPrep[[#This Row],[NH4Cl Stock Concentration (mM)]]*NMRPrep[[#This Row],[ NH4Cl (uL)]])/SUM(NMRPrep[[#This Row],[DI (uL) ]:[ NH4Cl (uL)]])</f>
        <v>#DIV/0!</v>
      </c>
    </row>
    <row r="304" spans="1:18" x14ac:dyDescent="0.25">
      <c r="A304" s="1">
        <f>SampleList[[#This Row],[Date Sampled]]</f>
        <v>0</v>
      </c>
      <c r="B304" t="str" cm="1">
        <f t="array" ref="B304">IF(ISBLANK(INDEX(SampleList[NMR],ROW()-1)),"Not Requested",INDEX(SampleList[Experiment ID],ROW()-1))</f>
        <v>Not Requested</v>
      </c>
      <c r="C304">
        <f>SampleList[[#This Row],[Duration (Days)]]</f>
        <v>0</v>
      </c>
      <c r="D304">
        <f>SampleList[[#This Row],[Sample Description]]</f>
        <v>0</v>
      </c>
      <c r="N304">
        <f>SUM(NMRPrep[[#This Row],[d-DMSO (uL) ]:[ NH4Cl (uL)]])</f>
        <v>0</v>
      </c>
      <c r="O304">
        <f>647</f>
        <v>647</v>
      </c>
      <c r="P304">
        <f>NMRPrep[[#This Row],[Total (uL) ]]-NMRPrep[[#This Row],[Target (uL)]]</f>
        <v>-647</v>
      </c>
      <c r="R304" t="e">
        <f>(NMRPrep[[#This Row],[NH4Cl Stock Concentration (mM)]]*NMRPrep[[#This Row],[ NH4Cl (uL)]])/SUM(NMRPrep[[#This Row],[DI (uL) ]:[ NH4Cl (uL)]])</f>
        <v>#DIV/0!</v>
      </c>
    </row>
    <row r="305" spans="1:18" x14ac:dyDescent="0.25">
      <c r="A305" s="1">
        <f>SampleList[[#This Row],[Date Sampled]]</f>
        <v>0</v>
      </c>
      <c r="B305" t="str" cm="1">
        <f t="array" ref="B305">IF(ISBLANK(INDEX(SampleList[NMR],ROW()-1)),"Not Requested",INDEX(SampleList[Experiment ID],ROW()-1))</f>
        <v>Not Requested</v>
      </c>
      <c r="C305">
        <f>SampleList[[#This Row],[Duration (Days)]]</f>
        <v>0</v>
      </c>
      <c r="D305">
        <f>SampleList[[#This Row],[Sample Description]]</f>
        <v>0</v>
      </c>
      <c r="N305">
        <f>SUM(NMRPrep[[#This Row],[d-DMSO (uL) ]:[ NH4Cl (uL)]])</f>
        <v>0</v>
      </c>
      <c r="O305">
        <f>647</f>
        <v>647</v>
      </c>
      <c r="P305">
        <f>NMRPrep[[#This Row],[Total (uL) ]]-NMRPrep[[#This Row],[Target (uL)]]</f>
        <v>-647</v>
      </c>
      <c r="R305" t="e">
        <f>(NMRPrep[[#This Row],[NH4Cl Stock Concentration (mM)]]*NMRPrep[[#This Row],[ NH4Cl (uL)]])/SUM(NMRPrep[[#This Row],[DI (uL) ]:[ NH4Cl (uL)]])</f>
        <v>#DIV/0!</v>
      </c>
    </row>
    <row r="306" spans="1:18" x14ac:dyDescent="0.25">
      <c r="A306" s="1">
        <f>SampleList[[#This Row],[Date Sampled]]</f>
        <v>0</v>
      </c>
      <c r="B306" t="str" cm="1">
        <f t="array" ref="B306">IF(ISBLANK(INDEX(SampleList[NMR],ROW()-1)),"Not Requested",INDEX(SampleList[Experiment ID],ROW()-1))</f>
        <v>Not Requested</v>
      </c>
      <c r="C306">
        <f>SampleList[[#This Row],[Duration (Days)]]</f>
        <v>0</v>
      </c>
      <c r="D306">
        <f>SampleList[[#This Row],[Sample Description]]</f>
        <v>0</v>
      </c>
      <c r="N306">
        <f>SUM(NMRPrep[[#This Row],[d-DMSO (uL) ]:[ NH4Cl (uL)]])</f>
        <v>0</v>
      </c>
      <c r="O306">
        <f>647</f>
        <v>647</v>
      </c>
      <c r="P306">
        <f>NMRPrep[[#This Row],[Total (uL) ]]-NMRPrep[[#This Row],[Target (uL)]]</f>
        <v>-647</v>
      </c>
      <c r="R306" t="e">
        <f>(NMRPrep[[#This Row],[NH4Cl Stock Concentration (mM)]]*NMRPrep[[#This Row],[ NH4Cl (uL)]])/SUM(NMRPrep[[#This Row],[DI (uL) ]:[ NH4Cl (uL)]])</f>
        <v>#DIV/0!</v>
      </c>
    </row>
    <row r="307" spans="1:18" x14ac:dyDescent="0.25">
      <c r="A307" s="1">
        <f>SampleList[[#This Row],[Date Sampled]]</f>
        <v>0</v>
      </c>
      <c r="B307" t="str" cm="1">
        <f t="array" ref="B307">IF(ISBLANK(INDEX(SampleList[NMR],ROW()-1)),"Not Requested",INDEX(SampleList[Experiment ID],ROW()-1))</f>
        <v>Not Requested</v>
      </c>
      <c r="C307">
        <f>SampleList[[#This Row],[Duration (Days)]]</f>
        <v>0</v>
      </c>
      <c r="D307">
        <f>SampleList[[#This Row],[Sample Description]]</f>
        <v>0</v>
      </c>
      <c r="N307">
        <f>SUM(NMRPrep[[#This Row],[d-DMSO (uL) ]:[ NH4Cl (uL)]])</f>
        <v>0</v>
      </c>
      <c r="O307">
        <f>647</f>
        <v>647</v>
      </c>
      <c r="P307">
        <f>NMRPrep[[#This Row],[Total (uL) ]]-NMRPrep[[#This Row],[Target (uL)]]</f>
        <v>-647</v>
      </c>
      <c r="R307" t="e">
        <f>(NMRPrep[[#This Row],[NH4Cl Stock Concentration (mM)]]*NMRPrep[[#This Row],[ NH4Cl (uL)]])/SUM(NMRPrep[[#This Row],[DI (uL) ]:[ NH4Cl (uL)]])</f>
        <v>#DIV/0!</v>
      </c>
    </row>
    <row r="308" spans="1:18" x14ac:dyDescent="0.25">
      <c r="A308" s="1">
        <f>SampleList[[#This Row],[Date Sampled]]</f>
        <v>0</v>
      </c>
      <c r="B308" t="str" cm="1">
        <f t="array" ref="B308">IF(ISBLANK(INDEX(SampleList[NMR],ROW()-1)),"Not Requested",INDEX(SampleList[Experiment ID],ROW()-1))</f>
        <v>Not Requested</v>
      </c>
      <c r="C308">
        <f>SampleList[[#This Row],[Duration (Days)]]</f>
        <v>0</v>
      </c>
      <c r="D308">
        <f>SampleList[[#This Row],[Sample Description]]</f>
        <v>0</v>
      </c>
      <c r="N308">
        <f>SUM(NMRPrep[[#This Row],[d-DMSO (uL) ]:[ NH4Cl (uL)]])</f>
        <v>0</v>
      </c>
      <c r="O308">
        <f>647</f>
        <v>647</v>
      </c>
      <c r="P308">
        <f>NMRPrep[[#This Row],[Total (uL) ]]-NMRPrep[[#This Row],[Target (uL)]]</f>
        <v>-647</v>
      </c>
      <c r="R308" t="e">
        <f>(NMRPrep[[#This Row],[NH4Cl Stock Concentration (mM)]]*NMRPrep[[#This Row],[ NH4Cl (uL)]])/SUM(NMRPrep[[#This Row],[DI (uL) ]:[ NH4Cl (uL)]])</f>
        <v>#DIV/0!</v>
      </c>
    </row>
    <row r="309" spans="1:18" x14ac:dyDescent="0.25">
      <c r="A309" s="1">
        <f>SampleList[[#This Row],[Date Sampled]]</f>
        <v>0</v>
      </c>
      <c r="B309" t="str" cm="1">
        <f t="array" ref="B309">IF(ISBLANK(INDEX(SampleList[NMR],ROW()-1)),"Not Requested",INDEX(SampleList[Experiment ID],ROW()-1))</f>
        <v>Not Requested</v>
      </c>
      <c r="C309">
        <f>SampleList[[#This Row],[Duration (Days)]]</f>
        <v>0</v>
      </c>
      <c r="D309">
        <f>SampleList[[#This Row],[Sample Description]]</f>
        <v>0</v>
      </c>
      <c r="N309">
        <f>SUM(NMRPrep[[#This Row],[d-DMSO (uL) ]:[ NH4Cl (uL)]])</f>
        <v>0</v>
      </c>
      <c r="O309">
        <f>647</f>
        <v>647</v>
      </c>
      <c r="P309">
        <f>NMRPrep[[#This Row],[Total (uL) ]]-NMRPrep[[#This Row],[Target (uL)]]</f>
        <v>-647</v>
      </c>
      <c r="R309" t="e">
        <f>(NMRPrep[[#This Row],[NH4Cl Stock Concentration (mM)]]*NMRPrep[[#This Row],[ NH4Cl (uL)]])/SUM(NMRPrep[[#This Row],[DI (uL) ]:[ NH4Cl (uL)]])</f>
        <v>#DIV/0!</v>
      </c>
    </row>
    <row r="310" spans="1:18" x14ac:dyDescent="0.25">
      <c r="A310" s="1">
        <f>SampleList[[#This Row],[Date Sampled]]</f>
        <v>0</v>
      </c>
      <c r="B310" t="str" cm="1">
        <f t="array" ref="B310">IF(ISBLANK(INDEX(SampleList[NMR],ROW()-1)),"Not Requested",INDEX(SampleList[Experiment ID],ROW()-1))</f>
        <v>Not Requested</v>
      </c>
      <c r="C310">
        <f>SampleList[[#This Row],[Duration (Days)]]</f>
        <v>0</v>
      </c>
      <c r="D310">
        <f>SampleList[[#This Row],[Sample Description]]</f>
        <v>0</v>
      </c>
      <c r="N310">
        <f>SUM(NMRPrep[[#This Row],[d-DMSO (uL) ]:[ NH4Cl (uL)]])</f>
        <v>0</v>
      </c>
      <c r="O310">
        <f>647</f>
        <v>647</v>
      </c>
      <c r="P310">
        <f>NMRPrep[[#This Row],[Total (uL) ]]-NMRPrep[[#This Row],[Target (uL)]]</f>
        <v>-647</v>
      </c>
      <c r="R310" t="e">
        <f>(NMRPrep[[#This Row],[NH4Cl Stock Concentration (mM)]]*NMRPrep[[#This Row],[ NH4Cl (uL)]])/SUM(NMRPrep[[#This Row],[DI (uL) ]:[ NH4Cl (uL)]])</f>
        <v>#DIV/0!</v>
      </c>
    </row>
    <row r="311" spans="1:18" x14ac:dyDescent="0.25">
      <c r="A311" s="1">
        <f>SampleList[[#This Row],[Date Sampled]]</f>
        <v>0</v>
      </c>
      <c r="B311" t="str" cm="1">
        <f t="array" ref="B311">IF(ISBLANK(INDEX(SampleList[NMR],ROW()-1)),"Not Requested",INDEX(SampleList[Experiment ID],ROW()-1))</f>
        <v>Not Requested</v>
      </c>
      <c r="C311">
        <f>SampleList[[#This Row],[Duration (Days)]]</f>
        <v>0</v>
      </c>
      <c r="D311">
        <f>SampleList[[#This Row],[Sample Description]]</f>
        <v>0</v>
      </c>
      <c r="N311">
        <f>SUM(NMRPrep[[#This Row],[d-DMSO (uL) ]:[ NH4Cl (uL)]])</f>
        <v>0</v>
      </c>
      <c r="O311">
        <f>647</f>
        <v>647</v>
      </c>
      <c r="P311">
        <f>NMRPrep[[#This Row],[Total (uL) ]]-NMRPrep[[#This Row],[Target (uL)]]</f>
        <v>-647</v>
      </c>
      <c r="R311" t="e">
        <f>(NMRPrep[[#This Row],[NH4Cl Stock Concentration (mM)]]*NMRPrep[[#This Row],[ NH4Cl (uL)]])/SUM(NMRPrep[[#This Row],[DI (uL) ]:[ NH4Cl (uL)]])</f>
        <v>#DIV/0!</v>
      </c>
    </row>
    <row r="312" spans="1:18" x14ac:dyDescent="0.25">
      <c r="A312" s="1">
        <f>SampleList[[#This Row],[Date Sampled]]</f>
        <v>0</v>
      </c>
      <c r="B312" t="str" cm="1">
        <f t="array" ref="B312">IF(ISBLANK(INDEX(SampleList[NMR],ROW()-1)),"Not Requested",INDEX(SampleList[Experiment ID],ROW()-1))</f>
        <v>Not Requested</v>
      </c>
      <c r="C312">
        <f>SampleList[[#This Row],[Duration (Days)]]</f>
        <v>0</v>
      </c>
      <c r="D312">
        <f>SampleList[[#This Row],[Sample Description]]</f>
        <v>0</v>
      </c>
      <c r="N312">
        <f>SUM(NMRPrep[[#This Row],[d-DMSO (uL) ]:[ NH4Cl (uL)]])</f>
        <v>0</v>
      </c>
      <c r="O312">
        <f>647</f>
        <v>647</v>
      </c>
      <c r="P312">
        <f>NMRPrep[[#This Row],[Total (uL) ]]-NMRPrep[[#This Row],[Target (uL)]]</f>
        <v>-647</v>
      </c>
      <c r="R312" t="e">
        <f>(NMRPrep[[#This Row],[NH4Cl Stock Concentration (mM)]]*NMRPrep[[#This Row],[ NH4Cl (uL)]])/SUM(NMRPrep[[#This Row],[DI (uL) ]:[ NH4Cl (uL)]])</f>
        <v>#DIV/0!</v>
      </c>
    </row>
    <row r="313" spans="1:18" x14ac:dyDescent="0.25">
      <c r="A313" s="1">
        <f>SampleList[[#This Row],[Date Sampled]]</f>
        <v>0</v>
      </c>
      <c r="B313" t="str" cm="1">
        <f t="array" ref="B313">IF(ISBLANK(INDEX(SampleList[NMR],ROW()-1)),"Not Requested",INDEX(SampleList[Experiment ID],ROW()-1))</f>
        <v>Not Requested</v>
      </c>
      <c r="C313">
        <f>SampleList[[#This Row],[Duration (Days)]]</f>
        <v>0</v>
      </c>
      <c r="D313">
        <f>SampleList[[#This Row],[Sample Description]]</f>
        <v>0</v>
      </c>
      <c r="N313">
        <f>SUM(NMRPrep[[#This Row],[d-DMSO (uL) ]:[ NH4Cl (uL)]])</f>
        <v>0</v>
      </c>
      <c r="O313">
        <f>647</f>
        <v>647</v>
      </c>
      <c r="P313">
        <f>NMRPrep[[#This Row],[Total (uL) ]]-NMRPrep[[#This Row],[Target (uL)]]</f>
        <v>-647</v>
      </c>
      <c r="R313" t="e">
        <f>(NMRPrep[[#This Row],[NH4Cl Stock Concentration (mM)]]*NMRPrep[[#This Row],[ NH4Cl (uL)]])/SUM(NMRPrep[[#This Row],[DI (uL) ]:[ NH4Cl (uL)]])</f>
        <v>#DIV/0!</v>
      </c>
    </row>
    <row r="314" spans="1:18" x14ac:dyDescent="0.25">
      <c r="A314" s="1">
        <f>SampleList[[#This Row],[Date Sampled]]</f>
        <v>0</v>
      </c>
      <c r="B314" t="str" cm="1">
        <f t="array" ref="B314">IF(ISBLANK(INDEX(SampleList[NMR],ROW()-1)),"Not Requested",INDEX(SampleList[Experiment ID],ROW()-1))</f>
        <v>Not Requested</v>
      </c>
      <c r="C314">
        <f>SampleList[[#This Row],[Duration (Days)]]</f>
        <v>0</v>
      </c>
      <c r="D314">
        <f>SampleList[[#This Row],[Sample Description]]</f>
        <v>0</v>
      </c>
      <c r="N314">
        <f>SUM(NMRPrep[[#This Row],[d-DMSO (uL) ]:[ NH4Cl (uL)]])</f>
        <v>0</v>
      </c>
      <c r="O314">
        <f>647</f>
        <v>647</v>
      </c>
      <c r="P314">
        <f>NMRPrep[[#This Row],[Total (uL) ]]-NMRPrep[[#This Row],[Target (uL)]]</f>
        <v>-647</v>
      </c>
      <c r="R314" t="e">
        <f>(NMRPrep[[#This Row],[NH4Cl Stock Concentration (mM)]]*NMRPrep[[#This Row],[ NH4Cl (uL)]])/SUM(NMRPrep[[#This Row],[DI (uL) ]:[ NH4Cl (uL)]])</f>
        <v>#DIV/0!</v>
      </c>
    </row>
    <row r="315" spans="1:18" x14ac:dyDescent="0.25">
      <c r="A315" s="1">
        <f>SampleList[[#This Row],[Date Sampled]]</f>
        <v>0</v>
      </c>
      <c r="B315" t="str" cm="1">
        <f t="array" ref="B315">IF(ISBLANK(INDEX(SampleList[NMR],ROW()-1)),"Not Requested",INDEX(SampleList[Experiment ID],ROW()-1))</f>
        <v>Not Requested</v>
      </c>
      <c r="C315">
        <f>SampleList[[#This Row],[Duration (Days)]]</f>
        <v>0</v>
      </c>
      <c r="D315">
        <f>SampleList[[#This Row],[Sample Description]]</f>
        <v>0</v>
      </c>
      <c r="N315">
        <f>SUM(NMRPrep[[#This Row],[d-DMSO (uL) ]:[ NH4Cl (uL)]])</f>
        <v>0</v>
      </c>
      <c r="O315">
        <f>647</f>
        <v>647</v>
      </c>
      <c r="P315">
        <f>NMRPrep[[#This Row],[Total (uL) ]]-NMRPrep[[#This Row],[Target (uL)]]</f>
        <v>-647</v>
      </c>
      <c r="R315" t="e">
        <f>(NMRPrep[[#This Row],[NH4Cl Stock Concentration (mM)]]*NMRPrep[[#This Row],[ NH4Cl (uL)]])/SUM(NMRPrep[[#This Row],[DI (uL) ]:[ NH4Cl (uL)]])</f>
        <v>#DIV/0!</v>
      </c>
    </row>
    <row r="316" spans="1:18" x14ac:dyDescent="0.25">
      <c r="A316" s="1">
        <f>SampleList[[#This Row],[Date Sampled]]</f>
        <v>0</v>
      </c>
      <c r="B316" t="str" cm="1">
        <f t="array" ref="B316">IF(ISBLANK(INDEX(SampleList[NMR],ROW()-1)),"Not Requested",INDEX(SampleList[Experiment ID],ROW()-1))</f>
        <v>Not Requested</v>
      </c>
      <c r="C316">
        <f>SampleList[[#This Row],[Duration (Days)]]</f>
        <v>0</v>
      </c>
      <c r="D316">
        <f>SampleList[[#This Row],[Sample Description]]</f>
        <v>0</v>
      </c>
      <c r="N316">
        <f>SUM(NMRPrep[[#This Row],[d-DMSO (uL) ]:[ NH4Cl (uL)]])</f>
        <v>0</v>
      </c>
      <c r="O316">
        <f>647</f>
        <v>647</v>
      </c>
      <c r="P316">
        <f>NMRPrep[[#This Row],[Total (uL) ]]-NMRPrep[[#This Row],[Target (uL)]]</f>
        <v>-647</v>
      </c>
      <c r="R316" t="e">
        <f>(NMRPrep[[#This Row],[NH4Cl Stock Concentration (mM)]]*NMRPrep[[#This Row],[ NH4Cl (uL)]])/SUM(NMRPrep[[#This Row],[DI (uL) ]:[ NH4Cl (uL)]])</f>
        <v>#DIV/0!</v>
      </c>
    </row>
    <row r="317" spans="1:18" x14ac:dyDescent="0.25">
      <c r="A317" s="1">
        <f>SampleList[[#This Row],[Date Sampled]]</f>
        <v>0</v>
      </c>
      <c r="B317" t="str" cm="1">
        <f t="array" ref="B317">IF(ISBLANK(INDEX(SampleList[NMR],ROW()-1)),"Not Requested",INDEX(SampleList[Experiment ID],ROW()-1))</f>
        <v>Not Requested</v>
      </c>
      <c r="C317">
        <f>SampleList[[#This Row],[Duration (Days)]]</f>
        <v>0</v>
      </c>
      <c r="D317">
        <f>SampleList[[#This Row],[Sample Description]]</f>
        <v>0</v>
      </c>
      <c r="N317">
        <f>SUM(NMRPrep[[#This Row],[d-DMSO (uL) ]:[ NH4Cl (uL)]])</f>
        <v>0</v>
      </c>
      <c r="O317">
        <f>647</f>
        <v>647</v>
      </c>
      <c r="P317">
        <f>NMRPrep[[#This Row],[Total (uL) ]]-NMRPrep[[#This Row],[Target (uL)]]</f>
        <v>-647</v>
      </c>
      <c r="R317" t="e">
        <f>(NMRPrep[[#This Row],[NH4Cl Stock Concentration (mM)]]*NMRPrep[[#This Row],[ NH4Cl (uL)]])/SUM(NMRPrep[[#This Row],[DI (uL) ]:[ NH4Cl (uL)]])</f>
        <v>#DIV/0!</v>
      </c>
    </row>
    <row r="318" spans="1:18" x14ac:dyDescent="0.25">
      <c r="A318" s="1">
        <f>SampleList[[#This Row],[Date Sampled]]</f>
        <v>0</v>
      </c>
      <c r="B318" t="str" cm="1">
        <f t="array" ref="B318">IF(ISBLANK(INDEX(SampleList[NMR],ROW()-1)),"Not Requested",INDEX(SampleList[Experiment ID],ROW()-1))</f>
        <v>Not Requested</v>
      </c>
      <c r="C318">
        <f>SampleList[[#This Row],[Duration (Days)]]</f>
        <v>0</v>
      </c>
      <c r="D318">
        <f>SampleList[[#This Row],[Sample Description]]</f>
        <v>0</v>
      </c>
      <c r="N318">
        <f>SUM(NMRPrep[[#This Row],[d-DMSO (uL) ]:[ NH4Cl (uL)]])</f>
        <v>0</v>
      </c>
      <c r="O318">
        <f>647</f>
        <v>647</v>
      </c>
      <c r="P318">
        <f>NMRPrep[[#This Row],[Total (uL) ]]-NMRPrep[[#This Row],[Target (uL)]]</f>
        <v>-647</v>
      </c>
      <c r="R318" t="e">
        <f>(NMRPrep[[#This Row],[NH4Cl Stock Concentration (mM)]]*NMRPrep[[#This Row],[ NH4Cl (uL)]])/SUM(NMRPrep[[#This Row],[DI (uL) ]:[ NH4Cl (uL)]])</f>
        <v>#DIV/0!</v>
      </c>
    </row>
    <row r="319" spans="1:18" x14ac:dyDescent="0.25">
      <c r="A319" s="1">
        <f>SampleList[[#This Row],[Date Sampled]]</f>
        <v>0</v>
      </c>
      <c r="B319" t="str" cm="1">
        <f t="array" ref="B319">IF(ISBLANK(INDEX(SampleList[NMR],ROW()-1)),"Not Requested",INDEX(SampleList[Experiment ID],ROW()-1))</f>
        <v>Not Requested</v>
      </c>
      <c r="C319">
        <f>SampleList[[#This Row],[Duration (Days)]]</f>
        <v>0</v>
      </c>
      <c r="D319">
        <f>SampleList[[#This Row],[Sample Description]]</f>
        <v>0</v>
      </c>
      <c r="N319">
        <f>SUM(NMRPrep[[#This Row],[d-DMSO (uL) ]:[ NH4Cl (uL)]])</f>
        <v>0</v>
      </c>
      <c r="O319">
        <f>647</f>
        <v>647</v>
      </c>
      <c r="P319">
        <f>NMRPrep[[#This Row],[Total (uL) ]]-NMRPrep[[#This Row],[Target (uL)]]</f>
        <v>-647</v>
      </c>
      <c r="R319" t="e">
        <f>(NMRPrep[[#This Row],[NH4Cl Stock Concentration (mM)]]*NMRPrep[[#This Row],[ NH4Cl (uL)]])/SUM(NMRPrep[[#This Row],[DI (uL) ]:[ NH4Cl (uL)]])</f>
        <v>#DIV/0!</v>
      </c>
    </row>
    <row r="320" spans="1:18" x14ac:dyDescent="0.25">
      <c r="A320" s="1">
        <f>SampleList[[#This Row],[Date Sampled]]</f>
        <v>0</v>
      </c>
      <c r="B320" t="str" cm="1">
        <f t="array" ref="B320">IF(ISBLANK(INDEX(SampleList[NMR],ROW()-1)),"Not Requested",INDEX(SampleList[Experiment ID],ROW()-1))</f>
        <v>Not Requested</v>
      </c>
      <c r="C320">
        <f>SampleList[[#This Row],[Duration (Days)]]</f>
        <v>0</v>
      </c>
      <c r="D320">
        <f>SampleList[[#This Row],[Sample Description]]</f>
        <v>0</v>
      </c>
      <c r="N320">
        <f>SUM(NMRPrep[[#This Row],[d-DMSO (uL) ]:[ NH4Cl (uL)]])</f>
        <v>0</v>
      </c>
      <c r="O320">
        <f>647</f>
        <v>647</v>
      </c>
      <c r="P320">
        <f>NMRPrep[[#This Row],[Total (uL) ]]-NMRPrep[[#This Row],[Target (uL)]]</f>
        <v>-647</v>
      </c>
      <c r="R320" t="e">
        <f>(NMRPrep[[#This Row],[NH4Cl Stock Concentration (mM)]]*NMRPrep[[#This Row],[ NH4Cl (uL)]])/SUM(NMRPrep[[#This Row],[DI (uL) ]:[ NH4Cl (uL)]])</f>
        <v>#DIV/0!</v>
      </c>
    </row>
    <row r="321" spans="1:18" x14ac:dyDescent="0.25">
      <c r="A321" s="1">
        <f>SampleList[[#This Row],[Date Sampled]]</f>
        <v>0</v>
      </c>
      <c r="B321" t="str" cm="1">
        <f t="array" ref="B321">IF(ISBLANK(INDEX(SampleList[NMR],ROW()-1)),"Not Requested",INDEX(SampleList[Experiment ID],ROW()-1))</f>
        <v>Not Requested</v>
      </c>
      <c r="C321">
        <f>SampleList[[#This Row],[Duration (Days)]]</f>
        <v>0</v>
      </c>
      <c r="D321">
        <f>SampleList[[#This Row],[Sample Description]]</f>
        <v>0</v>
      </c>
      <c r="N321">
        <f>SUM(NMRPrep[[#This Row],[d-DMSO (uL) ]:[ NH4Cl (uL)]])</f>
        <v>0</v>
      </c>
      <c r="O321">
        <f>647</f>
        <v>647</v>
      </c>
      <c r="P321">
        <f>NMRPrep[[#This Row],[Total (uL) ]]-NMRPrep[[#This Row],[Target (uL)]]</f>
        <v>-647</v>
      </c>
      <c r="R321" t="e">
        <f>(NMRPrep[[#This Row],[NH4Cl Stock Concentration (mM)]]*NMRPrep[[#This Row],[ NH4Cl (uL)]])/SUM(NMRPrep[[#This Row],[DI (uL) ]:[ NH4Cl (uL)]])</f>
        <v>#DIV/0!</v>
      </c>
    </row>
    <row r="322" spans="1:18" x14ac:dyDescent="0.25">
      <c r="A322" s="1">
        <f>SampleList[[#This Row],[Date Sampled]]</f>
        <v>0</v>
      </c>
      <c r="B322" t="str" cm="1">
        <f t="array" ref="B322">IF(ISBLANK(INDEX(SampleList[NMR],ROW()-1)),"Not Requested",INDEX(SampleList[Experiment ID],ROW()-1))</f>
        <v>Not Requested</v>
      </c>
      <c r="C322">
        <f>SampleList[[#This Row],[Duration (Days)]]</f>
        <v>0</v>
      </c>
      <c r="D322">
        <f>SampleList[[#This Row],[Sample Description]]</f>
        <v>0</v>
      </c>
      <c r="N322">
        <f>SUM(NMRPrep[[#This Row],[d-DMSO (uL) ]:[ NH4Cl (uL)]])</f>
        <v>0</v>
      </c>
      <c r="O322">
        <f>647</f>
        <v>647</v>
      </c>
      <c r="P322">
        <f>NMRPrep[[#This Row],[Total (uL) ]]-NMRPrep[[#This Row],[Target (uL)]]</f>
        <v>-647</v>
      </c>
      <c r="R322" t="e">
        <f>(NMRPrep[[#This Row],[NH4Cl Stock Concentration (mM)]]*NMRPrep[[#This Row],[ NH4Cl (uL)]])/SUM(NMRPrep[[#This Row],[DI (uL) ]:[ NH4Cl (uL)]])</f>
        <v>#DIV/0!</v>
      </c>
    </row>
    <row r="323" spans="1:18" x14ac:dyDescent="0.25">
      <c r="A323" s="1">
        <f>SampleList[[#This Row],[Date Sampled]]</f>
        <v>0</v>
      </c>
      <c r="B323" t="str" cm="1">
        <f t="array" ref="B323">IF(ISBLANK(INDEX(SampleList[NMR],ROW()-1)),"Not Requested",INDEX(SampleList[Experiment ID],ROW()-1))</f>
        <v>Not Requested</v>
      </c>
      <c r="C323">
        <f>SampleList[[#This Row],[Duration (Days)]]</f>
        <v>0</v>
      </c>
      <c r="D323">
        <f>SampleList[[#This Row],[Sample Description]]</f>
        <v>0</v>
      </c>
      <c r="N323">
        <f>SUM(NMRPrep[[#This Row],[d-DMSO (uL) ]:[ NH4Cl (uL)]])</f>
        <v>0</v>
      </c>
      <c r="O323">
        <f>647</f>
        <v>647</v>
      </c>
      <c r="P323">
        <f>NMRPrep[[#This Row],[Total (uL) ]]-NMRPrep[[#This Row],[Target (uL)]]</f>
        <v>-647</v>
      </c>
      <c r="R323" t="e">
        <f>(NMRPrep[[#This Row],[NH4Cl Stock Concentration (mM)]]*NMRPrep[[#This Row],[ NH4Cl (uL)]])/SUM(NMRPrep[[#This Row],[DI (uL) ]:[ NH4Cl (uL)]])</f>
        <v>#DIV/0!</v>
      </c>
    </row>
    <row r="324" spans="1:18" x14ac:dyDescent="0.25">
      <c r="A324" s="1">
        <f>SampleList[[#This Row],[Date Sampled]]</f>
        <v>0</v>
      </c>
      <c r="B324" t="str" cm="1">
        <f t="array" ref="B324">IF(ISBLANK(INDEX(SampleList[NMR],ROW()-1)),"Not Requested",INDEX(SampleList[Experiment ID],ROW()-1))</f>
        <v>Not Requested</v>
      </c>
      <c r="C324">
        <f>SampleList[[#This Row],[Duration (Days)]]</f>
        <v>0</v>
      </c>
      <c r="D324">
        <f>SampleList[[#This Row],[Sample Description]]</f>
        <v>0</v>
      </c>
      <c r="N324">
        <f>SUM(NMRPrep[[#This Row],[d-DMSO (uL) ]:[ NH4Cl (uL)]])</f>
        <v>0</v>
      </c>
      <c r="O324">
        <f>647</f>
        <v>647</v>
      </c>
      <c r="P324">
        <f>NMRPrep[[#This Row],[Total (uL) ]]-NMRPrep[[#This Row],[Target (uL)]]</f>
        <v>-647</v>
      </c>
      <c r="R324" t="e">
        <f>(NMRPrep[[#This Row],[NH4Cl Stock Concentration (mM)]]*NMRPrep[[#This Row],[ NH4Cl (uL)]])/SUM(NMRPrep[[#This Row],[DI (uL) ]:[ NH4Cl (uL)]])</f>
        <v>#DIV/0!</v>
      </c>
    </row>
    <row r="325" spans="1:18" x14ac:dyDescent="0.25">
      <c r="A325" s="1">
        <f>SampleList[[#This Row],[Date Sampled]]</f>
        <v>0</v>
      </c>
      <c r="B325" t="str" cm="1">
        <f t="array" ref="B325">IF(ISBLANK(INDEX(SampleList[NMR],ROW()-1)),"Not Requested",INDEX(SampleList[Experiment ID],ROW()-1))</f>
        <v>Not Requested</v>
      </c>
      <c r="C325">
        <f>SampleList[[#This Row],[Duration (Days)]]</f>
        <v>0</v>
      </c>
      <c r="D325">
        <f>SampleList[[#This Row],[Sample Description]]</f>
        <v>0</v>
      </c>
      <c r="N325">
        <f>SUM(NMRPrep[[#This Row],[d-DMSO (uL) ]:[ NH4Cl (uL)]])</f>
        <v>0</v>
      </c>
      <c r="O325">
        <f>647</f>
        <v>647</v>
      </c>
      <c r="P325">
        <f>NMRPrep[[#This Row],[Total (uL) ]]-NMRPrep[[#This Row],[Target (uL)]]</f>
        <v>-647</v>
      </c>
      <c r="R325" t="e">
        <f>(NMRPrep[[#This Row],[NH4Cl Stock Concentration (mM)]]*NMRPrep[[#This Row],[ NH4Cl (uL)]])/SUM(NMRPrep[[#This Row],[DI (uL) ]:[ NH4Cl (uL)]])</f>
        <v>#DIV/0!</v>
      </c>
    </row>
    <row r="326" spans="1:18" x14ac:dyDescent="0.25">
      <c r="A326" s="1">
        <f>SampleList[[#This Row],[Date Sampled]]</f>
        <v>0</v>
      </c>
      <c r="B326" t="str" cm="1">
        <f t="array" ref="B326">IF(ISBLANK(INDEX(SampleList[NMR],ROW()-1)),"Not Requested",INDEX(SampleList[Experiment ID],ROW()-1))</f>
        <v>Not Requested</v>
      </c>
      <c r="C326">
        <f>SampleList[[#This Row],[Duration (Days)]]</f>
        <v>0</v>
      </c>
      <c r="D326">
        <f>SampleList[[#This Row],[Sample Description]]</f>
        <v>0</v>
      </c>
      <c r="N326">
        <f>SUM(NMRPrep[[#This Row],[d-DMSO (uL) ]:[ NH4Cl (uL)]])</f>
        <v>0</v>
      </c>
      <c r="O326">
        <f>647</f>
        <v>647</v>
      </c>
      <c r="P326">
        <f>NMRPrep[[#This Row],[Total (uL) ]]-NMRPrep[[#This Row],[Target (uL)]]</f>
        <v>-647</v>
      </c>
      <c r="R326" t="e">
        <f>(NMRPrep[[#This Row],[NH4Cl Stock Concentration (mM)]]*NMRPrep[[#This Row],[ NH4Cl (uL)]])/SUM(NMRPrep[[#This Row],[DI (uL) ]:[ NH4Cl (uL)]])</f>
        <v>#DIV/0!</v>
      </c>
    </row>
    <row r="327" spans="1:18" x14ac:dyDescent="0.25">
      <c r="A327" s="1">
        <f>SampleList[[#This Row],[Date Sampled]]</f>
        <v>0</v>
      </c>
      <c r="B327" t="str" cm="1">
        <f t="array" ref="B327">IF(ISBLANK(INDEX(SampleList[NMR],ROW()-1)),"Not Requested",INDEX(SampleList[Experiment ID],ROW()-1))</f>
        <v>Not Requested</v>
      </c>
      <c r="C327">
        <f>SampleList[[#This Row],[Duration (Days)]]</f>
        <v>0</v>
      </c>
      <c r="D327">
        <f>SampleList[[#This Row],[Sample Description]]</f>
        <v>0</v>
      </c>
      <c r="N327">
        <f>SUM(NMRPrep[[#This Row],[d-DMSO (uL) ]:[ NH4Cl (uL)]])</f>
        <v>0</v>
      </c>
      <c r="O327">
        <f>647</f>
        <v>647</v>
      </c>
      <c r="P327">
        <f>NMRPrep[[#This Row],[Total (uL) ]]-NMRPrep[[#This Row],[Target (uL)]]</f>
        <v>-647</v>
      </c>
      <c r="R327" t="e">
        <f>(NMRPrep[[#This Row],[NH4Cl Stock Concentration (mM)]]*NMRPrep[[#This Row],[ NH4Cl (uL)]])/SUM(NMRPrep[[#This Row],[DI (uL) ]:[ NH4Cl (uL)]])</f>
        <v>#DIV/0!</v>
      </c>
    </row>
    <row r="328" spans="1:18" x14ac:dyDescent="0.25">
      <c r="A328" s="1">
        <f>SampleList[[#This Row],[Date Sampled]]</f>
        <v>0</v>
      </c>
      <c r="B328" t="str" cm="1">
        <f t="array" ref="B328">IF(ISBLANK(INDEX(SampleList[NMR],ROW()-1)),"Not Requested",INDEX(SampleList[Experiment ID],ROW()-1))</f>
        <v>Not Requested</v>
      </c>
      <c r="C328">
        <f>SampleList[[#This Row],[Duration (Days)]]</f>
        <v>0</v>
      </c>
      <c r="D328">
        <f>SampleList[[#This Row],[Sample Description]]</f>
        <v>0</v>
      </c>
      <c r="N328">
        <f>SUM(NMRPrep[[#This Row],[d-DMSO (uL) ]:[ NH4Cl (uL)]])</f>
        <v>0</v>
      </c>
      <c r="O328">
        <f>647</f>
        <v>647</v>
      </c>
      <c r="P328">
        <f>NMRPrep[[#This Row],[Total (uL) ]]-NMRPrep[[#This Row],[Target (uL)]]</f>
        <v>-647</v>
      </c>
      <c r="R328" t="e">
        <f>(NMRPrep[[#This Row],[NH4Cl Stock Concentration (mM)]]*NMRPrep[[#This Row],[ NH4Cl (uL)]])/SUM(NMRPrep[[#This Row],[DI (uL) ]:[ NH4Cl (uL)]])</f>
        <v>#DIV/0!</v>
      </c>
    </row>
    <row r="329" spans="1:18" x14ac:dyDescent="0.25">
      <c r="A329" s="1">
        <f>SampleList[[#This Row],[Date Sampled]]</f>
        <v>0</v>
      </c>
      <c r="B329" t="str" cm="1">
        <f t="array" ref="B329">IF(ISBLANK(INDEX(SampleList[NMR],ROW()-1)),"Not Requested",INDEX(SampleList[Experiment ID],ROW()-1))</f>
        <v>Not Requested</v>
      </c>
      <c r="C329">
        <f>SampleList[[#This Row],[Duration (Days)]]</f>
        <v>0</v>
      </c>
      <c r="D329">
        <f>SampleList[[#This Row],[Sample Description]]</f>
        <v>0</v>
      </c>
      <c r="N329">
        <f>SUM(NMRPrep[[#This Row],[d-DMSO (uL) ]:[ NH4Cl (uL)]])</f>
        <v>0</v>
      </c>
      <c r="O329">
        <f>647</f>
        <v>647</v>
      </c>
      <c r="P329">
        <f>NMRPrep[[#This Row],[Total (uL) ]]-NMRPrep[[#This Row],[Target (uL)]]</f>
        <v>-647</v>
      </c>
      <c r="R329" t="e">
        <f>(NMRPrep[[#This Row],[NH4Cl Stock Concentration (mM)]]*NMRPrep[[#This Row],[ NH4Cl (uL)]])/SUM(NMRPrep[[#This Row],[DI (uL) ]:[ NH4Cl (uL)]])</f>
        <v>#DIV/0!</v>
      </c>
    </row>
    <row r="330" spans="1:18" x14ac:dyDescent="0.25">
      <c r="A330" s="1">
        <f>SampleList[[#This Row],[Date Sampled]]</f>
        <v>0</v>
      </c>
      <c r="B330" t="str" cm="1">
        <f t="array" ref="B330">IF(ISBLANK(INDEX(SampleList[NMR],ROW()-1)),"Not Requested",INDEX(SampleList[Experiment ID],ROW()-1))</f>
        <v>Not Requested</v>
      </c>
      <c r="C330">
        <f>SampleList[[#This Row],[Duration (Days)]]</f>
        <v>0</v>
      </c>
      <c r="D330">
        <f>SampleList[[#This Row],[Sample Description]]</f>
        <v>0</v>
      </c>
      <c r="N330">
        <f>SUM(NMRPrep[[#This Row],[d-DMSO (uL) ]:[ NH4Cl (uL)]])</f>
        <v>0</v>
      </c>
      <c r="O330">
        <f>647</f>
        <v>647</v>
      </c>
      <c r="P330">
        <f>NMRPrep[[#This Row],[Total (uL) ]]-NMRPrep[[#This Row],[Target (uL)]]</f>
        <v>-647</v>
      </c>
      <c r="R330" t="e">
        <f>(NMRPrep[[#This Row],[NH4Cl Stock Concentration (mM)]]*NMRPrep[[#This Row],[ NH4Cl (uL)]])/SUM(NMRPrep[[#This Row],[DI (uL) ]:[ NH4Cl (uL)]])</f>
        <v>#DIV/0!</v>
      </c>
    </row>
    <row r="331" spans="1:18" x14ac:dyDescent="0.25">
      <c r="A331" s="1">
        <f>SampleList[[#This Row],[Date Sampled]]</f>
        <v>0</v>
      </c>
      <c r="B331" t="str" cm="1">
        <f t="array" ref="B331">IF(ISBLANK(INDEX(SampleList[NMR],ROW()-1)),"Not Requested",INDEX(SampleList[Experiment ID],ROW()-1))</f>
        <v>Not Requested</v>
      </c>
      <c r="C331">
        <f>SampleList[[#This Row],[Duration (Days)]]</f>
        <v>0</v>
      </c>
      <c r="D331">
        <f>SampleList[[#This Row],[Sample Description]]</f>
        <v>0</v>
      </c>
      <c r="N331">
        <f>SUM(NMRPrep[[#This Row],[d-DMSO (uL) ]:[ NH4Cl (uL)]])</f>
        <v>0</v>
      </c>
      <c r="O331">
        <f>647</f>
        <v>647</v>
      </c>
      <c r="P331">
        <f>NMRPrep[[#This Row],[Total (uL) ]]-NMRPrep[[#This Row],[Target (uL)]]</f>
        <v>-647</v>
      </c>
      <c r="R331" t="e">
        <f>(NMRPrep[[#This Row],[NH4Cl Stock Concentration (mM)]]*NMRPrep[[#This Row],[ NH4Cl (uL)]])/SUM(NMRPrep[[#This Row],[DI (uL) ]:[ NH4Cl (uL)]])</f>
        <v>#DIV/0!</v>
      </c>
    </row>
    <row r="332" spans="1:18" x14ac:dyDescent="0.25">
      <c r="A332" s="1">
        <f>SampleList[[#This Row],[Date Sampled]]</f>
        <v>0</v>
      </c>
      <c r="B332" t="str" cm="1">
        <f t="array" ref="B332">IF(ISBLANK(INDEX(SampleList[NMR],ROW()-1)),"Not Requested",INDEX(SampleList[Experiment ID],ROW()-1))</f>
        <v>Not Requested</v>
      </c>
      <c r="C332">
        <f>SampleList[[#This Row],[Duration (Days)]]</f>
        <v>0</v>
      </c>
      <c r="D332">
        <f>SampleList[[#This Row],[Sample Description]]</f>
        <v>0</v>
      </c>
      <c r="N332">
        <f>SUM(NMRPrep[[#This Row],[d-DMSO (uL) ]:[ NH4Cl (uL)]])</f>
        <v>0</v>
      </c>
      <c r="O332">
        <f>647</f>
        <v>647</v>
      </c>
      <c r="P332">
        <f>NMRPrep[[#This Row],[Total (uL) ]]-NMRPrep[[#This Row],[Target (uL)]]</f>
        <v>-647</v>
      </c>
      <c r="R332" t="e">
        <f>(NMRPrep[[#This Row],[NH4Cl Stock Concentration (mM)]]*NMRPrep[[#This Row],[ NH4Cl (uL)]])/SUM(NMRPrep[[#This Row],[DI (uL) ]:[ NH4Cl (uL)]])</f>
        <v>#DIV/0!</v>
      </c>
    </row>
    <row r="333" spans="1:18" x14ac:dyDescent="0.25">
      <c r="A333" s="1">
        <f>SampleList[[#This Row],[Date Sampled]]</f>
        <v>0</v>
      </c>
      <c r="B333" t="str" cm="1">
        <f t="array" ref="B333">IF(ISBLANK(INDEX(SampleList[NMR],ROW()-1)),"Not Requested",INDEX(SampleList[Experiment ID],ROW()-1))</f>
        <v>Not Requested</v>
      </c>
      <c r="C333">
        <f>SampleList[[#This Row],[Duration (Days)]]</f>
        <v>0</v>
      </c>
      <c r="D333">
        <f>SampleList[[#This Row],[Sample Description]]</f>
        <v>0</v>
      </c>
      <c r="N333">
        <f>SUM(NMRPrep[[#This Row],[d-DMSO (uL) ]:[ NH4Cl (uL)]])</f>
        <v>0</v>
      </c>
      <c r="O333">
        <f>647</f>
        <v>647</v>
      </c>
      <c r="P333">
        <f>NMRPrep[[#This Row],[Total (uL) ]]-NMRPrep[[#This Row],[Target (uL)]]</f>
        <v>-647</v>
      </c>
      <c r="R333" t="e">
        <f>(NMRPrep[[#This Row],[NH4Cl Stock Concentration (mM)]]*NMRPrep[[#This Row],[ NH4Cl (uL)]])/SUM(NMRPrep[[#This Row],[DI (uL) ]:[ NH4Cl (uL)]])</f>
        <v>#DIV/0!</v>
      </c>
    </row>
    <row r="334" spans="1:18" x14ac:dyDescent="0.25">
      <c r="A334" s="1">
        <f>SampleList[[#This Row],[Date Sampled]]</f>
        <v>0</v>
      </c>
      <c r="B334" t="str" cm="1">
        <f t="array" ref="B334">IF(ISBLANK(INDEX(SampleList[NMR],ROW()-1)),"Not Requested",INDEX(SampleList[Experiment ID],ROW()-1))</f>
        <v>Not Requested</v>
      </c>
      <c r="C334">
        <f>SampleList[[#This Row],[Duration (Days)]]</f>
        <v>0</v>
      </c>
      <c r="D334">
        <f>SampleList[[#This Row],[Sample Description]]</f>
        <v>0</v>
      </c>
      <c r="N334">
        <f>SUM(NMRPrep[[#This Row],[d-DMSO (uL) ]:[ NH4Cl (uL)]])</f>
        <v>0</v>
      </c>
      <c r="O334">
        <f>647</f>
        <v>647</v>
      </c>
      <c r="P334">
        <f>NMRPrep[[#This Row],[Total (uL) ]]-NMRPrep[[#This Row],[Target (uL)]]</f>
        <v>-647</v>
      </c>
      <c r="R334" t="e">
        <f>(NMRPrep[[#This Row],[NH4Cl Stock Concentration (mM)]]*NMRPrep[[#This Row],[ NH4Cl (uL)]])/SUM(NMRPrep[[#This Row],[DI (uL) ]:[ NH4Cl (uL)]])</f>
        <v>#DIV/0!</v>
      </c>
    </row>
    <row r="335" spans="1:18" x14ac:dyDescent="0.25">
      <c r="A335" s="1">
        <f>SampleList[[#This Row],[Date Sampled]]</f>
        <v>0</v>
      </c>
      <c r="B335" t="str" cm="1">
        <f t="array" ref="B335">IF(ISBLANK(INDEX(SampleList[NMR],ROW()-1)),"Not Requested",INDEX(SampleList[Experiment ID],ROW()-1))</f>
        <v>Not Requested</v>
      </c>
      <c r="C335">
        <f>SampleList[[#This Row],[Duration (Days)]]</f>
        <v>0</v>
      </c>
      <c r="D335">
        <f>SampleList[[#This Row],[Sample Description]]</f>
        <v>0</v>
      </c>
      <c r="N335">
        <f>SUM(NMRPrep[[#This Row],[d-DMSO (uL) ]:[ NH4Cl (uL)]])</f>
        <v>0</v>
      </c>
      <c r="O335">
        <f>647</f>
        <v>647</v>
      </c>
      <c r="P335">
        <f>NMRPrep[[#This Row],[Total (uL) ]]-NMRPrep[[#This Row],[Target (uL)]]</f>
        <v>-647</v>
      </c>
      <c r="R335" t="e">
        <f>(NMRPrep[[#This Row],[NH4Cl Stock Concentration (mM)]]*NMRPrep[[#This Row],[ NH4Cl (uL)]])/SUM(NMRPrep[[#This Row],[DI (uL) ]:[ NH4Cl (uL)]])</f>
        <v>#DIV/0!</v>
      </c>
    </row>
    <row r="336" spans="1:18" x14ac:dyDescent="0.25">
      <c r="A336" s="1">
        <f>SampleList[[#This Row],[Date Sampled]]</f>
        <v>0</v>
      </c>
      <c r="B336" t="str" cm="1">
        <f t="array" ref="B336">IF(ISBLANK(INDEX(SampleList[NMR],ROW()-1)),"Not Requested",INDEX(SampleList[Experiment ID],ROW()-1))</f>
        <v>Not Requested</v>
      </c>
      <c r="C336">
        <f>SampleList[[#This Row],[Duration (Days)]]</f>
        <v>0</v>
      </c>
      <c r="D336">
        <f>SampleList[[#This Row],[Sample Description]]</f>
        <v>0</v>
      </c>
      <c r="N336">
        <f>SUM(NMRPrep[[#This Row],[d-DMSO (uL) ]:[ NH4Cl (uL)]])</f>
        <v>0</v>
      </c>
      <c r="O336">
        <f>647</f>
        <v>647</v>
      </c>
      <c r="P336">
        <f>NMRPrep[[#This Row],[Total (uL) ]]-NMRPrep[[#This Row],[Target (uL)]]</f>
        <v>-647</v>
      </c>
      <c r="R336" t="e">
        <f>(NMRPrep[[#This Row],[NH4Cl Stock Concentration (mM)]]*NMRPrep[[#This Row],[ NH4Cl (uL)]])/SUM(NMRPrep[[#This Row],[DI (uL) ]:[ NH4Cl (uL)]])</f>
        <v>#DIV/0!</v>
      </c>
    </row>
    <row r="337" spans="1:18" x14ac:dyDescent="0.25">
      <c r="A337" s="1">
        <f>SampleList[[#This Row],[Date Sampled]]</f>
        <v>0</v>
      </c>
      <c r="B337" t="str" cm="1">
        <f t="array" ref="B337">IF(ISBLANK(INDEX(SampleList[NMR],ROW()-1)),"Not Requested",INDEX(SampleList[Experiment ID],ROW()-1))</f>
        <v>Not Requested</v>
      </c>
      <c r="C337">
        <f>SampleList[[#This Row],[Duration (Days)]]</f>
        <v>0</v>
      </c>
      <c r="D337">
        <f>SampleList[[#This Row],[Sample Description]]</f>
        <v>0</v>
      </c>
      <c r="N337">
        <f>SUM(NMRPrep[[#This Row],[d-DMSO (uL) ]:[ NH4Cl (uL)]])</f>
        <v>0</v>
      </c>
      <c r="O337">
        <f>647</f>
        <v>647</v>
      </c>
      <c r="P337">
        <f>NMRPrep[[#This Row],[Total (uL) ]]-NMRPrep[[#This Row],[Target (uL)]]</f>
        <v>-647</v>
      </c>
      <c r="R337" t="e">
        <f>(NMRPrep[[#This Row],[NH4Cl Stock Concentration (mM)]]*NMRPrep[[#This Row],[ NH4Cl (uL)]])/SUM(NMRPrep[[#This Row],[DI (uL) ]:[ NH4Cl (uL)]])</f>
        <v>#DIV/0!</v>
      </c>
    </row>
    <row r="338" spans="1:18" x14ac:dyDescent="0.25">
      <c r="A338" s="1">
        <f>SampleList[[#This Row],[Date Sampled]]</f>
        <v>0</v>
      </c>
      <c r="B338" t="str" cm="1">
        <f t="array" ref="B338">IF(ISBLANK(INDEX(SampleList[NMR],ROW()-1)),"Not Requested",INDEX(SampleList[Experiment ID],ROW()-1))</f>
        <v>Not Requested</v>
      </c>
      <c r="C338">
        <f>SampleList[[#This Row],[Duration (Days)]]</f>
        <v>0</v>
      </c>
      <c r="D338">
        <f>SampleList[[#This Row],[Sample Description]]</f>
        <v>0</v>
      </c>
      <c r="N338">
        <f>SUM(NMRPrep[[#This Row],[d-DMSO (uL) ]:[ NH4Cl (uL)]])</f>
        <v>0</v>
      </c>
      <c r="O338">
        <f>647</f>
        <v>647</v>
      </c>
      <c r="P338">
        <f>NMRPrep[[#This Row],[Total (uL) ]]-NMRPrep[[#This Row],[Target (uL)]]</f>
        <v>-647</v>
      </c>
      <c r="R338" t="e">
        <f>(NMRPrep[[#This Row],[NH4Cl Stock Concentration (mM)]]*NMRPrep[[#This Row],[ NH4Cl (uL)]])/SUM(NMRPrep[[#This Row],[DI (uL) ]:[ NH4Cl (uL)]])</f>
        <v>#DIV/0!</v>
      </c>
    </row>
    <row r="339" spans="1:18" x14ac:dyDescent="0.25">
      <c r="A339" s="1">
        <f>SampleList[[#This Row],[Date Sampled]]</f>
        <v>0</v>
      </c>
      <c r="B339" t="str" cm="1">
        <f t="array" ref="B339">IF(ISBLANK(INDEX(SampleList[NMR],ROW()-1)),"Not Requested",INDEX(SampleList[Experiment ID],ROW()-1))</f>
        <v>Not Requested</v>
      </c>
      <c r="C339">
        <f>SampleList[[#This Row],[Duration (Days)]]</f>
        <v>0</v>
      </c>
      <c r="D339">
        <f>SampleList[[#This Row],[Sample Description]]</f>
        <v>0</v>
      </c>
      <c r="N339">
        <f>SUM(NMRPrep[[#This Row],[d-DMSO (uL) ]:[ NH4Cl (uL)]])</f>
        <v>0</v>
      </c>
      <c r="O339">
        <f>647</f>
        <v>647</v>
      </c>
      <c r="P339">
        <f>NMRPrep[[#This Row],[Total (uL) ]]-NMRPrep[[#This Row],[Target (uL)]]</f>
        <v>-647</v>
      </c>
      <c r="R339" t="e">
        <f>(NMRPrep[[#This Row],[NH4Cl Stock Concentration (mM)]]*NMRPrep[[#This Row],[ NH4Cl (uL)]])/SUM(NMRPrep[[#This Row],[DI (uL) ]:[ NH4Cl (uL)]])</f>
        <v>#DIV/0!</v>
      </c>
    </row>
    <row r="340" spans="1:18" x14ac:dyDescent="0.25">
      <c r="A340" s="1">
        <f>SampleList[[#This Row],[Date Sampled]]</f>
        <v>0</v>
      </c>
      <c r="B340" t="str" cm="1">
        <f t="array" ref="B340">IF(ISBLANK(INDEX(SampleList[NMR],ROW()-1)),"Not Requested",INDEX(SampleList[Experiment ID],ROW()-1))</f>
        <v>Not Requested</v>
      </c>
      <c r="C340">
        <f>SampleList[[#This Row],[Duration (Days)]]</f>
        <v>0</v>
      </c>
      <c r="D340">
        <f>SampleList[[#This Row],[Sample Description]]</f>
        <v>0</v>
      </c>
      <c r="N340">
        <f>SUM(NMRPrep[[#This Row],[d-DMSO (uL) ]:[ NH4Cl (uL)]])</f>
        <v>0</v>
      </c>
      <c r="O340">
        <f>647</f>
        <v>647</v>
      </c>
      <c r="P340">
        <f>NMRPrep[[#This Row],[Total (uL) ]]-NMRPrep[[#This Row],[Target (uL)]]</f>
        <v>-647</v>
      </c>
      <c r="R340" t="e">
        <f>(NMRPrep[[#This Row],[NH4Cl Stock Concentration (mM)]]*NMRPrep[[#This Row],[ NH4Cl (uL)]])/SUM(NMRPrep[[#This Row],[DI (uL) ]:[ NH4Cl (uL)]])</f>
        <v>#DIV/0!</v>
      </c>
    </row>
    <row r="341" spans="1:18" x14ac:dyDescent="0.25">
      <c r="A341" s="1">
        <f>SampleList[[#This Row],[Date Sampled]]</f>
        <v>0</v>
      </c>
      <c r="B341" t="str" cm="1">
        <f t="array" ref="B341">IF(ISBLANK(INDEX(SampleList[NMR],ROW()-1)),"Not Requested",INDEX(SampleList[Experiment ID],ROW()-1))</f>
        <v>Not Requested</v>
      </c>
      <c r="C341">
        <f>SampleList[[#This Row],[Duration (Days)]]</f>
        <v>0</v>
      </c>
      <c r="D341">
        <f>SampleList[[#This Row],[Sample Description]]</f>
        <v>0</v>
      </c>
      <c r="N341">
        <f>SUM(NMRPrep[[#This Row],[d-DMSO (uL) ]:[ NH4Cl (uL)]])</f>
        <v>0</v>
      </c>
      <c r="O341">
        <f>647</f>
        <v>647</v>
      </c>
      <c r="P341">
        <f>NMRPrep[[#This Row],[Total (uL) ]]-NMRPrep[[#This Row],[Target (uL)]]</f>
        <v>-647</v>
      </c>
      <c r="R341" t="e">
        <f>(NMRPrep[[#This Row],[NH4Cl Stock Concentration (mM)]]*NMRPrep[[#This Row],[ NH4Cl (uL)]])/SUM(NMRPrep[[#This Row],[DI (uL) ]:[ NH4Cl (uL)]])</f>
        <v>#DIV/0!</v>
      </c>
    </row>
    <row r="342" spans="1:18" x14ac:dyDescent="0.25">
      <c r="A342" s="1">
        <f>SampleList[[#This Row],[Date Sampled]]</f>
        <v>0</v>
      </c>
      <c r="B342" t="str" cm="1">
        <f t="array" ref="B342">IF(ISBLANK(INDEX(SampleList[NMR],ROW()-1)),"Not Requested",INDEX(SampleList[Experiment ID],ROW()-1))</f>
        <v>Not Requested</v>
      </c>
      <c r="C342">
        <f>SampleList[[#This Row],[Duration (Days)]]</f>
        <v>0</v>
      </c>
      <c r="D342">
        <f>SampleList[[#This Row],[Sample Description]]</f>
        <v>0</v>
      </c>
      <c r="N342">
        <f>SUM(NMRPrep[[#This Row],[d-DMSO (uL) ]:[ NH4Cl (uL)]])</f>
        <v>0</v>
      </c>
      <c r="O342">
        <f>647</f>
        <v>647</v>
      </c>
      <c r="P342">
        <f>NMRPrep[[#This Row],[Total (uL) ]]-NMRPrep[[#This Row],[Target (uL)]]</f>
        <v>-647</v>
      </c>
      <c r="R342" t="e">
        <f>(NMRPrep[[#This Row],[NH4Cl Stock Concentration (mM)]]*NMRPrep[[#This Row],[ NH4Cl (uL)]])/SUM(NMRPrep[[#This Row],[DI (uL) ]:[ NH4Cl (uL)]])</f>
        <v>#DIV/0!</v>
      </c>
    </row>
    <row r="343" spans="1:18" x14ac:dyDescent="0.25">
      <c r="A343" s="1">
        <f>SampleList[[#This Row],[Date Sampled]]</f>
        <v>0</v>
      </c>
      <c r="B343" t="str" cm="1">
        <f t="array" ref="B343">IF(ISBLANK(INDEX(SampleList[NMR],ROW()-1)),"Not Requested",INDEX(SampleList[Experiment ID],ROW()-1))</f>
        <v>Not Requested</v>
      </c>
      <c r="C343">
        <f>SampleList[[#This Row],[Duration (Days)]]</f>
        <v>0</v>
      </c>
      <c r="D343">
        <f>SampleList[[#This Row],[Sample Description]]</f>
        <v>0</v>
      </c>
      <c r="N343">
        <f>SUM(NMRPrep[[#This Row],[d-DMSO (uL) ]:[ NH4Cl (uL)]])</f>
        <v>0</v>
      </c>
      <c r="O343">
        <f>647</f>
        <v>647</v>
      </c>
      <c r="P343">
        <f>NMRPrep[[#This Row],[Total (uL) ]]-NMRPrep[[#This Row],[Target (uL)]]</f>
        <v>-647</v>
      </c>
      <c r="R343" t="e">
        <f>(NMRPrep[[#This Row],[NH4Cl Stock Concentration (mM)]]*NMRPrep[[#This Row],[ NH4Cl (uL)]])/SUM(NMRPrep[[#This Row],[DI (uL) ]:[ NH4Cl (uL)]])</f>
        <v>#DIV/0!</v>
      </c>
    </row>
    <row r="344" spans="1:18" x14ac:dyDescent="0.25">
      <c r="A344" s="1">
        <f>SampleList[[#This Row],[Date Sampled]]</f>
        <v>0</v>
      </c>
      <c r="B344" t="str" cm="1">
        <f t="array" ref="B344">IF(ISBLANK(INDEX(SampleList[NMR],ROW()-1)),"Not Requested",INDEX(SampleList[Experiment ID],ROW()-1))</f>
        <v>Not Requested</v>
      </c>
      <c r="C344">
        <f>SampleList[[#This Row],[Duration (Days)]]</f>
        <v>0</v>
      </c>
      <c r="D344">
        <f>SampleList[[#This Row],[Sample Description]]</f>
        <v>0</v>
      </c>
      <c r="N344">
        <f>SUM(NMRPrep[[#This Row],[d-DMSO (uL) ]:[ NH4Cl (uL)]])</f>
        <v>0</v>
      </c>
      <c r="O344">
        <f>647</f>
        <v>647</v>
      </c>
      <c r="P344">
        <f>NMRPrep[[#This Row],[Total (uL) ]]-NMRPrep[[#This Row],[Target (uL)]]</f>
        <v>-647</v>
      </c>
      <c r="R344" t="e">
        <f>(NMRPrep[[#This Row],[NH4Cl Stock Concentration (mM)]]*NMRPrep[[#This Row],[ NH4Cl (uL)]])/SUM(NMRPrep[[#This Row],[DI (uL) ]:[ NH4Cl (uL)]])</f>
        <v>#DIV/0!</v>
      </c>
    </row>
    <row r="345" spans="1:18" x14ac:dyDescent="0.25">
      <c r="A345" s="1">
        <f>SampleList[[#This Row],[Date Sampled]]</f>
        <v>0</v>
      </c>
      <c r="B345" t="str" cm="1">
        <f t="array" ref="B345">IF(ISBLANK(INDEX(SampleList[NMR],ROW()-1)),"Not Requested",INDEX(SampleList[Experiment ID],ROW()-1))</f>
        <v>Not Requested</v>
      </c>
      <c r="C345">
        <f>SampleList[[#This Row],[Duration (Days)]]</f>
        <v>0</v>
      </c>
      <c r="D345">
        <f>SampleList[[#This Row],[Sample Description]]</f>
        <v>0</v>
      </c>
      <c r="N345">
        <f>SUM(NMRPrep[[#This Row],[d-DMSO (uL) ]:[ NH4Cl (uL)]])</f>
        <v>0</v>
      </c>
      <c r="O345">
        <f>647</f>
        <v>647</v>
      </c>
      <c r="P345">
        <f>NMRPrep[[#This Row],[Total (uL) ]]-NMRPrep[[#This Row],[Target (uL)]]</f>
        <v>-647</v>
      </c>
      <c r="R345" t="e">
        <f>(NMRPrep[[#This Row],[NH4Cl Stock Concentration (mM)]]*NMRPrep[[#This Row],[ NH4Cl (uL)]])/SUM(NMRPrep[[#This Row],[DI (uL) ]:[ NH4Cl (uL)]])</f>
        <v>#DIV/0!</v>
      </c>
    </row>
    <row r="346" spans="1:18" x14ac:dyDescent="0.25">
      <c r="A346" s="1">
        <f>SampleList[[#This Row],[Date Sampled]]</f>
        <v>0</v>
      </c>
      <c r="B346" t="str" cm="1">
        <f t="array" ref="B346">IF(ISBLANK(INDEX(SampleList[NMR],ROW()-1)),"Not Requested",INDEX(SampleList[Experiment ID],ROW()-1))</f>
        <v>Not Requested</v>
      </c>
      <c r="C346">
        <f>SampleList[[#This Row],[Duration (Days)]]</f>
        <v>0</v>
      </c>
      <c r="D346">
        <f>SampleList[[#This Row],[Sample Description]]</f>
        <v>0</v>
      </c>
      <c r="N346">
        <f>SUM(NMRPrep[[#This Row],[d-DMSO (uL) ]:[ NH4Cl (uL)]])</f>
        <v>0</v>
      </c>
      <c r="O346">
        <f>647</f>
        <v>647</v>
      </c>
      <c r="P346">
        <f>NMRPrep[[#This Row],[Total (uL) ]]-NMRPrep[[#This Row],[Target (uL)]]</f>
        <v>-647</v>
      </c>
      <c r="R346" t="e">
        <f>(NMRPrep[[#This Row],[NH4Cl Stock Concentration (mM)]]*NMRPrep[[#This Row],[ NH4Cl (uL)]])/SUM(NMRPrep[[#This Row],[DI (uL) ]:[ NH4Cl (uL)]])</f>
        <v>#DIV/0!</v>
      </c>
    </row>
    <row r="347" spans="1:18" x14ac:dyDescent="0.25">
      <c r="A347" s="1">
        <f>SampleList[[#This Row],[Date Sampled]]</f>
        <v>0</v>
      </c>
      <c r="B347" t="str" cm="1">
        <f t="array" ref="B347">IF(ISBLANK(INDEX(SampleList[NMR],ROW()-1)),"Not Requested",INDEX(SampleList[Experiment ID],ROW()-1))</f>
        <v>Not Requested</v>
      </c>
      <c r="C347">
        <f>SampleList[[#This Row],[Duration (Days)]]</f>
        <v>0</v>
      </c>
      <c r="D347">
        <f>SampleList[[#This Row],[Sample Description]]</f>
        <v>0</v>
      </c>
      <c r="N347">
        <f>SUM(NMRPrep[[#This Row],[d-DMSO (uL) ]:[ NH4Cl (uL)]])</f>
        <v>0</v>
      </c>
      <c r="O347">
        <f>647</f>
        <v>647</v>
      </c>
      <c r="P347">
        <f>NMRPrep[[#This Row],[Total (uL) ]]-NMRPrep[[#This Row],[Target (uL)]]</f>
        <v>-647</v>
      </c>
      <c r="R347" t="e">
        <f>(NMRPrep[[#This Row],[NH4Cl Stock Concentration (mM)]]*NMRPrep[[#This Row],[ NH4Cl (uL)]])/SUM(NMRPrep[[#This Row],[DI (uL) ]:[ NH4Cl (uL)]])</f>
        <v>#DIV/0!</v>
      </c>
    </row>
    <row r="348" spans="1:18" x14ac:dyDescent="0.25">
      <c r="A348" s="1">
        <f>SampleList[[#This Row],[Date Sampled]]</f>
        <v>0</v>
      </c>
      <c r="B348" t="str" cm="1">
        <f t="array" ref="B348">IF(ISBLANK(INDEX(SampleList[NMR],ROW()-1)),"Not Requested",INDEX(SampleList[Experiment ID],ROW()-1))</f>
        <v>Not Requested</v>
      </c>
      <c r="C348">
        <f>SampleList[[#This Row],[Duration (Days)]]</f>
        <v>0</v>
      </c>
      <c r="D348">
        <f>SampleList[[#This Row],[Sample Description]]</f>
        <v>0</v>
      </c>
      <c r="N348">
        <f>SUM(NMRPrep[[#This Row],[d-DMSO (uL) ]:[ NH4Cl (uL)]])</f>
        <v>0</v>
      </c>
      <c r="O348">
        <f>647</f>
        <v>647</v>
      </c>
      <c r="P348">
        <f>NMRPrep[[#This Row],[Total (uL) ]]-NMRPrep[[#This Row],[Target (uL)]]</f>
        <v>-647</v>
      </c>
      <c r="R348" t="e">
        <f>(NMRPrep[[#This Row],[NH4Cl Stock Concentration (mM)]]*NMRPrep[[#This Row],[ NH4Cl (uL)]])/SUM(NMRPrep[[#This Row],[DI (uL) ]:[ NH4Cl (uL)]])</f>
        <v>#DIV/0!</v>
      </c>
    </row>
    <row r="349" spans="1:18" x14ac:dyDescent="0.25">
      <c r="A349" s="1">
        <f>SampleList[[#This Row],[Date Sampled]]</f>
        <v>0</v>
      </c>
      <c r="B349" t="str" cm="1">
        <f t="array" ref="B349">IF(ISBLANK(INDEX(SampleList[NMR],ROW()-1)),"Not Requested",INDEX(SampleList[Experiment ID],ROW()-1))</f>
        <v>Not Requested</v>
      </c>
      <c r="C349">
        <f>SampleList[[#This Row],[Duration (Days)]]</f>
        <v>0</v>
      </c>
      <c r="D349">
        <f>SampleList[[#This Row],[Sample Description]]</f>
        <v>0</v>
      </c>
      <c r="N349">
        <f>SUM(NMRPrep[[#This Row],[d-DMSO (uL) ]:[ NH4Cl (uL)]])</f>
        <v>0</v>
      </c>
      <c r="O349">
        <f>647</f>
        <v>647</v>
      </c>
      <c r="P349">
        <f>NMRPrep[[#This Row],[Total (uL) ]]-NMRPrep[[#This Row],[Target (uL)]]</f>
        <v>-647</v>
      </c>
      <c r="R349" t="e">
        <f>(NMRPrep[[#This Row],[NH4Cl Stock Concentration (mM)]]*NMRPrep[[#This Row],[ NH4Cl (uL)]])/SUM(NMRPrep[[#This Row],[DI (uL) ]:[ NH4Cl (uL)]])</f>
        <v>#DIV/0!</v>
      </c>
    </row>
    <row r="350" spans="1:18" x14ac:dyDescent="0.25">
      <c r="A350" s="1">
        <f>SampleList[[#This Row],[Date Sampled]]</f>
        <v>0</v>
      </c>
      <c r="B350" t="str" cm="1">
        <f t="array" ref="B350">IF(ISBLANK(INDEX(SampleList[NMR],ROW()-1)),"Not Requested",INDEX(SampleList[Experiment ID],ROW()-1))</f>
        <v>Not Requested</v>
      </c>
      <c r="C350">
        <f>SampleList[[#This Row],[Duration (Days)]]</f>
        <v>0</v>
      </c>
      <c r="D350">
        <f>SampleList[[#This Row],[Sample Description]]</f>
        <v>0</v>
      </c>
      <c r="N350">
        <f>SUM(NMRPrep[[#This Row],[d-DMSO (uL) ]:[ NH4Cl (uL)]])</f>
        <v>0</v>
      </c>
      <c r="O350">
        <f>647</f>
        <v>647</v>
      </c>
      <c r="P350">
        <f>NMRPrep[[#This Row],[Total (uL) ]]-NMRPrep[[#This Row],[Target (uL)]]</f>
        <v>-647</v>
      </c>
      <c r="R350" t="e">
        <f>(NMRPrep[[#This Row],[NH4Cl Stock Concentration (mM)]]*NMRPrep[[#This Row],[ NH4Cl (uL)]])/SUM(NMRPrep[[#This Row],[DI (uL) ]:[ NH4Cl (uL)]])</f>
        <v>#DIV/0!</v>
      </c>
    </row>
    <row r="351" spans="1:18" x14ac:dyDescent="0.25">
      <c r="A351" s="1">
        <f>SampleList[[#This Row],[Date Sampled]]</f>
        <v>0</v>
      </c>
      <c r="B351" t="str" cm="1">
        <f t="array" ref="B351">IF(ISBLANK(INDEX(SampleList[NMR],ROW()-1)),"Not Requested",INDEX(SampleList[Experiment ID],ROW()-1))</f>
        <v>Not Requested</v>
      </c>
      <c r="C351">
        <f>SampleList[[#This Row],[Duration (Days)]]</f>
        <v>0</v>
      </c>
      <c r="D351">
        <f>SampleList[[#This Row],[Sample Description]]</f>
        <v>0</v>
      </c>
      <c r="N351">
        <f>SUM(NMRPrep[[#This Row],[d-DMSO (uL) ]:[ NH4Cl (uL)]])</f>
        <v>0</v>
      </c>
      <c r="O351">
        <f>647</f>
        <v>647</v>
      </c>
      <c r="P351">
        <f>NMRPrep[[#This Row],[Total (uL) ]]-NMRPrep[[#This Row],[Target (uL)]]</f>
        <v>-647</v>
      </c>
      <c r="R351" t="e">
        <f>(NMRPrep[[#This Row],[NH4Cl Stock Concentration (mM)]]*NMRPrep[[#This Row],[ NH4Cl (uL)]])/SUM(NMRPrep[[#This Row],[DI (uL) ]:[ NH4Cl (uL)]])</f>
        <v>#DIV/0!</v>
      </c>
    </row>
    <row r="352" spans="1:18" x14ac:dyDescent="0.25">
      <c r="A352" s="1">
        <f>SampleList[[#This Row],[Date Sampled]]</f>
        <v>0</v>
      </c>
      <c r="B352" t="str" cm="1">
        <f t="array" ref="B352">IF(ISBLANK(INDEX(SampleList[NMR],ROW()-1)),"Not Requested",INDEX(SampleList[Experiment ID],ROW()-1))</f>
        <v>Not Requested</v>
      </c>
      <c r="C352">
        <f>SampleList[[#This Row],[Duration (Days)]]</f>
        <v>0</v>
      </c>
      <c r="D352">
        <f>SampleList[[#This Row],[Sample Description]]</f>
        <v>0</v>
      </c>
      <c r="N352">
        <f>SUM(NMRPrep[[#This Row],[d-DMSO (uL) ]:[ NH4Cl (uL)]])</f>
        <v>0</v>
      </c>
      <c r="O352">
        <f>647</f>
        <v>647</v>
      </c>
      <c r="P352">
        <f>NMRPrep[[#This Row],[Total (uL) ]]-NMRPrep[[#This Row],[Target (uL)]]</f>
        <v>-647</v>
      </c>
      <c r="R352" t="e">
        <f>(NMRPrep[[#This Row],[NH4Cl Stock Concentration (mM)]]*NMRPrep[[#This Row],[ NH4Cl (uL)]])/SUM(NMRPrep[[#This Row],[DI (uL) ]:[ NH4Cl (uL)]])</f>
        <v>#DIV/0!</v>
      </c>
    </row>
    <row r="353" spans="1:18" x14ac:dyDescent="0.25">
      <c r="A353" s="1">
        <f>SampleList[[#This Row],[Date Sampled]]</f>
        <v>0</v>
      </c>
      <c r="B353" t="str" cm="1">
        <f t="array" ref="B353">IF(ISBLANK(INDEX(SampleList[NMR],ROW()-1)),"Not Requested",INDEX(SampleList[Experiment ID],ROW()-1))</f>
        <v>Not Requested</v>
      </c>
      <c r="C353">
        <f>SampleList[[#This Row],[Duration (Days)]]</f>
        <v>0</v>
      </c>
      <c r="D353">
        <f>SampleList[[#This Row],[Sample Description]]</f>
        <v>0</v>
      </c>
      <c r="N353">
        <f>SUM(NMRPrep[[#This Row],[d-DMSO (uL) ]:[ NH4Cl (uL)]])</f>
        <v>0</v>
      </c>
      <c r="O353">
        <f>647</f>
        <v>647</v>
      </c>
      <c r="P353">
        <f>NMRPrep[[#This Row],[Total (uL) ]]-NMRPrep[[#This Row],[Target (uL)]]</f>
        <v>-647</v>
      </c>
      <c r="R353" t="e">
        <f>(NMRPrep[[#This Row],[NH4Cl Stock Concentration (mM)]]*NMRPrep[[#This Row],[ NH4Cl (uL)]])/SUM(NMRPrep[[#This Row],[DI (uL) ]:[ NH4Cl (uL)]])</f>
        <v>#DIV/0!</v>
      </c>
    </row>
    <row r="354" spans="1:18" x14ac:dyDescent="0.25">
      <c r="A354" s="1">
        <f>SampleList[[#This Row],[Date Sampled]]</f>
        <v>0</v>
      </c>
      <c r="B354" t="str" cm="1">
        <f t="array" ref="B354">IF(ISBLANK(INDEX(SampleList[NMR],ROW()-1)),"Not Requested",INDEX(SampleList[Experiment ID],ROW()-1))</f>
        <v>Not Requested</v>
      </c>
      <c r="C354">
        <f>SampleList[[#This Row],[Duration (Days)]]</f>
        <v>0</v>
      </c>
      <c r="D354">
        <f>SampleList[[#This Row],[Sample Description]]</f>
        <v>0</v>
      </c>
      <c r="N354">
        <f>SUM(NMRPrep[[#This Row],[d-DMSO (uL) ]:[ NH4Cl (uL)]])</f>
        <v>0</v>
      </c>
      <c r="O354">
        <f>647</f>
        <v>647</v>
      </c>
      <c r="P354">
        <f>NMRPrep[[#This Row],[Total (uL) ]]-NMRPrep[[#This Row],[Target (uL)]]</f>
        <v>-647</v>
      </c>
      <c r="R354" t="e">
        <f>(NMRPrep[[#This Row],[NH4Cl Stock Concentration (mM)]]*NMRPrep[[#This Row],[ NH4Cl (uL)]])/SUM(NMRPrep[[#This Row],[DI (uL) ]:[ NH4Cl (uL)]])</f>
        <v>#DIV/0!</v>
      </c>
    </row>
    <row r="355" spans="1:18" x14ac:dyDescent="0.25">
      <c r="A355" s="1">
        <f>SampleList[[#This Row],[Date Sampled]]</f>
        <v>0</v>
      </c>
      <c r="B355" t="str" cm="1">
        <f t="array" ref="B355">IF(ISBLANK(INDEX(SampleList[NMR],ROW()-1)),"Not Requested",INDEX(SampleList[Experiment ID],ROW()-1))</f>
        <v>Not Requested</v>
      </c>
      <c r="C355">
        <f>SampleList[[#This Row],[Duration (Days)]]</f>
        <v>0</v>
      </c>
      <c r="D355">
        <f>SampleList[[#This Row],[Sample Description]]</f>
        <v>0</v>
      </c>
      <c r="N355">
        <f>SUM(NMRPrep[[#This Row],[d-DMSO (uL) ]:[ NH4Cl (uL)]])</f>
        <v>0</v>
      </c>
      <c r="O355">
        <f>647</f>
        <v>647</v>
      </c>
      <c r="P355">
        <f>NMRPrep[[#This Row],[Total (uL) ]]-NMRPrep[[#This Row],[Target (uL)]]</f>
        <v>-647</v>
      </c>
      <c r="R355" t="e">
        <f>(NMRPrep[[#This Row],[NH4Cl Stock Concentration (mM)]]*NMRPrep[[#This Row],[ NH4Cl (uL)]])/SUM(NMRPrep[[#This Row],[DI (uL) ]:[ NH4Cl (uL)]])</f>
        <v>#DIV/0!</v>
      </c>
    </row>
    <row r="356" spans="1:18" x14ac:dyDescent="0.25">
      <c r="A356" s="1">
        <f>SampleList[[#This Row],[Date Sampled]]</f>
        <v>0</v>
      </c>
      <c r="B356" t="str" cm="1">
        <f t="array" ref="B356">IF(ISBLANK(INDEX(SampleList[NMR],ROW()-1)),"Not Requested",INDEX(SampleList[Experiment ID],ROW()-1))</f>
        <v>Not Requested</v>
      </c>
      <c r="C356">
        <f>SampleList[[#This Row],[Duration (Days)]]</f>
        <v>0</v>
      </c>
      <c r="D356">
        <f>SampleList[[#This Row],[Sample Description]]</f>
        <v>0</v>
      </c>
      <c r="N356">
        <f>SUM(NMRPrep[[#This Row],[d-DMSO (uL) ]:[ NH4Cl (uL)]])</f>
        <v>0</v>
      </c>
      <c r="O356">
        <f>647</f>
        <v>647</v>
      </c>
      <c r="P356">
        <f>NMRPrep[[#This Row],[Total (uL) ]]-NMRPrep[[#This Row],[Target (uL)]]</f>
        <v>-647</v>
      </c>
      <c r="R356" t="e">
        <f>(NMRPrep[[#This Row],[NH4Cl Stock Concentration (mM)]]*NMRPrep[[#This Row],[ NH4Cl (uL)]])/SUM(NMRPrep[[#This Row],[DI (uL) ]:[ NH4Cl (uL)]])</f>
        <v>#DIV/0!</v>
      </c>
    </row>
    <row r="357" spans="1:18" x14ac:dyDescent="0.25">
      <c r="A357" s="1">
        <f>SampleList[[#This Row],[Date Sampled]]</f>
        <v>0</v>
      </c>
      <c r="B357" t="str" cm="1">
        <f t="array" ref="B357">IF(ISBLANK(INDEX(SampleList[NMR],ROW()-1)),"Not Requested",INDEX(SampleList[Experiment ID],ROW()-1))</f>
        <v>Not Requested</v>
      </c>
      <c r="C357">
        <f>SampleList[[#This Row],[Duration (Days)]]</f>
        <v>0</v>
      </c>
      <c r="D357">
        <f>SampleList[[#This Row],[Sample Description]]</f>
        <v>0</v>
      </c>
      <c r="N357">
        <f>SUM(NMRPrep[[#This Row],[d-DMSO (uL) ]:[ NH4Cl (uL)]])</f>
        <v>0</v>
      </c>
      <c r="O357">
        <f>647</f>
        <v>647</v>
      </c>
      <c r="P357">
        <f>NMRPrep[[#This Row],[Total (uL) ]]-NMRPrep[[#This Row],[Target (uL)]]</f>
        <v>-647</v>
      </c>
      <c r="R357" t="e">
        <f>(NMRPrep[[#This Row],[NH4Cl Stock Concentration (mM)]]*NMRPrep[[#This Row],[ NH4Cl (uL)]])/SUM(NMRPrep[[#This Row],[DI (uL) ]:[ NH4Cl (uL)]])</f>
        <v>#DIV/0!</v>
      </c>
    </row>
    <row r="358" spans="1:18" x14ac:dyDescent="0.25">
      <c r="A358" s="1">
        <f>SampleList[[#This Row],[Date Sampled]]</f>
        <v>0</v>
      </c>
      <c r="B358" t="str" cm="1">
        <f t="array" ref="B358">IF(ISBLANK(INDEX(SampleList[NMR],ROW()-1)),"Not Requested",INDEX(SampleList[Experiment ID],ROW()-1))</f>
        <v>Not Requested</v>
      </c>
      <c r="C358">
        <f>SampleList[[#This Row],[Duration (Days)]]</f>
        <v>0</v>
      </c>
      <c r="D358">
        <f>SampleList[[#This Row],[Sample Description]]</f>
        <v>0</v>
      </c>
      <c r="N358">
        <f>SUM(NMRPrep[[#This Row],[d-DMSO (uL) ]:[ NH4Cl (uL)]])</f>
        <v>0</v>
      </c>
      <c r="O358">
        <f>647</f>
        <v>647</v>
      </c>
      <c r="P358">
        <f>NMRPrep[[#This Row],[Total (uL) ]]-NMRPrep[[#This Row],[Target (uL)]]</f>
        <v>-647</v>
      </c>
      <c r="R358" t="e">
        <f>(NMRPrep[[#This Row],[NH4Cl Stock Concentration (mM)]]*NMRPrep[[#This Row],[ NH4Cl (uL)]])/SUM(NMRPrep[[#This Row],[DI (uL) ]:[ NH4Cl (uL)]])</f>
        <v>#DIV/0!</v>
      </c>
    </row>
    <row r="359" spans="1:18" x14ac:dyDescent="0.25">
      <c r="A359" s="1">
        <f>SampleList[[#This Row],[Date Sampled]]</f>
        <v>0</v>
      </c>
      <c r="B359" t="str" cm="1">
        <f t="array" ref="B359">IF(ISBLANK(INDEX(SampleList[NMR],ROW()-1)),"Not Requested",INDEX(SampleList[Experiment ID],ROW()-1))</f>
        <v>Not Requested</v>
      </c>
      <c r="C359">
        <f>SampleList[[#This Row],[Duration (Days)]]</f>
        <v>0</v>
      </c>
      <c r="D359">
        <f>SampleList[[#This Row],[Sample Description]]</f>
        <v>0</v>
      </c>
      <c r="N359">
        <f>SUM(NMRPrep[[#This Row],[d-DMSO (uL) ]:[ NH4Cl (uL)]])</f>
        <v>0</v>
      </c>
      <c r="O359">
        <f>647</f>
        <v>647</v>
      </c>
      <c r="P359">
        <f>NMRPrep[[#This Row],[Total (uL) ]]-NMRPrep[[#This Row],[Target (uL)]]</f>
        <v>-647</v>
      </c>
      <c r="R359" t="e">
        <f>(NMRPrep[[#This Row],[NH4Cl Stock Concentration (mM)]]*NMRPrep[[#This Row],[ NH4Cl (uL)]])/SUM(NMRPrep[[#This Row],[DI (uL) ]:[ NH4Cl (uL)]])</f>
        <v>#DIV/0!</v>
      </c>
    </row>
    <row r="360" spans="1:18" x14ac:dyDescent="0.25">
      <c r="A360" s="1">
        <f>SampleList[[#This Row],[Date Sampled]]</f>
        <v>0</v>
      </c>
      <c r="B360" t="str" cm="1">
        <f t="array" ref="B360">IF(ISBLANK(INDEX(SampleList[NMR],ROW()-1)),"Not Requested",INDEX(SampleList[Experiment ID],ROW()-1))</f>
        <v>Not Requested</v>
      </c>
      <c r="C360">
        <f>SampleList[[#This Row],[Duration (Days)]]</f>
        <v>0</v>
      </c>
      <c r="D360">
        <f>SampleList[[#This Row],[Sample Description]]</f>
        <v>0</v>
      </c>
      <c r="N360">
        <f>SUM(NMRPrep[[#This Row],[d-DMSO (uL) ]:[ NH4Cl (uL)]])</f>
        <v>0</v>
      </c>
      <c r="O360">
        <f>647</f>
        <v>647</v>
      </c>
      <c r="P360">
        <f>NMRPrep[[#This Row],[Total (uL) ]]-NMRPrep[[#This Row],[Target (uL)]]</f>
        <v>-647</v>
      </c>
      <c r="R360" t="e">
        <f>(NMRPrep[[#This Row],[NH4Cl Stock Concentration (mM)]]*NMRPrep[[#This Row],[ NH4Cl (uL)]])/SUM(NMRPrep[[#This Row],[DI (uL) ]:[ NH4Cl (uL)]])</f>
        <v>#DIV/0!</v>
      </c>
    </row>
    <row r="361" spans="1:18" x14ac:dyDescent="0.25">
      <c r="A361" s="1">
        <f>SampleList[[#This Row],[Date Sampled]]</f>
        <v>0</v>
      </c>
      <c r="B361" t="str" cm="1">
        <f t="array" ref="B361">IF(ISBLANK(INDEX(SampleList[NMR],ROW()-1)),"Not Requested",INDEX(SampleList[Experiment ID],ROW()-1))</f>
        <v>Not Requested</v>
      </c>
      <c r="C361">
        <f>SampleList[[#This Row],[Duration (Days)]]</f>
        <v>0</v>
      </c>
      <c r="D361">
        <f>SampleList[[#This Row],[Sample Description]]</f>
        <v>0</v>
      </c>
      <c r="N361">
        <f>SUM(NMRPrep[[#This Row],[d-DMSO (uL) ]:[ NH4Cl (uL)]])</f>
        <v>0</v>
      </c>
      <c r="O361">
        <f>647</f>
        <v>647</v>
      </c>
      <c r="P361">
        <f>NMRPrep[[#This Row],[Total (uL) ]]-NMRPrep[[#This Row],[Target (uL)]]</f>
        <v>-647</v>
      </c>
      <c r="R361" t="e">
        <f>(NMRPrep[[#This Row],[NH4Cl Stock Concentration (mM)]]*NMRPrep[[#This Row],[ NH4Cl (uL)]])/SUM(NMRPrep[[#This Row],[DI (uL) ]:[ NH4Cl (uL)]])</f>
        <v>#DIV/0!</v>
      </c>
    </row>
    <row r="362" spans="1:18" x14ac:dyDescent="0.25">
      <c r="A362" s="1">
        <f>SampleList[[#This Row],[Date Sampled]]</f>
        <v>0</v>
      </c>
      <c r="B362" t="str" cm="1">
        <f t="array" ref="B362">IF(ISBLANK(INDEX(SampleList[NMR],ROW()-1)),"Not Requested",INDEX(SampleList[Experiment ID],ROW()-1))</f>
        <v>Not Requested</v>
      </c>
      <c r="C362">
        <f>SampleList[[#This Row],[Duration (Days)]]</f>
        <v>0</v>
      </c>
      <c r="D362">
        <f>SampleList[[#This Row],[Sample Description]]</f>
        <v>0</v>
      </c>
      <c r="N362">
        <f>SUM(NMRPrep[[#This Row],[d-DMSO (uL) ]:[ NH4Cl (uL)]])</f>
        <v>0</v>
      </c>
      <c r="O362">
        <f>647</f>
        <v>647</v>
      </c>
      <c r="P362">
        <f>NMRPrep[[#This Row],[Total (uL) ]]-NMRPrep[[#This Row],[Target (uL)]]</f>
        <v>-647</v>
      </c>
      <c r="R362" t="e">
        <f>(NMRPrep[[#This Row],[NH4Cl Stock Concentration (mM)]]*NMRPrep[[#This Row],[ NH4Cl (uL)]])/SUM(NMRPrep[[#This Row],[DI (uL) ]:[ NH4Cl (uL)]])</f>
        <v>#DIV/0!</v>
      </c>
    </row>
    <row r="363" spans="1:18" x14ac:dyDescent="0.25">
      <c r="A363" s="1">
        <f>SampleList[[#This Row],[Date Sampled]]</f>
        <v>0</v>
      </c>
      <c r="B363" t="str" cm="1">
        <f t="array" ref="B363">IF(ISBLANK(INDEX(SampleList[NMR],ROW()-1)),"Not Requested",INDEX(SampleList[Experiment ID],ROW()-1))</f>
        <v>Not Requested</v>
      </c>
      <c r="C363">
        <f>SampleList[[#This Row],[Duration (Days)]]</f>
        <v>0</v>
      </c>
      <c r="D363">
        <f>SampleList[[#This Row],[Sample Description]]</f>
        <v>0</v>
      </c>
      <c r="N363">
        <f>SUM(NMRPrep[[#This Row],[d-DMSO (uL) ]:[ NH4Cl (uL)]])</f>
        <v>0</v>
      </c>
      <c r="O363">
        <f>647</f>
        <v>647</v>
      </c>
      <c r="P363">
        <f>NMRPrep[[#This Row],[Total (uL) ]]-NMRPrep[[#This Row],[Target (uL)]]</f>
        <v>-647</v>
      </c>
      <c r="R363" t="e">
        <f>(NMRPrep[[#This Row],[NH4Cl Stock Concentration (mM)]]*NMRPrep[[#This Row],[ NH4Cl (uL)]])/SUM(NMRPrep[[#This Row],[DI (uL) ]:[ NH4Cl (uL)]])</f>
        <v>#DIV/0!</v>
      </c>
    </row>
    <row r="364" spans="1:18" x14ac:dyDescent="0.25">
      <c r="A364" s="1">
        <f>SampleList[[#This Row],[Date Sampled]]</f>
        <v>0</v>
      </c>
      <c r="B364" t="str" cm="1">
        <f t="array" ref="B364">IF(ISBLANK(INDEX(SampleList[NMR],ROW()-1)),"Not Requested",INDEX(SampleList[Experiment ID],ROW()-1))</f>
        <v>Not Requested</v>
      </c>
      <c r="C364">
        <f>SampleList[[#This Row],[Duration (Days)]]</f>
        <v>0</v>
      </c>
      <c r="D364">
        <f>SampleList[[#This Row],[Sample Description]]</f>
        <v>0</v>
      </c>
      <c r="N364">
        <f>SUM(NMRPrep[[#This Row],[d-DMSO (uL) ]:[ NH4Cl (uL)]])</f>
        <v>0</v>
      </c>
      <c r="O364">
        <f>647</f>
        <v>647</v>
      </c>
      <c r="P364">
        <f>NMRPrep[[#This Row],[Total (uL) ]]-NMRPrep[[#This Row],[Target (uL)]]</f>
        <v>-647</v>
      </c>
      <c r="R364" t="e">
        <f>(NMRPrep[[#This Row],[NH4Cl Stock Concentration (mM)]]*NMRPrep[[#This Row],[ NH4Cl (uL)]])/SUM(NMRPrep[[#This Row],[DI (uL) ]:[ NH4Cl (uL)]])</f>
        <v>#DIV/0!</v>
      </c>
    </row>
    <row r="365" spans="1:18" x14ac:dyDescent="0.25">
      <c r="A365" s="1">
        <f>SampleList[[#This Row],[Date Sampled]]</f>
        <v>0</v>
      </c>
      <c r="B365" t="str" cm="1">
        <f t="array" ref="B365">IF(ISBLANK(INDEX(SampleList[NMR],ROW()-1)),"Not Requested",INDEX(SampleList[Experiment ID],ROW()-1))</f>
        <v>Not Requested</v>
      </c>
      <c r="C365">
        <f>SampleList[[#This Row],[Duration (Days)]]</f>
        <v>0</v>
      </c>
      <c r="D365">
        <f>SampleList[[#This Row],[Sample Description]]</f>
        <v>0</v>
      </c>
      <c r="N365">
        <f>SUM(NMRPrep[[#This Row],[d-DMSO (uL) ]:[ NH4Cl (uL)]])</f>
        <v>0</v>
      </c>
      <c r="O365">
        <f>647</f>
        <v>647</v>
      </c>
      <c r="P365">
        <f>NMRPrep[[#This Row],[Total (uL) ]]-NMRPrep[[#This Row],[Target (uL)]]</f>
        <v>-647</v>
      </c>
      <c r="R365" t="e">
        <f>(NMRPrep[[#This Row],[NH4Cl Stock Concentration (mM)]]*NMRPrep[[#This Row],[ NH4Cl (uL)]])/SUM(NMRPrep[[#This Row],[DI (uL) ]:[ NH4Cl (uL)]])</f>
        <v>#DIV/0!</v>
      </c>
    </row>
    <row r="366" spans="1:18" x14ac:dyDescent="0.25">
      <c r="A366" s="1">
        <f>SampleList[[#This Row],[Date Sampled]]</f>
        <v>0</v>
      </c>
      <c r="B366" t="str" cm="1">
        <f t="array" ref="B366">IF(ISBLANK(INDEX(SampleList[NMR],ROW()-1)),"Not Requested",INDEX(SampleList[Experiment ID],ROW()-1))</f>
        <v>Not Requested</v>
      </c>
      <c r="C366">
        <f>SampleList[[#This Row],[Duration (Days)]]</f>
        <v>0</v>
      </c>
      <c r="D366">
        <f>SampleList[[#This Row],[Sample Description]]</f>
        <v>0</v>
      </c>
      <c r="N366">
        <f>SUM(NMRPrep[[#This Row],[d-DMSO (uL) ]:[ NH4Cl (uL)]])</f>
        <v>0</v>
      </c>
      <c r="O366">
        <f>647</f>
        <v>647</v>
      </c>
      <c r="P366">
        <f>NMRPrep[[#This Row],[Total (uL) ]]-NMRPrep[[#This Row],[Target (uL)]]</f>
        <v>-647</v>
      </c>
      <c r="R366" t="e">
        <f>(NMRPrep[[#This Row],[NH4Cl Stock Concentration (mM)]]*NMRPrep[[#This Row],[ NH4Cl (uL)]])/SUM(NMRPrep[[#This Row],[DI (uL) ]:[ NH4Cl (uL)]])</f>
        <v>#DIV/0!</v>
      </c>
    </row>
    <row r="367" spans="1:18" x14ac:dyDescent="0.25">
      <c r="A367" s="1">
        <f>SampleList[[#This Row],[Date Sampled]]</f>
        <v>0</v>
      </c>
      <c r="B367" t="str" cm="1">
        <f t="array" ref="B367">IF(ISBLANK(INDEX(SampleList[NMR],ROW()-1)),"Not Requested",INDEX(SampleList[Experiment ID],ROW()-1))</f>
        <v>Not Requested</v>
      </c>
      <c r="C367">
        <f>SampleList[[#This Row],[Duration (Days)]]</f>
        <v>0</v>
      </c>
      <c r="D367">
        <f>SampleList[[#This Row],[Sample Description]]</f>
        <v>0</v>
      </c>
      <c r="N367">
        <f>SUM(NMRPrep[[#This Row],[d-DMSO (uL) ]:[ NH4Cl (uL)]])</f>
        <v>0</v>
      </c>
      <c r="O367">
        <f>647</f>
        <v>647</v>
      </c>
      <c r="P367">
        <f>NMRPrep[[#This Row],[Total (uL) ]]-NMRPrep[[#This Row],[Target (uL)]]</f>
        <v>-647</v>
      </c>
      <c r="R367" t="e">
        <f>(NMRPrep[[#This Row],[NH4Cl Stock Concentration (mM)]]*NMRPrep[[#This Row],[ NH4Cl (uL)]])/SUM(NMRPrep[[#This Row],[DI (uL) ]:[ NH4Cl (uL)]])</f>
        <v>#DIV/0!</v>
      </c>
    </row>
    <row r="368" spans="1:18" x14ac:dyDescent="0.25">
      <c r="A368" s="1">
        <f>SampleList[[#This Row],[Date Sampled]]</f>
        <v>0</v>
      </c>
      <c r="B368" t="str" cm="1">
        <f t="array" ref="B368">IF(ISBLANK(INDEX(SampleList[NMR],ROW()-1)),"Not Requested",INDEX(SampleList[Experiment ID],ROW()-1))</f>
        <v>Not Requested</v>
      </c>
      <c r="C368">
        <f>SampleList[[#This Row],[Duration (Days)]]</f>
        <v>0</v>
      </c>
      <c r="D368">
        <f>SampleList[[#This Row],[Sample Description]]</f>
        <v>0</v>
      </c>
      <c r="N368">
        <f>SUM(NMRPrep[[#This Row],[d-DMSO (uL) ]:[ NH4Cl (uL)]])</f>
        <v>0</v>
      </c>
      <c r="O368">
        <f>647</f>
        <v>647</v>
      </c>
      <c r="P368">
        <f>NMRPrep[[#This Row],[Total (uL) ]]-NMRPrep[[#This Row],[Target (uL)]]</f>
        <v>-647</v>
      </c>
      <c r="R368" t="e">
        <f>(NMRPrep[[#This Row],[NH4Cl Stock Concentration (mM)]]*NMRPrep[[#This Row],[ NH4Cl (uL)]])/SUM(NMRPrep[[#This Row],[DI (uL) ]:[ NH4Cl (uL)]])</f>
        <v>#DIV/0!</v>
      </c>
    </row>
    <row r="369" spans="1:18" x14ac:dyDescent="0.25">
      <c r="A369" s="1">
        <f>SampleList[[#This Row],[Date Sampled]]</f>
        <v>0</v>
      </c>
      <c r="B369" t="str" cm="1">
        <f t="array" ref="B369">IF(ISBLANK(INDEX(SampleList[NMR],ROW()-1)),"Not Requested",INDEX(SampleList[Experiment ID],ROW()-1))</f>
        <v>Not Requested</v>
      </c>
      <c r="C369">
        <f>SampleList[[#This Row],[Duration (Days)]]</f>
        <v>0</v>
      </c>
      <c r="D369">
        <f>SampleList[[#This Row],[Sample Description]]</f>
        <v>0</v>
      </c>
      <c r="N369">
        <f>SUM(NMRPrep[[#This Row],[d-DMSO (uL) ]:[ NH4Cl (uL)]])</f>
        <v>0</v>
      </c>
      <c r="O369">
        <f>647</f>
        <v>647</v>
      </c>
      <c r="P369">
        <f>NMRPrep[[#This Row],[Total (uL) ]]-NMRPrep[[#This Row],[Target (uL)]]</f>
        <v>-647</v>
      </c>
      <c r="R369" t="e">
        <f>(NMRPrep[[#This Row],[NH4Cl Stock Concentration (mM)]]*NMRPrep[[#This Row],[ NH4Cl (uL)]])/SUM(NMRPrep[[#This Row],[DI (uL) ]:[ NH4Cl (uL)]])</f>
        <v>#DIV/0!</v>
      </c>
    </row>
    <row r="370" spans="1:18" x14ac:dyDescent="0.25">
      <c r="A370" s="1">
        <f>SampleList[[#This Row],[Date Sampled]]</f>
        <v>0</v>
      </c>
      <c r="B370" t="str" cm="1">
        <f t="array" ref="B370">IF(ISBLANK(INDEX(SampleList[NMR],ROW()-1)),"Not Requested",INDEX(SampleList[Experiment ID],ROW()-1))</f>
        <v>Not Requested</v>
      </c>
      <c r="C370">
        <f>SampleList[[#This Row],[Duration (Days)]]</f>
        <v>0</v>
      </c>
      <c r="D370">
        <f>SampleList[[#This Row],[Sample Description]]</f>
        <v>0</v>
      </c>
      <c r="N370">
        <f>SUM(NMRPrep[[#This Row],[d-DMSO (uL) ]:[ NH4Cl (uL)]])</f>
        <v>0</v>
      </c>
      <c r="O370">
        <f>647</f>
        <v>647</v>
      </c>
      <c r="P370">
        <f>NMRPrep[[#This Row],[Total (uL) ]]-NMRPrep[[#This Row],[Target (uL)]]</f>
        <v>-647</v>
      </c>
      <c r="R370" t="e">
        <f>(NMRPrep[[#This Row],[NH4Cl Stock Concentration (mM)]]*NMRPrep[[#This Row],[ NH4Cl (uL)]])/SUM(NMRPrep[[#This Row],[DI (uL) ]:[ NH4Cl (uL)]])</f>
        <v>#DIV/0!</v>
      </c>
    </row>
    <row r="371" spans="1:18" x14ac:dyDescent="0.25">
      <c r="A371" s="1">
        <f>SampleList[[#This Row],[Date Sampled]]</f>
        <v>0</v>
      </c>
      <c r="B371" t="str" cm="1">
        <f t="array" ref="B371">IF(ISBLANK(INDEX(SampleList[NMR],ROW()-1)),"Not Requested",INDEX(SampleList[Experiment ID],ROW()-1))</f>
        <v>Not Requested</v>
      </c>
      <c r="C371">
        <f>SampleList[[#This Row],[Duration (Days)]]</f>
        <v>0</v>
      </c>
      <c r="D371">
        <f>SampleList[[#This Row],[Sample Description]]</f>
        <v>0</v>
      </c>
      <c r="N371">
        <f>SUM(NMRPrep[[#This Row],[d-DMSO (uL) ]:[ NH4Cl (uL)]])</f>
        <v>0</v>
      </c>
      <c r="O371">
        <f>647</f>
        <v>647</v>
      </c>
      <c r="P371">
        <f>NMRPrep[[#This Row],[Total (uL) ]]-NMRPrep[[#This Row],[Target (uL)]]</f>
        <v>-647</v>
      </c>
      <c r="R371" t="e">
        <f>(NMRPrep[[#This Row],[NH4Cl Stock Concentration (mM)]]*NMRPrep[[#This Row],[ NH4Cl (uL)]])/SUM(NMRPrep[[#This Row],[DI (uL) ]:[ NH4Cl (uL)]])</f>
        <v>#DIV/0!</v>
      </c>
    </row>
    <row r="372" spans="1:18" x14ac:dyDescent="0.25">
      <c r="A372" s="1">
        <f>SampleList[[#This Row],[Date Sampled]]</f>
        <v>0</v>
      </c>
      <c r="B372" t="str" cm="1">
        <f t="array" ref="B372">IF(ISBLANK(INDEX(SampleList[NMR],ROW()-1)),"Not Requested",INDEX(SampleList[Experiment ID],ROW()-1))</f>
        <v>Not Requested</v>
      </c>
      <c r="C372">
        <f>SampleList[[#This Row],[Duration (Days)]]</f>
        <v>0</v>
      </c>
      <c r="D372">
        <f>SampleList[[#This Row],[Sample Description]]</f>
        <v>0</v>
      </c>
      <c r="N372">
        <f>SUM(NMRPrep[[#This Row],[d-DMSO (uL) ]:[ NH4Cl (uL)]])</f>
        <v>0</v>
      </c>
      <c r="O372">
        <f>647</f>
        <v>647</v>
      </c>
      <c r="P372">
        <f>NMRPrep[[#This Row],[Total (uL) ]]-NMRPrep[[#This Row],[Target (uL)]]</f>
        <v>-647</v>
      </c>
      <c r="R372" t="e">
        <f>(NMRPrep[[#This Row],[NH4Cl Stock Concentration (mM)]]*NMRPrep[[#This Row],[ NH4Cl (uL)]])/SUM(NMRPrep[[#This Row],[DI (uL) ]:[ NH4Cl (uL)]])</f>
        <v>#DIV/0!</v>
      </c>
    </row>
    <row r="373" spans="1:18" x14ac:dyDescent="0.25">
      <c r="A373" s="1">
        <f>SampleList[[#This Row],[Date Sampled]]</f>
        <v>0</v>
      </c>
      <c r="B373" t="str" cm="1">
        <f t="array" ref="B373">IF(ISBLANK(INDEX(SampleList[NMR],ROW()-1)),"Not Requested",INDEX(SampleList[Experiment ID],ROW()-1))</f>
        <v>Not Requested</v>
      </c>
      <c r="C373">
        <f>SampleList[[#This Row],[Duration (Days)]]</f>
        <v>0</v>
      </c>
      <c r="D373">
        <f>SampleList[[#This Row],[Sample Description]]</f>
        <v>0</v>
      </c>
      <c r="N373">
        <f>SUM(NMRPrep[[#This Row],[d-DMSO (uL) ]:[ NH4Cl (uL)]])</f>
        <v>0</v>
      </c>
      <c r="O373">
        <f>647</f>
        <v>647</v>
      </c>
      <c r="P373">
        <f>NMRPrep[[#This Row],[Total (uL) ]]-NMRPrep[[#This Row],[Target (uL)]]</f>
        <v>-647</v>
      </c>
      <c r="R373" t="e">
        <f>(NMRPrep[[#This Row],[NH4Cl Stock Concentration (mM)]]*NMRPrep[[#This Row],[ NH4Cl (uL)]])/SUM(NMRPrep[[#This Row],[DI (uL) ]:[ NH4Cl (uL)]])</f>
        <v>#DIV/0!</v>
      </c>
    </row>
    <row r="374" spans="1:18" x14ac:dyDescent="0.25">
      <c r="A374" s="1">
        <f>SampleList[[#This Row],[Date Sampled]]</f>
        <v>0</v>
      </c>
      <c r="B374" t="str" cm="1">
        <f t="array" ref="B374">IF(ISBLANK(INDEX(SampleList[NMR],ROW()-1)),"Not Requested",INDEX(SampleList[Experiment ID],ROW()-1))</f>
        <v>Not Requested</v>
      </c>
      <c r="C374">
        <f>SampleList[[#This Row],[Duration (Days)]]</f>
        <v>0</v>
      </c>
      <c r="D374">
        <f>SampleList[[#This Row],[Sample Description]]</f>
        <v>0</v>
      </c>
      <c r="N374">
        <f>SUM(NMRPrep[[#This Row],[d-DMSO (uL) ]:[ NH4Cl (uL)]])</f>
        <v>0</v>
      </c>
      <c r="O374">
        <f>647</f>
        <v>647</v>
      </c>
      <c r="P374">
        <f>NMRPrep[[#This Row],[Total (uL) ]]-NMRPrep[[#This Row],[Target (uL)]]</f>
        <v>-647</v>
      </c>
      <c r="R374" t="e">
        <f>(NMRPrep[[#This Row],[NH4Cl Stock Concentration (mM)]]*NMRPrep[[#This Row],[ NH4Cl (uL)]])/SUM(NMRPrep[[#This Row],[DI (uL) ]:[ NH4Cl (uL)]])</f>
        <v>#DIV/0!</v>
      </c>
    </row>
    <row r="375" spans="1:18" x14ac:dyDescent="0.25">
      <c r="A375" s="1">
        <f>SampleList[[#This Row],[Date Sampled]]</f>
        <v>0</v>
      </c>
      <c r="B375" t="str" cm="1">
        <f t="array" ref="B375">IF(ISBLANK(INDEX(SampleList[NMR],ROW()-1)),"Not Requested",INDEX(SampleList[Experiment ID],ROW()-1))</f>
        <v>Not Requested</v>
      </c>
      <c r="C375">
        <f>SampleList[[#This Row],[Duration (Days)]]</f>
        <v>0</v>
      </c>
      <c r="D375">
        <f>SampleList[[#This Row],[Sample Description]]</f>
        <v>0</v>
      </c>
      <c r="N375">
        <f>SUM(NMRPrep[[#This Row],[d-DMSO (uL) ]:[ NH4Cl (uL)]])</f>
        <v>0</v>
      </c>
      <c r="O375">
        <f>647</f>
        <v>647</v>
      </c>
      <c r="P375">
        <f>NMRPrep[[#This Row],[Total (uL) ]]-NMRPrep[[#This Row],[Target (uL)]]</f>
        <v>-647</v>
      </c>
      <c r="R375" t="e">
        <f>(NMRPrep[[#This Row],[NH4Cl Stock Concentration (mM)]]*NMRPrep[[#This Row],[ NH4Cl (uL)]])/SUM(NMRPrep[[#This Row],[DI (uL) ]:[ NH4Cl (uL)]])</f>
        <v>#DIV/0!</v>
      </c>
    </row>
    <row r="376" spans="1:18" x14ac:dyDescent="0.25">
      <c r="A376" s="1">
        <f>SampleList[[#This Row],[Date Sampled]]</f>
        <v>0</v>
      </c>
      <c r="B376" t="str" cm="1">
        <f t="array" ref="B376">IF(ISBLANK(INDEX(SampleList[NMR],ROW()-1)),"Not Requested",INDEX(SampleList[Experiment ID],ROW()-1))</f>
        <v>Not Requested</v>
      </c>
      <c r="C376">
        <f>SampleList[[#This Row],[Duration (Days)]]</f>
        <v>0</v>
      </c>
      <c r="D376">
        <f>SampleList[[#This Row],[Sample Description]]</f>
        <v>0</v>
      </c>
      <c r="N376">
        <f>SUM(NMRPrep[[#This Row],[d-DMSO (uL) ]:[ NH4Cl (uL)]])</f>
        <v>0</v>
      </c>
      <c r="O376">
        <f>647</f>
        <v>647</v>
      </c>
      <c r="P376">
        <f>NMRPrep[[#This Row],[Total (uL) ]]-NMRPrep[[#This Row],[Target (uL)]]</f>
        <v>-647</v>
      </c>
      <c r="R376" t="e">
        <f>(NMRPrep[[#This Row],[NH4Cl Stock Concentration (mM)]]*NMRPrep[[#This Row],[ NH4Cl (uL)]])/SUM(NMRPrep[[#This Row],[DI (uL) ]:[ NH4Cl (uL)]])</f>
        <v>#DIV/0!</v>
      </c>
    </row>
    <row r="377" spans="1:18" x14ac:dyDescent="0.25">
      <c r="A377" s="1">
        <f>SampleList[[#This Row],[Date Sampled]]</f>
        <v>0</v>
      </c>
      <c r="B377" t="str" cm="1">
        <f t="array" ref="B377">IF(ISBLANK(INDEX(SampleList[NMR],ROW()-1)),"Not Requested",INDEX(SampleList[Experiment ID],ROW()-1))</f>
        <v>Not Requested</v>
      </c>
      <c r="C377">
        <f>SampleList[[#This Row],[Duration (Days)]]</f>
        <v>0</v>
      </c>
      <c r="D377">
        <f>SampleList[[#This Row],[Sample Description]]</f>
        <v>0</v>
      </c>
      <c r="N377">
        <f>SUM(NMRPrep[[#This Row],[d-DMSO (uL) ]:[ NH4Cl (uL)]])</f>
        <v>0</v>
      </c>
      <c r="O377">
        <f>647</f>
        <v>647</v>
      </c>
      <c r="P377">
        <f>NMRPrep[[#This Row],[Total (uL) ]]-NMRPrep[[#This Row],[Target (uL)]]</f>
        <v>-647</v>
      </c>
      <c r="R377" t="e">
        <f>(NMRPrep[[#This Row],[NH4Cl Stock Concentration (mM)]]*NMRPrep[[#This Row],[ NH4Cl (uL)]])/SUM(NMRPrep[[#This Row],[DI (uL) ]:[ NH4Cl (uL)]])</f>
        <v>#DIV/0!</v>
      </c>
    </row>
    <row r="378" spans="1:18" x14ac:dyDescent="0.25">
      <c r="A378" s="1">
        <f>SampleList[[#This Row],[Date Sampled]]</f>
        <v>0</v>
      </c>
      <c r="B378" t="str" cm="1">
        <f t="array" ref="B378">IF(ISBLANK(INDEX(SampleList[NMR],ROW()-1)),"Not Requested",INDEX(SampleList[Experiment ID],ROW()-1))</f>
        <v>Not Requested</v>
      </c>
      <c r="C378">
        <f>SampleList[[#This Row],[Duration (Days)]]</f>
        <v>0</v>
      </c>
      <c r="D378">
        <f>SampleList[[#This Row],[Sample Description]]</f>
        <v>0</v>
      </c>
      <c r="N378">
        <f>SUM(NMRPrep[[#This Row],[d-DMSO (uL) ]:[ NH4Cl (uL)]])</f>
        <v>0</v>
      </c>
      <c r="O378">
        <f>647</f>
        <v>647</v>
      </c>
      <c r="P378">
        <f>NMRPrep[[#This Row],[Total (uL) ]]-NMRPrep[[#This Row],[Target (uL)]]</f>
        <v>-647</v>
      </c>
      <c r="R378" t="e">
        <f>(NMRPrep[[#This Row],[NH4Cl Stock Concentration (mM)]]*NMRPrep[[#This Row],[ NH4Cl (uL)]])/SUM(NMRPrep[[#This Row],[DI (uL) ]:[ NH4Cl (uL)]])</f>
        <v>#DIV/0!</v>
      </c>
    </row>
    <row r="379" spans="1:18" x14ac:dyDescent="0.25">
      <c r="A379" s="1">
        <f>SampleList[[#This Row],[Date Sampled]]</f>
        <v>0</v>
      </c>
      <c r="B379" t="str" cm="1">
        <f t="array" ref="B379">IF(ISBLANK(INDEX(SampleList[NMR],ROW()-1)),"Not Requested",INDEX(SampleList[Experiment ID],ROW()-1))</f>
        <v>Not Requested</v>
      </c>
      <c r="C379">
        <f>SampleList[[#This Row],[Duration (Days)]]</f>
        <v>0</v>
      </c>
      <c r="D379">
        <f>SampleList[[#This Row],[Sample Description]]</f>
        <v>0</v>
      </c>
      <c r="N379">
        <f>SUM(NMRPrep[[#This Row],[d-DMSO (uL) ]:[ NH4Cl (uL)]])</f>
        <v>0</v>
      </c>
      <c r="O379">
        <f>647</f>
        <v>647</v>
      </c>
      <c r="P379">
        <f>NMRPrep[[#This Row],[Total (uL) ]]-NMRPrep[[#This Row],[Target (uL)]]</f>
        <v>-647</v>
      </c>
      <c r="R379" t="e">
        <f>(NMRPrep[[#This Row],[NH4Cl Stock Concentration (mM)]]*NMRPrep[[#This Row],[ NH4Cl (uL)]])/SUM(NMRPrep[[#This Row],[DI (uL) ]:[ NH4Cl (uL)]])</f>
        <v>#DIV/0!</v>
      </c>
    </row>
    <row r="380" spans="1:18" x14ac:dyDescent="0.25">
      <c r="A380" s="1">
        <f>SampleList[[#This Row],[Date Sampled]]</f>
        <v>0</v>
      </c>
      <c r="B380" t="str" cm="1">
        <f t="array" ref="B380">IF(ISBLANK(INDEX(SampleList[NMR],ROW()-1)),"Not Requested",INDEX(SampleList[Experiment ID],ROW()-1))</f>
        <v>Not Requested</v>
      </c>
      <c r="C380">
        <f>SampleList[[#This Row],[Duration (Days)]]</f>
        <v>0</v>
      </c>
      <c r="D380">
        <f>SampleList[[#This Row],[Sample Description]]</f>
        <v>0</v>
      </c>
      <c r="N380">
        <f>SUM(NMRPrep[[#This Row],[d-DMSO (uL) ]:[ NH4Cl (uL)]])</f>
        <v>0</v>
      </c>
      <c r="O380">
        <f>647</f>
        <v>647</v>
      </c>
      <c r="P380">
        <f>NMRPrep[[#This Row],[Total (uL) ]]-NMRPrep[[#This Row],[Target (uL)]]</f>
        <v>-647</v>
      </c>
      <c r="R380" t="e">
        <f>(NMRPrep[[#This Row],[NH4Cl Stock Concentration (mM)]]*NMRPrep[[#This Row],[ NH4Cl (uL)]])/SUM(NMRPrep[[#This Row],[DI (uL) ]:[ NH4Cl (uL)]])</f>
        <v>#DIV/0!</v>
      </c>
    </row>
    <row r="381" spans="1:18" x14ac:dyDescent="0.25">
      <c r="A381" s="1">
        <f>SampleList[[#This Row],[Date Sampled]]</f>
        <v>0</v>
      </c>
      <c r="B381" t="str" cm="1">
        <f t="array" ref="B381">IF(ISBLANK(INDEX(SampleList[NMR],ROW()-1)),"Not Requested",INDEX(SampleList[Experiment ID],ROW()-1))</f>
        <v>Not Requested</v>
      </c>
      <c r="C381">
        <f>SampleList[[#This Row],[Duration (Days)]]</f>
        <v>0</v>
      </c>
      <c r="D381">
        <f>SampleList[[#This Row],[Sample Description]]</f>
        <v>0</v>
      </c>
      <c r="N381">
        <f>SUM(NMRPrep[[#This Row],[d-DMSO (uL) ]:[ NH4Cl (uL)]])</f>
        <v>0</v>
      </c>
      <c r="O381">
        <f>647</f>
        <v>647</v>
      </c>
      <c r="P381">
        <f>NMRPrep[[#This Row],[Total (uL) ]]-NMRPrep[[#This Row],[Target (uL)]]</f>
        <v>-647</v>
      </c>
      <c r="R381" t="e">
        <f>(NMRPrep[[#This Row],[NH4Cl Stock Concentration (mM)]]*NMRPrep[[#This Row],[ NH4Cl (uL)]])/SUM(NMRPrep[[#This Row],[DI (uL) ]:[ NH4Cl (uL)]])</f>
        <v>#DIV/0!</v>
      </c>
    </row>
    <row r="382" spans="1:18" x14ac:dyDescent="0.25">
      <c r="A382" s="1">
        <f>SampleList[[#This Row],[Date Sampled]]</f>
        <v>0</v>
      </c>
      <c r="B382" t="str" cm="1">
        <f t="array" ref="B382">IF(ISBLANK(INDEX(SampleList[NMR],ROW()-1)),"Not Requested",INDEX(SampleList[Experiment ID],ROW()-1))</f>
        <v>Not Requested</v>
      </c>
      <c r="C382">
        <f>SampleList[[#This Row],[Duration (Days)]]</f>
        <v>0</v>
      </c>
      <c r="D382">
        <f>SampleList[[#This Row],[Sample Description]]</f>
        <v>0</v>
      </c>
      <c r="N382">
        <f>SUM(NMRPrep[[#This Row],[d-DMSO (uL) ]:[ NH4Cl (uL)]])</f>
        <v>0</v>
      </c>
      <c r="O382">
        <f>647</f>
        <v>647</v>
      </c>
      <c r="P382">
        <f>NMRPrep[[#This Row],[Total (uL) ]]-NMRPrep[[#This Row],[Target (uL)]]</f>
        <v>-647</v>
      </c>
      <c r="R382" t="e">
        <f>(NMRPrep[[#This Row],[NH4Cl Stock Concentration (mM)]]*NMRPrep[[#This Row],[ NH4Cl (uL)]])/SUM(NMRPrep[[#This Row],[DI (uL) ]:[ NH4Cl (uL)]])</f>
        <v>#DIV/0!</v>
      </c>
    </row>
    <row r="383" spans="1:18" x14ac:dyDescent="0.25">
      <c r="A383" s="1">
        <f>SampleList[[#This Row],[Date Sampled]]</f>
        <v>0</v>
      </c>
      <c r="B383" t="str" cm="1">
        <f t="array" ref="B383">IF(ISBLANK(INDEX(SampleList[NMR],ROW()-1)),"Not Requested",INDEX(SampleList[Experiment ID],ROW()-1))</f>
        <v>Not Requested</v>
      </c>
      <c r="C383">
        <f>SampleList[[#This Row],[Duration (Days)]]</f>
        <v>0</v>
      </c>
      <c r="D383">
        <f>SampleList[[#This Row],[Sample Description]]</f>
        <v>0</v>
      </c>
      <c r="N383">
        <f>SUM(NMRPrep[[#This Row],[d-DMSO (uL) ]:[ NH4Cl (uL)]])</f>
        <v>0</v>
      </c>
      <c r="O383">
        <f>647</f>
        <v>647</v>
      </c>
      <c r="P383">
        <f>NMRPrep[[#This Row],[Total (uL) ]]-NMRPrep[[#This Row],[Target (uL)]]</f>
        <v>-647</v>
      </c>
      <c r="R383" t="e">
        <f>(NMRPrep[[#This Row],[NH4Cl Stock Concentration (mM)]]*NMRPrep[[#This Row],[ NH4Cl (uL)]])/SUM(NMRPrep[[#This Row],[DI (uL) ]:[ NH4Cl (uL)]])</f>
        <v>#DIV/0!</v>
      </c>
    </row>
    <row r="384" spans="1:18" x14ac:dyDescent="0.25">
      <c r="A384" s="1">
        <f>SampleList[[#This Row],[Date Sampled]]</f>
        <v>0</v>
      </c>
      <c r="B384" t="str" cm="1">
        <f t="array" ref="B384">IF(ISBLANK(INDEX(SampleList[NMR],ROW()-1)),"Not Requested",INDEX(SampleList[Experiment ID],ROW()-1))</f>
        <v>Not Requested</v>
      </c>
      <c r="C384">
        <f>SampleList[[#This Row],[Duration (Days)]]</f>
        <v>0</v>
      </c>
      <c r="D384">
        <f>SampleList[[#This Row],[Sample Description]]</f>
        <v>0</v>
      </c>
      <c r="N384">
        <f>SUM(NMRPrep[[#This Row],[d-DMSO (uL) ]:[ NH4Cl (uL)]])</f>
        <v>0</v>
      </c>
      <c r="O384">
        <f>647</f>
        <v>647</v>
      </c>
      <c r="P384">
        <f>NMRPrep[[#This Row],[Total (uL) ]]-NMRPrep[[#This Row],[Target (uL)]]</f>
        <v>-647</v>
      </c>
      <c r="R384" t="e">
        <f>(NMRPrep[[#This Row],[NH4Cl Stock Concentration (mM)]]*NMRPrep[[#This Row],[ NH4Cl (uL)]])/SUM(NMRPrep[[#This Row],[DI (uL) ]:[ NH4Cl (uL)]])</f>
        <v>#DIV/0!</v>
      </c>
    </row>
    <row r="385" spans="1:18" x14ac:dyDescent="0.25">
      <c r="A385" s="1">
        <f>SampleList[[#This Row],[Date Sampled]]</f>
        <v>0</v>
      </c>
      <c r="B385" t="str" cm="1">
        <f t="array" ref="B385">IF(ISBLANK(INDEX(SampleList[NMR],ROW()-1)),"Not Requested",INDEX(SampleList[Experiment ID],ROW()-1))</f>
        <v>Not Requested</v>
      </c>
      <c r="C385">
        <f>SampleList[[#This Row],[Duration (Days)]]</f>
        <v>0</v>
      </c>
      <c r="D385">
        <f>SampleList[[#This Row],[Sample Description]]</f>
        <v>0</v>
      </c>
      <c r="N385">
        <f>SUM(NMRPrep[[#This Row],[d-DMSO (uL) ]:[ NH4Cl (uL)]])</f>
        <v>0</v>
      </c>
      <c r="O385">
        <f>647</f>
        <v>647</v>
      </c>
      <c r="P385">
        <f>NMRPrep[[#This Row],[Total (uL) ]]-NMRPrep[[#This Row],[Target (uL)]]</f>
        <v>-647</v>
      </c>
      <c r="R385" t="e">
        <f>(NMRPrep[[#This Row],[NH4Cl Stock Concentration (mM)]]*NMRPrep[[#This Row],[ NH4Cl (uL)]])/SUM(NMRPrep[[#This Row],[DI (uL) ]:[ NH4Cl (uL)]])</f>
        <v>#DIV/0!</v>
      </c>
    </row>
    <row r="386" spans="1:18" x14ac:dyDescent="0.25">
      <c r="A386" s="1">
        <f>SampleList[[#This Row],[Date Sampled]]</f>
        <v>0</v>
      </c>
      <c r="B386" t="str" cm="1">
        <f t="array" ref="B386">IF(ISBLANK(INDEX(SampleList[NMR],ROW()-1)),"Not Requested",INDEX(SampleList[Experiment ID],ROW()-1))</f>
        <v>Not Requested</v>
      </c>
      <c r="C386">
        <f>SampleList[[#This Row],[Duration (Days)]]</f>
        <v>0</v>
      </c>
      <c r="D386">
        <f>SampleList[[#This Row],[Sample Description]]</f>
        <v>0</v>
      </c>
      <c r="N386">
        <f>SUM(NMRPrep[[#This Row],[d-DMSO (uL) ]:[ NH4Cl (uL)]])</f>
        <v>0</v>
      </c>
      <c r="O386">
        <f>647</f>
        <v>647</v>
      </c>
      <c r="P386">
        <f>NMRPrep[[#This Row],[Total (uL) ]]-NMRPrep[[#This Row],[Target (uL)]]</f>
        <v>-647</v>
      </c>
      <c r="R386" t="e">
        <f>(NMRPrep[[#This Row],[NH4Cl Stock Concentration (mM)]]*NMRPrep[[#This Row],[ NH4Cl (uL)]])/SUM(NMRPrep[[#This Row],[DI (uL) ]:[ NH4Cl (uL)]])</f>
        <v>#DIV/0!</v>
      </c>
    </row>
    <row r="387" spans="1:18" x14ac:dyDescent="0.25">
      <c r="A387" s="1">
        <f>SampleList[[#This Row],[Date Sampled]]</f>
        <v>0</v>
      </c>
      <c r="B387" t="str" cm="1">
        <f t="array" ref="B387">IF(ISBLANK(INDEX(SampleList[NMR],ROW()-1)),"Not Requested",INDEX(SampleList[Experiment ID],ROW()-1))</f>
        <v>Not Requested</v>
      </c>
      <c r="C387">
        <f>SampleList[[#This Row],[Duration (Days)]]</f>
        <v>0</v>
      </c>
      <c r="D387">
        <f>SampleList[[#This Row],[Sample Description]]</f>
        <v>0</v>
      </c>
      <c r="N387">
        <f>SUM(NMRPrep[[#This Row],[d-DMSO (uL) ]:[ NH4Cl (uL)]])</f>
        <v>0</v>
      </c>
      <c r="O387">
        <f>647</f>
        <v>647</v>
      </c>
      <c r="P387">
        <f>NMRPrep[[#This Row],[Total (uL) ]]-NMRPrep[[#This Row],[Target (uL)]]</f>
        <v>-647</v>
      </c>
      <c r="R387" t="e">
        <f>(NMRPrep[[#This Row],[NH4Cl Stock Concentration (mM)]]*NMRPrep[[#This Row],[ NH4Cl (uL)]])/SUM(NMRPrep[[#This Row],[DI (uL) ]:[ NH4Cl (uL)]])</f>
        <v>#DIV/0!</v>
      </c>
    </row>
    <row r="388" spans="1:18" x14ac:dyDescent="0.25">
      <c r="A388" s="1">
        <f>SampleList[[#This Row],[Date Sampled]]</f>
        <v>0</v>
      </c>
      <c r="B388" t="str" cm="1">
        <f t="array" ref="B388">IF(ISBLANK(INDEX(SampleList[NMR],ROW()-1)),"Not Requested",INDEX(SampleList[Experiment ID],ROW()-1))</f>
        <v>Not Requested</v>
      </c>
      <c r="C388">
        <f>SampleList[[#This Row],[Duration (Days)]]</f>
        <v>0</v>
      </c>
      <c r="D388">
        <f>SampleList[[#This Row],[Sample Description]]</f>
        <v>0</v>
      </c>
      <c r="N388">
        <f>SUM(NMRPrep[[#This Row],[d-DMSO (uL) ]:[ NH4Cl (uL)]])</f>
        <v>0</v>
      </c>
      <c r="O388">
        <f>647</f>
        <v>647</v>
      </c>
      <c r="P388">
        <f>NMRPrep[[#This Row],[Total (uL) ]]-NMRPrep[[#This Row],[Target (uL)]]</f>
        <v>-647</v>
      </c>
      <c r="R388" t="e">
        <f>(NMRPrep[[#This Row],[NH4Cl Stock Concentration (mM)]]*NMRPrep[[#This Row],[ NH4Cl (uL)]])/SUM(NMRPrep[[#This Row],[DI (uL) ]:[ NH4Cl (uL)]])</f>
        <v>#DIV/0!</v>
      </c>
    </row>
    <row r="389" spans="1:18" x14ac:dyDescent="0.25">
      <c r="A389" s="1">
        <f>SampleList[[#This Row],[Date Sampled]]</f>
        <v>0</v>
      </c>
      <c r="B389" t="str" cm="1">
        <f t="array" ref="B389">IF(ISBLANK(INDEX(SampleList[NMR],ROW()-1)),"Not Requested",INDEX(SampleList[Experiment ID],ROW()-1))</f>
        <v>Not Requested</v>
      </c>
      <c r="C389">
        <f>SampleList[[#This Row],[Duration (Days)]]</f>
        <v>0</v>
      </c>
      <c r="D389">
        <f>SampleList[[#This Row],[Sample Description]]</f>
        <v>0</v>
      </c>
      <c r="N389">
        <f>SUM(NMRPrep[[#This Row],[d-DMSO (uL) ]:[ NH4Cl (uL)]])</f>
        <v>0</v>
      </c>
      <c r="O389">
        <f>647</f>
        <v>647</v>
      </c>
      <c r="P389">
        <f>NMRPrep[[#This Row],[Total (uL) ]]-NMRPrep[[#This Row],[Target (uL)]]</f>
        <v>-647</v>
      </c>
      <c r="R389" t="e">
        <f>(NMRPrep[[#This Row],[NH4Cl Stock Concentration (mM)]]*NMRPrep[[#This Row],[ NH4Cl (uL)]])/SUM(NMRPrep[[#This Row],[DI (uL) ]:[ NH4Cl (uL)]])</f>
        <v>#DIV/0!</v>
      </c>
    </row>
    <row r="390" spans="1:18" x14ac:dyDescent="0.25">
      <c r="A390" s="1">
        <f>SampleList[[#This Row],[Date Sampled]]</f>
        <v>0</v>
      </c>
      <c r="B390" t="str" cm="1">
        <f t="array" ref="B390">IF(ISBLANK(INDEX(SampleList[NMR],ROW()-1)),"Not Requested",INDEX(SampleList[Experiment ID],ROW()-1))</f>
        <v>Not Requested</v>
      </c>
      <c r="C390">
        <f>SampleList[[#This Row],[Duration (Days)]]</f>
        <v>0</v>
      </c>
      <c r="D390">
        <f>SampleList[[#This Row],[Sample Description]]</f>
        <v>0</v>
      </c>
      <c r="N390">
        <f>SUM(NMRPrep[[#This Row],[d-DMSO (uL) ]:[ NH4Cl (uL)]])</f>
        <v>0</v>
      </c>
      <c r="O390">
        <f>647</f>
        <v>647</v>
      </c>
      <c r="P390">
        <f>NMRPrep[[#This Row],[Total (uL) ]]-NMRPrep[[#This Row],[Target (uL)]]</f>
        <v>-647</v>
      </c>
      <c r="R390" t="e">
        <f>(NMRPrep[[#This Row],[NH4Cl Stock Concentration (mM)]]*NMRPrep[[#This Row],[ NH4Cl (uL)]])/SUM(NMRPrep[[#This Row],[DI (uL) ]:[ NH4Cl (uL)]])</f>
        <v>#DIV/0!</v>
      </c>
    </row>
    <row r="391" spans="1:18" x14ac:dyDescent="0.25">
      <c r="A391" s="1">
        <f>SampleList[[#This Row],[Date Sampled]]</f>
        <v>0</v>
      </c>
      <c r="B391" t="str" cm="1">
        <f t="array" ref="B391">IF(ISBLANK(INDEX(SampleList[NMR],ROW()-1)),"Not Requested",INDEX(SampleList[Experiment ID],ROW()-1))</f>
        <v>Not Requested</v>
      </c>
      <c r="C391">
        <f>SampleList[[#This Row],[Duration (Days)]]</f>
        <v>0</v>
      </c>
      <c r="D391">
        <f>SampleList[[#This Row],[Sample Description]]</f>
        <v>0</v>
      </c>
      <c r="N391">
        <f>SUM(NMRPrep[[#This Row],[d-DMSO (uL) ]:[ NH4Cl (uL)]])</f>
        <v>0</v>
      </c>
      <c r="O391">
        <f>647</f>
        <v>647</v>
      </c>
      <c r="P391">
        <f>NMRPrep[[#This Row],[Total (uL) ]]-NMRPrep[[#This Row],[Target (uL)]]</f>
        <v>-647</v>
      </c>
      <c r="R391" t="e">
        <f>(NMRPrep[[#This Row],[NH4Cl Stock Concentration (mM)]]*NMRPrep[[#This Row],[ NH4Cl (uL)]])/SUM(NMRPrep[[#This Row],[DI (uL) ]:[ NH4Cl (uL)]])</f>
        <v>#DIV/0!</v>
      </c>
    </row>
    <row r="392" spans="1:18" x14ac:dyDescent="0.25">
      <c r="A392" s="1">
        <f>SampleList[[#This Row],[Date Sampled]]</f>
        <v>0</v>
      </c>
      <c r="B392" t="str" cm="1">
        <f t="array" ref="B392">IF(ISBLANK(INDEX(SampleList[NMR],ROW()-1)),"Not Requested",INDEX(SampleList[Experiment ID],ROW()-1))</f>
        <v>Not Requested</v>
      </c>
      <c r="C392">
        <f>SampleList[[#This Row],[Duration (Days)]]</f>
        <v>0</v>
      </c>
      <c r="D392">
        <f>SampleList[[#This Row],[Sample Description]]</f>
        <v>0</v>
      </c>
      <c r="N392">
        <f>SUM(NMRPrep[[#This Row],[d-DMSO (uL) ]:[ NH4Cl (uL)]])</f>
        <v>0</v>
      </c>
      <c r="O392">
        <f>647</f>
        <v>647</v>
      </c>
      <c r="P392">
        <f>NMRPrep[[#This Row],[Total (uL) ]]-NMRPrep[[#This Row],[Target (uL)]]</f>
        <v>-647</v>
      </c>
      <c r="R392" t="e">
        <f>(NMRPrep[[#This Row],[NH4Cl Stock Concentration (mM)]]*NMRPrep[[#This Row],[ NH4Cl (uL)]])/SUM(NMRPrep[[#This Row],[DI (uL) ]:[ NH4Cl (uL)]])</f>
        <v>#DIV/0!</v>
      </c>
    </row>
    <row r="393" spans="1:18" x14ac:dyDescent="0.25">
      <c r="A393" s="1">
        <f>SampleList[[#This Row],[Date Sampled]]</f>
        <v>0</v>
      </c>
      <c r="B393" t="str" cm="1">
        <f t="array" ref="B393">IF(ISBLANK(INDEX(SampleList[NMR],ROW()-1)),"Not Requested",INDEX(SampleList[Experiment ID],ROW()-1))</f>
        <v>Not Requested</v>
      </c>
      <c r="C393">
        <f>SampleList[[#This Row],[Duration (Days)]]</f>
        <v>0</v>
      </c>
      <c r="D393">
        <f>SampleList[[#This Row],[Sample Description]]</f>
        <v>0</v>
      </c>
      <c r="N393">
        <f>SUM(NMRPrep[[#This Row],[d-DMSO (uL) ]:[ NH4Cl (uL)]])</f>
        <v>0</v>
      </c>
      <c r="O393">
        <f>647</f>
        <v>647</v>
      </c>
      <c r="P393">
        <f>NMRPrep[[#This Row],[Total (uL) ]]-NMRPrep[[#This Row],[Target (uL)]]</f>
        <v>-647</v>
      </c>
      <c r="R393" t="e">
        <f>(NMRPrep[[#This Row],[NH4Cl Stock Concentration (mM)]]*NMRPrep[[#This Row],[ NH4Cl (uL)]])/SUM(NMRPrep[[#This Row],[DI (uL) ]:[ NH4Cl (uL)]])</f>
        <v>#DIV/0!</v>
      </c>
    </row>
    <row r="394" spans="1:18" x14ac:dyDescent="0.25">
      <c r="A394" s="1">
        <f>SampleList[[#This Row],[Date Sampled]]</f>
        <v>0</v>
      </c>
      <c r="B394" t="str" cm="1">
        <f t="array" ref="B394">IF(ISBLANK(INDEX(SampleList[NMR],ROW()-1)),"Not Requested",INDEX(SampleList[Experiment ID],ROW()-1))</f>
        <v>Not Requested</v>
      </c>
      <c r="C394">
        <f>SampleList[[#This Row],[Duration (Days)]]</f>
        <v>0</v>
      </c>
      <c r="D394">
        <f>SampleList[[#This Row],[Sample Description]]</f>
        <v>0</v>
      </c>
      <c r="N394">
        <f>SUM(NMRPrep[[#This Row],[d-DMSO (uL) ]:[ NH4Cl (uL)]])</f>
        <v>0</v>
      </c>
      <c r="O394">
        <f>647</f>
        <v>647</v>
      </c>
      <c r="P394">
        <f>NMRPrep[[#This Row],[Total (uL) ]]-NMRPrep[[#This Row],[Target (uL)]]</f>
        <v>-647</v>
      </c>
      <c r="R394" t="e">
        <f>(NMRPrep[[#This Row],[NH4Cl Stock Concentration (mM)]]*NMRPrep[[#This Row],[ NH4Cl (uL)]])/SUM(NMRPrep[[#This Row],[DI (uL) ]:[ NH4Cl (uL)]])</f>
        <v>#DIV/0!</v>
      </c>
    </row>
    <row r="395" spans="1:18" x14ac:dyDescent="0.25">
      <c r="A395" s="1">
        <f>SampleList[[#This Row],[Date Sampled]]</f>
        <v>0</v>
      </c>
      <c r="B395" t="str" cm="1">
        <f t="array" ref="B395">IF(ISBLANK(INDEX(SampleList[NMR],ROW()-1)),"Not Requested",INDEX(SampleList[Experiment ID],ROW()-1))</f>
        <v>Not Requested</v>
      </c>
      <c r="C395">
        <f>SampleList[[#This Row],[Duration (Days)]]</f>
        <v>0</v>
      </c>
      <c r="D395">
        <f>SampleList[[#This Row],[Sample Description]]</f>
        <v>0</v>
      </c>
      <c r="N395">
        <f>SUM(NMRPrep[[#This Row],[d-DMSO (uL) ]:[ NH4Cl (uL)]])</f>
        <v>0</v>
      </c>
      <c r="O395">
        <f>647</f>
        <v>647</v>
      </c>
      <c r="P395">
        <f>NMRPrep[[#This Row],[Total (uL) ]]-NMRPrep[[#This Row],[Target (uL)]]</f>
        <v>-647</v>
      </c>
      <c r="R395" t="e">
        <f>(NMRPrep[[#This Row],[NH4Cl Stock Concentration (mM)]]*NMRPrep[[#This Row],[ NH4Cl (uL)]])/SUM(NMRPrep[[#This Row],[DI (uL) ]:[ NH4Cl (uL)]])</f>
        <v>#DIV/0!</v>
      </c>
    </row>
    <row r="396" spans="1:18" x14ac:dyDescent="0.25">
      <c r="A396" s="1">
        <f>SampleList[[#This Row],[Date Sampled]]</f>
        <v>0</v>
      </c>
      <c r="B396" t="str" cm="1">
        <f t="array" ref="B396">IF(ISBLANK(INDEX(SampleList[NMR],ROW()-1)),"Not Requested",INDEX(SampleList[Experiment ID],ROW()-1))</f>
        <v>Not Requested</v>
      </c>
      <c r="C396">
        <f>SampleList[[#This Row],[Duration (Days)]]</f>
        <v>0</v>
      </c>
      <c r="D396">
        <f>SampleList[[#This Row],[Sample Description]]</f>
        <v>0</v>
      </c>
      <c r="N396">
        <f>SUM(NMRPrep[[#This Row],[d-DMSO (uL) ]:[ NH4Cl (uL)]])</f>
        <v>0</v>
      </c>
      <c r="O396">
        <f>647</f>
        <v>647</v>
      </c>
      <c r="P396">
        <f>NMRPrep[[#This Row],[Total (uL) ]]-NMRPrep[[#This Row],[Target (uL)]]</f>
        <v>-647</v>
      </c>
      <c r="R396" t="e">
        <f>(NMRPrep[[#This Row],[NH4Cl Stock Concentration (mM)]]*NMRPrep[[#This Row],[ NH4Cl (uL)]])/SUM(NMRPrep[[#This Row],[DI (uL) ]:[ NH4Cl (uL)]])</f>
        <v>#DIV/0!</v>
      </c>
    </row>
    <row r="397" spans="1:18" x14ac:dyDescent="0.25">
      <c r="A397" s="1">
        <f>SampleList[[#This Row],[Date Sampled]]</f>
        <v>0</v>
      </c>
      <c r="B397" t="str" cm="1">
        <f t="array" ref="B397">IF(ISBLANK(INDEX(SampleList[NMR],ROW()-1)),"Not Requested",INDEX(SampleList[Experiment ID],ROW()-1))</f>
        <v>Not Requested</v>
      </c>
      <c r="C397">
        <f>SampleList[[#This Row],[Duration (Days)]]</f>
        <v>0</v>
      </c>
      <c r="D397">
        <f>SampleList[[#This Row],[Sample Description]]</f>
        <v>0</v>
      </c>
      <c r="N397">
        <f>SUM(NMRPrep[[#This Row],[d-DMSO (uL) ]:[ NH4Cl (uL)]])</f>
        <v>0</v>
      </c>
      <c r="O397">
        <f>647</f>
        <v>647</v>
      </c>
      <c r="P397">
        <f>NMRPrep[[#This Row],[Total (uL) ]]-NMRPrep[[#This Row],[Target (uL)]]</f>
        <v>-647</v>
      </c>
      <c r="R397" t="e">
        <f>(NMRPrep[[#This Row],[NH4Cl Stock Concentration (mM)]]*NMRPrep[[#This Row],[ NH4Cl (uL)]])/SUM(NMRPrep[[#This Row],[DI (uL) ]:[ NH4Cl (uL)]])</f>
        <v>#DIV/0!</v>
      </c>
    </row>
    <row r="398" spans="1:18" x14ac:dyDescent="0.25">
      <c r="A398" s="1">
        <f>SampleList[[#This Row],[Date Sampled]]</f>
        <v>0</v>
      </c>
      <c r="B398" t="str" cm="1">
        <f t="array" ref="B398">IF(ISBLANK(INDEX(SampleList[NMR],ROW()-1)),"Not Requested",INDEX(SampleList[Experiment ID],ROW()-1))</f>
        <v>Not Requested</v>
      </c>
      <c r="C398">
        <f>SampleList[[#This Row],[Duration (Days)]]</f>
        <v>0</v>
      </c>
      <c r="D398">
        <f>SampleList[[#This Row],[Sample Description]]</f>
        <v>0</v>
      </c>
      <c r="N398">
        <f>SUM(NMRPrep[[#This Row],[d-DMSO (uL) ]:[ NH4Cl (uL)]])</f>
        <v>0</v>
      </c>
      <c r="O398">
        <f>647</f>
        <v>647</v>
      </c>
      <c r="P398">
        <f>NMRPrep[[#This Row],[Total (uL) ]]-NMRPrep[[#This Row],[Target (uL)]]</f>
        <v>-647</v>
      </c>
      <c r="R398" t="e">
        <f>(NMRPrep[[#This Row],[NH4Cl Stock Concentration (mM)]]*NMRPrep[[#This Row],[ NH4Cl (uL)]])/SUM(NMRPrep[[#This Row],[DI (uL) ]:[ NH4Cl (uL)]])</f>
        <v>#DIV/0!</v>
      </c>
    </row>
    <row r="399" spans="1:18" x14ac:dyDescent="0.25">
      <c r="A399" s="1">
        <f>SampleList[[#This Row],[Date Sampled]]</f>
        <v>0</v>
      </c>
      <c r="B399" t="str" cm="1">
        <f t="array" ref="B399">IF(ISBLANK(INDEX(SampleList[NMR],ROW()-1)),"Not Requested",INDEX(SampleList[Experiment ID],ROW()-1))</f>
        <v>Not Requested</v>
      </c>
      <c r="C399">
        <f>SampleList[[#This Row],[Duration (Days)]]</f>
        <v>0</v>
      </c>
      <c r="D399">
        <f>SampleList[[#This Row],[Sample Description]]</f>
        <v>0</v>
      </c>
      <c r="N399">
        <f>SUM(NMRPrep[[#This Row],[d-DMSO (uL) ]:[ NH4Cl (uL)]])</f>
        <v>0</v>
      </c>
      <c r="O399">
        <f>647</f>
        <v>647</v>
      </c>
      <c r="P399">
        <f>NMRPrep[[#This Row],[Total (uL) ]]-NMRPrep[[#This Row],[Target (uL)]]</f>
        <v>-647</v>
      </c>
      <c r="R399" t="e">
        <f>(NMRPrep[[#This Row],[NH4Cl Stock Concentration (mM)]]*NMRPrep[[#This Row],[ NH4Cl (uL)]])/SUM(NMRPrep[[#This Row],[DI (uL) ]:[ NH4Cl (uL)]])</f>
        <v>#DIV/0!</v>
      </c>
    </row>
    <row r="400" spans="1:18" x14ac:dyDescent="0.25">
      <c r="A400" s="1">
        <f>SampleList[[#This Row],[Date Sampled]]</f>
        <v>0</v>
      </c>
      <c r="B400" t="str" cm="1">
        <f t="array" ref="B400">IF(ISBLANK(INDEX(SampleList[NMR],ROW()-1)),"Not Requested",INDEX(SampleList[Experiment ID],ROW()-1))</f>
        <v>Not Requested</v>
      </c>
      <c r="C400">
        <f>SampleList[[#This Row],[Duration (Days)]]</f>
        <v>0</v>
      </c>
      <c r="D400">
        <f>SampleList[[#This Row],[Sample Description]]</f>
        <v>0</v>
      </c>
      <c r="N400">
        <f>SUM(NMRPrep[[#This Row],[d-DMSO (uL) ]:[ NH4Cl (uL)]])</f>
        <v>0</v>
      </c>
      <c r="O400">
        <f>647</f>
        <v>647</v>
      </c>
      <c r="P400">
        <f>NMRPrep[[#This Row],[Total (uL) ]]-NMRPrep[[#This Row],[Target (uL)]]</f>
        <v>-647</v>
      </c>
      <c r="R400" t="e">
        <f>(NMRPrep[[#This Row],[NH4Cl Stock Concentration (mM)]]*NMRPrep[[#This Row],[ NH4Cl (uL)]])/SUM(NMRPrep[[#This Row],[DI (uL) ]:[ NH4Cl (uL)]])</f>
        <v>#DIV/0!</v>
      </c>
    </row>
    <row r="401" spans="1:18" x14ac:dyDescent="0.25">
      <c r="A401" s="1">
        <f>SampleList[[#This Row],[Date Sampled]]</f>
        <v>0</v>
      </c>
      <c r="B401" t="str" cm="1">
        <f t="array" ref="B401">IF(ISBLANK(INDEX(SampleList[NMR],ROW()-1)),"Not Requested",INDEX(SampleList[Experiment ID],ROW()-1))</f>
        <v>Not Requested</v>
      </c>
      <c r="C401">
        <f>SampleList[[#This Row],[Duration (Days)]]</f>
        <v>0</v>
      </c>
      <c r="D401">
        <f>SampleList[[#This Row],[Sample Description]]</f>
        <v>0</v>
      </c>
      <c r="N401">
        <f>SUM(NMRPrep[[#This Row],[d-DMSO (uL) ]:[ NH4Cl (uL)]])</f>
        <v>0</v>
      </c>
      <c r="O401">
        <f>647</f>
        <v>647</v>
      </c>
      <c r="P401">
        <f>NMRPrep[[#This Row],[Total (uL) ]]-NMRPrep[[#This Row],[Target (uL)]]</f>
        <v>-647</v>
      </c>
      <c r="R401" t="e">
        <f>(NMRPrep[[#This Row],[NH4Cl Stock Concentration (mM)]]*NMRPrep[[#This Row],[ NH4Cl (uL)]])/SUM(NMRPrep[[#This Row],[DI (uL) ]:[ NH4Cl (uL)]])</f>
        <v>#DIV/0!</v>
      </c>
    </row>
    <row r="402" spans="1:18" x14ac:dyDescent="0.25">
      <c r="A402" s="1">
        <f>SampleList[[#This Row],[Date Sampled]]</f>
        <v>0</v>
      </c>
      <c r="B402" t="str" cm="1">
        <f t="array" ref="B402">IF(ISBLANK(INDEX(SampleList[NMR],ROW()-1)),"Not Requested",INDEX(SampleList[Experiment ID],ROW()-1))</f>
        <v>Not Requested</v>
      </c>
      <c r="C402">
        <f>SampleList[[#This Row],[Duration (Days)]]</f>
        <v>0</v>
      </c>
      <c r="D402">
        <f>SampleList[[#This Row],[Sample Description]]</f>
        <v>0</v>
      </c>
      <c r="N402">
        <f>SUM(NMRPrep[[#This Row],[d-DMSO (uL) ]:[ NH4Cl (uL)]])</f>
        <v>0</v>
      </c>
      <c r="O402">
        <f>647</f>
        <v>647</v>
      </c>
      <c r="P402">
        <f>NMRPrep[[#This Row],[Total (uL) ]]-NMRPrep[[#This Row],[Target (uL)]]</f>
        <v>-647</v>
      </c>
      <c r="R402" t="e">
        <f>(NMRPrep[[#This Row],[NH4Cl Stock Concentration (mM)]]*NMRPrep[[#This Row],[ NH4Cl (uL)]])/SUM(NMRPrep[[#This Row],[DI (uL) ]:[ NH4Cl (uL)]])</f>
        <v>#DIV/0!</v>
      </c>
    </row>
    <row r="403" spans="1:18" x14ac:dyDescent="0.25">
      <c r="A403" s="1">
        <f>SampleList[[#This Row],[Date Sampled]]</f>
        <v>0</v>
      </c>
      <c r="B403" t="str" cm="1">
        <f t="array" ref="B403">IF(ISBLANK(INDEX(SampleList[NMR],ROW()-1)),"Not Requested",INDEX(SampleList[Experiment ID],ROW()-1))</f>
        <v>Not Requested</v>
      </c>
      <c r="C403">
        <f>SampleList[[#This Row],[Duration (Days)]]</f>
        <v>0</v>
      </c>
      <c r="D403">
        <f>SampleList[[#This Row],[Sample Description]]</f>
        <v>0</v>
      </c>
      <c r="N403">
        <f>SUM(NMRPrep[[#This Row],[d-DMSO (uL) ]:[ NH4Cl (uL)]])</f>
        <v>0</v>
      </c>
      <c r="O403">
        <f>647</f>
        <v>647</v>
      </c>
      <c r="P403">
        <f>NMRPrep[[#This Row],[Total (uL) ]]-NMRPrep[[#This Row],[Target (uL)]]</f>
        <v>-647</v>
      </c>
      <c r="R403" t="e">
        <f>(NMRPrep[[#This Row],[NH4Cl Stock Concentration (mM)]]*NMRPrep[[#This Row],[ NH4Cl (uL)]])/SUM(NMRPrep[[#This Row],[DI (uL) ]:[ NH4Cl (uL)]])</f>
        <v>#DIV/0!</v>
      </c>
    </row>
    <row r="404" spans="1:18" x14ac:dyDescent="0.25">
      <c r="A404" s="1">
        <f>SampleList[[#This Row],[Date Sampled]]</f>
        <v>0</v>
      </c>
      <c r="B404" t="str" cm="1">
        <f t="array" ref="B404">IF(ISBLANK(INDEX(SampleList[NMR],ROW()-1)),"Not Requested",INDEX(SampleList[Experiment ID],ROW()-1))</f>
        <v>Not Requested</v>
      </c>
      <c r="C404">
        <f>SampleList[[#This Row],[Duration (Days)]]</f>
        <v>0</v>
      </c>
      <c r="D404">
        <f>SampleList[[#This Row],[Sample Description]]</f>
        <v>0</v>
      </c>
      <c r="N404">
        <f>SUM(NMRPrep[[#This Row],[d-DMSO (uL) ]:[ NH4Cl (uL)]])</f>
        <v>0</v>
      </c>
      <c r="O404">
        <f>647</f>
        <v>647</v>
      </c>
      <c r="P404">
        <f>NMRPrep[[#This Row],[Total (uL) ]]-NMRPrep[[#This Row],[Target (uL)]]</f>
        <v>-647</v>
      </c>
      <c r="R404" t="e">
        <f>(NMRPrep[[#This Row],[NH4Cl Stock Concentration (mM)]]*NMRPrep[[#This Row],[ NH4Cl (uL)]])/SUM(NMRPrep[[#This Row],[DI (uL) ]:[ NH4Cl (uL)]])</f>
        <v>#DIV/0!</v>
      </c>
    </row>
    <row r="405" spans="1:18" x14ac:dyDescent="0.25">
      <c r="A405" s="1">
        <f>SampleList[[#This Row],[Date Sampled]]</f>
        <v>0</v>
      </c>
      <c r="B405" t="str" cm="1">
        <f t="array" ref="B405">IF(ISBLANK(INDEX(SampleList[NMR],ROW()-1)),"Not Requested",INDEX(SampleList[Experiment ID],ROW()-1))</f>
        <v>Not Requested</v>
      </c>
      <c r="C405">
        <f>SampleList[[#This Row],[Duration (Days)]]</f>
        <v>0</v>
      </c>
      <c r="D405">
        <f>SampleList[[#This Row],[Sample Description]]</f>
        <v>0</v>
      </c>
      <c r="N405">
        <f>SUM(NMRPrep[[#This Row],[d-DMSO (uL) ]:[ NH4Cl (uL)]])</f>
        <v>0</v>
      </c>
      <c r="O405">
        <f>647</f>
        <v>647</v>
      </c>
      <c r="P405">
        <f>NMRPrep[[#This Row],[Total (uL) ]]-NMRPrep[[#This Row],[Target (uL)]]</f>
        <v>-647</v>
      </c>
      <c r="R405" t="e">
        <f>(NMRPrep[[#This Row],[NH4Cl Stock Concentration (mM)]]*NMRPrep[[#This Row],[ NH4Cl (uL)]])/SUM(NMRPrep[[#This Row],[DI (uL) ]:[ NH4Cl (uL)]])</f>
        <v>#DIV/0!</v>
      </c>
    </row>
    <row r="406" spans="1:18" x14ac:dyDescent="0.25">
      <c r="A406" s="1">
        <f>SampleList[[#This Row],[Date Sampled]]</f>
        <v>0</v>
      </c>
      <c r="B406" t="str" cm="1">
        <f t="array" ref="B406">IF(ISBLANK(INDEX(SampleList[NMR],ROW()-1)),"Not Requested",INDEX(SampleList[Experiment ID],ROW()-1))</f>
        <v>Not Requested</v>
      </c>
      <c r="C406">
        <f>SampleList[[#This Row],[Duration (Days)]]</f>
        <v>0</v>
      </c>
      <c r="D406">
        <f>SampleList[[#This Row],[Sample Description]]</f>
        <v>0</v>
      </c>
      <c r="N406">
        <f>SUM(NMRPrep[[#This Row],[d-DMSO (uL) ]:[ NH4Cl (uL)]])</f>
        <v>0</v>
      </c>
      <c r="O406">
        <f>647</f>
        <v>647</v>
      </c>
      <c r="P406">
        <f>NMRPrep[[#This Row],[Total (uL) ]]-NMRPrep[[#This Row],[Target (uL)]]</f>
        <v>-647</v>
      </c>
      <c r="R406" t="e">
        <f>(NMRPrep[[#This Row],[NH4Cl Stock Concentration (mM)]]*NMRPrep[[#This Row],[ NH4Cl (uL)]])/SUM(NMRPrep[[#This Row],[DI (uL) ]:[ NH4Cl (uL)]])</f>
        <v>#DIV/0!</v>
      </c>
    </row>
    <row r="407" spans="1:18" x14ac:dyDescent="0.25">
      <c r="A407" s="1">
        <f>SampleList[[#This Row],[Date Sampled]]</f>
        <v>0</v>
      </c>
      <c r="B407" t="str" cm="1">
        <f t="array" ref="B407">IF(ISBLANK(INDEX(SampleList[NMR],ROW()-1)),"Not Requested",INDEX(SampleList[Experiment ID],ROW()-1))</f>
        <v>Not Requested</v>
      </c>
      <c r="C407">
        <f>SampleList[[#This Row],[Duration (Days)]]</f>
        <v>0</v>
      </c>
      <c r="D407">
        <f>SampleList[[#This Row],[Sample Description]]</f>
        <v>0</v>
      </c>
      <c r="N407">
        <f>SUM(NMRPrep[[#This Row],[d-DMSO (uL) ]:[ NH4Cl (uL)]])</f>
        <v>0</v>
      </c>
      <c r="O407">
        <f>647</f>
        <v>647</v>
      </c>
      <c r="P407">
        <f>NMRPrep[[#This Row],[Total (uL) ]]-NMRPrep[[#This Row],[Target (uL)]]</f>
        <v>-647</v>
      </c>
      <c r="R407" t="e">
        <f>(NMRPrep[[#This Row],[NH4Cl Stock Concentration (mM)]]*NMRPrep[[#This Row],[ NH4Cl (uL)]])/SUM(NMRPrep[[#This Row],[DI (uL) ]:[ NH4Cl (uL)]])</f>
        <v>#DIV/0!</v>
      </c>
    </row>
    <row r="408" spans="1:18" x14ac:dyDescent="0.25">
      <c r="A408" s="1">
        <f>SampleList[[#This Row],[Date Sampled]]</f>
        <v>0</v>
      </c>
      <c r="B408" t="str" cm="1">
        <f t="array" ref="B408">IF(ISBLANK(INDEX(SampleList[NMR],ROW()-1)),"Not Requested",INDEX(SampleList[Experiment ID],ROW()-1))</f>
        <v>Not Requested</v>
      </c>
      <c r="C408">
        <f>SampleList[[#This Row],[Duration (Days)]]</f>
        <v>0</v>
      </c>
      <c r="D408">
        <f>SampleList[[#This Row],[Sample Description]]</f>
        <v>0</v>
      </c>
      <c r="N408">
        <f>SUM(NMRPrep[[#This Row],[d-DMSO (uL) ]:[ NH4Cl (uL)]])</f>
        <v>0</v>
      </c>
      <c r="O408">
        <f>647</f>
        <v>647</v>
      </c>
      <c r="P408">
        <f>NMRPrep[[#This Row],[Total (uL) ]]-NMRPrep[[#This Row],[Target (uL)]]</f>
        <v>-647</v>
      </c>
      <c r="R408" t="e">
        <f>(NMRPrep[[#This Row],[NH4Cl Stock Concentration (mM)]]*NMRPrep[[#This Row],[ NH4Cl (uL)]])/SUM(NMRPrep[[#This Row],[DI (uL) ]:[ NH4Cl (uL)]])</f>
        <v>#DIV/0!</v>
      </c>
    </row>
    <row r="409" spans="1:18" x14ac:dyDescent="0.25">
      <c r="A409" s="1">
        <f>SampleList[[#This Row],[Date Sampled]]</f>
        <v>0</v>
      </c>
      <c r="B409" t="str" cm="1">
        <f t="array" ref="B409">IF(ISBLANK(INDEX(SampleList[NMR],ROW()-1)),"Not Requested",INDEX(SampleList[Experiment ID],ROW()-1))</f>
        <v>Not Requested</v>
      </c>
      <c r="C409">
        <f>SampleList[[#This Row],[Duration (Days)]]</f>
        <v>0</v>
      </c>
      <c r="D409">
        <f>SampleList[[#This Row],[Sample Description]]</f>
        <v>0</v>
      </c>
      <c r="N409">
        <f>SUM(NMRPrep[[#This Row],[d-DMSO (uL) ]:[ NH4Cl (uL)]])</f>
        <v>0</v>
      </c>
      <c r="O409">
        <f>647</f>
        <v>647</v>
      </c>
      <c r="P409">
        <f>NMRPrep[[#This Row],[Total (uL) ]]-NMRPrep[[#This Row],[Target (uL)]]</f>
        <v>-647</v>
      </c>
      <c r="R409" t="e">
        <f>(NMRPrep[[#This Row],[NH4Cl Stock Concentration (mM)]]*NMRPrep[[#This Row],[ NH4Cl (uL)]])/SUM(NMRPrep[[#This Row],[DI (uL) ]:[ NH4Cl (uL)]])</f>
        <v>#DIV/0!</v>
      </c>
    </row>
    <row r="410" spans="1:18" x14ac:dyDescent="0.25">
      <c r="A410" s="1">
        <f>SampleList[[#This Row],[Date Sampled]]</f>
        <v>0</v>
      </c>
      <c r="B410" t="str" cm="1">
        <f t="array" ref="B410">IF(ISBLANK(INDEX(SampleList[NMR],ROW()-1)),"Not Requested",INDEX(SampleList[Experiment ID],ROW()-1))</f>
        <v>Not Requested</v>
      </c>
      <c r="C410">
        <f>SampleList[[#This Row],[Duration (Days)]]</f>
        <v>0</v>
      </c>
      <c r="D410">
        <f>SampleList[[#This Row],[Sample Description]]</f>
        <v>0</v>
      </c>
      <c r="N410">
        <f>SUM(NMRPrep[[#This Row],[d-DMSO (uL) ]:[ NH4Cl (uL)]])</f>
        <v>0</v>
      </c>
      <c r="O410">
        <f>647</f>
        <v>647</v>
      </c>
      <c r="P410">
        <f>NMRPrep[[#This Row],[Total (uL) ]]-NMRPrep[[#This Row],[Target (uL)]]</f>
        <v>-647</v>
      </c>
      <c r="R410" t="e">
        <f>(NMRPrep[[#This Row],[NH4Cl Stock Concentration (mM)]]*NMRPrep[[#This Row],[ NH4Cl (uL)]])/SUM(NMRPrep[[#This Row],[DI (uL) ]:[ NH4Cl (uL)]])</f>
        <v>#DIV/0!</v>
      </c>
    </row>
    <row r="411" spans="1:18" x14ac:dyDescent="0.25">
      <c r="A411" s="1">
        <f>SampleList[[#This Row],[Date Sampled]]</f>
        <v>0</v>
      </c>
      <c r="B411" t="str" cm="1">
        <f t="array" ref="B411">IF(ISBLANK(INDEX(SampleList[NMR],ROW()-1)),"Not Requested",INDEX(SampleList[Experiment ID],ROW()-1))</f>
        <v>Not Requested</v>
      </c>
      <c r="C411">
        <f>SampleList[[#This Row],[Duration (Days)]]</f>
        <v>0</v>
      </c>
      <c r="D411">
        <f>SampleList[[#This Row],[Sample Description]]</f>
        <v>0</v>
      </c>
      <c r="N411">
        <f>SUM(NMRPrep[[#This Row],[d-DMSO (uL) ]:[ NH4Cl (uL)]])</f>
        <v>0</v>
      </c>
      <c r="O411">
        <f>647</f>
        <v>647</v>
      </c>
      <c r="P411">
        <f>NMRPrep[[#This Row],[Total (uL) ]]-NMRPrep[[#This Row],[Target (uL)]]</f>
        <v>-647</v>
      </c>
      <c r="R411" t="e">
        <f>(NMRPrep[[#This Row],[NH4Cl Stock Concentration (mM)]]*NMRPrep[[#This Row],[ NH4Cl (uL)]])/SUM(NMRPrep[[#This Row],[DI (uL) ]:[ NH4Cl (uL)]])</f>
        <v>#DIV/0!</v>
      </c>
    </row>
    <row r="412" spans="1:18" x14ac:dyDescent="0.25">
      <c r="A412" s="1">
        <f>SampleList[[#This Row],[Date Sampled]]</f>
        <v>0</v>
      </c>
      <c r="B412" t="str" cm="1">
        <f t="array" ref="B412">IF(ISBLANK(INDEX(SampleList[NMR],ROW()-1)),"Not Requested",INDEX(SampleList[Experiment ID],ROW()-1))</f>
        <v>Not Requested</v>
      </c>
      <c r="C412">
        <f>SampleList[[#This Row],[Duration (Days)]]</f>
        <v>0</v>
      </c>
      <c r="D412">
        <f>SampleList[[#This Row],[Sample Description]]</f>
        <v>0</v>
      </c>
      <c r="N412">
        <f>SUM(NMRPrep[[#This Row],[d-DMSO (uL) ]:[ NH4Cl (uL)]])</f>
        <v>0</v>
      </c>
      <c r="O412">
        <f>647</f>
        <v>647</v>
      </c>
      <c r="P412">
        <f>NMRPrep[[#This Row],[Total (uL) ]]-NMRPrep[[#This Row],[Target (uL)]]</f>
        <v>-647</v>
      </c>
      <c r="R412" t="e">
        <f>(NMRPrep[[#This Row],[NH4Cl Stock Concentration (mM)]]*NMRPrep[[#This Row],[ NH4Cl (uL)]])/SUM(NMRPrep[[#This Row],[DI (uL) ]:[ NH4Cl (uL)]])</f>
        <v>#DIV/0!</v>
      </c>
    </row>
    <row r="413" spans="1:18" x14ac:dyDescent="0.25">
      <c r="A413" s="1">
        <f>SampleList[[#This Row],[Date Sampled]]</f>
        <v>0</v>
      </c>
      <c r="B413" t="str" cm="1">
        <f t="array" ref="B413">IF(ISBLANK(INDEX(SampleList[NMR],ROW()-1)),"Not Requested",INDEX(SampleList[Experiment ID],ROW()-1))</f>
        <v>Not Requested</v>
      </c>
      <c r="C413">
        <f>SampleList[[#This Row],[Duration (Days)]]</f>
        <v>0</v>
      </c>
      <c r="D413">
        <f>SampleList[[#This Row],[Sample Description]]</f>
        <v>0</v>
      </c>
      <c r="N413">
        <f>SUM(NMRPrep[[#This Row],[d-DMSO (uL) ]:[ NH4Cl (uL)]])</f>
        <v>0</v>
      </c>
      <c r="O413">
        <f>647</f>
        <v>647</v>
      </c>
      <c r="P413">
        <f>NMRPrep[[#This Row],[Total (uL) ]]-NMRPrep[[#This Row],[Target (uL)]]</f>
        <v>-647</v>
      </c>
      <c r="R413" t="e">
        <f>(NMRPrep[[#This Row],[NH4Cl Stock Concentration (mM)]]*NMRPrep[[#This Row],[ NH4Cl (uL)]])/SUM(NMRPrep[[#This Row],[DI (uL) ]:[ NH4Cl (uL)]])</f>
        <v>#DIV/0!</v>
      </c>
    </row>
    <row r="414" spans="1:18" x14ac:dyDescent="0.25">
      <c r="A414" s="1">
        <f>SampleList[[#This Row],[Date Sampled]]</f>
        <v>0</v>
      </c>
      <c r="B414" t="str" cm="1">
        <f t="array" ref="B414">IF(ISBLANK(INDEX(SampleList[NMR],ROW()-1)),"Not Requested",INDEX(SampleList[Experiment ID],ROW()-1))</f>
        <v>Not Requested</v>
      </c>
      <c r="C414">
        <f>SampleList[[#This Row],[Duration (Days)]]</f>
        <v>0</v>
      </c>
      <c r="D414">
        <f>SampleList[[#This Row],[Sample Description]]</f>
        <v>0</v>
      </c>
      <c r="N414">
        <f>SUM(NMRPrep[[#This Row],[d-DMSO (uL) ]:[ NH4Cl (uL)]])</f>
        <v>0</v>
      </c>
      <c r="O414">
        <f>647</f>
        <v>647</v>
      </c>
      <c r="P414">
        <f>NMRPrep[[#This Row],[Total (uL) ]]-NMRPrep[[#This Row],[Target (uL)]]</f>
        <v>-647</v>
      </c>
      <c r="R414" t="e">
        <f>(NMRPrep[[#This Row],[NH4Cl Stock Concentration (mM)]]*NMRPrep[[#This Row],[ NH4Cl (uL)]])/SUM(NMRPrep[[#This Row],[DI (uL) ]:[ NH4Cl (uL)]])</f>
        <v>#DIV/0!</v>
      </c>
    </row>
    <row r="415" spans="1:18" x14ac:dyDescent="0.25">
      <c r="A415" s="1">
        <f>SampleList[[#This Row],[Date Sampled]]</f>
        <v>0</v>
      </c>
      <c r="B415" t="str" cm="1">
        <f t="array" ref="B415">IF(ISBLANK(INDEX(SampleList[NMR],ROW()-1)),"Not Requested",INDEX(SampleList[Experiment ID],ROW()-1))</f>
        <v>Not Requested</v>
      </c>
      <c r="C415">
        <f>SampleList[[#This Row],[Duration (Days)]]</f>
        <v>0</v>
      </c>
      <c r="D415">
        <f>SampleList[[#This Row],[Sample Description]]</f>
        <v>0</v>
      </c>
      <c r="N415">
        <f>SUM(NMRPrep[[#This Row],[d-DMSO (uL) ]:[ NH4Cl (uL)]])</f>
        <v>0</v>
      </c>
      <c r="O415">
        <f>647</f>
        <v>647</v>
      </c>
      <c r="P415">
        <f>NMRPrep[[#This Row],[Total (uL) ]]-NMRPrep[[#This Row],[Target (uL)]]</f>
        <v>-647</v>
      </c>
      <c r="R415" t="e">
        <f>(NMRPrep[[#This Row],[NH4Cl Stock Concentration (mM)]]*NMRPrep[[#This Row],[ NH4Cl (uL)]])/SUM(NMRPrep[[#This Row],[DI (uL) ]:[ NH4Cl (uL)]])</f>
        <v>#DIV/0!</v>
      </c>
    </row>
    <row r="416" spans="1:18" x14ac:dyDescent="0.25">
      <c r="A416" s="1">
        <f>SampleList[[#This Row],[Date Sampled]]</f>
        <v>0</v>
      </c>
      <c r="B416" t="str" cm="1">
        <f t="array" ref="B416">IF(ISBLANK(INDEX(SampleList[NMR],ROW()-1)),"Not Requested",INDEX(SampleList[Experiment ID],ROW()-1))</f>
        <v>Not Requested</v>
      </c>
      <c r="C416">
        <f>SampleList[[#This Row],[Duration (Days)]]</f>
        <v>0</v>
      </c>
      <c r="D416">
        <f>SampleList[[#This Row],[Sample Description]]</f>
        <v>0</v>
      </c>
      <c r="N416">
        <f>SUM(NMRPrep[[#This Row],[d-DMSO (uL) ]:[ NH4Cl (uL)]])</f>
        <v>0</v>
      </c>
      <c r="O416">
        <f>647</f>
        <v>647</v>
      </c>
      <c r="P416">
        <f>NMRPrep[[#This Row],[Total (uL) ]]-NMRPrep[[#This Row],[Target (uL)]]</f>
        <v>-647</v>
      </c>
      <c r="R416" t="e">
        <f>(NMRPrep[[#This Row],[NH4Cl Stock Concentration (mM)]]*NMRPrep[[#This Row],[ NH4Cl (uL)]])/SUM(NMRPrep[[#This Row],[DI (uL) ]:[ NH4Cl (uL)]])</f>
        <v>#DIV/0!</v>
      </c>
    </row>
    <row r="417" spans="1:18" x14ac:dyDescent="0.25">
      <c r="A417" s="1">
        <f>SampleList[[#This Row],[Date Sampled]]</f>
        <v>0</v>
      </c>
      <c r="B417" t="str" cm="1">
        <f t="array" ref="B417">IF(ISBLANK(INDEX(SampleList[NMR],ROW()-1)),"Not Requested",INDEX(SampleList[Experiment ID],ROW()-1))</f>
        <v>Not Requested</v>
      </c>
      <c r="C417">
        <f>SampleList[[#This Row],[Duration (Days)]]</f>
        <v>0</v>
      </c>
      <c r="D417">
        <f>SampleList[[#This Row],[Sample Description]]</f>
        <v>0</v>
      </c>
      <c r="N417">
        <f>SUM(NMRPrep[[#This Row],[d-DMSO (uL) ]:[ NH4Cl (uL)]])</f>
        <v>0</v>
      </c>
      <c r="O417">
        <f>647</f>
        <v>647</v>
      </c>
      <c r="P417">
        <f>NMRPrep[[#This Row],[Total (uL) ]]-NMRPrep[[#This Row],[Target (uL)]]</f>
        <v>-647</v>
      </c>
      <c r="R417" t="e">
        <f>(NMRPrep[[#This Row],[NH4Cl Stock Concentration (mM)]]*NMRPrep[[#This Row],[ NH4Cl (uL)]])/SUM(NMRPrep[[#This Row],[DI (uL) ]:[ NH4Cl (uL)]])</f>
        <v>#DIV/0!</v>
      </c>
    </row>
    <row r="418" spans="1:18" x14ac:dyDescent="0.25">
      <c r="A418" s="1">
        <f>SampleList[[#This Row],[Date Sampled]]</f>
        <v>0</v>
      </c>
      <c r="B418" t="str" cm="1">
        <f t="array" ref="B418">IF(ISBLANK(INDEX(SampleList[NMR],ROW()-1)),"Not Requested",INDEX(SampleList[Experiment ID],ROW()-1))</f>
        <v>Not Requested</v>
      </c>
      <c r="C418">
        <f>SampleList[[#This Row],[Duration (Days)]]</f>
        <v>0</v>
      </c>
      <c r="D418">
        <f>SampleList[[#This Row],[Sample Description]]</f>
        <v>0</v>
      </c>
      <c r="N418">
        <f>SUM(NMRPrep[[#This Row],[d-DMSO (uL) ]:[ NH4Cl (uL)]])</f>
        <v>0</v>
      </c>
      <c r="O418">
        <f>647</f>
        <v>647</v>
      </c>
      <c r="P418">
        <f>NMRPrep[[#This Row],[Total (uL) ]]-NMRPrep[[#This Row],[Target (uL)]]</f>
        <v>-647</v>
      </c>
      <c r="R418" t="e">
        <f>(NMRPrep[[#This Row],[NH4Cl Stock Concentration (mM)]]*NMRPrep[[#This Row],[ NH4Cl (uL)]])/SUM(NMRPrep[[#This Row],[DI (uL) ]:[ NH4Cl (uL)]])</f>
        <v>#DIV/0!</v>
      </c>
    </row>
    <row r="419" spans="1:18" x14ac:dyDescent="0.25">
      <c r="A419" s="1">
        <f>SampleList[[#This Row],[Date Sampled]]</f>
        <v>0</v>
      </c>
      <c r="B419" t="str" cm="1">
        <f t="array" ref="B419">IF(ISBLANK(INDEX(SampleList[NMR],ROW()-1)),"Not Requested",INDEX(SampleList[Experiment ID],ROW()-1))</f>
        <v>Not Requested</v>
      </c>
      <c r="C419">
        <f>SampleList[[#This Row],[Duration (Days)]]</f>
        <v>0</v>
      </c>
      <c r="D419">
        <f>SampleList[[#This Row],[Sample Description]]</f>
        <v>0</v>
      </c>
      <c r="N419">
        <f>SUM(NMRPrep[[#This Row],[d-DMSO (uL) ]:[ NH4Cl (uL)]])</f>
        <v>0</v>
      </c>
      <c r="O419">
        <f>647</f>
        <v>647</v>
      </c>
      <c r="P419">
        <f>NMRPrep[[#This Row],[Total (uL) ]]-NMRPrep[[#This Row],[Target (uL)]]</f>
        <v>-647</v>
      </c>
      <c r="R419" t="e">
        <f>(NMRPrep[[#This Row],[NH4Cl Stock Concentration (mM)]]*NMRPrep[[#This Row],[ NH4Cl (uL)]])/SUM(NMRPrep[[#This Row],[DI (uL) ]:[ NH4Cl (uL)]])</f>
        <v>#DIV/0!</v>
      </c>
    </row>
    <row r="420" spans="1:18" x14ac:dyDescent="0.25">
      <c r="A420" s="1">
        <f>SampleList[[#This Row],[Date Sampled]]</f>
        <v>0</v>
      </c>
      <c r="B420" t="str" cm="1">
        <f t="array" ref="B420">IF(ISBLANK(INDEX(SampleList[NMR],ROW()-1)),"Not Requested",INDEX(SampleList[Experiment ID],ROW()-1))</f>
        <v>Not Requested</v>
      </c>
      <c r="C420">
        <f>SampleList[[#This Row],[Duration (Days)]]</f>
        <v>0</v>
      </c>
      <c r="D420">
        <f>SampleList[[#This Row],[Sample Description]]</f>
        <v>0</v>
      </c>
      <c r="N420">
        <f>SUM(NMRPrep[[#This Row],[d-DMSO (uL) ]:[ NH4Cl (uL)]])</f>
        <v>0</v>
      </c>
      <c r="O420">
        <f>647</f>
        <v>647</v>
      </c>
      <c r="P420">
        <f>NMRPrep[[#This Row],[Total (uL) ]]-NMRPrep[[#This Row],[Target (uL)]]</f>
        <v>-647</v>
      </c>
      <c r="R420" t="e">
        <f>(NMRPrep[[#This Row],[NH4Cl Stock Concentration (mM)]]*NMRPrep[[#This Row],[ NH4Cl (uL)]])/SUM(NMRPrep[[#This Row],[DI (uL) ]:[ NH4Cl (uL)]])</f>
        <v>#DIV/0!</v>
      </c>
    </row>
    <row r="421" spans="1:18" x14ac:dyDescent="0.25">
      <c r="A421" s="1">
        <f>SampleList[[#This Row],[Date Sampled]]</f>
        <v>0</v>
      </c>
      <c r="B421" t="str" cm="1">
        <f t="array" ref="B421">IF(ISBLANK(INDEX(SampleList[NMR],ROW()-1)),"Not Requested",INDEX(SampleList[Experiment ID],ROW()-1))</f>
        <v>Not Requested</v>
      </c>
      <c r="C421">
        <f>SampleList[[#This Row],[Duration (Days)]]</f>
        <v>0</v>
      </c>
      <c r="D421">
        <f>SampleList[[#This Row],[Sample Description]]</f>
        <v>0</v>
      </c>
      <c r="N421">
        <f>SUM(NMRPrep[[#This Row],[d-DMSO (uL) ]:[ NH4Cl (uL)]])</f>
        <v>0</v>
      </c>
      <c r="O421">
        <f>647</f>
        <v>647</v>
      </c>
      <c r="P421">
        <f>NMRPrep[[#This Row],[Total (uL) ]]-NMRPrep[[#This Row],[Target (uL)]]</f>
        <v>-647</v>
      </c>
      <c r="R421" t="e">
        <f>(NMRPrep[[#This Row],[NH4Cl Stock Concentration (mM)]]*NMRPrep[[#This Row],[ NH4Cl (uL)]])/SUM(NMRPrep[[#This Row],[DI (uL) ]:[ NH4Cl (uL)]])</f>
        <v>#DIV/0!</v>
      </c>
    </row>
    <row r="422" spans="1:18" x14ac:dyDescent="0.25">
      <c r="A422" s="1">
        <f>SampleList[[#This Row],[Date Sampled]]</f>
        <v>0</v>
      </c>
      <c r="B422" t="str" cm="1">
        <f t="array" ref="B422">IF(ISBLANK(INDEX(SampleList[NMR],ROW()-1)),"Not Requested",INDEX(SampleList[Experiment ID],ROW()-1))</f>
        <v>Not Requested</v>
      </c>
      <c r="C422">
        <f>SampleList[[#This Row],[Duration (Days)]]</f>
        <v>0</v>
      </c>
      <c r="D422">
        <f>SampleList[[#This Row],[Sample Description]]</f>
        <v>0</v>
      </c>
      <c r="N422">
        <f>SUM(NMRPrep[[#This Row],[d-DMSO (uL) ]:[ NH4Cl (uL)]])</f>
        <v>0</v>
      </c>
      <c r="O422">
        <f>647</f>
        <v>647</v>
      </c>
      <c r="P422">
        <f>NMRPrep[[#This Row],[Total (uL) ]]-NMRPrep[[#This Row],[Target (uL)]]</f>
        <v>-647</v>
      </c>
      <c r="R422" t="e">
        <f>(NMRPrep[[#This Row],[NH4Cl Stock Concentration (mM)]]*NMRPrep[[#This Row],[ NH4Cl (uL)]])/SUM(NMRPrep[[#This Row],[DI (uL) ]:[ NH4Cl (uL)]])</f>
        <v>#DIV/0!</v>
      </c>
    </row>
    <row r="423" spans="1:18" x14ac:dyDescent="0.25">
      <c r="A423" s="1">
        <f>SampleList[[#This Row],[Date Sampled]]</f>
        <v>0</v>
      </c>
      <c r="B423" t="str" cm="1">
        <f t="array" ref="B423">IF(ISBLANK(INDEX(SampleList[NMR],ROW()-1)),"Not Requested",INDEX(SampleList[Experiment ID],ROW()-1))</f>
        <v>Not Requested</v>
      </c>
      <c r="C423">
        <f>SampleList[[#This Row],[Duration (Days)]]</f>
        <v>0</v>
      </c>
      <c r="D423">
        <f>SampleList[[#This Row],[Sample Description]]</f>
        <v>0</v>
      </c>
      <c r="N423">
        <f>SUM(NMRPrep[[#This Row],[d-DMSO (uL) ]:[ NH4Cl (uL)]])</f>
        <v>0</v>
      </c>
      <c r="O423">
        <f>647</f>
        <v>647</v>
      </c>
      <c r="P423">
        <f>NMRPrep[[#This Row],[Total (uL) ]]-NMRPrep[[#This Row],[Target (uL)]]</f>
        <v>-647</v>
      </c>
      <c r="R423" t="e">
        <f>(NMRPrep[[#This Row],[NH4Cl Stock Concentration (mM)]]*NMRPrep[[#This Row],[ NH4Cl (uL)]])/SUM(NMRPrep[[#This Row],[DI (uL) ]:[ NH4Cl (uL)]])</f>
        <v>#DIV/0!</v>
      </c>
    </row>
    <row r="424" spans="1:18" x14ac:dyDescent="0.25">
      <c r="A424" s="1">
        <f>SampleList[[#This Row],[Date Sampled]]</f>
        <v>0</v>
      </c>
      <c r="B424" t="str" cm="1">
        <f t="array" ref="B424">IF(ISBLANK(INDEX(SampleList[NMR],ROW()-1)),"Not Requested",INDEX(SampleList[Experiment ID],ROW()-1))</f>
        <v>Not Requested</v>
      </c>
      <c r="C424">
        <f>SampleList[[#This Row],[Duration (Days)]]</f>
        <v>0</v>
      </c>
      <c r="D424">
        <f>SampleList[[#This Row],[Sample Description]]</f>
        <v>0</v>
      </c>
      <c r="N424">
        <f>SUM(NMRPrep[[#This Row],[d-DMSO (uL) ]:[ NH4Cl (uL)]])</f>
        <v>0</v>
      </c>
      <c r="O424">
        <f>647</f>
        <v>647</v>
      </c>
      <c r="P424">
        <f>NMRPrep[[#This Row],[Total (uL) ]]-NMRPrep[[#This Row],[Target (uL)]]</f>
        <v>-647</v>
      </c>
      <c r="R424" t="e">
        <f>(NMRPrep[[#This Row],[NH4Cl Stock Concentration (mM)]]*NMRPrep[[#This Row],[ NH4Cl (uL)]])/SUM(NMRPrep[[#This Row],[DI (uL) ]:[ NH4Cl (uL)]])</f>
        <v>#DIV/0!</v>
      </c>
    </row>
    <row r="425" spans="1:18" x14ac:dyDescent="0.25">
      <c r="A425" s="1">
        <f>SampleList[[#This Row],[Date Sampled]]</f>
        <v>0</v>
      </c>
      <c r="B425" t="str" cm="1">
        <f t="array" ref="B425">IF(ISBLANK(INDEX(SampleList[NMR],ROW()-1)),"Not Requested",INDEX(SampleList[Experiment ID],ROW()-1))</f>
        <v>Not Requested</v>
      </c>
      <c r="C425">
        <f>SampleList[[#This Row],[Duration (Days)]]</f>
        <v>0</v>
      </c>
      <c r="D425">
        <f>SampleList[[#This Row],[Sample Description]]</f>
        <v>0</v>
      </c>
      <c r="N425">
        <f>SUM(NMRPrep[[#This Row],[d-DMSO (uL) ]:[ NH4Cl (uL)]])</f>
        <v>0</v>
      </c>
      <c r="O425">
        <f>647</f>
        <v>647</v>
      </c>
      <c r="P425">
        <f>NMRPrep[[#This Row],[Total (uL) ]]-NMRPrep[[#This Row],[Target (uL)]]</f>
        <v>-647</v>
      </c>
      <c r="R425" t="e">
        <f>(NMRPrep[[#This Row],[NH4Cl Stock Concentration (mM)]]*NMRPrep[[#This Row],[ NH4Cl (uL)]])/SUM(NMRPrep[[#This Row],[DI (uL) ]:[ NH4Cl (uL)]])</f>
        <v>#DIV/0!</v>
      </c>
    </row>
    <row r="426" spans="1:18" x14ac:dyDescent="0.25">
      <c r="A426" s="1">
        <f>SampleList[[#This Row],[Date Sampled]]</f>
        <v>0</v>
      </c>
      <c r="B426" t="str" cm="1">
        <f t="array" ref="B426">IF(ISBLANK(INDEX(SampleList[NMR],ROW()-1)),"Not Requested",INDEX(SampleList[Experiment ID],ROW()-1))</f>
        <v>Not Requested</v>
      </c>
      <c r="C426">
        <f>SampleList[[#This Row],[Duration (Days)]]</f>
        <v>0</v>
      </c>
      <c r="D426">
        <f>SampleList[[#This Row],[Sample Description]]</f>
        <v>0</v>
      </c>
      <c r="N426">
        <f>SUM(NMRPrep[[#This Row],[d-DMSO (uL) ]:[ NH4Cl (uL)]])</f>
        <v>0</v>
      </c>
      <c r="O426">
        <f>647</f>
        <v>647</v>
      </c>
      <c r="P426">
        <f>NMRPrep[[#This Row],[Total (uL) ]]-NMRPrep[[#This Row],[Target (uL)]]</f>
        <v>-647</v>
      </c>
      <c r="R426" t="e">
        <f>(NMRPrep[[#This Row],[NH4Cl Stock Concentration (mM)]]*NMRPrep[[#This Row],[ NH4Cl (uL)]])/SUM(NMRPrep[[#This Row],[DI (uL) ]:[ NH4Cl (uL)]])</f>
        <v>#DIV/0!</v>
      </c>
    </row>
    <row r="427" spans="1:18" x14ac:dyDescent="0.25">
      <c r="A427" s="1">
        <f>SampleList[[#This Row],[Date Sampled]]</f>
        <v>0</v>
      </c>
      <c r="B427" t="str" cm="1">
        <f t="array" ref="B427">IF(ISBLANK(INDEX(SampleList[NMR],ROW()-1)),"Not Requested",INDEX(SampleList[Experiment ID],ROW()-1))</f>
        <v>Not Requested</v>
      </c>
      <c r="C427">
        <f>SampleList[[#This Row],[Duration (Days)]]</f>
        <v>0</v>
      </c>
      <c r="D427">
        <f>SampleList[[#This Row],[Sample Description]]</f>
        <v>0</v>
      </c>
      <c r="N427">
        <f>SUM(NMRPrep[[#This Row],[d-DMSO (uL) ]:[ NH4Cl (uL)]])</f>
        <v>0</v>
      </c>
      <c r="O427">
        <f>647</f>
        <v>647</v>
      </c>
      <c r="P427">
        <f>NMRPrep[[#This Row],[Total (uL) ]]-NMRPrep[[#This Row],[Target (uL)]]</f>
        <v>-647</v>
      </c>
      <c r="R427" t="e">
        <f>(NMRPrep[[#This Row],[NH4Cl Stock Concentration (mM)]]*NMRPrep[[#This Row],[ NH4Cl (uL)]])/SUM(NMRPrep[[#This Row],[DI (uL) ]:[ NH4Cl (uL)]])</f>
        <v>#DIV/0!</v>
      </c>
    </row>
    <row r="428" spans="1:18" x14ac:dyDescent="0.25">
      <c r="A428" s="1">
        <f>SampleList[[#This Row],[Date Sampled]]</f>
        <v>0</v>
      </c>
      <c r="B428" t="str" cm="1">
        <f t="array" ref="B428">IF(ISBLANK(INDEX(SampleList[NMR],ROW()-1)),"Not Requested",INDEX(SampleList[Experiment ID],ROW()-1))</f>
        <v>Not Requested</v>
      </c>
      <c r="C428">
        <f>SampleList[[#This Row],[Duration (Days)]]</f>
        <v>0</v>
      </c>
      <c r="D428">
        <f>SampleList[[#This Row],[Sample Description]]</f>
        <v>0</v>
      </c>
      <c r="N428">
        <f>SUM(NMRPrep[[#This Row],[d-DMSO (uL) ]:[ NH4Cl (uL)]])</f>
        <v>0</v>
      </c>
      <c r="O428">
        <f>647</f>
        <v>647</v>
      </c>
      <c r="P428">
        <f>NMRPrep[[#This Row],[Total (uL) ]]-NMRPrep[[#This Row],[Target (uL)]]</f>
        <v>-647</v>
      </c>
      <c r="R428" t="e">
        <f>(NMRPrep[[#This Row],[NH4Cl Stock Concentration (mM)]]*NMRPrep[[#This Row],[ NH4Cl (uL)]])/SUM(NMRPrep[[#This Row],[DI (uL) ]:[ NH4Cl (uL)]])</f>
        <v>#DIV/0!</v>
      </c>
    </row>
    <row r="429" spans="1:18" x14ac:dyDescent="0.25">
      <c r="A429" s="1">
        <f>SampleList[[#This Row],[Date Sampled]]</f>
        <v>0</v>
      </c>
      <c r="B429" t="str" cm="1">
        <f t="array" ref="B429">IF(ISBLANK(INDEX(SampleList[NMR],ROW()-1)),"Not Requested",INDEX(SampleList[Experiment ID],ROW()-1))</f>
        <v>Not Requested</v>
      </c>
      <c r="C429">
        <f>SampleList[[#This Row],[Duration (Days)]]</f>
        <v>0</v>
      </c>
      <c r="D429">
        <f>SampleList[[#This Row],[Sample Description]]</f>
        <v>0</v>
      </c>
      <c r="N429">
        <f>SUM(NMRPrep[[#This Row],[d-DMSO (uL) ]:[ NH4Cl (uL)]])</f>
        <v>0</v>
      </c>
      <c r="O429">
        <f>647</f>
        <v>647</v>
      </c>
      <c r="P429">
        <f>NMRPrep[[#This Row],[Total (uL) ]]-NMRPrep[[#This Row],[Target (uL)]]</f>
        <v>-647</v>
      </c>
      <c r="R429" t="e">
        <f>(NMRPrep[[#This Row],[NH4Cl Stock Concentration (mM)]]*NMRPrep[[#This Row],[ NH4Cl (uL)]])/SUM(NMRPrep[[#This Row],[DI (uL) ]:[ NH4Cl (uL)]])</f>
        <v>#DIV/0!</v>
      </c>
    </row>
    <row r="430" spans="1:18" x14ac:dyDescent="0.25">
      <c r="A430" s="1">
        <f>SampleList[[#This Row],[Date Sampled]]</f>
        <v>0</v>
      </c>
      <c r="B430" t="str" cm="1">
        <f t="array" ref="B430">IF(ISBLANK(INDEX(SampleList[NMR],ROW()-1)),"Not Requested",INDEX(SampleList[Experiment ID],ROW()-1))</f>
        <v>Not Requested</v>
      </c>
      <c r="C430">
        <f>SampleList[[#This Row],[Duration (Days)]]</f>
        <v>0</v>
      </c>
      <c r="D430">
        <f>SampleList[[#This Row],[Sample Description]]</f>
        <v>0</v>
      </c>
      <c r="N430">
        <f>SUM(NMRPrep[[#This Row],[d-DMSO (uL) ]:[ NH4Cl (uL)]])</f>
        <v>0</v>
      </c>
      <c r="O430">
        <f>647</f>
        <v>647</v>
      </c>
      <c r="P430">
        <f>NMRPrep[[#This Row],[Total (uL) ]]-NMRPrep[[#This Row],[Target (uL)]]</f>
        <v>-647</v>
      </c>
      <c r="R430" t="e">
        <f>(NMRPrep[[#This Row],[NH4Cl Stock Concentration (mM)]]*NMRPrep[[#This Row],[ NH4Cl (uL)]])/SUM(NMRPrep[[#This Row],[DI (uL) ]:[ NH4Cl (uL)]])</f>
        <v>#DIV/0!</v>
      </c>
    </row>
    <row r="431" spans="1:18" x14ac:dyDescent="0.25">
      <c r="A431" s="1">
        <f>SampleList[[#This Row],[Date Sampled]]</f>
        <v>0</v>
      </c>
      <c r="B431" t="str" cm="1">
        <f t="array" ref="B431">IF(ISBLANK(INDEX(SampleList[NMR],ROW()-1)),"Not Requested",INDEX(SampleList[Experiment ID],ROW()-1))</f>
        <v>Not Requested</v>
      </c>
      <c r="C431">
        <f>SampleList[[#This Row],[Duration (Days)]]</f>
        <v>0</v>
      </c>
      <c r="D431">
        <f>SampleList[[#This Row],[Sample Description]]</f>
        <v>0</v>
      </c>
      <c r="N431">
        <f>SUM(NMRPrep[[#This Row],[d-DMSO (uL) ]:[ NH4Cl (uL)]])</f>
        <v>0</v>
      </c>
      <c r="O431">
        <f>647</f>
        <v>647</v>
      </c>
      <c r="P431">
        <f>NMRPrep[[#This Row],[Total (uL) ]]-NMRPrep[[#This Row],[Target (uL)]]</f>
        <v>-647</v>
      </c>
      <c r="R431" t="e">
        <f>(NMRPrep[[#This Row],[NH4Cl Stock Concentration (mM)]]*NMRPrep[[#This Row],[ NH4Cl (uL)]])/SUM(NMRPrep[[#This Row],[DI (uL) ]:[ NH4Cl (uL)]])</f>
        <v>#DIV/0!</v>
      </c>
    </row>
    <row r="432" spans="1:18" x14ac:dyDescent="0.25">
      <c r="A432" s="1">
        <f>SampleList[[#This Row],[Date Sampled]]</f>
        <v>0</v>
      </c>
      <c r="B432" t="str" cm="1">
        <f t="array" ref="B432">IF(ISBLANK(INDEX(SampleList[NMR],ROW()-1)),"Not Requested",INDEX(SampleList[Experiment ID],ROW()-1))</f>
        <v>Not Requested</v>
      </c>
      <c r="C432">
        <f>SampleList[[#This Row],[Duration (Days)]]</f>
        <v>0</v>
      </c>
      <c r="D432">
        <f>SampleList[[#This Row],[Sample Description]]</f>
        <v>0</v>
      </c>
      <c r="N432">
        <f>SUM(NMRPrep[[#This Row],[d-DMSO (uL) ]:[ NH4Cl (uL)]])</f>
        <v>0</v>
      </c>
      <c r="O432">
        <f>647</f>
        <v>647</v>
      </c>
      <c r="P432">
        <f>NMRPrep[[#This Row],[Total (uL) ]]-NMRPrep[[#This Row],[Target (uL)]]</f>
        <v>-647</v>
      </c>
      <c r="R432" t="e">
        <f>(NMRPrep[[#This Row],[NH4Cl Stock Concentration (mM)]]*NMRPrep[[#This Row],[ NH4Cl (uL)]])/SUM(NMRPrep[[#This Row],[DI (uL) ]:[ NH4Cl (uL)]])</f>
        <v>#DIV/0!</v>
      </c>
    </row>
    <row r="433" spans="1:18" x14ac:dyDescent="0.25">
      <c r="A433" s="1">
        <f>SampleList[[#This Row],[Date Sampled]]</f>
        <v>0</v>
      </c>
      <c r="B433" t="str" cm="1">
        <f t="array" ref="B433">IF(ISBLANK(INDEX(SampleList[NMR],ROW()-1)),"Not Requested",INDEX(SampleList[Experiment ID],ROW()-1))</f>
        <v>Not Requested</v>
      </c>
      <c r="C433">
        <f>SampleList[[#This Row],[Duration (Days)]]</f>
        <v>0</v>
      </c>
      <c r="D433">
        <f>SampleList[[#This Row],[Sample Description]]</f>
        <v>0</v>
      </c>
      <c r="N433">
        <f>SUM(NMRPrep[[#This Row],[d-DMSO (uL) ]:[ NH4Cl (uL)]])</f>
        <v>0</v>
      </c>
      <c r="O433">
        <f>647</f>
        <v>647</v>
      </c>
      <c r="P433">
        <f>NMRPrep[[#This Row],[Total (uL) ]]-NMRPrep[[#This Row],[Target (uL)]]</f>
        <v>-647</v>
      </c>
      <c r="R433" t="e">
        <f>(NMRPrep[[#This Row],[NH4Cl Stock Concentration (mM)]]*NMRPrep[[#This Row],[ NH4Cl (uL)]])/SUM(NMRPrep[[#This Row],[DI (uL) ]:[ NH4Cl (uL)]])</f>
        <v>#DIV/0!</v>
      </c>
    </row>
    <row r="434" spans="1:18" x14ac:dyDescent="0.25">
      <c r="A434" s="1">
        <f>SampleList[[#This Row],[Date Sampled]]</f>
        <v>0</v>
      </c>
      <c r="B434" t="str" cm="1">
        <f t="array" ref="B434">IF(ISBLANK(INDEX(SampleList[NMR],ROW()-1)),"Not Requested",INDEX(SampleList[Experiment ID],ROW()-1))</f>
        <v>Not Requested</v>
      </c>
      <c r="C434">
        <f>SampleList[[#This Row],[Duration (Days)]]</f>
        <v>0</v>
      </c>
      <c r="D434">
        <f>SampleList[[#This Row],[Sample Description]]</f>
        <v>0</v>
      </c>
      <c r="N434">
        <f>SUM(NMRPrep[[#This Row],[d-DMSO (uL) ]:[ NH4Cl (uL)]])</f>
        <v>0</v>
      </c>
      <c r="O434">
        <f>647</f>
        <v>647</v>
      </c>
      <c r="P434">
        <f>NMRPrep[[#This Row],[Total (uL) ]]-NMRPrep[[#This Row],[Target (uL)]]</f>
        <v>-647</v>
      </c>
      <c r="R434" t="e">
        <f>(NMRPrep[[#This Row],[NH4Cl Stock Concentration (mM)]]*NMRPrep[[#This Row],[ NH4Cl (uL)]])/SUM(NMRPrep[[#This Row],[DI (uL) ]:[ NH4Cl (uL)]])</f>
        <v>#DIV/0!</v>
      </c>
    </row>
    <row r="435" spans="1:18" x14ac:dyDescent="0.25">
      <c r="A435" s="1">
        <f>SampleList[[#This Row],[Date Sampled]]</f>
        <v>0</v>
      </c>
      <c r="B435" t="str" cm="1">
        <f t="array" ref="B435">IF(ISBLANK(INDEX(SampleList[NMR],ROW()-1)),"Not Requested",INDEX(SampleList[Experiment ID],ROW()-1))</f>
        <v>Not Requested</v>
      </c>
      <c r="C435">
        <f>SampleList[[#This Row],[Duration (Days)]]</f>
        <v>0</v>
      </c>
      <c r="D435">
        <f>SampleList[[#This Row],[Sample Description]]</f>
        <v>0</v>
      </c>
      <c r="N435">
        <f>SUM(NMRPrep[[#This Row],[d-DMSO (uL) ]:[ NH4Cl (uL)]])</f>
        <v>0</v>
      </c>
      <c r="O435">
        <f>647</f>
        <v>647</v>
      </c>
      <c r="P435">
        <f>NMRPrep[[#This Row],[Total (uL) ]]-NMRPrep[[#This Row],[Target (uL)]]</f>
        <v>-647</v>
      </c>
      <c r="R435" t="e">
        <f>(NMRPrep[[#This Row],[NH4Cl Stock Concentration (mM)]]*NMRPrep[[#This Row],[ NH4Cl (uL)]])/SUM(NMRPrep[[#This Row],[DI (uL) ]:[ NH4Cl (uL)]])</f>
        <v>#DIV/0!</v>
      </c>
    </row>
    <row r="436" spans="1:18" x14ac:dyDescent="0.25">
      <c r="A436" s="1">
        <f>SampleList[[#This Row],[Date Sampled]]</f>
        <v>0</v>
      </c>
      <c r="B436" t="str" cm="1">
        <f t="array" ref="B436">IF(ISBLANK(INDEX(SampleList[NMR],ROW()-1)),"Not Requested",INDEX(SampleList[Experiment ID],ROW()-1))</f>
        <v>Not Requested</v>
      </c>
      <c r="C436">
        <f>SampleList[[#This Row],[Duration (Days)]]</f>
        <v>0</v>
      </c>
      <c r="D436">
        <f>SampleList[[#This Row],[Sample Description]]</f>
        <v>0</v>
      </c>
      <c r="N436">
        <f>SUM(NMRPrep[[#This Row],[d-DMSO (uL) ]:[ NH4Cl (uL)]])</f>
        <v>0</v>
      </c>
      <c r="O436">
        <f>647</f>
        <v>647</v>
      </c>
      <c r="P436">
        <f>NMRPrep[[#This Row],[Total (uL) ]]-NMRPrep[[#This Row],[Target (uL)]]</f>
        <v>-647</v>
      </c>
      <c r="R436" t="e">
        <f>(NMRPrep[[#This Row],[NH4Cl Stock Concentration (mM)]]*NMRPrep[[#This Row],[ NH4Cl (uL)]])/SUM(NMRPrep[[#This Row],[DI (uL) ]:[ NH4Cl (uL)]])</f>
        <v>#DIV/0!</v>
      </c>
    </row>
    <row r="437" spans="1:18" x14ac:dyDescent="0.25">
      <c r="A437" s="1">
        <f>SampleList[[#This Row],[Date Sampled]]</f>
        <v>0</v>
      </c>
      <c r="B437" t="str" cm="1">
        <f t="array" ref="B437">IF(ISBLANK(INDEX(SampleList[NMR],ROW()-1)),"Not Requested",INDEX(SampleList[Experiment ID],ROW()-1))</f>
        <v>Not Requested</v>
      </c>
      <c r="C437">
        <f>SampleList[[#This Row],[Duration (Days)]]</f>
        <v>0</v>
      </c>
      <c r="D437">
        <f>SampleList[[#This Row],[Sample Description]]</f>
        <v>0</v>
      </c>
      <c r="N437">
        <f>SUM(NMRPrep[[#This Row],[d-DMSO (uL) ]:[ NH4Cl (uL)]])</f>
        <v>0</v>
      </c>
      <c r="O437">
        <f>647</f>
        <v>647</v>
      </c>
      <c r="P437">
        <f>NMRPrep[[#This Row],[Total (uL) ]]-NMRPrep[[#This Row],[Target (uL)]]</f>
        <v>-647</v>
      </c>
      <c r="R437" t="e">
        <f>(NMRPrep[[#This Row],[NH4Cl Stock Concentration (mM)]]*NMRPrep[[#This Row],[ NH4Cl (uL)]])/SUM(NMRPrep[[#This Row],[DI (uL) ]:[ NH4Cl (uL)]])</f>
        <v>#DIV/0!</v>
      </c>
    </row>
    <row r="438" spans="1:18" x14ac:dyDescent="0.25">
      <c r="A438" s="1">
        <f>SampleList[[#This Row],[Date Sampled]]</f>
        <v>0</v>
      </c>
      <c r="B438" t="str" cm="1">
        <f t="array" ref="B438">IF(ISBLANK(INDEX(SampleList[NMR],ROW()-1)),"Not Requested",INDEX(SampleList[Experiment ID],ROW()-1))</f>
        <v>Not Requested</v>
      </c>
      <c r="C438">
        <f>SampleList[[#This Row],[Duration (Days)]]</f>
        <v>0</v>
      </c>
      <c r="D438">
        <f>SampleList[[#This Row],[Sample Description]]</f>
        <v>0</v>
      </c>
      <c r="N438">
        <f>SUM(NMRPrep[[#This Row],[d-DMSO (uL) ]:[ NH4Cl (uL)]])</f>
        <v>0</v>
      </c>
      <c r="O438">
        <f>647</f>
        <v>647</v>
      </c>
      <c r="P438">
        <f>NMRPrep[[#This Row],[Total (uL) ]]-NMRPrep[[#This Row],[Target (uL)]]</f>
        <v>-647</v>
      </c>
      <c r="R438" t="e">
        <f>(NMRPrep[[#This Row],[NH4Cl Stock Concentration (mM)]]*NMRPrep[[#This Row],[ NH4Cl (uL)]])/SUM(NMRPrep[[#This Row],[DI (uL) ]:[ NH4Cl (uL)]])</f>
        <v>#DIV/0!</v>
      </c>
    </row>
    <row r="439" spans="1:18" x14ac:dyDescent="0.25">
      <c r="A439" s="1">
        <f>SampleList[[#This Row],[Date Sampled]]</f>
        <v>0</v>
      </c>
      <c r="B439" t="str" cm="1">
        <f t="array" ref="B439">IF(ISBLANK(INDEX(SampleList[NMR],ROW()-1)),"Not Requested",INDEX(SampleList[Experiment ID],ROW()-1))</f>
        <v>Not Requested</v>
      </c>
      <c r="C439">
        <f>SampleList[[#This Row],[Duration (Days)]]</f>
        <v>0</v>
      </c>
      <c r="D439">
        <f>SampleList[[#This Row],[Sample Description]]</f>
        <v>0</v>
      </c>
      <c r="N439">
        <f>SUM(NMRPrep[[#This Row],[d-DMSO (uL) ]:[ NH4Cl (uL)]])</f>
        <v>0</v>
      </c>
      <c r="O439">
        <f>647</f>
        <v>647</v>
      </c>
      <c r="P439">
        <f>NMRPrep[[#This Row],[Total (uL) ]]-NMRPrep[[#This Row],[Target (uL)]]</f>
        <v>-647</v>
      </c>
      <c r="R439" t="e">
        <f>(NMRPrep[[#This Row],[NH4Cl Stock Concentration (mM)]]*NMRPrep[[#This Row],[ NH4Cl (uL)]])/SUM(NMRPrep[[#This Row],[DI (uL) ]:[ NH4Cl (uL)]])</f>
        <v>#DIV/0!</v>
      </c>
    </row>
    <row r="440" spans="1:18" x14ac:dyDescent="0.25">
      <c r="A440" s="1">
        <f>SampleList[[#This Row],[Date Sampled]]</f>
        <v>0</v>
      </c>
      <c r="B440" t="str" cm="1">
        <f t="array" ref="B440">IF(ISBLANK(INDEX(SampleList[NMR],ROW()-1)),"Not Requested",INDEX(SampleList[Experiment ID],ROW()-1))</f>
        <v>Not Requested</v>
      </c>
      <c r="C440">
        <f>SampleList[[#This Row],[Duration (Days)]]</f>
        <v>0</v>
      </c>
      <c r="D440">
        <f>SampleList[[#This Row],[Sample Description]]</f>
        <v>0</v>
      </c>
      <c r="N440">
        <f>SUM(NMRPrep[[#This Row],[d-DMSO (uL) ]:[ NH4Cl (uL)]])</f>
        <v>0</v>
      </c>
      <c r="O440">
        <f>647</f>
        <v>647</v>
      </c>
      <c r="P440">
        <f>NMRPrep[[#This Row],[Total (uL) ]]-NMRPrep[[#This Row],[Target (uL)]]</f>
        <v>-647</v>
      </c>
      <c r="R440" t="e">
        <f>(NMRPrep[[#This Row],[NH4Cl Stock Concentration (mM)]]*NMRPrep[[#This Row],[ NH4Cl (uL)]])/SUM(NMRPrep[[#This Row],[DI (uL) ]:[ NH4Cl (uL)]])</f>
        <v>#DIV/0!</v>
      </c>
    </row>
    <row r="441" spans="1:18" x14ac:dyDescent="0.25">
      <c r="A441" s="1">
        <f>SampleList[[#This Row],[Date Sampled]]</f>
        <v>0</v>
      </c>
      <c r="B441" t="str" cm="1">
        <f t="array" ref="B441">IF(ISBLANK(INDEX(SampleList[NMR],ROW()-1)),"Not Requested",INDEX(SampleList[Experiment ID],ROW()-1))</f>
        <v>Not Requested</v>
      </c>
      <c r="C441">
        <f>SampleList[[#This Row],[Duration (Days)]]</f>
        <v>0</v>
      </c>
      <c r="D441">
        <f>SampleList[[#This Row],[Sample Description]]</f>
        <v>0</v>
      </c>
      <c r="N441">
        <f>SUM(NMRPrep[[#This Row],[d-DMSO (uL) ]:[ NH4Cl (uL)]])</f>
        <v>0</v>
      </c>
      <c r="O441">
        <f>647</f>
        <v>647</v>
      </c>
      <c r="P441">
        <f>NMRPrep[[#This Row],[Total (uL) ]]-NMRPrep[[#This Row],[Target (uL)]]</f>
        <v>-647</v>
      </c>
      <c r="R441" t="e">
        <f>(NMRPrep[[#This Row],[NH4Cl Stock Concentration (mM)]]*NMRPrep[[#This Row],[ NH4Cl (uL)]])/SUM(NMRPrep[[#This Row],[DI (uL) ]:[ NH4Cl (uL)]])</f>
        <v>#DIV/0!</v>
      </c>
    </row>
    <row r="442" spans="1:18" x14ac:dyDescent="0.25">
      <c r="A442" s="1">
        <f>SampleList[[#This Row],[Date Sampled]]</f>
        <v>0</v>
      </c>
      <c r="B442" t="str" cm="1">
        <f t="array" ref="B442">IF(ISBLANK(INDEX(SampleList[NMR],ROW()-1)),"Not Requested",INDEX(SampleList[Experiment ID],ROW()-1))</f>
        <v>Not Requested</v>
      </c>
      <c r="C442">
        <f>SampleList[[#This Row],[Duration (Days)]]</f>
        <v>0</v>
      </c>
      <c r="D442">
        <f>SampleList[[#This Row],[Sample Description]]</f>
        <v>0</v>
      </c>
      <c r="N442">
        <f>SUM(NMRPrep[[#This Row],[d-DMSO (uL) ]:[ NH4Cl (uL)]])</f>
        <v>0</v>
      </c>
      <c r="O442">
        <f>647</f>
        <v>647</v>
      </c>
      <c r="P442">
        <f>NMRPrep[[#This Row],[Total (uL) ]]-NMRPrep[[#This Row],[Target (uL)]]</f>
        <v>-647</v>
      </c>
      <c r="R442" t="e">
        <f>(NMRPrep[[#This Row],[NH4Cl Stock Concentration (mM)]]*NMRPrep[[#This Row],[ NH4Cl (uL)]])/SUM(NMRPrep[[#This Row],[DI (uL) ]:[ NH4Cl (uL)]])</f>
        <v>#DIV/0!</v>
      </c>
    </row>
    <row r="443" spans="1:18" x14ac:dyDescent="0.25">
      <c r="A443" s="1">
        <f>SampleList[[#This Row],[Date Sampled]]</f>
        <v>0</v>
      </c>
      <c r="B443" t="str" cm="1">
        <f t="array" ref="B443">IF(ISBLANK(INDEX(SampleList[NMR],ROW()-1)),"Not Requested",INDEX(SampleList[Experiment ID],ROW()-1))</f>
        <v>Not Requested</v>
      </c>
      <c r="C443">
        <f>SampleList[[#This Row],[Duration (Days)]]</f>
        <v>0</v>
      </c>
      <c r="D443">
        <f>SampleList[[#This Row],[Sample Description]]</f>
        <v>0</v>
      </c>
      <c r="N443">
        <f>SUM(NMRPrep[[#This Row],[d-DMSO (uL) ]:[ NH4Cl (uL)]])</f>
        <v>0</v>
      </c>
      <c r="O443">
        <f>647</f>
        <v>647</v>
      </c>
      <c r="P443">
        <f>NMRPrep[[#This Row],[Total (uL) ]]-NMRPrep[[#This Row],[Target (uL)]]</f>
        <v>-647</v>
      </c>
      <c r="R443" t="e">
        <f>(NMRPrep[[#This Row],[NH4Cl Stock Concentration (mM)]]*NMRPrep[[#This Row],[ NH4Cl (uL)]])/SUM(NMRPrep[[#This Row],[DI (uL) ]:[ NH4Cl (uL)]])</f>
        <v>#DIV/0!</v>
      </c>
    </row>
    <row r="444" spans="1:18" x14ac:dyDescent="0.25">
      <c r="A444" s="1">
        <f>SampleList[[#This Row],[Date Sampled]]</f>
        <v>0</v>
      </c>
      <c r="B444" t="str" cm="1">
        <f t="array" ref="B444">IF(ISBLANK(INDEX(SampleList[NMR],ROW()-1)),"Not Requested",INDEX(SampleList[Experiment ID],ROW()-1))</f>
        <v>Not Requested</v>
      </c>
      <c r="C444">
        <f>SampleList[[#This Row],[Duration (Days)]]</f>
        <v>0</v>
      </c>
      <c r="D444">
        <f>SampleList[[#This Row],[Sample Description]]</f>
        <v>0</v>
      </c>
      <c r="N444">
        <f>SUM(NMRPrep[[#This Row],[d-DMSO (uL) ]:[ NH4Cl (uL)]])</f>
        <v>0</v>
      </c>
      <c r="O444">
        <f>647</f>
        <v>647</v>
      </c>
      <c r="P444">
        <f>NMRPrep[[#This Row],[Total (uL) ]]-NMRPrep[[#This Row],[Target (uL)]]</f>
        <v>-647</v>
      </c>
      <c r="R444" t="e">
        <f>(NMRPrep[[#This Row],[NH4Cl Stock Concentration (mM)]]*NMRPrep[[#This Row],[ NH4Cl (uL)]])/SUM(NMRPrep[[#This Row],[DI (uL) ]:[ NH4Cl (uL)]])</f>
        <v>#DIV/0!</v>
      </c>
    </row>
    <row r="445" spans="1:18" x14ac:dyDescent="0.25">
      <c r="A445" s="1">
        <f>SampleList[[#This Row],[Date Sampled]]</f>
        <v>0</v>
      </c>
      <c r="B445" t="str" cm="1">
        <f t="array" ref="B445">IF(ISBLANK(INDEX(SampleList[NMR],ROW()-1)),"Not Requested",INDEX(SampleList[Experiment ID],ROW()-1))</f>
        <v>Not Requested</v>
      </c>
      <c r="C445">
        <f>SampleList[[#This Row],[Duration (Days)]]</f>
        <v>0</v>
      </c>
      <c r="D445">
        <f>SampleList[[#This Row],[Sample Description]]</f>
        <v>0</v>
      </c>
      <c r="N445">
        <f>SUM(NMRPrep[[#This Row],[d-DMSO (uL) ]:[ NH4Cl (uL)]])</f>
        <v>0</v>
      </c>
      <c r="O445">
        <f>647</f>
        <v>647</v>
      </c>
      <c r="P445">
        <f>NMRPrep[[#This Row],[Total (uL) ]]-NMRPrep[[#This Row],[Target (uL)]]</f>
        <v>-647</v>
      </c>
      <c r="R445" t="e">
        <f>(NMRPrep[[#This Row],[NH4Cl Stock Concentration (mM)]]*NMRPrep[[#This Row],[ NH4Cl (uL)]])/SUM(NMRPrep[[#This Row],[DI (uL) ]:[ NH4Cl (uL)]])</f>
        <v>#DIV/0!</v>
      </c>
    </row>
    <row r="446" spans="1:18" x14ac:dyDescent="0.25">
      <c r="A446" s="1">
        <f>SampleList[[#This Row],[Date Sampled]]</f>
        <v>0</v>
      </c>
      <c r="B446" t="str" cm="1">
        <f t="array" ref="B446">IF(ISBLANK(INDEX(SampleList[NMR],ROW()-1)),"Not Requested",INDEX(SampleList[Experiment ID],ROW()-1))</f>
        <v>Not Requested</v>
      </c>
      <c r="C446">
        <f>SampleList[[#This Row],[Duration (Days)]]</f>
        <v>0</v>
      </c>
      <c r="D446">
        <f>SampleList[[#This Row],[Sample Description]]</f>
        <v>0</v>
      </c>
      <c r="N446">
        <f>SUM(NMRPrep[[#This Row],[d-DMSO (uL) ]:[ NH4Cl (uL)]])</f>
        <v>0</v>
      </c>
      <c r="O446">
        <f>647</f>
        <v>647</v>
      </c>
      <c r="P446">
        <f>NMRPrep[[#This Row],[Total (uL) ]]-NMRPrep[[#This Row],[Target (uL)]]</f>
        <v>-647</v>
      </c>
      <c r="R446" t="e">
        <f>(NMRPrep[[#This Row],[NH4Cl Stock Concentration (mM)]]*NMRPrep[[#This Row],[ NH4Cl (uL)]])/SUM(NMRPrep[[#This Row],[DI (uL) ]:[ NH4Cl (uL)]])</f>
        <v>#DIV/0!</v>
      </c>
    </row>
    <row r="447" spans="1:18" x14ac:dyDescent="0.25">
      <c r="A447" s="1">
        <f>SampleList[[#This Row],[Date Sampled]]</f>
        <v>0</v>
      </c>
      <c r="B447" t="str" cm="1">
        <f t="array" ref="B447">IF(ISBLANK(INDEX(SampleList[NMR],ROW()-1)),"Not Requested",INDEX(SampleList[Experiment ID],ROW()-1))</f>
        <v>Not Requested</v>
      </c>
      <c r="C447">
        <f>SampleList[[#This Row],[Duration (Days)]]</f>
        <v>0</v>
      </c>
      <c r="D447">
        <f>SampleList[[#This Row],[Sample Description]]</f>
        <v>0</v>
      </c>
      <c r="N447">
        <f>SUM(NMRPrep[[#This Row],[d-DMSO (uL) ]:[ NH4Cl (uL)]])</f>
        <v>0</v>
      </c>
      <c r="O447">
        <f>647</f>
        <v>647</v>
      </c>
      <c r="P447">
        <f>NMRPrep[[#This Row],[Total (uL) ]]-NMRPrep[[#This Row],[Target (uL)]]</f>
        <v>-647</v>
      </c>
      <c r="R447" t="e">
        <f>(NMRPrep[[#This Row],[NH4Cl Stock Concentration (mM)]]*NMRPrep[[#This Row],[ NH4Cl (uL)]])/SUM(NMRPrep[[#This Row],[DI (uL) ]:[ NH4Cl (uL)]])</f>
        <v>#DIV/0!</v>
      </c>
    </row>
    <row r="448" spans="1:18" x14ac:dyDescent="0.25">
      <c r="A448" s="1">
        <f>SampleList[[#This Row],[Date Sampled]]</f>
        <v>0</v>
      </c>
      <c r="B448" t="str" cm="1">
        <f t="array" ref="B448">IF(ISBLANK(INDEX(SampleList[NMR],ROW()-1)),"Not Requested",INDEX(SampleList[Experiment ID],ROW()-1))</f>
        <v>Not Requested</v>
      </c>
      <c r="C448">
        <f>SampleList[[#This Row],[Duration (Days)]]</f>
        <v>0</v>
      </c>
      <c r="D448">
        <f>SampleList[[#This Row],[Sample Description]]</f>
        <v>0</v>
      </c>
      <c r="N448">
        <f>SUM(NMRPrep[[#This Row],[d-DMSO (uL) ]:[ NH4Cl (uL)]])</f>
        <v>0</v>
      </c>
      <c r="O448">
        <f>647</f>
        <v>647</v>
      </c>
      <c r="P448">
        <f>NMRPrep[[#This Row],[Total (uL) ]]-NMRPrep[[#This Row],[Target (uL)]]</f>
        <v>-647</v>
      </c>
      <c r="R448" t="e">
        <f>(NMRPrep[[#This Row],[NH4Cl Stock Concentration (mM)]]*NMRPrep[[#This Row],[ NH4Cl (uL)]])/SUM(NMRPrep[[#This Row],[DI (uL) ]:[ NH4Cl (uL)]])</f>
        <v>#DIV/0!</v>
      </c>
    </row>
    <row r="449" spans="1:18" x14ac:dyDescent="0.25">
      <c r="A449" s="1">
        <f>SampleList[[#This Row],[Date Sampled]]</f>
        <v>0</v>
      </c>
      <c r="B449" t="str" cm="1">
        <f t="array" ref="B449">IF(ISBLANK(INDEX(SampleList[NMR],ROW()-1)),"Not Requested",INDEX(SampleList[Experiment ID],ROW()-1))</f>
        <v>Not Requested</v>
      </c>
      <c r="C449">
        <f>SampleList[[#This Row],[Duration (Days)]]</f>
        <v>0</v>
      </c>
      <c r="D449">
        <f>SampleList[[#This Row],[Sample Description]]</f>
        <v>0</v>
      </c>
      <c r="N449">
        <f>SUM(NMRPrep[[#This Row],[d-DMSO (uL) ]:[ NH4Cl (uL)]])</f>
        <v>0</v>
      </c>
      <c r="O449">
        <f>647</f>
        <v>647</v>
      </c>
      <c r="P449">
        <f>NMRPrep[[#This Row],[Total (uL) ]]-NMRPrep[[#This Row],[Target (uL)]]</f>
        <v>-647</v>
      </c>
      <c r="R449" t="e">
        <f>(NMRPrep[[#This Row],[NH4Cl Stock Concentration (mM)]]*NMRPrep[[#This Row],[ NH4Cl (uL)]])/SUM(NMRPrep[[#This Row],[DI (uL) ]:[ NH4Cl (uL)]])</f>
        <v>#DIV/0!</v>
      </c>
    </row>
    <row r="450" spans="1:18" x14ac:dyDescent="0.25">
      <c r="A450" s="1">
        <f>SampleList[[#This Row],[Date Sampled]]</f>
        <v>0</v>
      </c>
      <c r="B450" t="str" cm="1">
        <f t="array" ref="B450">IF(ISBLANK(INDEX(SampleList[NMR],ROW()-1)),"Not Requested",INDEX(SampleList[Experiment ID],ROW()-1))</f>
        <v>Not Requested</v>
      </c>
      <c r="C450">
        <f>SampleList[[#This Row],[Duration (Days)]]</f>
        <v>0</v>
      </c>
      <c r="D450">
        <f>SampleList[[#This Row],[Sample Description]]</f>
        <v>0</v>
      </c>
      <c r="N450">
        <f>SUM(NMRPrep[[#This Row],[d-DMSO (uL) ]:[ NH4Cl (uL)]])</f>
        <v>0</v>
      </c>
      <c r="O450">
        <f>647</f>
        <v>647</v>
      </c>
      <c r="P450">
        <f>NMRPrep[[#This Row],[Total (uL) ]]-NMRPrep[[#This Row],[Target (uL)]]</f>
        <v>-647</v>
      </c>
      <c r="R450" t="e">
        <f>(NMRPrep[[#This Row],[NH4Cl Stock Concentration (mM)]]*NMRPrep[[#This Row],[ NH4Cl (uL)]])/SUM(NMRPrep[[#This Row],[DI (uL) ]:[ NH4Cl (uL)]])</f>
        <v>#DIV/0!</v>
      </c>
    </row>
    <row r="451" spans="1:18" x14ac:dyDescent="0.25">
      <c r="A451" s="1">
        <f>SampleList[[#This Row],[Date Sampled]]</f>
        <v>0</v>
      </c>
      <c r="B451" t="str" cm="1">
        <f t="array" ref="B451">IF(ISBLANK(INDEX(SampleList[NMR],ROW()-1)),"Not Requested",INDEX(SampleList[Experiment ID],ROW()-1))</f>
        <v>Not Requested</v>
      </c>
      <c r="C451">
        <f>SampleList[[#This Row],[Duration (Days)]]</f>
        <v>0</v>
      </c>
      <c r="D451">
        <f>SampleList[[#This Row],[Sample Description]]</f>
        <v>0</v>
      </c>
      <c r="N451">
        <f>SUM(NMRPrep[[#This Row],[d-DMSO (uL) ]:[ NH4Cl (uL)]])</f>
        <v>0</v>
      </c>
      <c r="O451">
        <f>647</f>
        <v>647</v>
      </c>
      <c r="P451">
        <f>NMRPrep[[#This Row],[Total (uL) ]]-NMRPrep[[#This Row],[Target (uL)]]</f>
        <v>-647</v>
      </c>
      <c r="R451" t="e">
        <f>(NMRPrep[[#This Row],[NH4Cl Stock Concentration (mM)]]*NMRPrep[[#This Row],[ NH4Cl (uL)]])/SUM(NMRPrep[[#This Row],[DI (uL) ]:[ NH4Cl (uL)]])</f>
        <v>#DIV/0!</v>
      </c>
    </row>
    <row r="452" spans="1:18" x14ac:dyDescent="0.25">
      <c r="A452" s="1">
        <f>SampleList[[#This Row],[Date Sampled]]</f>
        <v>0</v>
      </c>
      <c r="B452" t="str" cm="1">
        <f t="array" ref="B452">IF(ISBLANK(INDEX(SampleList[NMR],ROW()-1)),"Not Requested",INDEX(SampleList[Experiment ID],ROW()-1))</f>
        <v>Not Requested</v>
      </c>
      <c r="C452">
        <f>SampleList[[#This Row],[Duration (Days)]]</f>
        <v>0</v>
      </c>
      <c r="D452">
        <f>SampleList[[#This Row],[Sample Description]]</f>
        <v>0</v>
      </c>
      <c r="N452">
        <f>SUM(NMRPrep[[#This Row],[d-DMSO (uL) ]:[ NH4Cl (uL)]])</f>
        <v>0</v>
      </c>
      <c r="O452">
        <f>647</f>
        <v>647</v>
      </c>
      <c r="P452">
        <f>NMRPrep[[#This Row],[Total (uL) ]]-NMRPrep[[#This Row],[Target (uL)]]</f>
        <v>-647</v>
      </c>
      <c r="R452" t="e">
        <f>(NMRPrep[[#This Row],[NH4Cl Stock Concentration (mM)]]*NMRPrep[[#This Row],[ NH4Cl (uL)]])/SUM(NMRPrep[[#This Row],[DI (uL) ]:[ NH4Cl (uL)]])</f>
        <v>#DIV/0!</v>
      </c>
    </row>
    <row r="453" spans="1:18" x14ac:dyDescent="0.25">
      <c r="A453" s="1">
        <f>SampleList[[#This Row],[Date Sampled]]</f>
        <v>0</v>
      </c>
      <c r="B453" t="str" cm="1">
        <f t="array" ref="B453">IF(ISBLANK(INDEX(SampleList[NMR],ROW()-1)),"Not Requested",INDEX(SampleList[Experiment ID],ROW()-1))</f>
        <v>Not Requested</v>
      </c>
      <c r="C453">
        <f>SampleList[[#This Row],[Duration (Days)]]</f>
        <v>0</v>
      </c>
      <c r="D453">
        <f>SampleList[[#This Row],[Sample Description]]</f>
        <v>0</v>
      </c>
      <c r="N453">
        <f>SUM(NMRPrep[[#This Row],[d-DMSO (uL) ]:[ NH4Cl (uL)]])</f>
        <v>0</v>
      </c>
      <c r="O453">
        <f>647</f>
        <v>647</v>
      </c>
      <c r="P453">
        <f>NMRPrep[[#This Row],[Total (uL) ]]-NMRPrep[[#This Row],[Target (uL)]]</f>
        <v>-647</v>
      </c>
      <c r="R453" t="e">
        <f>(NMRPrep[[#This Row],[NH4Cl Stock Concentration (mM)]]*NMRPrep[[#This Row],[ NH4Cl (uL)]])/SUM(NMRPrep[[#This Row],[DI (uL) ]:[ NH4Cl (uL)]])</f>
        <v>#DIV/0!</v>
      </c>
    </row>
    <row r="454" spans="1:18" x14ac:dyDescent="0.25">
      <c r="A454" s="1">
        <f>SampleList[[#This Row],[Date Sampled]]</f>
        <v>0</v>
      </c>
      <c r="B454" t="str" cm="1">
        <f t="array" ref="B454">IF(ISBLANK(INDEX(SampleList[NMR],ROW()-1)),"Not Requested",INDEX(SampleList[Experiment ID],ROW()-1))</f>
        <v>Not Requested</v>
      </c>
      <c r="C454">
        <f>SampleList[[#This Row],[Duration (Days)]]</f>
        <v>0</v>
      </c>
      <c r="D454">
        <f>SampleList[[#This Row],[Sample Description]]</f>
        <v>0</v>
      </c>
      <c r="N454">
        <f>SUM(NMRPrep[[#This Row],[d-DMSO (uL) ]:[ NH4Cl (uL)]])</f>
        <v>0</v>
      </c>
      <c r="O454">
        <f>647</f>
        <v>647</v>
      </c>
      <c r="P454">
        <f>NMRPrep[[#This Row],[Total (uL) ]]-NMRPrep[[#This Row],[Target (uL)]]</f>
        <v>-647</v>
      </c>
      <c r="R454" t="e">
        <f>(NMRPrep[[#This Row],[NH4Cl Stock Concentration (mM)]]*NMRPrep[[#This Row],[ NH4Cl (uL)]])/SUM(NMRPrep[[#This Row],[DI (uL) ]:[ NH4Cl (uL)]])</f>
        <v>#DIV/0!</v>
      </c>
    </row>
    <row r="455" spans="1:18" x14ac:dyDescent="0.25">
      <c r="A455" s="1">
        <f>SampleList[[#This Row],[Date Sampled]]</f>
        <v>0</v>
      </c>
      <c r="B455" t="str" cm="1">
        <f t="array" ref="B455">IF(ISBLANK(INDEX(SampleList[NMR],ROW()-1)),"Not Requested",INDEX(SampleList[Experiment ID],ROW()-1))</f>
        <v>Not Requested</v>
      </c>
      <c r="C455">
        <f>SampleList[[#This Row],[Duration (Days)]]</f>
        <v>0</v>
      </c>
      <c r="D455">
        <f>SampleList[[#This Row],[Sample Description]]</f>
        <v>0</v>
      </c>
      <c r="N455">
        <f>SUM(NMRPrep[[#This Row],[d-DMSO (uL) ]:[ NH4Cl (uL)]])</f>
        <v>0</v>
      </c>
      <c r="O455">
        <f>647</f>
        <v>647</v>
      </c>
      <c r="P455">
        <f>NMRPrep[[#This Row],[Total (uL) ]]-NMRPrep[[#This Row],[Target (uL)]]</f>
        <v>-647</v>
      </c>
      <c r="R455" t="e">
        <f>(NMRPrep[[#This Row],[NH4Cl Stock Concentration (mM)]]*NMRPrep[[#This Row],[ NH4Cl (uL)]])/SUM(NMRPrep[[#This Row],[DI (uL) ]:[ NH4Cl (uL)]])</f>
        <v>#DIV/0!</v>
      </c>
    </row>
    <row r="456" spans="1:18" x14ac:dyDescent="0.25">
      <c r="A456" s="1">
        <f>SampleList[[#This Row],[Date Sampled]]</f>
        <v>0</v>
      </c>
      <c r="B456" t="str" cm="1">
        <f t="array" ref="B456">IF(ISBLANK(INDEX(SampleList[NMR],ROW()-1)),"Not Requested",INDEX(SampleList[Experiment ID],ROW()-1))</f>
        <v>Not Requested</v>
      </c>
      <c r="C456">
        <f>SampleList[[#This Row],[Duration (Days)]]</f>
        <v>0</v>
      </c>
      <c r="D456">
        <f>SampleList[[#This Row],[Sample Description]]</f>
        <v>0</v>
      </c>
      <c r="N456">
        <f>SUM(NMRPrep[[#This Row],[d-DMSO (uL) ]:[ NH4Cl (uL)]])</f>
        <v>0</v>
      </c>
      <c r="O456">
        <f>647</f>
        <v>647</v>
      </c>
      <c r="P456">
        <f>NMRPrep[[#This Row],[Total (uL) ]]-NMRPrep[[#This Row],[Target (uL)]]</f>
        <v>-647</v>
      </c>
      <c r="R456" t="e">
        <f>(NMRPrep[[#This Row],[NH4Cl Stock Concentration (mM)]]*NMRPrep[[#This Row],[ NH4Cl (uL)]])/SUM(NMRPrep[[#This Row],[DI (uL) ]:[ NH4Cl (uL)]])</f>
        <v>#DIV/0!</v>
      </c>
    </row>
    <row r="457" spans="1:18" x14ac:dyDescent="0.25">
      <c r="A457" s="1">
        <f>SampleList[[#This Row],[Date Sampled]]</f>
        <v>0</v>
      </c>
      <c r="B457" t="str" cm="1">
        <f t="array" ref="B457">IF(ISBLANK(INDEX(SampleList[NMR],ROW()-1)),"Not Requested",INDEX(SampleList[Experiment ID],ROW()-1))</f>
        <v>Not Requested</v>
      </c>
      <c r="C457">
        <f>SampleList[[#This Row],[Duration (Days)]]</f>
        <v>0</v>
      </c>
      <c r="D457">
        <f>SampleList[[#This Row],[Sample Description]]</f>
        <v>0</v>
      </c>
      <c r="N457">
        <f>SUM(NMRPrep[[#This Row],[d-DMSO (uL) ]:[ NH4Cl (uL)]])</f>
        <v>0</v>
      </c>
      <c r="O457">
        <f>647</f>
        <v>647</v>
      </c>
      <c r="P457">
        <f>NMRPrep[[#This Row],[Total (uL) ]]-NMRPrep[[#This Row],[Target (uL)]]</f>
        <v>-647</v>
      </c>
      <c r="R457" t="e">
        <f>(NMRPrep[[#This Row],[NH4Cl Stock Concentration (mM)]]*NMRPrep[[#This Row],[ NH4Cl (uL)]])/SUM(NMRPrep[[#This Row],[DI (uL) ]:[ NH4Cl (uL)]])</f>
        <v>#DIV/0!</v>
      </c>
    </row>
    <row r="458" spans="1:18" x14ac:dyDescent="0.25">
      <c r="A458" s="1">
        <f>SampleList[[#This Row],[Date Sampled]]</f>
        <v>0</v>
      </c>
      <c r="B458" t="str" cm="1">
        <f t="array" ref="B458">IF(ISBLANK(INDEX(SampleList[NMR],ROW()-1)),"Not Requested",INDEX(SampleList[Experiment ID],ROW()-1))</f>
        <v>Not Requested</v>
      </c>
      <c r="C458">
        <f>SampleList[[#This Row],[Duration (Days)]]</f>
        <v>0</v>
      </c>
      <c r="D458">
        <f>SampleList[[#This Row],[Sample Description]]</f>
        <v>0</v>
      </c>
      <c r="N458">
        <f>SUM(NMRPrep[[#This Row],[d-DMSO (uL) ]:[ NH4Cl (uL)]])</f>
        <v>0</v>
      </c>
      <c r="O458">
        <f>647</f>
        <v>647</v>
      </c>
      <c r="P458">
        <f>NMRPrep[[#This Row],[Total (uL) ]]-NMRPrep[[#This Row],[Target (uL)]]</f>
        <v>-647</v>
      </c>
      <c r="R458" t="e">
        <f>(NMRPrep[[#This Row],[NH4Cl Stock Concentration (mM)]]*NMRPrep[[#This Row],[ NH4Cl (uL)]])/SUM(NMRPrep[[#This Row],[DI (uL) ]:[ NH4Cl (uL)]])</f>
        <v>#DIV/0!</v>
      </c>
    </row>
    <row r="459" spans="1:18" x14ac:dyDescent="0.25">
      <c r="A459" s="1">
        <f>SampleList[[#This Row],[Date Sampled]]</f>
        <v>0</v>
      </c>
      <c r="B459" t="str" cm="1">
        <f t="array" ref="B459">IF(ISBLANK(INDEX(SampleList[NMR],ROW()-1)),"Not Requested",INDEX(SampleList[Experiment ID],ROW()-1))</f>
        <v>Not Requested</v>
      </c>
      <c r="C459">
        <f>SampleList[[#This Row],[Duration (Days)]]</f>
        <v>0</v>
      </c>
      <c r="D459">
        <f>SampleList[[#This Row],[Sample Description]]</f>
        <v>0</v>
      </c>
      <c r="N459">
        <f>SUM(NMRPrep[[#This Row],[d-DMSO (uL) ]:[ NH4Cl (uL)]])</f>
        <v>0</v>
      </c>
      <c r="O459">
        <f>647</f>
        <v>647</v>
      </c>
      <c r="P459">
        <f>NMRPrep[[#This Row],[Total (uL) ]]-NMRPrep[[#This Row],[Target (uL)]]</f>
        <v>-647</v>
      </c>
      <c r="R459" t="e">
        <f>(NMRPrep[[#This Row],[NH4Cl Stock Concentration (mM)]]*NMRPrep[[#This Row],[ NH4Cl (uL)]])/SUM(NMRPrep[[#This Row],[DI (uL) ]:[ NH4Cl (uL)]])</f>
        <v>#DIV/0!</v>
      </c>
    </row>
    <row r="460" spans="1:18" x14ac:dyDescent="0.25">
      <c r="A460" s="1">
        <f>SampleList[[#This Row],[Date Sampled]]</f>
        <v>0</v>
      </c>
      <c r="B460" t="str" cm="1">
        <f t="array" ref="B460">IF(ISBLANK(INDEX(SampleList[NMR],ROW()-1)),"Not Requested",INDEX(SampleList[Experiment ID],ROW()-1))</f>
        <v>Not Requested</v>
      </c>
      <c r="C460">
        <f>SampleList[[#This Row],[Duration (Days)]]</f>
        <v>0</v>
      </c>
      <c r="D460">
        <f>SampleList[[#This Row],[Sample Description]]</f>
        <v>0</v>
      </c>
      <c r="N460">
        <f>SUM(NMRPrep[[#This Row],[d-DMSO (uL) ]:[ NH4Cl (uL)]])</f>
        <v>0</v>
      </c>
      <c r="O460">
        <f>647</f>
        <v>647</v>
      </c>
      <c r="P460">
        <f>NMRPrep[[#This Row],[Total (uL) ]]-NMRPrep[[#This Row],[Target (uL)]]</f>
        <v>-647</v>
      </c>
      <c r="R460" t="e">
        <f>(NMRPrep[[#This Row],[NH4Cl Stock Concentration (mM)]]*NMRPrep[[#This Row],[ NH4Cl (uL)]])/SUM(NMRPrep[[#This Row],[DI (uL) ]:[ NH4Cl (uL)]])</f>
        <v>#DIV/0!</v>
      </c>
    </row>
    <row r="461" spans="1:18" x14ac:dyDescent="0.25">
      <c r="A461" s="1">
        <f>SampleList[[#This Row],[Date Sampled]]</f>
        <v>0</v>
      </c>
      <c r="B461" t="str" cm="1">
        <f t="array" ref="B461">IF(ISBLANK(INDEX(SampleList[NMR],ROW()-1)),"Not Requested",INDEX(SampleList[Experiment ID],ROW()-1))</f>
        <v>Not Requested</v>
      </c>
      <c r="C461">
        <f>SampleList[[#This Row],[Duration (Days)]]</f>
        <v>0</v>
      </c>
      <c r="D461">
        <f>SampleList[[#This Row],[Sample Description]]</f>
        <v>0</v>
      </c>
      <c r="N461">
        <f>SUM(NMRPrep[[#This Row],[d-DMSO (uL) ]:[ NH4Cl (uL)]])</f>
        <v>0</v>
      </c>
      <c r="O461">
        <f>647</f>
        <v>647</v>
      </c>
      <c r="P461">
        <f>NMRPrep[[#This Row],[Total (uL) ]]-NMRPrep[[#This Row],[Target (uL)]]</f>
        <v>-647</v>
      </c>
      <c r="R461" t="e">
        <f>(NMRPrep[[#This Row],[NH4Cl Stock Concentration (mM)]]*NMRPrep[[#This Row],[ NH4Cl (uL)]])/SUM(NMRPrep[[#This Row],[DI (uL) ]:[ NH4Cl (uL)]])</f>
        <v>#DIV/0!</v>
      </c>
    </row>
    <row r="462" spans="1:18" x14ac:dyDescent="0.25">
      <c r="A462" s="1">
        <f>SampleList[[#This Row],[Date Sampled]]</f>
        <v>0</v>
      </c>
      <c r="B462" t="str" cm="1">
        <f t="array" ref="B462">IF(ISBLANK(INDEX(SampleList[NMR],ROW()-1)),"Not Requested",INDEX(SampleList[Experiment ID],ROW()-1))</f>
        <v>Not Requested</v>
      </c>
      <c r="C462">
        <f>SampleList[[#This Row],[Duration (Days)]]</f>
        <v>0</v>
      </c>
      <c r="D462">
        <f>SampleList[[#This Row],[Sample Description]]</f>
        <v>0</v>
      </c>
      <c r="N462">
        <f>SUM(NMRPrep[[#This Row],[d-DMSO (uL) ]:[ NH4Cl (uL)]])</f>
        <v>0</v>
      </c>
      <c r="O462">
        <f>647</f>
        <v>647</v>
      </c>
      <c r="P462">
        <f>NMRPrep[[#This Row],[Total (uL) ]]-NMRPrep[[#This Row],[Target (uL)]]</f>
        <v>-647</v>
      </c>
      <c r="R462" t="e">
        <f>(NMRPrep[[#This Row],[NH4Cl Stock Concentration (mM)]]*NMRPrep[[#This Row],[ NH4Cl (uL)]])/SUM(NMRPrep[[#This Row],[DI (uL) ]:[ NH4Cl (uL)]])</f>
        <v>#DIV/0!</v>
      </c>
    </row>
    <row r="463" spans="1:18" x14ac:dyDescent="0.25">
      <c r="A463" s="1">
        <f>SampleList[[#This Row],[Date Sampled]]</f>
        <v>0</v>
      </c>
      <c r="B463" t="str" cm="1">
        <f t="array" ref="B463">IF(ISBLANK(INDEX(SampleList[NMR],ROW()-1)),"Not Requested",INDEX(SampleList[Experiment ID],ROW()-1))</f>
        <v>Not Requested</v>
      </c>
      <c r="C463">
        <f>SampleList[[#This Row],[Duration (Days)]]</f>
        <v>0</v>
      </c>
      <c r="D463">
        <f>SampleList[[#This Row],[Sample Description]]</f>
        <v>0</v>
      </c>
      <c r="N463">
        <f>SUM(NMRPrep[[#This Row],[d-DMSO (uL) ]:[ NH4Cl (uL)]])</f>
        <v>0</v>
      </c>
      <c r="O463">
        <f>647</f>
        <v>647</v>
      </c>
      <c r="P463">
        <f>NMRPrep[[#This Row],[Total (uL) ]]-NMRPrep[[#This Row],[Target (uL)]]</f>
        <v>-647</v>
      </c>
      <c r="R463" t="e">
        <f>(NMRPrep[[#This Row],[NH4Cl Stock Concentration (mM)]]*NMRPrep[[#This Row],[ NH4Cl (uL)]])/SUM(NMRPrep[[#This Row],[DI (uL) ]:[ NH4Cl (uL)]])</f>
        <v>#DIV/0!</v>
      </c>
    </row>
    <row r="464" spans="1:18" x14ac:dyDescent="0.25">
      <c r="A464" s="1">
        <f>SampleList[[#This Row],[Date Sampled]]</f>
        <v>0</v>
      </c>
      <c r="B464" t="str" cm="1">
        <f t="array" ref="B464">IF(ISBLANK(INDEX(SampleList[NMR],ROW()-1)),"Not Requested",INDEX(SampleList[Experiment ID],ROW()-1))</f>
        <v>Not Requested</v>
      </c>
      <c r="C464">
        <f>SampleList[[#This Row],[Duration (Days)]]</f>
        <v>0</v>
      </c>
      <c r="D464">
        <f>SampleList[[#This Row],[Sample Description]]</f>
        <v>0</v>
      </c>
      <c r="N464">
        <f>SUM(NMRPrep[[#This Row],[d-DMSO (uL) ]:[ NH4Cl (uL)]])</f>
        <v>0</v>
      </c>
      <c r="O464">
        <f>647</f>
        <v>647</v>
      </c>
      <c r="P464">
        <f>NMRPrep[[#This Row],[Total (uL) ]]-NMRPrep[[#This Row],[Target (uL)]]</f>
        <v>-647</v>
      </c>
      <c r="R464" t="e">
        <f>(NMRPrep[[#This Row],[NH4Cl Stock Concentration (mM)]]*NMRPrep[[#This Row],[ NH4Cl (uL)]])/SUM(NMRPrep[[#This Row],[DI (uL) ]:[ NH4Cl (uL)]])</f>
        <v>#DIV/0!</v>
      </c>
    </row>
    <row r="465" spans="1:18" x14ac:dyDescent="0.25">
      <c r="A465" s="1">
        <f>SampleList[[#This Row],[Date Sampled]]</f>
        <v>0</v>
      </c>
      <c r="B465" t="str" cm="1">
        <f t="array" ref="B465">IF(ISBLANK(INDEX(SampleList[NMR],ROW()-1)),"Not Requested",INDEX(SampleList[Experiment ID],ROW()-1))</f>
        <v>Not Requested</v>
      </c>
      <c r="C465">
        <f>SampleList[[#This Row],[Duration (Days)]]</f>
        <v>0</v>
      </c>
      <c r="D465">
        <f>SampleList[[#This Row],[Sample Description]]</f>
        <v>0</v>
      </c>
      <c r="N465">
        <f>SUM(NMRPrep[[#This Row],[d-DMSO (uL) ]:[ NH4Cl (uL)]])</f>
        <v>0</v>
      </c>
      <c r="O465">
        <f>647</f>
        <v>647</v>
      </c>
      <c r="P465">
        <f>NMRPrep[[#This Row],[Total (uL) ]]-NMRPrep[[#This Row],[Target (uL)]]</f>
        <v>-647</v>
      </c>
      <c r="R465" t="e">
        <f>(NMRPrep[[#This Row],[NH4Cl Stock Concentration (mM)]]*NMRPrep[[#This Row],[ NH4Cl (uL)]])/SUM(NMRPrep[[#This Row],[DI (uL) ]:[ NH4Cl (uL)]])</f>
        <v>#DIV/0!</v>
      </c>
    </row>
    <row r="466" spans="1:18" x14ac:dyDescent="0.25">
      <c r="A466" s="1">
        <f>SampleList[[#This Row],[Date Sampled]]</f>
        <v>0</v>
      </c>
      <c r="B466" t="str" cm="1">
        <f t="array" ref="B466">IF(ISBLANK(INDEX(SampleList[NMR],ROW()-1)),"Not Requested",INDEX(SampleList[Experiment ID],ROW()-1))</f>
        <v>Not Requested</v>
      </c>
      <c r="C466">
        <f>SampleList[[#This Row],[Duration (Days)]]</f>
        <v>0</v>
      </c>
      <c r="D466">
        <f>SampleList[[#This Row],[Sample Description]]</f>
        <v>0</v>
      </c>
      <c r="N466">
        <f>SUM(NMRPrep[[#This Row],[d-DMSO (uL) ]:[ NH4Cl (uL)]])</f>
        <v>0</v>
      </c>
      <c r="O466">
        <f>647</f>
        <v>647</v>
      </c>
      <c r="P466">
        <f>NMRPrep[[#This Row],[Total (uL) ]]-NMRPrep[[#This Row],[Target (uL)]]</f>
        <v>-647</v>
      </c>
      <c r="R466" t="e">
        <f>(NMRPrep[[#This Row],[NH4Cl Stock Concentration (mM)]]*NMRPrep[[#This Row],[ NH4Cl (uL)]])/SUM(NMRPrep[[#This Row],[DI (uL) ]:[ NH4Cl (uL)]])</f>
        <v>#DIV/0!</v>
      </c>
    </row>
    <row r="467" spans="1:18" x14ac:dyDescent="0.25">
      <c r="A467" s="1">
        <f>SampleList[[#This Row],[Date Sampled]]</f>
        <v>0</v>
      </c>
      <c r="B467" t="str" cm="1">
        <f t="array" ref="B467">IF(ISBLANK(INDEX(SampleList[NMR],ROW()-1)),"Not Requested",INDEX(SampleList[Experiment ID],ROW()-1))</f>
        <v>Not Requested</v>
      </c>
      <c r="C467">
        <f>SampleList[[#This Row],[Duration (Days)]]</f>
        <v>0</v>
      </c>
      <c r="D467">
        <f>SampleList[[#This Row],[Sample Description]]</f>
        <v>0</v>
      </c>
      <c r="N467">
        <f>SUM(NMRPrep[[#This Row],[d-DMSO (uL) ]:[ NH4Cl (uL)]])</f>
        <v>0</v>
      </c>
      <c r="O467">
        <f>647</f>
        <v>647</v>
      </c>
      <c r="P467">
        <f>NMRPrep[[#This Row],[Total (uL) ]]-NMRPrep[[#This Row],[Target (uL)]]</f>
        <v>-647</v>
      </c>
      <c r="R467" t="e">
        <f>(NMRPrep[[#This Row],[NH4Cl Stock Concentration (mM)]]*NMRPrep[[#This Row],[ NH4Cl (uL)]])/SUM(NMRPrep[[#This Row],[DI (uL) ]:[ NH4Cl (uL)]])</f>
        <v>#DIV/0!</v>
      </c>
    </row>
    <row r="468" spans="1:18" x14ac:dyDescent="0.25">
      <c r="A468" s="1">
        <f>SampleList[[#This Row],[Date Sampled]]</f>
        <v>0</v>
      </c>
      <c r="B468" t="str" cm="1">
        <f t="array" ref="B468">IF(ISBLANK(INDEX(SampleList[NMR],ROW()-1)),"Not Requested",INDEX(SampleList[Experiment ID],ROW()-1))</f>
        <v>Not Requested</v>
      </c>
      <c r="C468">
        <f>SampleList[[#This Row],[Duration (Days)]]</f>
        <v>0</v>
      </c>
      <c r="D468">
        <f>SampleList[[#This Row],[Sample Description]]</f>
        <v>0</v>
      </c>
      <c r="N468">
        <f>SUM(NMRPrep[[#This Row],[d-DMSO (uL) ]:[ NH4Cl (uL)]])</f>
        <v>0</v>
      </c>
      <c r="O468">
        <f>647</f>
        <v>647</v>
      </c>
      <c r="P468">
        <f>NMRPrep[[#This Row],[Total (uL) ]]-NMRPrep[[#This Row],[Target (uL)]]</f>
        <v>-647</v>
      </c>
      <c r="R468" t="e">
        <f>(NMRPrep[[#This Row],[NH4Cl Stock Concentration (mM)]]*NMRPrep[[#This Row],[ NH4Cl (uL)]])/SUM(NMRPrep[[#This Row],[DI (uL) ]:[ NH4Cl (uL)]])</f>
        <v>#DIV/0!</v>
      </c>
    </row>
    <row r="469" spans="1:18" x14ac:dyDescent="0.25">
      <c r="A469" s="1">
        <f>SampleList[[#This Row],[Date Sampled]]</f>
        <v>0</v>
      </c>
      <c r="B469" t="str" cm="1">
        <f t="array" ref="B469">IF(ISBLANK(INDEX(SampleList[NMR],ROW()-1)),"Not Requested",INDEX(SampleList[Experiment ID],ROW()-1))</f>
        <v>Not Requested</v>
      </c>
      <c r="C469">
        <f>SampleList[[#This Row],[Duration (Days)]]</f>
        <v>0</v>
      </c>
      <c r="D469">
        <f>SampleList[[#This Row],[Sample Description]]</f>
        <v>0</v>
      </c>
      <c r="N469">
        <f>SUM(NMRPrep[[#This Row],[d-DMSO (uL) ]:[ NH4Cl (uL)]])</f>
        <v>0</v>
      </c>
      <c r="O469">
        <f>647</f>
        <v>647</v>
      </c>
      <c r="P469">
        <f>NMRPrep[[#This Row],[Total (uL) ]]-NMRPrep[[#This Row],[Target (uL)]]</f>
        <v>-647</v>
      </c>
      <c r="R469" t="e">
        <f>(NMRPrep[[#This Row],[NH4Cl Stock Concentration (mM)]]*NMRPrep[[#This Row],[ NH4Cl (uL)]])/SUM(NMRPrep[[#This Row],[DI (uL) ]:[ NH4Cl (uL)]])</f>
        <v>#DIV/0!</v>
      </c>
    </row>
    <row r="470" spans="1:18" x14ac:dyDescent="0.25">
      <c r="A470" s="1">
        <f>SampleList[[#This Row],[Date Sampled]]</f>
        <v>0</v>
      </c>
      <c r="B470" t="str" cm="1">
        <f t="array" ref="B470">IF(ISBLANK(INDEX(SampleList[NMR],ROW()-1)),"Not Requested",INDEX(SampleList[Experiment ID],ROW()-1))</f>
        <v>Not Requested</v>
      </c>
      <c r="C470">
        <f>SampleList[[#This Row],[Duration (Days)]]</f>
        <v>0</v>
      </c>
      <c r="D470">
        <f>SampleList[[#This Row],[Sample Description]]</f>
        <v>0</v>
      </c>
      <c r="N470">
        <f>SUM(NMRPrep[[#This Row],[d-DMSO (uL) ]:[ NH4Cl (uL)]])</f>
        <v>0</v>
      </c>
      <c r="O470">
        <f>647</f>
        <v>647</v>
      </c>
      <c r="P470">
        <f>NMRPrep[[#This Row],[Total (uL) ]]-NMRPrep[[#This Row],[Target (uL)]]</f>
        <v>-647</v>
      </c>
      <c r="R470" t="e">
        <f>(NMRPrep[[#This Row],[NH4Cl Stock Concentration (mM)]]*NMRPrep[[#This Row],[ NH4Cl (uL)]])/SUM(NMRPrep[[#This Row],[DI (uL) ]:[ NH4Cl (uL)]])</f>
        <v>#DIV/0!</v>
      </c>
    </row>
    <row r="471" spans="1:18" x14ac:dyDescent="0.25">
      <c r="A471" s="1">
        <f>SampleList[[#This Row],[Date Sampled]]</f>
        <v>0</v>
      </c>
      <c r="B471" t="str" cm="1">
        <f t="array" ref="B471">IF(ISBLANK(INDEX(SampleList[NMR],ROW()-1)),"Not Requested",INDEX(SampleList[Experiment ID],ROW()-1))</f>
        <v>Not Requested</v>
      </c>
      <c r="C471">
        <f>SampleList[[#This Row],[Duration (Days)]]</f>
        <v>0</v>
      </c>
      <c r="D471">
        <f>SampleList[[#This Row],[Sample Description]]</f>
        <v>0</v>
      </c>
      <c r="N471">
        <f>SUM(NMRPrep[[#This Row],[d-DMSO (uL) ]:[ NH4Cl (uL)]])</f>
        <v>0</v>
      </c>
      <c r="O471">
        <f>647</f>
        <v>647</v>
      </c>
      <c r="P471">
        <f>NMRPrep[[#This Row],[Total (uL) ]]-NMRPrep[[#This Row],[Target (uL)]]</f>
        <v>-647</v>
      </c>
      <c r="R471" t="e">
        <f>(NMRPrep[[#This Row],[NH4Cl Stock Concentration (mM)]]*NMRPrep[[#This Row],[ NH4Cl (uL)]])/SUM(NMRPrep[[#This Row],[DI (uL) ]:[ NH4Cl (uL)]])</f>
        <v>#DIV/0!</v>
      </c>
    </row>
    <row r="472" spans="1:18" x14ac:dyDescent="0.25">
      <c r="A472" s="1">
        <f>SampleList[[#This Row],[Date Sampled]]</f>
        <v>0</v>
      </c>
      <c r="B472" t="str" cm="1">
        <f t="array" ref="B472">IF(ISBLANK(INDEX(SampleList[NMR],ROW()-1)),"Not Requested",INDEX(SampleList[Experiment ID],ROW()-1))</f>
        <v>Not Requested</v>
      </c>
      <c r="C472">
        <f>SampleList[[#This Row],[Duration (Days)]]</f>
        <v>0</v>
      </c>
      <c r="D472">
        <f>SampleList[[#This Row],[Sample Description]]</f>
        <v>0</v>
      </c>
      <c r="N472">
        <f>SUM(NMRPrep[[#This Row],[d-DMSO (uL) ]:[ NH4Cl (uL)]])</f>
        <v>0</v>
      </c>
      <c r="O472">
        <f>647</f>
        <v>647</v>
      </c>
      <c r="P472">
        <f>NMRPrep[[#This Row],[Total (uL) ]]-NMRPrep[[#This Row],[Target (uL)]]</f>
        <v>-647</v>
      </c>
      <c r="R472" t="e">
        <f>(NMRPrep[[#This Row],[NH4Cl Stock Concentration (mM)]]*NMRPrep[[#This Row],[ NH4Cl (uL)]])/SUM(NMRPrep[[#This Row],[DI (uL) ]:[ NH4Cl (uL)]])</f>
        <v>#DIV/0!</v>
      </c>
    </row>
    <row r="473" spans="1:18" x14ac:dyDescent="0.25">
      <c r="A473" s="1">
        <f>SampleList[[#This Row],[Date Sampled]]</f>
        <v>0</v>
      </c>
      <c r="B473" t="str" cm="1">
        <f t="array" ref="B473">IF(ISBLANK(INDEX(SampleList[NMR],ROW()-1)),"Not Requested",INDEX(SampleList[Experiment ID],ROW()-1))</f>
        <v>Not Requested</v>
      </c>
      <c r="C473">
        <f>SampleList[[#This Row],[Duration (Days)]]</f>
        <v>0</v>
      </c>
      <c r="D473">
        <f>SampleList[[#This Row],[Sample Description]]</f>
        <v>0</v>
      </c>
      <c r="N473">
        <f>SUM(NMRPrep[[#This Row],[d-DMSO (uL) ]:[ NH4Cl (uL)]])</f>
        <v>0</v>
      </c>
      <c r="O473">
        <f>647</f>
        <v>647</v>
      </c>
      <c r="P473">
        <f>NMRPrep[[#This Row],[Total (uL) ]]-NMRPrep[[#This Row],[Target (uL)]]</f>
        <v>-647</v>
      </c>
      <c r="R473" t="e">
        <f>(NMRPrep[[#This Row],[NH4Cl Stock Concentration (mM)]]*NMRPrep[[#This Row],[ NH4Cl (uL)]])/SUM(NMRPrep[[#This Row],[DI (uL) ]:[ NH4Cl (uL)]])</f>
        <v>#DIV/0!</v>
      </c>
    </row>
    <row r="474" spans="1:18" x14ac:dyDescent="0.25">
      <c r="A474" s="1">
        <f>SampleList[[#This Row],[Date Sampled]]</f>
        <v>0</v>
      </c>
      <c r="B474" t="str" cm="1">
        <f t="array" ref="B474">IF(ISBLANK(INDEX(SampleList[NMR],ROW()-1)),"Not Requested",INDEX(SampleList[Experiment ID],ROW()-1))</f>
        <v>Not Requested</v>
      </c>
      <c r="C474">
        <f>SampleList[[#This Row],[Duration (Days)]]</f>
        <v>0</v>
      </c>
      <c r="D474">
        <f>SampleList[[#This Row],[Sample Description]]</f>
        <v>0</v>
      </c>
      <c r="N474">
        <f>SUM(NMRPrep[[#This Row],[d-DMSO (uL) ]:[ NH4Cl (uL)]])</f>
        <v>0</v>
      </c>
      <c r="O474">
        <f>647</f>
        <v>647</v>
      </c>
      <c r="P474">
        <f>NMRPrep[[#This Row],[Total (uL) ]]-NMRPrep[[#This Row],[Target (uL)]]</f>
        <v>-647</v>
      </c>
      <c r="R474" t="e">
        <f>(NMRPrep[[#This Row],[NH4Cl Stock Concentration (mM)]]*NMRPrep[[#This Row],[ NH4Cl (uL)]])/SUM(NMRPrep[[#This Row],[DI (uL) ]:[ NH4Cl (uL)]])</f>
        <v>#DIV/0!</v>
      </c>
    </row>
    <row r="475" spans="1:18" x14ac:dyDescent="0.25">
      <c r="A475" s="1">
        <f>SampleList[[#This Row],[Date Sampled]]</f>
        <v>0</v>
      </c>
      <c r="B475" t="str" cm="1">
        <f t="array" ref="B475">IF(ISBLANK(INDEX(SampleList[NMR],ROW()-1)),"Not Requested",INDEX(SampleList[Experiment ID],ROW()-1))</f>
        <v>Not Requested</v>
      </c>
      <c r="C475">
        <f>SampleList[[#This Row],[Duration (Days)]]</f>
        <v>0</v>
      </c>
      <c r="D475">
        <f>SampleList[[#This Row],[Sample Description]]</f>
        <v>0</v>
      </c>
      <c r="N475">
        <f>SUM(NMRPrep[[#This Row],[d-DMSO (uL) ]:[ NH4Cl (uL)]])</f>
        <v>0</v>
      </c>
      <c r="O475">
        <f>647</f>
        <v>647</v>
      </c>
      <c r="P475">
        <f>NMRPrep[[#This Row],[Total (uL) ]]-NMRPrep[[#This Row],[Target (uL)]]</f>
        <v>-647</v>
      </c>
      <c r="R475" t="e">
        <f>(NMRPrep[[#This Row],[NH4Cl Stock Concentration (mM)]]*NMRPrep[[#This Row],[ NH4Cl (uL)]])/SUM(NMRPrep[[#This Row],[DI (uL) ]:[ NH4Cl (uL)]])</f>
        <v>#DIV/0!</v>
      </c>
    </row>
    <row r="476" spans="1:18" x14ac:dyDescent="0.25">
      <c r="A476" s="1">
        <f>SampleList[[#This Row],[Date Sampled]]</f>
        <v>0</v>
      </c>
      <c r="B476" t="str" cm="1">
        <f t="array" ref="B476">IF(ISBLANK(INDEX(SampleList[NMR],ROW()-1)),"Not Requested",INDEX(SampleList[Experiment ID],ROW()-1))</f>
        <v>Not Requested</v>
      </c>
      <c r="C476">
        <f>SampleList[[#This Row],[Duration (Days)]]</f>
        <v>0</v>
      </c>
      <c r="D476">
        <f>SampleList[[#This Row],[Sample Description]]</f>
        <v>0</v>
      </c>
      <c r="N476">
        <f>SUM(NMRPrep[[#This Row],[d-DMSO (uL) ]:[ NH4Cl (uL)]])</f>
        <v>0</v>
      </c>
      <c r="O476">
        <f>647</f>
        <v>647</v>
      </c>
      <c r="P476">
        <f>NMRPrep[[#This Row],[Total (uL) ]]-NMRPrep[[#This Row],[Target (uL)]]</f>
        <v>-647</v>
      </c>
      <c r="R476" t="e">
        <f>(NMRPrep[[#This Row],[NH4Cl Stock Concentration (mM)]]*NMRPrep[[#This Row],[ NH4Cl (uL)]])/SUM(NMRPrep[[#This Row],[DI (uL) ]:[ NH4Cl (uL)]])</f>
        <v>#DIV/0!</v>
      </c>
    </row>
    <row r="477" spans="1:18" x14ac:dyDescent="0.25">
      <c r="A477" s="1">
        <f>SampleList[[#This Row],[Date Sampled]]</f>
        <v>0</v>
      </c>
      <c r="B477" t="str" cm="1">
        <f t="array" ref="B477">IF(ISBLANK(INDEX(SampleList[NMR],ROW()-1)),"Not Requested",INDEX(SampleList[Experiment ID],ROW()-1))</f>
        <v>Not Requested</v>
      </c>
      <c r="C477">
        <f>SampleList[[#This Row],[Duration (Days)]]</f>
        <v>0</v>
      </c>
      <c r="D477">
        <f>SampleList[[#This Row],[Sample Description]]</f>
        <v>0</v>
      </c>
      <c r="N477">
        <f>SUM(NMRPrep[[#This Row],[d-DMSO (uL) ]:[ NH4Cl (uL)]])</f>
        <v>0</v>
      </c>
      <c r="O477">
        <f>647</f>
        <v>647</v>
      </c>
      <c r="P477">
        <f>NMRPrep[[#This Row],[Total (uL) ]]-NMRPrep[[#This Row],[Target (uL)]]</f>
        <v>-647</v>
      </c>
      <c r="R477" t="e">
        <f>(NMRPrep[[#This Row],[NH4Cl Stock Concentration (mM)]]*NMRPrep[[#This Row],[ NH4Cl (uL)]])/SUM(NMRPrep[[#This Row],[DI (uL) ]:[ NH4Cl (uL)]])</f>
        <v>#DIV/0!</v>
      </c>
    </row>
    <row r="478" spans="1:18" x14ac:dyDescent="0.25">
      <c r="A478" s="1">
        <f>SampleList[[#This Row],[Date Sampled]]</f>
        <v>0</v>
      </c>
      <c r="B478" t="str" cm="1">
        <f t="array" ref="B478">IF(ISBLANK(INDEX(SampleList[NMR],ROW()-1)),"Not Requested",INDEX(SampleList[Experiment ID],ROW()-1))</f>
        <v>Not Requested</v>
      </c>
      <c r="C478">
        <f>SampleList[[#This Row],[Duration (Days)]]</f>
        <v>0</v>
      </c>
      <c r="D478">
        <f>SampleList[[#This Row],[Sample Description]]</f>
        <v>0</v>
      </c>
      <c r="N478">
        <f>SUM(NMRPrep[[#This Row],[d-DMSO (uL) ]:[ NH4Cl (uL)]])</f>
        <v>0</v>
      </c>
      <c r="O478">
        <f>647</f>
        <v>647</v>
      </c>
      <c r="P478">
        <f>NMRPrep[[#This Row],[Total (uL) ]]-NMRPrep[[#This Row],[Target (uL)]]</f>
        <v>-647</v>
      </c>
      <c r="R478" t="e">
        <f>(NMRPrep[[#This Row],[NH4Cl Stock Concentration (mM)]]*NMRPrep[[#This Row],[ NH4Cl (uL)]])/SUM(NMRPrep[[#This Row],[DI (uL) ]:[ NH4Cl (uL)]])</f>
        <v>#DIV/0!</v>
      </c>
    </row>
    <row r="479" spans="1:18" x14ac:dyDescent="0.25">
      <c r="A479" s="1">
        <f>SampleList[[#This Row],[Date Sampled]]</f>
        <v>0</v>
      </c>
      <c r="B479" t="str" cm="1">
        <f t="array" ref="B479">IF(ISBLANK(INDEX(SampleList[NMR],ROW()-1)),"Not Requested",INDEX(SampleList[Experiment ID],ROW()-1))</f>
        <v>Not Requested</v>
      </c>
      <c r="C479">
        <f>SampleList[[#This Row],[Duration (Days)]]</f>
        <v>0</v>
      </c>
      <c r="D479">
        <f>SampleList[[#This Row],[Sample Description]]</f>
        <v>0</v>
      </c>
      <c r="N479">
        <f>SUM(NMRPrep[[#This Row],[d-DMSO (uL) ]:[ NH4Cl (uL)]])</f>
        <v>0</v>
      </c>
      <c r="O479">
        <f>647</f>
        <v>647</v>
      </c>
      <c r="P479">
        <f>NMRPrep[[#This Row],[Total (uL) ]]-NMRPrep[[#This Row],[Target (uL)]]</f>
        <v>-647</v>
      </c>
      <c r="R479" t="e">
        <f>(NMRPrep[[#This Row],[NH4Cl Stock Concentration (mM)]]*NMRPrep[[#This Row],[ NH4Cl (uL)]])/SUM(NMRPrep[[#This Row],[DI (uL) ]:[ NH4Cl (uL)]])</f>
        <v>#DIV/0!</v>
      </c>
    </row>
    <row r="480" spans="1:18" x14ac:dyDescent="0.25">
      <c r="A480" s="1">
        <f>SampleList[[#This Row],[Date Sampled]]</f>
        <v>0</v>
      </c>
      <c r="B480" t="str" cm="1">
        <f t="array" ref="B480">IF(ISBLANK(INDEX(SampleList[NMR],ROW()-1)),"Not Requested",INDEX(SampleList[Experiment ID],ROW()-1))</f>
        <v>Not Requested</v>
      </c>
      <c r="C480">
        <f>SampleList[[#This Row],[Duration (Days)]]</f>
        <v>0</v>
      </c>
      <c r="D480">
        <f>SampleList[[#This Row],[Sample Description]]</f>
        <v>0</v>
      </c>
      <c r="N480">
        <f>SUM(NMRPrep[[#This Row],[d-DMSO (uL) ]:[ NH4Cl (uL)]])</f>
        <v>0</v>
      </c>
      <c r="O480">
        <f>647</f>
        <v>647</v>
      </c>
      <c r="P480">
        <f>NMRPrep[[#This Row],[Total (uL) ]]-NMRPrep[[#This Row],[Target (uL)]]</f>
        <v>-647</v>
      </c>
      <c r="R480" t="e">
        <f>(NMRPrep[[#This Row],[NH4Cl Stock Concentration (mM)]]*NMRPrep[[#This Row],[ NH4Cl (uL)]])/SUM(NMRPrep[[#This Row],[DI (uL) ]:[ NH4Cl (uL)]])</f>
        <v>#DIV/0!</v>
      </c>
    </row>
    <row r="481" spans="1:18" x14ac:dyDescent="0.25">
      <c r="A481" s="1">
        <f>SampleList[[#This Row],[Date Sampled]]</f>
        <v>0</v>
      </c>
      <c r="B481" t="str" cm="1">
        <f t="array" ref="B481">IF(ISBLANK(INDEX(SampleList[NMR],ROW()-1)),"Not Requested",INDEX(SampleList[Experiment ID],ROW()-1))</f>
        <v>Not Requested</v>
      </c>
      <c r="C481">
        <f>SampleList[[#This Row],[Duration (Days)]]</f>
        <v>0</v>
      </c>
      <c r="D481">
        <f>SampleList[[#This Row],[Sample Description]]</f>
        <v>0</v>
      </c>
      <c r="N481">
        <f>SUM(NMRPrep[[#This Row],[d-DMSO (uL) ]:[ NH4Cl (uL)]])</f>
        <v>0</v>
      </c>
      <c r="O481">
        <f>647</f>
        <v>647</v>
      </c>
      <c r="P481">
        <f>NMRPrep[[#This Row],[Total (uL) ]]-NMRPrep[[#This Row],[Target (uL)]]</f>
        <v>-647</v>
      </c>
      <c r="R481" t="e">
        <f>(NMRPrep[[#This Row],[NH4Cl Stock Concentration (mM)]]*NMRPrep[[#This Row],[ NH4Cl (uL)]])/SUM(NMRPrep[[#This Row],[DI (uL) ]:[ NH4Cl (uL)]])</f>
        <v>#DIV/0!</v>
      </c>
    </row>
    <row r="482" spans="1:18" x14ac:dyDescent="0.25">
      <c r="A482" s="1">
        <f>SampleList[[#This Row],[Date Sampled]]</f>
        <v>0</v>
      </c>
      <c r="B482" t="str" cm="1">
        <f t="array" ref="B482">IF(ISBLANK(INDEX(SampleList[NMR],ROW()-1)),"Not Requested",INDEX(SampleList[Experiment ID],ROW()-1))</f>
        <v>Not Requested</v>
      </c>
      <c r="C482">
        <f>SampleList[[#This Row],[Duration (Days)]]</f>
        <v>0</v>
      </c>
      <c r="D482">
        <f>SampleList[[#This Row],[Sample Description]]</f>
        <v>0</v>
      </c>
      <c r="N482">
        <f>SUM(NMRPrep[[#This Row],[d-DMSO (uL) ]:[ NH4Cl (uL)]])</f>
        <v>0</v>
      </c>
      <c r="O482">
        <f>647</f>
        <v>647</v>
      </c>
      <c r="P482">
        <f>NMRPrep[[#This Row],[Total (uL) ]]-NMRPrep[[#This Row],[Target (uL)]]</f>
        <v>-647</v>
      </c>
      <c r="R482" t="e">
        <f>(NMRPrep[[#This Row],[NH4Cl Stock Concentration (mM)]]*NMRPrep[[#This Row],[ NH4Cl (uL)]])/SUM(NMRPrep[[#This Row],[DI (uL) ]:[ NH4Cl (uL)]])</f>
        <v>#DIV/0!</v>
      </c>
    </row>
    <row r="483" spans="1:18" x14ac:dyDescent="0.25">
      <c r="A483" s="1">
        <f>SampleList[[#This Row],[Date Sampled]]</f>
        <v>0</v>
      </c>
      <c r="B483" t="str" cm="1">
        <f t="array" ref="B483">IF(ISBLANK(INDEX(SampleList[NMR],ROW()-1)),"Not Requested",INDEX(SampleList[Experiment ID],ROW()-1))</f>
        <v>Not Requested</v>
      </c>
      <c r="C483">
        <f>SampleList[[#This Row],[Duration (Days)]]</f>
        <v>0</v>
      </c>
      <c r="D483">
        <f>SampleList[[#This Row],[Sample Description]]</f>
        <v>0</v>
      </c>
      <c r="N483">
        <f>SUM(NMRPrep[[#This Row],[d-DMSO (uL) ]:[ NH4Cl (uL)]])</f>
        <v>0</v>
      </c>
      <c r="O483">
        <f>647</f>
        <v>647</v>
      </c>
      <c r="P483">
        <f>NMRPrep[[#This Row],[Total (uL) ]]-NMRPrep[[#This Row],[Target (uL)]]</f>
        <v>-647</v>
      </c>
      <c r="R483" t="e">
        <f>(NMRPrep[[#This Row],[NH4Cl Stock Concentration (mM)]]*NMRPrep[[#This Row],[ NH4Cl (uL)]])/SUM(NMRPrep[[#This Row],[DI (uL) ]:[ NH4Cl (uL)]])</f>
        <v>#DIV/0!</v>
      </c>
    </row>
    <row r="484" spans="1:18" x14ac:dyDescent="0.25">
      <c r="A484" s="1">
        <f>SampleList[[#This Row],[Date Sampled]]</f>
        <v>0</v>
      </c>
      <c r="B484" t="str" cm="1">
        <f t="array" ref="B484">IF(ISBLANK(INDEX(SampleList[NMR],ROW()-1)),"Not Requested",INDEX(SampleList[Experiment ID],ROW()-1))</f>
        <v>Not Requested</v>
      </c>
      <c r="C484">
        <f>SampleList[[#This Row],[Duration (Days)]]</f>
        <v>0</v>
      </c>
      <c r="D484">
        <f>SampleList[[#This Row],[Sample Description]]</f>
        <v>0</v>
      </c>
      <c r="N484">
        <f>SUM(NMRPrep[[#This Row],[d-DMSO (uL) ]:[ NH4Cl (uL)]])</f>
        <v>0</v>
      </c>
      <c r="O484">
        <f>647</f>
        <v>647</v>
      </c>
      <c r="P484">
        <f>NMRPrep[[#This Row],[Total (uL) ]]-NMRPrep[[#This Row],[Target (uL)]]</f>
        <v>-647</v>
      </c>
      <c r="R484" t="e">
        <f>(NMRPrep[[#This Row],[NH4Cl Stock Concentration (mM)]]*NMRPrep[[#This Row],[ NH4Cl (uL)]])/SUM(NMRPrep[[#This Row],[DI (uL) ]:[ NH4Cl (uL)]])</f>
        <v>#DIV/0!</v>
      </c>
    </row>
    <row r="485" spans="1:18" x14ac:dyDescent="0.25">
      <c r="A485" s="1">
        <f>SampleList[[#This Row],[Date Sampled]]</f>
        <v>0</v>
      </c>
      <c r="B485" t="str" cm="1">
        <f t="array" ref="B485">IF(ISBLANK(INDEX(SampleList[NMR],ROW()-1)),"Not Requested",INDEX(SampleList[Experiment ID],ROW()-1))</f>
        <v>Not Requested</v>
      </c>
      <c r="C485">
        <f>SampleList[[#This Row],[Duration (Days)]]</f>
        <v>0</v>
      </c>
      <c r="D485">
        <f>SampleList[[#This Row],[Sample Description]]</f>
        <v>0</v>
      </c>
      <c r="N485">
        <f>SUM(NMRPrep[[#This Row],[d-DMSO (uL) ]:[ NH4Cl (uL)]])</f>
        <v>0</v>
      </c>
      <c r="O485">
        <f>647</f>
        <v>647</v>
      </c>
      <c r="P485">
        <f>NMRPrep[[#This Row],[Total (uL) ]]-NMRPrep[[#This Row],[Target (uL)]]</f>
        <v>-647</v>
      </c>
      <c r="R485" t="e">
        <f>(NMRPrep[[#This Row],[NH4Cl Stock Concentration (mM)]]*NMRPrep[[#This Row],[ NH4Cl (uL)]])/SUM(NMRPrep[[#This Row],[DI (uL) ]:[ NH4Cl (uL)]])</f>
        <v>#DIV/0!</v>
      </c>
    </row>
    <row r="486" spans="1:18" x14ac:dyDescent="0.25">
      <c r="A486" s="1">
        <f>SampleList[[#This Row],[Date Sampled]]</f>
        <v>0</v>
      </c>
      <c r="B486" t="str" cm="1">
        <f t="array" ref="B486">IF(ISBLANK(INDEX(SampleList[NMR],ROW()-1)),"Not Requested",INDEX(SampleList[Experiment ID],ROW()-1))</f>
        <v>Not Requested</v>
      </c>
      <c r="C486">
        <f>SampleList[[#This Row],[Duration (Days)]]</f>
        <v>0</v>
      </c>
      <c r="D486">
        <f>SampleList[[#This Row],[Sample Description]]</f>
        <v>0</v>
      </c>
      <c r="N486">
        <f>SUM(NMRPrep[[#This Row],[d-DMSO (uL) ]:[ NH4Cl (uL)]])</f>
        <v>0</v>
      </c>
      <c r="O486">
        <f>647</f>
        <v>647</v>
      </c>
      <c r="P486">
        <f>NMRPrep[[#This Row],[Total (uL) ]]-NMRPrep[[#This Row],[Target (uL)]]</f>
        <v>-647</v>
      </c>
      <c r="R486" t="e">
        <f>(NMRPrep[[#This Row],[NH4Cl Stock Concentration (mM)]]*NMRPrep[[#This Row],[ NH4Cl (uL)]])/SUM(NMRPrep[[#This Row],[DI (uL) ]:[ NH4Cl (uL)]])</f>
        <v>#DIV/0!</v>
      </c>
    </row>
    <row r="487" spans="1:18" x14ac:dyDescent="0.25">
      <c r="A487" s="1">
        <f>SampleList[[#This Row],[Date Sampled]]</f>
        <v>0</v>
      </c>
      <c r="B487" t="str" cm="1">
        <f t="array" ref="B487">IF(ISBLANK(INDEX(SampleList[NMR],ROW()-1)),"Not Requested",INDEX(SampleList[Experiment ID],ROW()-1))</f>
        <v>Not Requested</v>
      </c>
      <c r="C487">
        <f>SampleList[[#This Row],[Duration (Days)]]</f>
        <v>0</v>
      </c>
      <c r="D487">
        <f>SampleList[[#This Row],[Sample Description]]</f>
        <v>0</v>
      </c>
      <c r="N487">
        <f>SUM(NMRPrep[[#This Row],[d-DMSO (uL) ]:[ NH4Cl (uL)]])</f>
        <v>0</v>
      </c>
      <c r="O487">
        <f>647</f>
        <v>647</v>
      </c>
      <c r="P487">
        <f>NMRPrep[[#This Row],[Total (uL) ]]-NMRPrep[[#This Row],[Target (uL)]]</f>
        <v>-647</v>
      </c>
      <c r="R487" t="e">
        <f>(NMRPrep[[#This Row],[NH4Cl Stock Concentration (mM)]]*NMRPrep[[#This Row],[ NH4Cl (uL)]])/SUM(NMRPrep[[#This Row],[DI (uL) ]:[ NH4Cl (uL)]])</f>
        <v>#DIV/0!</v>
      </c>
    </row>
    <row r="488" spans="1:18" x14ac:dyDescent="0.25">
      <c r="A488" s="1">
        <f>SampleList[[#This Row],[Date Sampled]]</f>
        <v>0</v>
      </c>
      <c r="B488" t="str" cm="1">
        <f t="array" ref="B488">IF(ISBLANK(INDEX(SampleList[NMR],ROW()-1)),"Not Requested",INDEX(SampleList[Experiment ID],ROW()-1))</f>
        <v>Not Requested</v>
      </c>
      <c r="C488">
        <f>SampleList[[#This Row],[Duration (Days)]]</f>
        <v>0</v>
      </c>
      <c r="D488">
        <f>SampleList[[#This Row],[Sample Description]]</f>
        <v>0</v>
      </c>
      <c r="N488">
        <f>SUM(NMRPrep[[#This Row],[d-DMSO (uL) ]:[ NH4Cl (uL)]])</f>
        <v>0</v>
      </c>
      <c r="O488">
        <f>647</f>
        <v>647</v>
      </c>
      <c r="P488">
        <f>NMRPrep[[#This Row],[Total (uL) ]]-NMRPrep[[#This Row],[Target (uL)]]</f>
        <v>-647</v>
      </c>
      <c r="R488" t="e">
        <f>(NMRPrep[[#This Row],[NH4Cl Stock Concentration (mM)]]*NMRPrep[[#This Row],[ NH4Cl (uL)]])/SUM(NMRPrep[[#This Row],[DI (uL) ]:[ NH4Cl (uL)]])</f>
        <v>#DIV/0!</v>
      </c>
    </row>
    <row r="489" spans="1:18" x14ac:dyDescent="0.25">
      <c r="A489" s="1">
        <f>SampleList[[#This Row],[Date Sampled]]</f>
        <v>0</v>
      </c>
      <c r="B489" t="str" cm="1">
        <f t="array" ref="B489">IF(ISBLANK(INDEX(SampleList[NMR],ROW()-1)),"Not Requested",INDEX(SampleList[Experiment ID],ROW()-1))</f>
        <v>Not Requested</v>
      </c>
      <c r="C489">
        <f>SampleList[[#This Row],[Duration (Days)]]</f>
        <v>0</v>
      </c>
      <c r="D489">
        <f>SampleList[[#This Row],[Sample Description]]</f>
        <v>0</v>
      </c>
      <c r="N489">
        <f>SUM(NMRPrep[[#This Row],[d-DMSO (uL) ]:[ NH4Cl (uL)]])</f>
        <v>0</v>
      </c>
      <c r="O489">
        <f>647</f>
        <v>647</v>
      </c>
      <c r="P489">
        <f>NMRPrep[[#This Row],[Total (uL) ]]-NMRPrep[[#This Row],[Target (uL)]]</f>
        <v>-647</v>
      </c>
      <c r="R489" t="e">
        <f>(NMRPrep[[#This Row],[NH4Cl Stock Concentration (mM)]]*NMRPrep[[#This Row],[ NH4Cl (uL)]])/SUM(NMRPrep[[#This Row],[DI (uL) ]:[ NH4Cl (uL)]])</f>
        <v>#DIV/0!</v>
      </c>
    </row>
    <row r="490" spans="1:18" x14ac:dyDescent="0.25">
      <c r="A490" s="1">
        <f>SampleList[[#This Row],[Date Sampled]]</f>
        <v>0</v>
      </c>
      <c r="B490" t="str" cm="1">
        <f t="array" ref="B490">IF(ISBLANK(INDEX(SampleList[NMR],ROW()-1)),"Not Requested",INDEX(SampleList[Experiment ID],ROW()-1))</f>
        <v>Not Requested</v>
      </c>
      <c r="C490">
        <f>SampleList[[#This Row],[Duration (Days)]]</f>
        <v>0</v>
      </c>
      <c r="D490">
        <f>SampleList[[#This Row],[Sample Description]]</f>
        <v>0</v>
      </c>
      <c r="N490">
        <f>SUM(NMRPrep[[#This Row],[d-DMSO (uL) ]:[ NH4Cl (uL)]])</f>
        <v>0</v>
      </c>
      <c r="O490">
        <f>647</f>
        <v>647</v>
      </c>
      <c r="P490">
        <f>NMRPrep[[#This Row],[Total (uL) ]]-NMRPrep[[#This Row],[Target (uL)]]</f>
        <v>-647</v>
      </c>
      <c r="R490" t="e">
        <f>(NMRPrep[[#This Row],[NH4Cl Stock Concentration (mM)]]*NMRPrep[[#This Row],[ NH4Cl (uL)]])/SUM(NMRPrep[[#This Row],[DI (uL) ]:[ NH4Cl (uL)]])</f>
        <v>#DIV/0!</v>
      </c>
    </row>
    <row r="491" spans="1:18" x14ac:dyDescent="0.25">
      <c r="A491" s="1">
        <f>SampleList[[#This Row],[Date Sampled]]</f>
        <v>0</v>
      </c>
      <c r="B491" t="str" cm="1">
        <f t="array" ref="B491">IF(ISBLANK(INDEX(SampleList[NMR],ROW()-1)),"Not Requested",INDEX(SampleList[Experiment ID],ROW()-1))</f>
        <v>Not Requested</v>
      </c>
      <c r="C491">
        <f>SampleList[[#This Row],[Duration (Days)]]</f>
        <v>0</v>
      </c>
      <c r="D491">
        <f>SampleList[[#This Row],[Sample Description]]</f>
        <v>0</v>
      </c>
      <c r="N491">
        <f>SUM(NMRPrep[[#This Row],[d-DMSO (uL) ]:[ NH4Cl (uL)]])</f>
        <v>0</v>
      </c>
      <c r="O491">
        <f>647</f>
        <v>647</v>
      </c>
      <c r="P491">
        <f>NMRPrep[[#This Row],[Total (uL) ]]-NMRPrep[[#This Row],[Target (uL)]]</f>
        <v>-647</v>
      </c>
      <c r="R491" t="e">
        <f>(NMRPrep[[#This Row],[NH4Cl Stock Concentration (mM)]]*NMRPrep[[#This Row],[ NH4Cl (uL)]])/SUM(NMRPrep[[#This Row],[DI (uL) ]:[ NH4Cl (uL)]])</f>
        <v>#DIV/0!</v>
      </c>
    </row>
    <row r="492" spans="1:18" x14ac:dyDescent="0.25">
      <c r="A492" s="1">
        <f>SampleList[[#This Row],[Date Sampled]]</f>
        <v>0</v>
      </c>
      <c r="B492" t="str" cm="1">
        <f t="array" ref="B492">IF(ISBLANK(INDEX(SampleList[NMR],ROW()-1)),"Not Requested",INDEX(SampleList[Experiment ID],ROW()-1))</f>
        <v>Not Requested</v>
      </c>
      <c r="C492">
        <f>SampleList[[#This Row],[Duration (Days)]]</f>
        <v>0</v>
      </c>
      <c r="D492">
        <f>SampleList[[#This Row],[Sample Description]]</f>
        <v>0</v>
      </c>
      <c r="N492">
        <f>SUM(NMRPrep[[#This Row],[d-DMSO (uL) ]:[ NH4Cl (uL)]])</f>
        <v>0</v>
      </c>
      <c r="O492">
        <f>647</f>
        <v>647</v>
      </c>
      <c r="P492">
        <f>NMRPrep[[#This Row],[Total (uL) ]]-NMRPrep[[#This Row],[Target (uL)]]</f>
        <v>-647</v>
      </c>
      <c r="R492" t="e">
        <f>(NMRPrep[[#This Row],[NH4Cl Stock Concentration (mM)]]*NMRPrep[[#This Row],[ NH4Cl (uL)]])/SUM(NMRPrep[[#This Row],[DI (uL) ]:[ NH4Cl (uL)]])</f>
        <v>#DIV/0!</v>
      </c>
    </row>
    <row r="493" spans="1:18" x14ac:dyDescent="0.25">
      <c r="A493" s="1">
        <f>SampleList[[#This Row],[Date Sampled]]</f>
        <v>0</v>
      </c>
      <c r="B493" t="str" cm="1">
        <f t="array" ref="B493">IF(ISBLANK(INDEX(SampleList[NMR],ROW()-1)),"Not Requested",INDEX(SampleList[Experiment ID],ROW()-1))</f>
        <v>Not Requested</v>
      </c>
      <c r="C493">
        <f>SampleList[[#This Row],[Duration (Days)]]</f>
        <v>0</v>
      </c>
      <c r="D493">
        <f>SampleList[[#This Row],[Sample Description]]</f>
        <v>0</v>
      </c>
      <c r="N493">
        <f>SUM(NMRPrep[[#This Row],[d-DMSO (uL) ]:[ NH4Cl (uL)]])</f>
        <v>0</v>
      </c>
      <c r="O493">
        <f>647</f>
        <v>647</v>
      </c>
      <c r="P493">
        <f>NMRPrep[[#This Row],[Total (uL) ]]-NMRPrep[[#This Row],[Target (uL)]]</f>
        <v>-647</v>
      </c>
      <c r="R493" t="e">
        <f>(NMRPrep[[#This Row],[NH4Cl Stock Concentration (mM)]]*NMRPrep[[#This Row],[ NH4Cl (uL)]])/SUM(NMRPrep[[#This Row],[DI (uL) ]:[ NH4Cl (uL)]])</f>
        <v>#DIV/0!</v>
      </c>
    </row>
    <row r="494" spans="1:18" x14ac:dyDescent="0.25">
      <c r="A494" s="1">
        <f>SampleList[[#This Row],[Date Sampled]]</f>
        <v>0</v>
      </c>
      <c r="B494" t="str" cm="1">
        <f t="array" ref="B494">IF(ISBLANK(INDEX(SampleList[NMR],ROW()-1)),"Not Requested",INDEX(SampleList[Experiment ID],ROW()-1))</f>
        <v>Not Requested</v>
      </c>
      <c r="C494">
        <f>SampleList[[#This Row],[Duration (Days)]]</f>
        <v>0</v>
      </c>
      <c r="D494">
        <f>SampleList[[#This Row],[Sample Description]]</f>
        <v>0</v>
      </c>
      <c r="N494">
        <f>SUM(NMRPrep[[#This Row],[d-DMSO (uL) ]:[ NH4Cl (uL)]])</f>
        <v>0</v>
      </c>
      <c r="O494">
        <f>647</f>
        <v>647</v>
      </c>
      <c r="P494">
        <f>NMRPrep[[#This Row],[Total (uL) ]]-NMRPrep[[#This Row],[Target (uL)]]</f>
        <v>-647</v>
      </c>
      <c r="R494" t="e">
        <f>(NMRPrep[[#This Row],[NH4Cl Stock Concentration (mM)]]*NMRPrep[[#This Row],[ NH4Cl (uL)]])/SUM(NMRPrep[[#This Row],[DI (uL) ]:[ NH4Cl (uL)]])</f>
        <v>#DIV/0!</v>
      </c>
    </row>
    <row r="495" spans="1:18" x14ac:dyDescent="0.25">
      <c r="A495" s="1">
        <f>SampleList[[#This Row],[Date Sampled]]</f>
        <v>0</v>
      </c>
      <c r="B495" t="str" cm="1">
        <f t="array" ref="B495">IF(ISBLANK(INDEX(SampleList[NMR],ROW()-1)),"Not Requested",INDEX(SampleList[Experiment ID],ROW()-1))</f>
        <v>Not Requested</v>
      </c>
      <c r="C495">
        <f>SampleList[[#This Row],[Duration (Days)]]</f>
        <v>0</v>
      </c>
      <c r="D495">
        <f>SampleList[[#This Row],[Sample Description]]</f>
        <v>0</v>
      </c>
      <c r="N495">
        <f>SUM(NMRPrep[[#This Row],[d-DMSO (uL) ]:[ NH4Cl (uL)]])</f>
        <v>0</v>
      </c>
      <c r="O495">
        <f>647</f>
        <v>647</v>
      </c>
      <c r="P495">
        <f>NMRPrep[[#This Row],[Total (uL) ]]-NMRPrep[[#This Row],[Target (uL)]]</f>
        <v>-647</v>
      </c>
      <c r="R495" t="e">
        <f>(NMRPrep[[#This Row],[NH4Cl Stock Concentration (mM)]]*NMRPrep[[#This Row],[ NH4Cl (uL)]])/SUM(NMRPrep[[#This Row],[DI (uL) ]:[ NH4Cl (uL)]])</f>
        <v>#DIV/0!</v>
      </c>
    </row>
    <row r="496" spans="1:18" x14ac:dyDescent="0.25">
      <c r="A496" s="1">
        <f>SampleList[[#This Row],[Date Sampled]]</f>
        <v>0</v>
      </c>
      <c r="B496" t="str" cm="1">
        <f t="array" ref="B496">IF(ISBLANK(INDEX(SampleList[NMR],ROW()-1)),"Not Requested",INDEX(SampleList[Experiment ID],ROW()-1))</f>
        <v>Not Requested</v>
      </c>
      <c r="C496">
        <f>SampleList[[#This Row],[Duration (Days)]]</f>
        <v>0</v>
      </c>
      <c r="D496">
        <f>SampleList[[#This Row],[Sample Description]]</f>
        <v>0</v>
      </c>
      <c r="N496">
        <f>SUM(NMRPrep[[#This Row],[d-DMSO (uL) ]:[ NH4Cl (uL)]])</f>
        <v>0</v>
      </c>
      <c r="O496">
        <f>647</f>
        <v>647</v>
      </c>
      <c r="P496">
        <f>NMRPrep[[#This Row],[Total (uL) ]]-NMRPrep[[#This Row],[Target (uL)]]</f>
        <v>-647</v>
      </c>
      <c r="R496" t="e">
        <f>(NMRPrep[[#This Row],[NH4Cl Stock Concentration (mM)]]*NMRPrep[[#This Row],[ NH4Cl (uL)]])/SUM(NMRPrep[[#This Row],[DI (uL) ]:[ NH4Cl (uL)]])</f>
        <v>#DIV/0!</v>
      </c>
    </row>
    <row r="497" spans="1:18" x14ac:dyDescent="0.25">
      <c r="A497" s="1">
        <f>SampleList[[#This Row],[Date Sampled]]</f>
        <v>0</v>
      </c>
      <c r="B497" t="str" cm="1">
        <f t="array" ref="B497">IF(ISBLANK(INDEX(SampleList[NMR],ROW()-1)),"Not Requested",INDEX(SampleList[Experiment ID],ROW()-1))</f>
        <v>Not Requested</v>
      </c>
      <c r="C497">
        <f>SampleList[[#This Row],[Duration (Days)]]</f>
        <v>0</v>
      </c>
      <c r="D497">
        <f>SampleList[[#This Row],[Sample Description]]</f>
        <v>0</v>
      </c>
      <c r="N497">
        <f>SUM(NMRPrep[[#This Row],[d-DMSO (uL) ]:[ NH4Cl (uL)]])</f>
        <v>0</v>
      </c>
      <c r="O497">
        <f>647</f>
        <v>647</v>
      </c>
      <c r="P497">
        <f>NMRPrep[[#This Row],[Total (uL) ]]-NMRPrep[[#This Row],[Target (uL)]]</f>
        <v>-647</v>
      </c>
      <c r="R497" t="e">
        <f>(NMRPrep[[#This Row],[NH4Cl Stock Concentration (mM)]]*NMRPrep[[#This Row],[ NH4Cl (uL)]])/SUM(NMRPrep[[#This Row],[DI (uL) ]:[ NH4Cl (uL)]])</f>
        <v>#DIV/0!</v>
      </c>
    </row>
    <row r="498" spans="1:18" x14ac:dyDescent="0.25">
      <c r="A498" s="1">
        <f>SampleList[[#This Row],[Date Sampled]]</f>
        <v>0</v>
      </c>
      <c r="B498" t="str" cm="1">
        <f t="array" ref="B498">IF(ISBLANK(INDEX(SampleList[NMR],ROW()-1)),"Not Requested",INDEX(SampleList[Experiment ID],ROW()-1))</f>
        <v>Not Requested</v>
      </c>
      <c r="C498">
        <f>SampleList[[#This Row],[Duration (Days)]]</f>
        <v>0</v>
      </c>
      <c r="D498">
        <f>SampleList[[#This Row],[Sample Description]]</f>
        <v>0</v>
      </c>
      <c r="N498">
        <f>SUM(NMRPrep[[#This Row],[d-DMSO (uL) ]:[ NH4Cl (uL)]])</f>
        <v>0</v>
      </c>
      <c r="O498">
        <f>647</f>
        <v>647</v>
      </c>
      <c r="P498">
        <f>NMRPrep[[#This Row],[Total (uL) ]]-NMRPrep[[#This Row],[Target (uL)]]</f>
        <v>-647</v>
      </c>
      <c r="R498" t="e">
        <f>(NMRPrep[[#This Row],[NH4Cl Stock Concentration (mM)]]*NMRPrep[[#This Row],[ NH4Cl (uL)]])/SUM(NMRPrep[[#This Row],[DI (uL) ]:[ NH4Cl (uL)]])</f>
        <v>#DIV/0!</v>
      </c>
    </row>
    <row r="499" spans="1:18" x14ac:dyDescent="0.25">
      <c r="A499" s="1">
        <f>SampleList[[#This Row],[Date Sampled]]</f>
        <v>0</v>
      </c>
      <c r="B499" t="str" cm="1">
        <f t="array" ref="B499">IF(ISBLANK(INDEX(SampleList[NMR],ROW()-1)),"Not Requested",INDEX(SampleList[Experiment ID],ROW()-1))</f>
        <v>Not Requested</v>
      </c>
      <c r="C499">
        <f>SampleList[[#This Row],[Duration (Days)]]</f>
        <v>0</v>
      </c>
      <c r="D499">
        <f>SampleList[[#This Row],[Sample Description]]</f>
        <v>0</v>
      </c>
      <c r="N499">
        <f>SUM(NMRPrep[[#This Row],[d-DMSO (uL) ]:[ NH4Cl (uL)]])</f>
        <v>0</v>
      </c>
      <c r="O499">
        <f>647</f>
        <v>647</v>
      </c>
      <c r="P499">
        <f>NMRPrep[[#This Row],[Total (uL) ]]-NMRPrep[[#This Row],[Target (uL)]]</f>
        <v>-647</v>
      </c>
      <c r="R499" t="e">
        <f>(NMRPrep[[#This Row],[NH4Cl Stock Concentration (mM)]]*NMRPrep[[#This Row],[ NH4Cl (uL)]])/SUM(NMRPrep[[#This Row],[DI (uL) ]:[ NH4Cl (uL)]])</f>
        <v>#DIV/0!</v>
      </c>
    </row>
    <row r="500" spans="1:18" x14ac:dyDescent="0.25">
      <c r="A500" s="1">
        <f>SampleList[[#This Row],[Date Sampled]]</f>
        <v>0</v>
      </c>
      <c r="B500" t="str" cm="1">
        <f t="array" ref="B500">IF(ISBLANK(INDEX(SampleList[NMR],ROW()-1)),"Not Requested",INDEX(SampleList[Experiment ID],ROW()-1))</f>
        <v>Not Requested</v>
      </c>
      <c r="C500">
        <f>SampleList[[#This Row],[Duration (Days)]]</f>
        <v>0</v>
      </c>
      <c r="D500">
        <f>SampleList[[#This Row],[Sample Description]]</f>
        <v>0</v>
      </c>
      <c r="N500">
        <f>SUM(NMRPrep[[#This Row],[d-DMSO (uL) ]:[ NH4Cl (uL)]])</f>
        <v>0</v>
      </c>
      <c r="O500">
        <f>647</f>
        <v>647</v>
      </c>
      <c r="P500">
        <f>NMRPrep[[#This Row],[Total (uL) ]]-NMRPrep[[#This Row],[Target (uL)]]</f>
        <v>-647</v>
      </c>
      <c r="R500" t="e">
        <f>(NMRPrep[[#This Row],[NH4Cl Stock Concentration (mM)]]*NMRPrep[[#This Row],[ NH4Cl (uL)]])/SUM(NMRPrep[[#This Row],[DI (uL) ]:[ NH4Cl (uL)]])</f>
        <v>#DIV/0!</v>
      </c>
    </row>
    <row r="501" spans="1:18" x14ac:dyDescent="0.25">
      <c r="A501" s="1">
        <f>SampleList[[#This Row],[Date Sampled]]</f>
        <v>0</v>
      </c>
      <c r="B501" t="str" cm="1">
        <f t="array" ref="B501">IF(ISBLANK(INDEX(SampleList[NMR],ROW()-1)),"Not Requested",INDEX(SampleList[Experiment ID],ROW()-1))</f>
        <v>Not Requested</v>
      </c>
      <c r="C501">
        <f>SampleList[[#This Row],[Duration (Days)]]</f>
        <v>0</v>
      </c>
      <c r="D501">
        <f>SampleList[[#This Row],[Sample Description]]</f>
        <v>0</v>
      </c>
      <c r="N501">
        <f>SUM(NMRPrep[[#This Row],[d-DMSO (uL) ]:[ NH4Cl (uL)]])</f>
        <v>0</v>
      </c>
      <c r="O501">
        <f>647</f>
        <v>647</v>
      </c>
      <c r="P501">
        <f>NMRPrep[[#This Row],[Total (uL) ]]-NMRPrep[[#This Row],[Target (uL)]]</f>
        <v>-647</v>
      </c>
      <c r="R501" t="e">
        <f>(NMRPrep[[#This Row],[NH4Cl Stock Concentration (mM)]]*NMRPrep[[#This Row],[ NH4Cl (uL)]])/SUM(NMRPrep[[#This Row],[DI (uL) ]:[ NH4Cl (uL)]])</f>
        <v>#DIV/0!</v>
      </c>
    </row>
    <row r="502" spans="1:18" x14ac:dyDescent="0.25">
      <c r="A502" s="1">
        <f>SampleList[[#This Row],[Date Sampled]]</f>
        <v>0</v>
      </c>
      <c r="B502" t="str" cm="1">
        <f t="array" ref="B502">IF(ISBLANK(INDEX(SampleList[NMR],ROW()-1)),"Not Requested",INDEX(SampleList[Experiment ID],ROW()-1))</f>
        <v>Not Requested</v>
      </c>
      <c r="C502">
        <f>SampleList[[#This Row],[Duration (Days)]]</f>
        <v>0</v>
      </c>
      <c r="D502">
        <f>SampleList[[#This Row],[Sample Description]]</f>
        <v>0</v>
      </c>
      <c r="N502">
        <f>SUM(NMRPrep[[#This Row],[d-DMSO (uL) ]:[ NH4Cl (uL)]])</f>
        <v>0</v>
      </c>
      <c r="O502">
        <f>647</f>
        <v>647</v>
      </c>
      <c r="P502">
        <f>NMRPrep[[#This Row],[Total (uL) ]]-NMRPrep[[#This Row],[Target (uL)]]</f>
        <v>-647</v>
      </c>
      <c r="R502" t="e">
        <f>(NMRPrep[[#This Row],[NH4Cl Stock Concentration (mM)]]*NMRPrep[[#This Row],[ NH4Cl (uL)]])/SUM(NMRPrep[[#This Row],[DI (uL) ]:[ NH4Cl (uL)]])</f>
        <v>#DIV/0!</v>
      </c>
    </row>
    <row r="503" spans="1:18" x14ac:dyDescent="0.25">
      <c r="A503" s="1">
        <f>SampleList[[#This Row],[Date Sampled]]</f>
        <v>0</v>
      </c>
      <c r="B503" t="str" cm="1">
        <f t="array" ref="B503">IF(ISBLANK(INDEX(SampleList[NMR],ROW()-1)),"Not Requested",INDEX(SampleList[Experiment ID],ROW()-1))</f>
        <v>Not Requested</v>
      </c>
      <c r="C503">
        <f>SampleList[[#This Row],[Duration (Days)]]</f>
        <v>0</v>
      </c>
      <c r="D503">
        <f>SampleList[[#This Row],[Sample Description]]</f>
        <v>0</v>
      </c>
      <c r="N503">
        <f>SUM(NMRPrep[[#This Row],[d-DMSO (uL) ]:[ NH4Cl (uL)]])</f>
        <v>0</v>
      </c>
      <c r="O503">
        <f>647</f>
        <v>647</v>
      </c>
      <c r="P503">
        <f>NMRPrep[[#This Row],[Total (uL) ]]-NMRPrep[[#This Row],[Target (uL)]]</f>
        <v>-647</v>
      </c>
      <c r="R503" t="e">
        <f>(NMRPrep[[#This Row],[NH4Cl Stock Concentration (mM)]]*NMRPrep[[#This Row],[ NH4Cl (uL)]])/SUM(NMRPrep[[#This Row],[DI (uL) ]:[ NH4Cl (uL)]])</f>
        <v>#DIV/0!</v>
      </c>
    </row>
    <row r="504" spans="1:18" x14ac:dyDescent="0.25">
      <c r="A504" s="1">
        <f>SampleList[[#This Row],[Date Sampled]]</f>
        <v>0</v>
      </c>
      <c r="B504" t="str" cm="1">
        <f t="array" ref="B504">IF(ISBLANK(INDEX(SampleList[NMR],ROW()-1)),"Not Requested",INDEX(SampleList[Experiment ID],ROW()-1))</f>
        <v>Not Requested</v>
      </c>
      <c r="C504">
        <f>SampleList[[#This Row],[Duration (Days)]]</f>
        <v>0</v>
      </c>
      <c r="D504">
        <f>SampleList[[#This Row],[Sample Description]]</f>
        <v>0</v>
      </c>
      <c r="N504">
        <f>SUM(NMRPrep[[#This Row],[d-DMSO (uL) ]:[ NH4Cl (uL)]])</f>
        <v>0</v>
      </c>
      <c r="O504">
        <f>647</f>
        <v>647</v>
      </c>
      <c r="P504">
        <f>NMRPrep[[#This Row],[Total (uL) ]]-NMRPrep[[#This Row],[Target (uL)]]</f>
        <v>-647</v>
      </c>
      <c r="R504" t="e">
        <f>(NMRPrep[[#This Row],[NH4Cl Stock Concentration (mM)]]*NMRPrep[[#This Row],[ NH4Cl (uL)]])/SUM(NMRPrep[[#This Row],[DI (uL) ]:[ NH4Cl (uL)]])</f>
        <v>#DIV/0!</v>
      </c>
    </row>
    <row r="505" spans="1:18" x14ac:dyDescent="0.25">
      <c r="A505" s="1">
        <f>SampleList[[#This Row],[Date Sampled]]</f>
        <v>0</v>
      </c>
      <c r="B505" t="str" cm="1">
        <f t="array" ref="B505">IF(ISBLANK(INDEX(SampleList[NMR],ROW()-1)),"Not Requested",INDEX(SampleList[Experiment ID],ROW()-1))</f>
        <v>Not Requested</v>
      </c>
      <c r="C505">
        <f>SampleList[[#This Row],[Duration (Days)]]</f>
        <v>0</v>
      </c>
      <c r="D505">
        <f>SampleList[[#This Row],[Sample Description]]</f>
        <v>0</v>
      </c>
      <c r="N505">
        <f>SUM(NMRPrep[[#This Row],[d-DMSO (uL) ]:[ NH4Cl (uL)]])</f>
        <v>0</v>
      </c>
      <c r="O505">
        <f>647</f>
        <v>647</v>
      </c>
      <c r="P505">
        <f>NMRPrep[[#This Row],[Total (uL) ]]-NMRPrep[[#This Row],[Target (uL)]]</f>
        <v>-647</v>
      </c>
      <c r="R505" t="e">
        <f>(NMRPrep[[#This Row],[NH4Cl Stock Concentration (mM)]]*NMRPrep[[#This Row],[ NH4Cl (uL)]])/SUM(NMRPrep[[#This Row],[DI (uL) ]:[ NH4Cl (uL)]])</f>
        <v>#DIV/0!</v>
      </c>
    </row>
    <row r="506" spans="1:18" x14ac:dyDescent="0.25">
      <c r="A506" s="1">
        <f>SampleList[[#This Row],[Date Sampled]]</f>
        <v>0</v>
      </c>
      <c r="B506" t="str" cm="1">
        <f t="array" ref="B506">IF(ISBLANK(INDEX(SampleList[NMR],ROW()-1)),"Not Requested",INDEX(SampleList[Experiment ID],ROW()-1))</f>
        <v>Not Requested</v>
      </c>
      <c r="C506">
        <f>SampleList[[#This Row],[Duration (Days)]]</f>
        <v>0</v>
      </c>
      <c r="D506">
        <f>SampleList[[#This Row],[Sample Description]]</f>
        <v>0</v>
      </c>
      <c r="N506">
        <f>SUM(NMRPrep[[#This Row],[d-DMSO (uL) ]:[ NH4Cl (uL)]])</f>
        <v>0</v>
      </c>
      <c r="O506">
        <f>647</f>
        <v>647</v>
      </c>
      <c r="P506">
        <f>NMRPrep[[#This Row],[Total (uL) ]]-NMRPrep[[#This Row],[Target (uL)]]</f>
        <v>-647</v>
      </c>
      <c r="R506" t="e">
        <f>(NMRPrep[[#This Row],[NH4Cl Stock Concentration (mM)]]*NMRPrep[[#This Row],[ NH4Cl (uL)]])/SUM(NMRPrep[[#This Row],[DI (uL) ]:[ NH4Cl (uL)]])</f>
        <v>#DIV/0!</v>
      </c>
    </row>
    <row r="507" spans="1:18" x14ac:dyDescent="0.25">
      <c r="A507" s="1">
        <f>SampleList[[#This Row],[Date Sampled]]</f>
        <v>0</v>
      </c>
      <c r="B507" t="str" cm="1">
        <f t="array" ref="B507">IF(ISBLANK(INDEX(SampleList[NMR],ROW()-1)),"Not Requested",INDEX(SampleList[Experiment ID],ROW()-1))</f>
        <v>Not Requested</v>
      </c>
      <c r="C507">
        <f>SampleList[[#This Row],[Duration (Days)]]</f>
        <v>0</v>
      </c>
      <c r="D507">
        <f>SampleList[[#This Row],[Sample Description]]</f>
        <v>0</v>
      </c>
      <c r="N507">
        <f>SUM(NMRPrep[[#This Row],[d-DMSO (uL) ]:[ NH4Cl (uL)]])</f>
        <v>0</v>
      </c>
      <c r="O507">
        <f>647</f>
        <v>647</v>
      </c>
      <c r="P507">
        <f>NMRPrep[[#This Row],[Total (uL) ]]-NMRPrep[[#This Row],[Target (uL)]]</f>
        <v>-647</v>
      </c>
      <c r="R507" t="e">
        <f>(NMRPrep[[#This Row],[NH4Cl Stock Concentration (mM)]]*NMRPrep[[#This Row],[ NH4Cl (uL)]])/SUM(NMRPrep[[#This Row],[DI (uL) ]:[ NH4Cl (uL)]])</f>
        <v>#DIV/0!</v>
      </c>
    </row>
    <row r="508" spans="1:18" x14ac:dyDescent="0.25">
      <c r="A508" s="1">
        <f>SampleList[[#This Row],[Date Sampled]]</f>
        <v>0</v>
      </c>
      <c r="B508" t="str" cm="1">
        <f t="array" ref="B508">IF(ISBLANK(INDEX(SampleList[NMR],ROW()-1)),"Not Requested",INDEX(SampleList[Experiment ID],ROW()-1))</f>
        <v>Not Requested</v>
      </c>
      <c r="C508">
        <f>SampleList[[#This Row],[Duration (Days)]]</f>
        <v>0</v>
      </c>
      <c r="D508">
        <f>SampleList[[#This Row],[Sample Description]]</f>
        <v>0</v>
      </c>
      <c r="N508">
        <f>SUM(NMRPrep[[#This Row],[d-DMSO (uL) ]:[ NH4Cl (uL)]])</f>
        <v>0</v>
      </c>
      <c r="O508">
        <f>647</f>
        <v>647</v>
      </c>
      <c r="P508">
        <f>NMRPrep[[#This Row],[Total (uL) ]]-NMRPrep[[#This Row],[Target (uL)]]</f>
        <v>-647</v>
      </c>
      <c r="R508" t="e">
        <f>(NMRPrep[[#This Row],[NH4Cl Stock Concentration (mM)]]*NMRPrep[[#This Row],[ NH4Cl (uL)]])/SUM(NMRPrep[[#This Row],[DI (uL) ]:[ NH4Cl (uL)]])</f>
        <v>#DIV/0!</v>
      </c>
    </row>
    <row r="509" spans="1:18" x14ac:dyDescent="0.25">
      <c r="A509" s="1">
        <f>SampleList[[#This Row],[Date Sampled]]</f>
        <v>0</v>
      </c>
      <c r="B509" t="str" cm="1">
        <f t="array" ref="B509">IF(ISBLANK(INDEX(SampleList[NMR],ROW()-1)),"Not Requested",INDEX(SampleList[Experiment ID],ROW()-1))</f>
        <v>Not Requested</v>
      </c>
      <c r="C509">
        <f>SampleList[[#This Row],[Duration (Days)]]</f>
        <v>0</v>
      </c>
      <c r="D509">
        <f>SampleList[[#This Row],[Sample Description]]</f>
        <v>0</v>
      </c>
      <c r="N509">
        <f>SUM(NMRPrep[[#This Row],[d-DMSO (uL) ]:[ NH4Cl (uL)]])</f>
        <v>0</v>
      </c>
      <c r="O509">
        <f>647</f>
        <v>647</v>
      </c>
      <c r="P509">
        <f>NMRPrep[[#This Row],[Total (uL) ]]-NMRPrep[[#This Row],[Target (uL)]]</f>
        <v>-647</v>
      </c>
      <c r="R509" t="e">
        <f>(NMRPrep[[#This Row],[NH4Cl Stock Concentration (mM)]]*NMRPrep[[#This Row],[ NH4Cl (uL)]])/SUM(NMRPrep[[#This Row],[DI (uL) ]:[ NH4Cl (uL)]])</f>
        <v>#DIV/0!</v>
      </c>
    </row>
    <row r="510" spans="1:18" x14ac:dyDescent="0.25">
      <c r="A510" s="1">
        <f>SampleList[[#This Row],[Date Sampled]]</f>
        <v>0</v>
      </c>
      <c r="B510" t="str" cm="1">
        <f t="array" ref="B510">IF(ISBLANK(INDEX(SampleList[NMR],ROW()-1)),"Not Requested",INDEX(SampleList[Experiment ID],ROW()-1))</f>
        <v>Not Requested</v>
      </c>
      <c r="C510">
        <f>SampleList[[#This Row],[Duration (Days)]]</f>
        <v>0</v>
      </c>
      <c r="D510">
        <f>SampleList[[#This Row],[Sample Description]]</f>
        <v>0</v>
      </c>
      <c r="N510">
        <f>SUM(NMRPrep[[#This Row],[d-DMSO (uL) ]:[ NH4Cl (uL)]])</f>
        <v>0</v>
      </c>
      <c r="O510">
        <f>647</f>
        <v>647</v>
      </c>
      <c r="P510">
        <f>NMRPrep[[#This Row],[Total (uL) ]]-NMRPrep[[#This Row],[Target (uL)]]</f>
        <v>-647</v>
      </c>
      <c r="R510" t="e">
        <f>(NMRPrep[[#This Row],[NH4Cl Stock Concentration (mM)]]*NMRPrep[[#This Row],[ NH4Cl (uL)]])/SUM(NMRPrep[[#This Row],[DI (uL) ]:[ NH4Cl (uL)]])</f>
        <v>#DIV/0!</v>
      </c>
    </row>
    <row r="511" spans="1:18" x14ac:dyDescent="0.25">
      <c r="A511" s="1">
        <f>SampleList[[#This Row],[Date Sampled]]</f>
        <v>0</v>
      </c>
      <c r="B511" t="str" cm="1">
        <f t="array" ref="B511">IF(ISBLANK(INDEX(SampleList[NMR],ROW()-1)),"Not Requested",INDEX(SampleList[Experiment ID],ROW()-1))</f>
        <v>Not Requested</v>
      </c>
      <c r="C511">
        <f>SampleList[[#This Row],[Duration (Days)]]</f>
        <v>0</v>
      </c>
      <c r="D511">
        <f>SampleList[[#This Row],[Sample Description]]</f>
        <v>0</v>
      </c>
      <c r="N511">
        <f>SUM(NMRPrep[[#This Row],[d-DMSO (uL) ]:[ NH4Cl (uL)]])</f>
        <v>0</v>
      </c>
      <c r="O511">
        <f>647</f>
        <v>647</v>
      </c>
      <c r="P511">
        <f>NMRPrep[[#This Row],[Total (uL) ]]-NMRPrep[[#This Row],[Target (uL)]]</f>
        <v>-647</v>
      </c>
      <c r="R511" t="e">
        <f>(NMRPrep[[#This Row],[NH4Cl Stock Concentration (mM)]]*NMRPrep[[#This Row],[ NH4Cl (uL)]])/SUM(NMRPrep[[#This Row],[DI (uL) ]:[ NH4Cl (uL)]])</f>
        <v>#DIV/0!</v>
      </c>
    </row>
    <row r="512" spans="1:18" x14ac:dyDescent="0.25">
      <c r="A512" s="1">
        <f>SampleList[[#This Row],[Date Sampled]]</f>
        <v>0</v>
      </c>
      <c r="B512" t="str" cm="1">
        <f t="array" ref="B512">IF(ISBLANK(INDEX(SampleList[NMR],ROW()-1)),"Not Requested",INDEX(SampleList[Experiment ID],ROW()-1))</f>
        <v>Not Requested</v>
      </c>
      <c r="C512">
        <f>SampleList[[#This Row],[Duration (Days)]]</f>
        <v>0</v>
      </c>
      <c r="D512">
        <f>SampleList[[#This Row],[Sample Description]]</f>
        <v>0</v>
      </c>
      <c r="N512">
        <f>SUM(NMRPrep[[#This Row],[d-DMSO (uL) ]:[ NH4Cl (uL)]])</f>
        <v>0</v>
      </c>
      <c r="O512">
        <f>647</f>
        <v>647</v>
      </c>
      <c r="P512">
        <f>NMRPrep[[#This Row],[Total (uL) ]]-NMRPrep[[#This Row],[Target (uL)]]</f>
        <v>-647</v>
      </c>
      <c r="R512" t="e">
        <f>(NMRPrep[[#This Row],[NH4Cl Stock Concentration (mM)]]*NMRPrep[[#This Row],[ NH4Cl (uL)]])/SUM(NMRPrep[[#This Row],[DI (uL) ]:[ NH4Cl (uL)]])</f>
        <v>#DIV/0!</v>
      </c>
    </row>
    <row r="513" spans="1:18" x14ac:dyDescent="0.25">
      <c r="A513" s="1">
        <f>SampleList[[#This Row],[Date Sampled]]</f>
        <v>0</v>
      </c>
      <c r="B513" t="str" cm="1">
        <f t="array" ref="B513">IF(ISBLANK(INDEX(SampleList[NMR],ROW()-1)),"Not Requested",INDEX(SampleList[Experiment ID],ROW()-1))</f>
        <v>Not Requested</v>
      </c>
      <c r="C513">
        <f>SampleList[[#This Row],[Duration (Days)]]</f>
        <v>0</v>
      </c>
      <c r="D513">
        <f>SampleList[[#This Row],[Sample Description]]</f>
        <v>0</v>
      </c>
      <c r="N513">
        <f>SUM(NMRPrep[[#This Row],[d-DMSO (uL) ]:[ NH4Cl (uL)]])</f>
        <v>0</v>
      </c>
      <c r="O513">
        <f>647</f>
        <v>647</v>
      </c>
      <c r="P513">
        <f>NMRPrep[[#This Row],[Total (uL) ]]-NMRPrep[[#This Row],[Target (uL)]]</f>
        <v>-647</v>
      </c>
      <c r="R513" t="e">
        <f>(NMRPrep[[#This Row],[NH4Cl Stock Concentration (mM)]]*NMRPrep[[#This Row],[ NH4Cl (uL)]])/SUM(NMRPrep[[#This Row],[DI (uL) ]:[ NH4Cl (uL)]])</f>
        <v>#DIV/0!</v>
      </c>
    </row>
    <row r="514" spans="1:18" x14ac:dyDescent="0.25">
      <c r="A514" s="1">
        <f>SampleList[[#This Row],[Date Sampled]]</f>
        <v>0</v>
      </c>
      <c r="B514" t="str" cm="1">
        <f t="array" ref="B514">IF(ISBLANK(INDEX(SampleList[NMR],ROW()-1)),"Not Requested",INDEX(SampleList[Experiment ID],ROW()-1))</f>
        <v>Not Requested</v>
      </c>
      <c r="C514">
        <f>SampleList[[#This Row],[Duration (Days)]]</f>
        <v>0</v>
      </c>
      <c r="D514">
        <f>SampleList[[#This Row],[Sample Description]]</f>
        <v>0</v>
      </c>
      <c r="N514">
        <f>SUM(NMRPrep[[#This Row],[d-DMSO (uL) ]:[ NH4Cl (uL)]])</f>
        <v>0</v>
      </c>
      <c r="O514">
        <f>647</f>
        <v>647</v>
      </c>
      <c r="P514">
        <f>NMRPrep[[#This Row],[Total (uL) ]]-NMRPrep[[#This Row],[Target (uL)]]</f>
        <v>-647</v>
      </c>
      <c r="R514" t="e">
        <f>(NMRPrep[[#This Row],[NH4Cl Stock Concentration (mM)]]*NMRPrep[[#This Row],[ NH4Cl (uL)]])/SUM(NMRPrep[[#This Row],[DI (uL) ]:[ NH4Cl (uL)]])</f>
        <v>#DIV/0!</v>
      </c>
    </row>
    <row r="515" spans="1:18" x14ac:dyDescent="0.25">
      <c r="A515" s="1">
        <f>SampleList[[#This Row],[Date Sampled]]</f>
        <v>0</v>
      </c>
      <c r="B515" t="str" cm="1">
        <f t="array" ref="B515">IF(ISBLANK(INDEX(SampleList[NMR],ROW()-1)),"Not Requested",INDEX(SampleList[Experiment ID],ROW()-1))</f>
        <v>Not Requested</v>
      </c>
      <c r="C515">
        <f>SampleList[[#This Row],[Duration (Days)]]</f>
        <v>0</v>
      </c>
      <c r="D515">
        <f>SampleList[[#This Row],[Sample Description]]</f>
        <v>0</v>
      </c>
      <c r="N515">
        <f>SUM(NMRPrep[[#This Row],[d-DMSO (uL) ]:[ NH4Cl (uL)]])</f>
        <v>0</v>
      </c>
      <c r="O515">
        <f>647</f>
        <v>647</v>
      </c>
      <c r="P515">
        <f>NMRPrep[[#This Row],[Total (uL) ]]-NMRPrep[[#This Row],[Target (uL)]]</f>
        <v>-647</v>
      </c>
      <c r="R515" t="e">
        <f>(NMRPrep[[#This Row],[NH4Cl Stock Concentration (mM)]]*NMRPrep[[#This Row],[ NH4Cl (uL)]])/SUM(NMRPrep[[#This Row],[DI (uL) ]:[ NH4Cl (uL)]])</f>
        <v>#DIV/0!</v>
      </c>
    </row>
    <row r="516" spans="1:18" x14ac:dyDescent="0.25">
      <c r="A516" s="1">
        <f>SampleList[[#This Row],[Date Sampled]]</f>
        <v>0</v>
      </c>
      <c r="B516" t="str" cm="1">
        <f t="array" ref="B516">IF(ISBLANK(INDEX(SampleList[NMR],ROW()-1)),"Not Requested",INDEX(SampleList[Experiment ID],ROW()-1))</f>
        <v>Not Requested</v>
      </c>
      <c r="C516">
        <f>SampleList[[#This Row],[Duration (Days)]]</f>
        <v>0</v>
      </c>
      <c r="D516">
        <f>SampleList[[#This Row],[Sample Description]]</f>
        <v>0</v>
      </c>
      <c r="N516">
        <f>SUM(NMRPrep[[#This Row],[d-DMSO (uL) ]:[ NH4Cl (uL)]])</f>
        <v>0</v>
      </c>
      <c r="O516">
        <f>647</f>
        <v>647</v>
      </c>
      <c r="P516">
        <f>NMRPrep[[#This Row],[Total (uL) ]]-NMRPrep[[#This Row],[Target (uL)]]</f>
        <v>-647</v>
      </c>
      <c r="R516" t="e">
        <f>(NMRPrep[[#This Row],[NH4Cl Stock Concentration (mM)]]*NMRPrep[[#This Row],[ NH4Cl (uL)]])/SUM(NMRPrep[[#This Row],[DI (uL) ]:[ NH4Cl (uL)]])</f>
        <v>#DIV/0!</v>
      </c>
    </row>
    <row r="517" spans="1:18" x14ac:dyDescent="0.25">
      <c r="A517" s="1">
        <f>SampleList[[#This Row],[Date Sampled]]</f>
        <v>0</v>
      </c>
      <c r="B517" t="str" cm="1">
        <f t="array" ref="B517">IF(ISBLANK(INDEX(SampleList[NMR],ROW()-1)),"Not Requested",INDEX(SampleList[Experiment ID],ROW()-1))</f>
        <v>Not Requested</v>
      </c>
      <c r="C517">
        <f>SampleList[[#This Row],[Duration (Days)]]</f>
        <v>0</v>
      </c>
      <c r="D517">
        <f>SampleList[[#This Row],[Sample Description]]</f>
        <v>0</v>
      </c>
      <c r="N517">
        <f>SUM(NMRPrep[[#This Row],[d-DMSO (uL) ]:[ NH4Cl (uL)]])</f>
        <v>0</v>
      </c>
      <c r="O517">
        <f>647</f>
        <v>647</v>
      </c>
      <c r="P517">
        <f>NMRPrep[[#This Row],[Total (uL) ]]-NMRPrep[[#This Row],[Target (uL)]]</f>
        <v>-647</v>
      </c>
      <c r="R517" t="e">
        <f>(NMRPrep[[#This Row],[NH4Cl Stock Concentration (mM)]]*NMRPrep[[#This Row],[ NH4Cl (uL)]])/SUM(NMRPrep[[#This Row],[DI (uL) ]:[ NH4Cl (uL)]])</f>
        <v>#DIV/0!</v>
      </c>
    </row>
    <row r="518" spans="1:18" x14ac:dyDescent="0.25">
      <c r="A518" s="1">
        <f>SampleList[[#This Row],[Date Sampled]]</f>
        <v>0</v>
      </c>
      <c r="B518" t="str" cm="1">
        <f t="array" ref="B518">IF(ISBLANK(INDEX(SampleList[NMR],ROW()-1)),"Not Requested",INDEX(SampleList[Experiment ID],ROW()-1))</f>
        <v>Not Requested</v>
      </c>
      <c r="C518">
        <f>SampleList[[#This Row],[Duration (Days)]]</f>
        <v>0</v>
      </c>
      <c r="D518">
        <f>SampleList[[#This Row],[Sample Description]]</f>
        <v>0</v>
      </c>
      <c r="N518">
        <f>SUM(NMRPrep[[#This Row],[d-DMSO (uL) ]:[ NH4Cl (uL)]])</f>
        <v>0</v>
      </c>
      <c r="O518">
        <f>647</f>
        <v>647</v>
      </c>
      <c r="P518">
        <f>NMRPrep[[#This Row],[Total (uL) ]]-NMRPrep[[#This Row],[Target (uL)]]</f>
        <v>-647</v>
      </c>
      <c r="R518" t="e">
        <f>(NMRPrep[[#This Row],[NH4Cl Stock Concentration (mM)]]*NMRPrep[[#This Row],[ NH4Cl (uL)]])/SUM(NMRPrep[[#This Row],[DI (uL) ]:[ NH4Cl (uL)]])</f>
        <v>#DIV/0!</v>
      </c>
    </row>
    <row r="519" spans="1:18" x14ac:dyDescent="0.25">
      <c r="A519" s="1">
        <f>SampleList[[#This Row],[Date Sampled]]</f>
        <v>0</v>
      </c>
      <c r="B519" t="str" cm="1">
        <f t="array" ref="B519">IF(ISBLANK(INDEX(SampleList[NMR],ROW()-1)),"Not Requested",INDEX(SampleList[Experiment ID],ROW()-1))</f>
        <v>Not Requested</v>
      </c>
      <c r="C519">
        <f>SampleList[[#This Row],[Duration (Days)]]</f>
        <v>0</v>
      </c>
      <c r="D519">
        <f>SampleList[[#This Row],[Sample Description]]</f>
        <v>0</v>
      </c>
      <c r="N519">
        <f>SUM(NMRPrep[[#This Row],[d-DMSO (uL) ]:[ NH4Cl (uL)]])</f>
        <v>0</v>
      </c>
      <c r="O519">
        <f>647</f>
        <v>647</v>
      </c>
      <c r="P519">
        <f>NMRPrep[[#This Row],[Total (uL) ]]-NMRPrep[[#This Row],[Target (uL)]]</f>
        <v>-647</v>
      </c>
      <c r="R519" t="e">
        <f>(NMRPrep[[#This Row],[NH4Cl Stock Concentration (mM)]]*NMRPrep[[#This Row],[ NH4Cl (uL)]])/SUM(NMRPrep[[#This Row],[DI (uL) ]:[ NH4Cl (uL)]])</f>
        <v>#DIV/0!</v>
      </c>
    </row>
    <row r="520" spans="1:18" x14ac:dyDescent="0.25">
      <c r="A520" s="1">
        <f>SampleList[[#This Row],[Date Sampled]]</f>
        <v>0</v>
      </c>
      <c r="B520" t="str" cm="1">
        <f t="array" ref="B520">IF(ISBLANK(INDEX(SampleList[NMR],ROW()-1)),"Not Requested",INDEX(SampleList[Experiment ID],ROW()-1))</f>
        <v>Not Requested</v>
      </c>
      <c r="C520">
        <f>SampleList[[#This Row],[Duration (Days)]]</f>
        <v>0</v>
      </c>
      <c r="D520">
        <f>SampleList[[#This Row],[Sample Description]]</f>
        <v>0</v>
      </c>
      <c r="N520">
        <f>SUM(NMRPrep[[#This Row],[d-DMSO (uL) ]:[ NH4Cl (uL)]])</f>
        <v>0</v>
      </c>
      <c r="O520">
        <f>647</f>
        <v>647</v>
      </c>
      <c r="P520">
        <f>NMRPrep[[#This Row],[Total (uL) ]]-NMRPrep[[#This Row],[Target (uL)]]</f>
        <v>-647</v>
      </c>
      <c r="R520" t="e">
        <f>(NMRPrep[[#This Row],[NH4Cl Stock Concentration (mM)]]*NMRPrep[[#This Row],[ NH4Cl (uL)]])/SUM(NMRPrep[[#This Row],[DI (uL) ]:[ NH4Cl (uL)]])</f>
        <v>#DIV/0!</v>
      </c>
    </row>
    <row r="521" spans="1:18" x14ac:dyDescent="0.25">
      <c r="A521" s="1">
        <f>SampleList[[#This Row],[Date Sampled]]</f>
        <v>0</v>
      </c>
      <c r="B521" t="str" cm="1">
        <f t="array" ref="B521">IF(ISBLANK(INDEX(SampleList[NMR],ROW()-1)),"Not Requested",INDEX(SampleList[Experiment ID],ROW()-1))</f>
        <v>Not Requested</v>
      </c>
      <c r="C521">
        <f>SampleList[[#This Row],[Duration (Days)]]</f>
        <v>0</v>
      </c>
      <c r="D521">
        <f>SampleList[[#This Row],[Sample Description]]</f>
        <v>0</v>
      </c>
      <c r="N521">
        <f>SUM(NMRPrep[[#This Row],[d-DMSO (uL) ]:[ NH4Cl (uL)]])</f>
        <v>0</v>
      </c>
      <c r="O521">
        <f>647</f>
        <v>647</v>
      </c>
      <c r="P521">
        <f>NMRPrep[[#This Row],[Total (uL) ]]-NMRPrep[[#This Row],[Target (uL)]]</f>
        <v>-647</v>
      </c>
      <c r="R521" t="e">
        <f>(NMRPrep[[#This Row],[NH4Cl Stock Concentration (mM)]]*NMRPrep[[#This Row],[ NH4Cl (uL)]])/SUM(NMRPrep[[#This Row],[DI (uL) ]:[ NH4Cl (uL)]])</f>
        <v>#DIV/0!</v>
      </c>
    </row>
    <row r="522" spans="1:18" x14ac:dyDescent="0.25">
      <c r="A522" s="1">
        <f>SampleList[[#This Row],[Date Sampled]]</f>
        <v>0</v>
      </c>
      <c r="B522" t="str" cm="1">
        <f t="array" ref="B522">IF(ISBLANK(INDEX(SampleList[NMR],ROW()-1)),"Not Requested",INDEX(SampleList[Experiment ID],ROW()-1))</f>
        <v>Not Requested</v>
      </c>
      <c r="C522">
        <f>SampleList[[#This Row],[Duration (Days)]]</f>
        <v>0</v>
      </c>
      <c r="D522">
        <f>SampleList[[#This Row],[Sample Description]]</f>
        <v>0</v>
      </c>
      <c r="N522">
        <f>SUM(NMRPrep[[#This Row],[d-DMSO (uL) ]:[ NH4Cl (uL)]])</f>
        <v>0</v>
      </c>
      <c r="O522">
        <f>647</f>
        <v>647</v>
      </c>
      <c r="P522">
        <f>NMRPrep[[#This Row],[Total (uL) ]]-NMRPrep[[#This Row],[Target (uL)]]</f>
        <v>-647</v>
      </c>
      <c r="R522" t="e">
        <f>(NMRPrep[[#This Row],[NH4Cl Stock Concentration (mM)]]*NMRPrep[[#This Row],[ NH4Cl (uL)]])/SUM(NMRPrep[[#This Row],[DI (uL) ]:[ NH4Cl (uL)]])</f>
        <v>#DIV/0!</v>
      </c>
    </row>
    <row r="523" spans="1:18" x14ac:dyDescent="0.25">
      <c r="A523" s="1">
        <f>SampleList[[#This Row],[Date Sampled]]</f>
        <v>0</v>
      </c>
      <c r="B523" t="str" cm="1">
        <f t="array" ref="B523">IF(ISBLANK(INDEX(SampleList[NMR],ROW()-1)),"Not Requested",INDEX(SampleList[Experiment ID],ROW()-1))</f>
        <v>Not Requested</v>
      </c>
      <c r="C523">
        <f>SampleList[[#This Row],[Duration (Days)]]</f>
        <v>0</v>
      </c>
      <c r="D523">
        <f>SampleList[[#This Row],[Sample Description]]</f>
        <v>0</v>
      </c>
      <c r="N523">
        <f>SUM(NMRPrep[[#This Row],[d-DMSO (uL) ]:[ NH4Cl (uL)]])</f>
        <v>0</v>
      </c>
      <c r="O523">
        <f>647</f>
        <v>647</v>
      </c>
      <c r="P523">
        <f>NMRPrep[[#This Row],[Total (uL) ]]-NMRPrep[[#This Row],[Target (uL)]]</f>
        <v>-647</v>
      </c>
      <c r="R523" t="e">
        <f>(NMRPrep[[#This Row],[NH4Cl Stock Concentration (mM)]]*NMRPrep[[#This Row],[ NH4Cl (uL)]])/SUM(NMRPrep[[#This Row],[DI (uL) ]:[ NH4Cl (uL)]])</f>
        <v>#DIV/0!</v>
      </c>
    </row>
    <row r="524" spans="1:18" x14ac:dyDescent="0.25">
      <c r="A524" s="1">
        <f>SampleList[[#This Row],[Date Sampled]]</f>
        <v>0</v>
      </c>
      <c r="B524" t="str" cm="1">
        <f t="array" ref="B524">IF(ISBLANK(INDEX(SampleList[NMR],ROW()-1)),"Not Requested",INDEX(SampleList[Experiment ID],ROW()-1))</f>
        <v>Not Requested</v>
      </c>
      <c r="C524">
        <f>SampleList[[#This Row],[Duration (Days)]]</f>
        <v>0</v>
      </c>
      <c r="D524">
        <f>SampleList[[#This Row],[Sample Description]]</f>
        <v>0</v>
      </c>
      <c r="N524">
        <f>SUM(NMRPrep[[#This Row],[d-DMSO (uL) ]:[ NH4Cl (uL)]])</f>
        <v>0</v>
      </c>
      <c r="O524">
        <f>647</f>
        <v>647</v>
      </c>
      <c r="P524">
        <f>NMRPrep[[#This Row],[Total (uL) ]]-NMRPrep[[#This Row],[Target (uL)]]</f>
        <v>-647</v>
      </c>
      <c r="R524" t="e">
        <f>(NMRPrep[[#This Row],[NH4Cl Stock Concentration (mM)]]*NMRPrep[[#This Row],[ NH4Cl (uL)]])/SUM(NMRPrep[[#This Row],[DI (uL) ]:[ NH4Cl (uL)]])</f>
        <v>#DIV/0!</v>
      </c>
    </row>
    <row r="525" spans="1:18" x14ac:dyDescent="0.25">
      <c r="A525" s="1">
        <f>SampleList[[#This Row],[Date Sampled]]</f>
        <v>0</v>
      </c>
      <c r="B525" t="str" cm="1">
        <f t="array" ref="B525">IF(ISBLANK(INDEX(SampleList[NMR],ROW()-1)),"Not Requested",INDEX(SampleList[Experiment ID],ROW()-1))</f>
        <v>Not Requested</v>
      </c>
      <c r="C525">
        <f>SampleList[[#This Row],[Duration (Days)]]</f>
        <v>0</v>
      </c>
      <c r="D525">
        <f>SampleList[[#This Row],[Sample Description]]</f>
        <v>0</v>
      </c>
      <c r="N525">
        <f>SUM(NMRPrep[[#This Row],[d-DMSO (uL) ]:[ NH4Cl (uL)]])</f>
        <v>0</v>
      </c>
      <c r="O525">
        <f>647</f>
        <v>647</v>
      </c>
      <c r="P525">
        <f>NMRPrep[[#This Row],[Total (uL) ]]-NMRPrep[[#This Row],[Target (uL)]]</f>
        <v>-647</v>
      </c>
      <c r="R525" t="e">
        <f>(NMRPrep[[#This Row],[NH4Cl Stock Concentration (mM)]]*NMRPrep[[#This Row],[ NH4Cl (uL)]])/SUM(NMRPrep[[#This Row],[DI (uL) ]:[ NH4Cl (uL)]])</f>
        <v>#DIV/0!</v>
      </c>
    </row>
    <row r="526" spans="1:18" x14ac:dyDescent="0.25">
      <c r="A526" s="1">
        <f>SampleList[[#This Row],[Date Sampled]]</f>
        <v>0</v>
      </c>
      <c r="B526" t="str" cm="1">
        <f t="array" ref="B526">IF(ISBLANK(INDEX(SampleList[NMR],ROW()-1)),"Not Requested",INDEX(SampleList[Experiment ID],ROW()-1))</f>
        <v>Not Requested</v>
      </c>
      <c r="C526">
        <f>SampleList[[#This Row],[Duration (Days)]]</f>
        <v>0</v>
      </c>
      <c r="D526">
        <f>SampleList[[#This Row],[Sample Description]]</f>
        <v>0</v>
      </c>
      <c r="N526">
        <f>SUM(NMRPrep[[#This Row],[d-DMSO (uL) ]:[ NH4Cl (uL)]])</f>
        <v>0</v>
      </c>
      <c r="O526">
        <f>647</f>
        <v>647</v>
      </c>
      <c r="P526">
        <f>NMRPrep[[#This Row],[Total (uL) ]]-NMRPrep[[#This Row],[Target (uL)]]</f>
        <v>-647</v>
      </c>
      <c r="R526" t="e">
        <f>(NMRPrep[[#This Row],[NH4Cl Stock Concentration (mM)]]*NMRPrep[[#This Row],[ NH4Cl (uL)]])/SUM(NMRPrep[[#This Row],[DI (uL) ]:[ NH4Cl (uL)]])</f>
        <v>#DIV/0!</v>
      </c>
    </row>
    <row r="527" spans="1:18" x14ac:dyDescent="0.25">
      <c r="A527" s="1">
        <f>SampleList[[#This Row],[Date Sampled]]</f>
        <v>0</v>
      </c>
      <c r="B527" t="str" cm="1">
        <f t="array" ref="B527">IF(ISBLANK(INDEX(SampleList[NMR],ROW()-1)),"Not Requested",INDEX(SampleList[Experiment ID],ROW()-1))</f>
        <v>Not Requested</v>
      </c>
      <c r="C527">
        <f>SampleList[[#This Row],[Duration (Days)]]</f>
        <v>0</v>
      </c>
      <c r="D527">
        <f>SampleList[[#This Row],[Sample Description]]</f>
        <v>0</v>
      </c>
      <c r="N527">
        <f>SUM(NMRPrep[[#This Row],[d-DMSO (uL) ]:[ NH4Cl (uL)]])</f>
        <v>0</v>
      </c>
      <c r="O527">
        <f>647</f>
        <v>647</v>
      </c>
      <c r="P527">
        <f>NMRPrep[[#This Row],[Total (uL) ]]-NMRPrep[[#This Row],[Target (uL)]]</f>
        <v>-647</v>
      </c>
      <c r="R527" t="e">
        <f>(NMRPrep[[#This Row],[NH4Cl Stock Concentration (mM)]]*NMRPrep[[#This Row],[ NH4Cl (uL)]])/SUM(NMRPrep[[#This Row],[DI (uL) ]:[ NH4Cl (uL)]])</f>
        <v>#DIV/0!</v>
      </c>
    </row>
    <row r="528" spans="1:18" x14ac:dyDescent="0.25">
      <c r="A528" s="1">
        <f>SampleList[[#This Row],[Date Sampled]]</f>
        <v>0</v>
      </c>
      <c r="B528" t="str" cm="1">
        <f t="array" ref="B528">IF(ISBLANK(INDEX(SampleList[NMR],ROW()-1)),"Not Requested",INDEX(SampleList[Experiment ID],ROW()-1))</f>
        <v>Not Requested</v>
      </c>
      <c r="C528">
        <f>SampleList[[#This Row],[Duration (Days)]]</f>
        <v>0</v>
      </c>
      <c r="D528">
        <f>SampleList[[#This Row],[Sample Description]]</f>
        <v>0</v>
      </c>
      <c r="N528">
        <f>SUM(NMRPrep[[#This Row],[d-DMSO (uL) ]:[ NH4Cl (uL)]])</f>
        <v>0</v>
      </c>
      <c r="O528">
        <f>647</f>
        <v>647</v>
      </c>
      <c r="P528">
        <f>NMRPrep[[#This Row],[Total (uL) ]]-NMRPrep[[#This Row],[Target (uL)]]</f>
        <v>-647</v>
      </c>
      <c r="R528" t="e">
        <f>(NMRPrep[[#This Row],[NH4Cl Stock Concentration (mM)]]*NMRPrep[[#This Row],[ NH4Cl (uL)]])/SUM(NMRPrep[[#This Row],[DI (uL) ]:[ NH4Cl (uL)]])</f>
        <v>#DIV/0!</v>
      </c>
    </row>
    <row r="529" spans="1:18" x14ac:dyDescent="0.25">
      <c r="A529" s="1">
        <f>SampleList[[#This Row],[Date Sampled]]</f>
        <v>0</v>
      </c>
      <c r="B529" t="str" cm="1">
        <f t="array" ref="B529">IF(ISBLANK(INDEX(SampleList[NMR],ROW()-1)),"Not Requested",INDEX(SampleList[Experiment ID],ROW()-1))</f>
        <v>Not Requested</v>
      </c>
      <c r="C529">
        <f>SampleList[[#This Row],[Duration (Days)]]</f>
        <v>0</v>
      </c>
      <c r="D529">
        <f>SampleList[[#This Row],[Sample Description]]</f>
        <v>0</v>
      </c>
      <c r="N529">
        <f>SUM(NMRPrep[[#This Row],[d-DMSO (uL) ]:[ NH4Cl (uL)]])</f>
        <v>0</v>
      </c>
      <c r="O529">
        <f>647</f>
        <v>647</v>
      </c>
      <c r="P529">
        <f>NMRPrep[[#This Row],[Total (uL) ]]-NMRPrep[[#This Row],[Target (uL)]]</f>
        <v>-647</v>
      </c>
      <c r="R529" t="e">
        <f>(NMRPrep[[#This Row],[NH4Cl Stock Concentration (mM)]]*NMRPrep[[#This Row],[ NH4Cl (uL)]])/SUM(NMRPrep[[#This Row],[DI (uL) ]:[ NH4Cl (uL)]])</f>
        <v>#DIV/0!</v>
      </c>
    </row>
    <row r="530" spans="1:18" x14ac:dyDescent="0.25">
      <c r="A530" s="1">
        <f>SampleList[[#This Row],[Date Sampled]]</f>
        <v>0</v>
      </c>
      <c r="B530" t="str" cm="1">
        <f t="array" ref="B530">IF(ISBLANK(INDEX(SampleList[NMR],ROW()-1)),"Not Requested",INDEX(SampleList[Experiment ID],ROW()-1))</f>
        <v>Not Requested</v>
      </c>
      <c r="C530">
        <f>SampleList[[#This Row],[Duration (Days)]]</f>
        <v>0</v>
      </c>
      <c r="D530">
        <f>SampleList[[#This Row],[Sample Description]]</f>
        <v>0</v>
      </c>
      <c r="N530">
        <f>SUM(NMRPrep[[#This Row],[d-DMSO (uL) ]:[ NH4Cl (uL)]])</f>
        <v>0</v>
      </c>
      <c r="O530">
        <f>647</f>
        <v>647</v>
      </c>
      <c r="P530">
        <f>NMRPrep[[#This Row],[Total (uL) ]]-NMRPrep[[#This Row],[Target (uL)]]</f>
        <v>-647</v>
      </c>
      <c r="R530" t="e">
        <f>(NMRPrep[[#This Row],[NH4Cl Stock Concentration (mM)]]*NMRPrep[[#This Row],[ NH4Cl (uL)]])/SUM(NMRPrep[[#This Row],[DI (uL) ]:[ NH4Cl (uL)]])</f>
        <v>#DIV/0!</v>
      </c>
    </row>
    <row r="531" spans="1:18" x14ac:dyDescent="0.25">
      <c r="A531" s="1">
        <f>SampleList[[#This Row],[Date Sampled]]</f>
        <v>0</v>
      </c>
      <c r="B531" t="str" cm="1">
        <f t="array" ref="B531">IF(ISBLANK(INDEX(SampleList[NMR],ROW()-1)),"Not Requested",INDEX(SampleList[Experiment ID],ROW()-1))</f>
        <v>Not Requested</v>
      </c>
      <c r="C531">
        <f>SampleList[[#This Row],[Duration (Days)]]</f>
        <v>0</v>
      </c>
      <c r="D531">
        <f>SampleList[[#This Row],[Sample Description]]</f>
        <v>0</v>
      </c>
      <c r="N531">
        <f>SUM(NMRPrep[[#This Row],[d-DMSO (uL) ]:[ NH4Cl (uL)]])</f>
        <v>0</v>
      </c>
      <c r="O531">
        <f>647</f>
        <v>647</v>
      </c>
      <c r="P531">
        <f>NMRPrep[[#This Row],[Total (uL) ]]-NMRPrep[[#This Row],[Target (uL)]]</f>
        <v>-647</v>
      </c>
      <c r="R531" t="e">
        <f>(NMRPrep[[#This Row],[NH4Cl Stock Concentration (mM)]]*NMRPrep[[#This Row],[ NH4Cl (uL)]])/SUM(NMRPrep[[#This Row],[DI (uL) ]:[ NH4Cl (uL)]])</f>
        <v>#DIV/0!</v>
      </c>
    </row>
    <row r="532" spans="1:18" x14ac:dyDescent="0.25">
      <c r="A532" s="1">
        <f>SampleList[[#This Row],[Date Sampled]]</f>
        <v>0</v>
      </c>
      <c r="B532" t="str" cm="1">
        <f t="array" ref="B532">IF(ISBLANK(INDEX(SampleList[NMR],ROW()-1)),"Not Requested",INDEX(SampleList[Experiment ID],ROW()-1))</f>
        <v>Not Requested</v>
      </c>
      <c r="C532">
        <f>SampleList[[#This Row],[Duration (Days)]]</f>
        <v>0</v>
      </c>
      <c r="D532">
        <f>SampleList[[#This Row],[Sample Description]]</f>
        <v>0</v>
      </c>
      <c r="N532">
        <f>SUM(NMRPrep[[#This Row],[d-DMSO (uL) ]:[ NH4Cl (uL)]])</f>
        <v>0</v>
      </c>
      <c r="O532">
        <f>647</f>
        <v>647</v>
      </c>
      <c r="P532">
        <f>NMRPrep[[#This Row],[Total (uL) ]]-NMRPrep[[#This Row],[Target (uL)]]</f>
        <v>-647</v>
      </c>
      <c r="R532" t="e">
        <f>(NMRPrep[[#This Row],[NH4Cl Stock Concentration (mM)]]*NMRPrep[[#This Row],[ NH4Cl (uL)]])/SUM(NMRPrep[[#This Row],[DI (uL) ]:[ NH4Cl (uL)]])</f>
        <v>#DIV/0!</v>
      </c>
    </row>
    <row r="533" spans="1:18" x14ac:dyDescent="0.25">
      <c r="A533" s="1">
        <f>SampleList[[#This Row],[Date Sampled]]</f>
        <v>0</v>
      </c>
      <c r="B533" t="str" cm="1">
        <f t="array" ref="B533">IF(ISBLANK(INDEX(SampleList[NMR],ROW()-1)),"Not Requested",INDEX(SampleList[Experiment ID],ROW()-1))</f>
        <v>Not Requested</v>
      </c>
      <c r="C533">
        <f>SampleList[[#This Row],[Duration (Days)]]</f>
        <v>0</v>
      </c>
      <c r="D533">
        <f>SampleList[[#This Row],[Sample Description]]</f>
        <v>0</v>
      </c>
      <c r="N533">
        <f>SUM(NMRPrep[[#This Row],[d-DMSO (uL) ]:[ NH4Cl (uL)]])</f>
        <v>0</v>
      </c>
      <c r="O533">
        <f>647</f>
        <v>647</v>
      </c>
      <c r="P533">
        <f>NMRPrep[[#This Row],[Total (uL) ]]-NMRPrep[[#This Row],[Target (uL)]]</f>
        <v>-647</v>
      </c>
      <c r="R533" t="e">
        <f>(NMRPrep[[#This Row],[NH4Cl Stock Concentration (mM)]]*NMRPrep[[#This Row],[ NH4Cl (uL)]])/SUM(NMRPrep[[#This Row],[DI (uL) ]:[ NH4Cl (uL)]])</f>
        <v>#DIV/0!</v>
      </c>
    </row>
    <row r="534" spans="1:18" x14ac:dyDescent="0.25">
      <c r="A534" s="1">
        <f>SampleList[[#This Row],[Date Sampled]]</f>
        <v>0</v>
      </c>
      <c r="B534" t="str" cm="1">
        <f t="array" ref="B534">IF(ISBLANK(INDEX(SampleList[NMR],ROW()-1)),"Not Requested",INDEX(SampleList[Experiment ID],ROW()-1))</f>
        <v>Not Requested</v>
      </c>
      <c r="C534">
        <f>SampleList[[#This Row],[Duration (Days)]]</f>
        <v>0</v>
      </c>
      <c r="D534">
        <f>SampleList[[#This Row],[Sample Description]]</f>
        <v>0</v>
      </c>
      <c r="N534">
        <f>SUM(NMRPrep[[#This Row],[d-DMSO (uL) ]:[ NH4Cl (uL)]])</f>
        <v>0</v>
      </c>
      <c r="O534">
        <f>647</f>
        <v>647</v>
      </c>
      <c r="P534">
        <f>NMRPrep[[#This Row],[Total (uL) ]]-NMRPrep[[#This Row],[Target (uL)]]</f>
        <v>-647</v>
      </c>
      <c r="R534" t="e">
        <f>(NMRPrep[[#This Row],[NH4Cl Stock Concentration (mM)]]*NMRPrep[[#This Row],[ NH4Cl (uL)]])/SUM(NMRPrep[[#This Row],[DI (uL) ]:[ NH4Cl (uL)]])</f>
        <v>#DIV/0!</v>
      </c>
    </row>
    <row r="535" spans="1:18" x14ac:dyDescent="0.25">
      <c r="A535" s="1">
        <f>SampleList[[#This Row],[Date Sampled]]</f>
        <v>0</v>
      </c>
      <c r="B535" t="str" cm="1">
        <f t="array" ref="B535">IF(ISBLANK(INDEX(SampleList[NMR],ROW()-1)),"Not Requested",INDEX(SampleList[Experiment ID],ROW()-1))</f>
        <v>Not Requested</v>
      </c>
      <c r="C535">
        <f>SampleList[[#This Row],[Duration (Days)]]</f>
        <v>0</v>
      </c>
      <c r="D535">
        <f>SampleList[[#This Row],[Sample Description]]</f>
        <v>0</v>
      </c>
      <c r="N535">
        <f>SUM(NMRPrep[[#This Row],[d-DMSO (uL) ]:[ NH4Cl (uL)]])</f>
        <v>0</v>
      </c>
      <c r="O535">
        <f>647</f>
        <v>647</v>
      </c>
      <c r="P535">
        <f>NMRPrep[[#This Row],[Total (uL) ]]-NMRPrep[[#This Row],[Target (uL)]]</f>
        <v>-647</v>
      </c>
      <c r="R535" t="e">
        <f>(NMRPrep[[#This Row],[NH4Cl Stock Concentration (mM)]]*NMRPrep[[#This Row],[ NH4Cl (uL)]])/SUM(NMRPrep[[#This Row],[DI (uL) ]:[ NH4Cl (uL)]])</f>
        <v>#DIV/0!</v>
      </c>
    </row>
    <row r="536" spans="1:18" x14ac:dyDescent="0.25">
      <c r="A536" s="1">
        <f>SampleList[[#This Row],[Date Sampled]]</f>
        <v>0</v>
      </c>
      <c r="B536" t="str" cm="1">
        <f t="array" ref="B536">IF(ISBLANK(INDEX(SampleList[NMR],ROW()-1)),"Not Requested",INDEX(SampleList[Experiment ID],ROW()-1))</f>
        <v>Not Requested</v>
      </c>
      <c r="C536">
        <f>SampleList[[#This Row],[Duration (Days)]]</f>
        <v>0</v>
      </c>
      <c r="D536">
        <f>SampleList[[#This Row],[Sample Description]]</f>
        <v>0</v>
      </c>
      <c r="N536">
        <f>SUM(NMRPrep[[#This Row],[d-DMSO (uL) ]:[ NH4Cl (uL)]])</f>
        <v>0</v>
      </c>
      <c r="O536">
        <f>647</f>
        <v>647</v>
      </c>
      <c r="P536">
        <f>NMRPrep[[#This Row],[Total (uL) ]]-NMRPrep[[#This Row],[Target (uL)]]</f>
        <v>-647</v>
      </c>
      <c r="R536" t="e">
        <f>(NMRPrep[[#This Row],[NH4Cl Stock Concentration (mM)]]*NMRPrep[[#This Row],[ NH4Cl (uL)]])/SUM(NMRPrep[[#This Row],[DI (uL) ]:[ NH4Cl (uL)]])</f>
        <v>#DIV/0!</v>
      </c>
    </row>
    <row r="537" spans="1:18" x14ac:dyDescent="0.25">
      <c r="A537" s="1">
        <f>SampleList[[#This Row],[Date Sampled]]</f>
        <v>0</v>
      </c>
      <c r="B537" t="str" cm="1">
        <f t="array" ref="B537">IF(ISBLANK(INDEX(SampleList[NMR],ROW()-1)),"Not Requested",INDEX(SampleList[Experiment ID],ROW()-1))</f>
        <v>Not Requested</v>
      </c>
      <c r="C537">
        <f>SampleList[[#This Row],[Duration (Days)]]</f>
        <v>0</v>
      </c>
      <c r="D537">
        <f>SampleList[[#This Row],[Sample Description]]</f>
        <v>0</v>
      </c>
      <c r="N537">
        <f>SUM(NMRPrep[[#This Row],[d-DMSO (uL) ]:[ NH4Cl (uL)]])</f>
        <v>0</v>
      </c>
      <c r="O537">
        <f>647</f>
        <v>647</v>
      </c>
      <c r="P537">
        <f>NMRPrep[[#This Row],[Total (uL) ]]-NMRPrep[[#This Row],[Target (uL)]]</f>
        <v>-647</v>
      </c>
      <c r="R537" t="e">
        <f>(NMRPrep[[#This Row],[NH4Cl Stock Concentration (mM)]]*NMRPrep[[#This Row],[ NH4Cl (uL)]])/SUM(NMRPrep[[#This Row],[DI (uL) ]:[ NH4Cl (uL)]])</f>
        <v>#DIV/0!</v>
      </c>
    </row>
    <row r="538" spans="1:18" x14ac:dyDescent="0.25">
      <c r="A538" s="1">
        <f>SampleList[[#This Row],[Date Sampled]]</f>
        <v>0</v>
      </c>
      <c r="B538" t="str" cm="1">
        <f t="array" ref="B538">IF(ISBLANK(INDEX(SampleList[NMR],ROW()-1)),"Not Requested",INDEX(SampleList[Experiment ID],ROW()-1))</f>
        <v>Not Requested</v>
      </c>
      <c r="C538">
        <f>SampleList[[#This Row],[Duration (Days)]]</f>
        <v>0</v>
      </c>
      <c r="D538">
        <f>SampleList[[#This Row],[Sample Description]]</f>
        <v>0</v>
      </c>
      <c r="N538">
        <f>SUM(NMRPrep[[#This Row],[d-DMSO (uL) ]:[ NH4Cl (uL)]])</f>
        <v>0</v>
      </c>
      <c r="O538">
        <f>647</f>
        <v>647</v>
      </c>
      <c r="P538">
        <f>NMRPrep[[#This Row],[Total (uL) ]]-NMRPrep[[#This Row],[Target (uL)]]</f>
        <v>-647</v>
      </c>
      <c r="R538" t="e">
        <f>(NMRPrep[[#This Row],[NH4Cl Stock Concentration (mM)]]*NMRPrep[[#This Row],[ NH4Cl (uL)]])/SUM(NMRPrep[[#This Row],[DI (uL) ]:[ NH4Cl (uL)]])</f>
        <v>#DIV/0!</v>
      </c>
    </row>
    <row r="539" spans="1:18" x14ac:dyDescent="0.25">
      <c r="A539" s="1">
        <f>SampleList[[#This Row],[Date Sampled]]</f>
        <v>0</v>
      </c>
      <c r="B539" t="str" cm="1">
        <f t="array" ref="B539">IF(ISBLANK(INDEX(SampleList[NMR],ROW()-1)),"Not Requested",INDEX(SampleList[Experiment ID],ROW()-1))</f>
        <v>Not Requested</v>
      </c>
      <c r="C539">
        <f>SampleList[[#This Row],[Duration (Days)]]</f>
        <v>0</v>
      </c>
      <c r="D539">
        <f>SampleList[[#This Row],[Sample Description]]</f>
        <v>0</v>
      </c>
      <c r="N539">
        <f>SUM(NMRPrep[[#This Row],[d-DMSO (uL) ]:[ NH4Cl (uL)]])</f>
        <v>0</v>
      </c>
      <c r="O539">
        <f>647</f>
        <v>647</v>
      </c>
      <c r="P539">
        <f>NMRPrep[[#This Row],[Total (uL) ]]-NMRPrep[[#This Row],[Target (uL)]]</f>
        <v>-647</v>
      </c>
      <c r="R539" t="e">
        <f>(NMRPrep[[#This Row],[NH4Cl Stock Concentration (mM)]]*NMRPrep[[#This Row],[ NH4Cl (uL)]])/SUM(NMRPrep[[#This Row],[DI (uL) ]:[ NH4Cl (uL)]])</f>
        <v>#DIV/0!</v>
      </c>
    </row>
    <row r="540" spans="1:18" x14ac:dyDescent="0.25">
      <c r="A540" s="1">
        <f>SampleList[[#This Row],[Date Sampled]]</f>
        <v>0</v>
      </c>
      <c r="B540" t="str" cm="1">
        <f t="array" ref="B540">IF(ISBLANK(INDEX(SampleList[NMR],ROW()-1)),"Not Requested",INDEX(SampleList[Experiment ID],ROW()-1))</f>
        <v>Not Requested</v>
      </c>
      <c r="C540">
        <f>SampleList[[#This Row],[Duration (Days)]]</f>
        <v>0</v>
      </c>
      <c r="D540">
        <f>SampleList[[#This Row],[Sample Description]]</f>
        <v>0</v>
      </c>
      <c r="N540">
        <f>SUM(NMRPrep[[#This Row],[d-DMSO (uL) ]:[ NH4Cl (uL)]])</f>
        <v>0</v>
      </c>
      <c r="O540">
        <f>647</f>
        <v>647</v>
      </c>
      <c r="P540">
        <f>NMRPrep[[#This Row],[Total (uL) ]]-NMRPrep[[#This Row],[Target (uL)]]</f>
        <v>-647</v>
      </c>
      <c r="R540" t="e">
        <f>(NMRPrep[[#This Row],[NH4Cl Stock Concentration (mM)]]*NMRPrep[[#This Row],[ NH4Cl (uL)]])/SUM(NMRPrep[[#This Row],[DI (uL) ]:[ NH4Cl (uL)]])</f>
        <v>#DIV/0!</v>
      </c>
    </row>
    <row r="541" spans="1:18" x14ac:dyDescent="0.25">
      <c r="A541" s="1">
        <f>SampleList[[#This Row],[Date Sampled]]</f>
        <v>0</v>
      </c>
      <c r="B541" t="str" cm="1">
        <f t="array" ref="B541">IF(ISBLANK(INDEX(SampleList[NMR],ROW()-1)),"Not Requested",INDEX(SampleList[Experiment ID],ROW()-1))</f>
        <v>Not Requested</v>
      </c>
      <c r="C541">
        <f>SampleList[[#This Row],[Duration (Days)]]</f>
        <v>0</v>
      </c>
      <c r="D541">
        <f>SampleList[[#This Row],[Sample Description]]</f>
        <v>0</v>
      </c>
      <c r="N541">
        <f>SUM(NMRPrep[[#This Row],[d-DMSO (uL) ]:[ NH4Cl (uL)]])</f>
        <v>0</v>
      </c>
      <c r="O541">
        <f>647</f>
        <v>647</v>
      </c>
      <c r="P541">
        <f>NMRPrep[[#This Row],[Total (uL) ]]-NMRPrep[[#This Row],[Target (uL)]]</f>
        <v>-647</v>
      </c>
      <c r="R541" t="e">
        <f>(NMRPrep[[#This Row],[NH4Cl Stock Concentration (mM)]]*NMRPrep[[#This Row],[ NH4Cl (uL)]])/SUM(NMRPrep[[#This Row],[DI (uL) ]:[ NH4Cl (uL)]])</f>
        <v>#DIV/0!</v>
      </c>
    </row>
    <row r="542" spans="1:18" x14ac:dyDescent="0.25">
      <c r="A542" s="1">
        <f>SampleList[[#This Row],[Date Sampled]]</f>
        <v>0</v>
      </c>
      <c r="B542" t="str" cm="1">
        <f t="array" ref="B542">IF(ISBLANK(INDEX(SampleList[NMR],ROW()-1)),"Not Requested",INDEX(SampleList[Experiment ID],ROW()-1))</f>
        <v>Not Requested</v>
      </c>
      <c r="C542">
        <f>SampleList[[#This Row],[Duration (Days)]]</f>
        <v>0</v>
      </c>
      <c r="D542">
        <f>SampleList[[#This Row],[Sample Description]]</f>
        <v>0</v>
      </c>
      <c r="N542">
        <f>SUM(NMRPrep[[#This Row],[d-DMSO (uL) ]:[ NH4Cl (uL)]])</f>
        <v>0</v>
      </c>
      <c r="O542">
        <f>647</f>
        <v>647</v>
      </c>
      <c r="P542">
        <f>NMRPrep[[#This Row],[Total (uL) ]]-NMRPrep[[#This Row],[Target (uL)]]</f>
        <v>-647</v>
      </c>
      <c r="R542" t="e">
        <f>(NMRPrep[[#This Row],[NH4Cl Stock Concentration (mM)]]*NMRPrep[[#This Row],[ NH4Cl (uL)]])/SUM(NMRPrep[[#This Row],[DI (uL) ]:[ NH4Cl (uL)]])</f>
        <v>#DIV/0!</v>
      </c>
    </row>
    <row r="543" spans="1:18" x14ac:dyDescent="0.25">
      <c r="A543" s="1">
        <f>SampleList[[#This Row],[Date Sampled]]</f>
        <v>0</v>
      </c>
      <c r="B543" t="str" cm="1">
        <f t="array" ref="B543">IF(ISBLANK(INDEX(SampleList[NMR],ROW()-1)),"Not Requested",INDEX(SampleList[Experiment ID],ROW()-1))</f>
        <v>Not Requested</v>
      </c>
      <c r="C543">
        <f>SampleList[[#This Row],[Duration (Days)]]</f>
        <v>0</v>
      </c>
      <c r="D543">
        <f>SampleList[[#This Row],[Sample Description]]</f>
        <v>0</v>
      </c>
      <c r="N543">
        <f>SUM(NMRPrep[[#This Row],[d-DMSO (uL) ]:[ NH4Cl (uL)]])</f>
        <v>0</v>
      </c>
      <c r="O543">
        <f>647</f>
        <v>647</v>
      </c>
      <c r="P543">
        <f>NMRPrep[[#This Row],[Total (uL) ]]-NMRPrep[[#This Row],[Target (uL)]]</f>
        <v>-647</v>
      </c>
      <c r="R543" t="e">
        <f>(NMRPrep[[#This Row],[NH4Cl Stock Concentration (mM)]]*NMRPrep[[#This Row],[ NH4Cl (uL)]])/SUM(NMRPrep[[#This Row],[DI (uL) ]:[ NH4Cl (uL)]])</f>
        <v>#DIV/0!</v>
      </c>
    </row>
    <row r="544" spans="1:18" x14ac:dyDescent="0.25">
      <c r="A544" s="1">
        <f>SampleList[[#This Row],[Date Sampled]]</f>
        <v>0</v>
      </c>
      <c r="B544" t="str" cm="1">
        <f t="array" ref="B544">IF(ISBLANK(INDEX(SampleList[NMR],ROW()-1)),"Not Requested",INDEX(SampleList[Experiment ID],ROW()-1))</f>
        <v>Not Requested</v>
      </c>
      <c r="C544">
        <f>SampleList[[#This Row],[Duration (Days)]]</f>
        <v>0</v>
      </c>
      <c r="D544">
        <f>SampleList[[#This Row],[Sample Description]]</f>
        <v>0</v>
      </c>
      <c r="N544">
        <f>SUM(NMRPrep[[#This Row],[d-DMSO (uL) ]:[ NH4Cl (uL)]])</f>
        <v>0</v>
      </c>
      <c r="O544">
        <f>647</f>
        <v>647</v>
      </c>
      <c r="P544">
        <f>NMRPrep[[#This Row],[Total (uL) ]]-NMRPrep[[#This Row],[Target (uL)]]</f>
        <v>-647</v>
      </c>
      <c r="R544" t="e">
        <f>(NMRPrep[[#This Row],[NH4Cl Stock Concentration (mM)]]*NMRPrep[[#This Row],[ NH4Cl (uL)]])/SUM(NMRPrep[[#This Row],[DI (uL) ]:[ NH4Cl (uL)]])</f>
        <v>#DIV/0!</v>
      </c>
    </row>
    <row r="545" spans="1:18" x14ac:dyDescent="0.25">
      <c r="A545" s="1">
        <f>SampleList[[#This Row],[Date Sampled]]</f>
        <v>0</v>
      </c>
      <c r="B545" t="str" cm="1">
        <f t="array" ref="B545">IF(ISBLANK(INDEX(SampleList[NMR],ROW()-1)),"Not Requested",INDEX(SampleList[Experiment ID],ROW()-1))</f>
        <v>Not Requested</v>
      </c>
      <c r="C545">
        <f>SampleList[[#This Row],[Duration (Days)]]</f>
        <v>0</v>
      </c>
      <c r="D545">
        <f>SampleList[[#This Row],[Sample Description]]</f>
        <v>0</v>
      </c>
      <c r="N545">
        <f>SUM(NMRPrep[[#This Row],[d-DMSO (uL) ]:[ NH4Cl (uL)]])</f>
        <v>0</v>
      </c>
      <c r="O545">
        <f>647</f>
        <v>647</v>
      </c>
      <c r="P545">
        <f>NMRPrep[[#This Row],[Total (uL) ]]-NMRPrep[[#This Row],[Target (uL)]]</f>
        <v>-647</v>
      </c>
      <c r="R545" t="e">
        <f>(NMRPrep[[#This Row],[NH4Cl Stock Concentration (mM)]]*NMRPrep[[#This Row],[ NH4Cl (uL)]])/SUM(NMRPrep[[#This Row],[DI (uL) ]:[ NH4Cl (uL)]])</f>
        <v>#DIV/0!</v>
      </c>
    </row>
    <row r="546" spans="1:18" x14ac:dyDescent="0.25">
      <c r="A546" s="1">
        <f>SampleList[[#This Row],[Date Sampled]]</f>
        <v>0</v>
      </c>
      <c r="B546" t="str" cm="1">
        <f t="array" ref="B546">IF(ISBLANK(INDEX(SampleList[NMR],ROW()-1)),"Not Requested",INDEX(SampleList[Experiment ID],ROW()-1))</f>
        <v>Not Requested</v>
      </c>
      <c r="C546">
        <f>SampleList[[#This Row],[Duration (Days)]]</f>
        <v>0</v>
      </c>
      <c r="D546">
        <f>SampleList[[#This Row],[Sample Description]]</f>
        <v>0</v>
      </c>
      <c r="N546">
        <f>SUM(NMRPrep[[#This Row],[d-DMSO (uL) ]:[ NH4Cl (uL)]])</f>
        <v>0</v>
      </c>
      <c r="O546">
        <f>647</f>
        <v>647</v>
      </c>
      <c r="P546">
        <f>NMRPrep[[#This Row],[Total (uL) ]]-NMRPrep[[#This Row],[Target (uL)]]</f>
        <v>-647</v>
      </c>
      <c r="R546" t="e">
        <f>(NMRPrep[[#This Row],[NH4Cl Stock Concentration (mM)]]*NMRPrep[[#This Row],[ NH4Cl (uL)]])/SUM(NMRPrep[[#This Row],[DI (uL) ]:[ NH4Cl (uL)]])</f>
        <v>#DIV/0!</v>
      </c>
    </row>
    <row r="547" spans="1:18" x14ac:dyDescent="0.25">
      <c r="A547" s="1">
        <f>SampleList[[#This Row],[Date Sampled]]</f>
        <v>0</v>
      </c>
      <c r="B547" t="str" cm="1">
        <f t="array" ref="B547">IF(ISBLANK(INDEX(SampleList[NMR],ROW()-1)),"Not Requested",INDEX(SampleList[Experiment ID],ROW()-1))</f>
        <v>Not Requested</v>
      </c>
      <c r="C547">
        <f>SampleList[[#This Row],[Duration (Days)]]</f>
        <v>0</v>
      </c>
      <c r="D547">
        <f>SampleList[[#This Row],[Sample Description]]</f>
        <v>0</v>
      </c>
      <c r="N547">
        <f>SUM(NMRPrep[[#This Row],[d-DMSO (uL) ]:[ NH4Cl (uL)]])</f>
        <v>0</v>
      </c>
      <c r="O547">
        <f>647</f>
        <v>647</v>
      </c>
      <c r="P547">
        <f>NMRPrep[[#This Row],[Total (uL) ]]-NMRPrep[[#This Row],[Target (uL)]]</f>
        <v>-647</v>
      </c>
      <c r="R547" t="e">
        <f>(NMRPrep[[#This Row],[NH4Cl Stock Concentration (mM)]]*NMRPrep[[#This Row],[ NH4Cl (uL)]])/SUM(NMRPrep[[#This Row],[DI (uL) ]:[ NH4Cl (uL)]])</f>
        <v>#DIV/0!</v>
      </c>
    </row>
    <row r="548" spans="1:18" x14ac:dyDescent="0.25">
      <c r="A548" s="1">
        <f>SampleList[[#This Row],[Date Sampled]]</f>
        <v>0</v>
      </c>
      <c r="B548" t="str" cm="1">
        <f t="array" ref="B548">IF(ISBLANK(INDEX(SampleList[NMR],ROW()-1)),"Not Requested",INDEX(SampleList[Experiment ID],ROW()-1))</f>
        <v>Not Requested</v>
      </c>
      <c r="C548">
        <f>SampleList[[#This Row],[Duration (Days)]]</f>
        <v>0</v>
      </c>
      <c r="D548">
        <f>SampleList[[#This Row],[Sample Description]]</f>
        <v>0</v>
      </c>
      <c r="N548">
        <f>SUM(NMRPrep[[#This Row],[d-DMSO (uL) ]:[ NH4Cl (uL)]])</f>
        <v>0</v>
      </c>
      <c r="O548">
        <f>647</f>
        <v>647</v>
      </c>
      <c r="P548">
        <f>NMRPrep[[#This Row],[Total (uL) ]]-NMRPrep[[#This Row],[Target (uL)]]</f>
        <v>-647</v>
      </c>
      <c r="R548" t="e">
        <f>(NMRPrep[[#This Row],[NH4Cl Stock Concentration (mM)]]*NMRPrep[[#This Row],[ NH4Cl (uL)]])/SUM(NMRPrep[[#This Row],[DI (uL) ]:[ NH4Cl (uL)]])</f>
        <v>#DIV/0!</v>
      </c>
    </row>
    <row r="549" spans="1:18" x14ac:dyDescent="0.25">
      <c r="A549" s="1">
        <f>SampleList[[#This Row],[Date Sampled]]</f>
        <v>0</v>
      </c>
      <c r="B549" t="str" cm="1">
        <f t="array" ref="B549">IF(ISBLANK(INDEX(SampleList[NMR],ROW()-1)),"Not Requested",INDEX(SampleList[Experiment ID],ROW()-1))</f>
        <v>Not Requested</v>
      </c>
      <c r="C549">
        <f>SampleList[[#This Row],[Duration (Days)]]</f>
        <v>0</v>
      </c>
      <c r="D549">
        <f>SampleList[[#This Row],[Sample Description]]</f>
        <v>0</v>
      </c>
      <c r="N549">
        <f>SUM(NMRPrep[[#This Row],[d-DMSO (uL) ]:[ NH4Cl (uL)]])</f>
        <v>0</v>
      </c>
      <c r="O549">
        <f>647</f>
        <v>647</v>
      </c>
      <c r="P549">
        <f>NMRPrep[[#This Row],[Total (uL) ]]-NMRPrep[[#This Row],[Target (uL)]]</f>
        <v>-647</v>
      </c>
      <c r="R549" t="e">
        <f>(NMRPrep[[#This Row],[NH4Cl Stock Concentration (mM)]]*NMRPrep[[#This Row],[ NH4Cl (uL)]])/SUM(NMRPrep[[#This Row],[DI (uL) ]:[ NH4Cl (uL)]])</f>
        <v>#DIV/0!</v>
      </c>
    </row>
    <row r="550" spans="1:18" x14ac:dyDescent="0.25">
      <c r="A550" s="1">
        <f>SampleList[[#This Row],[Date Sampled]]</f>
        <v>0</v>
      </c>
      <c r="B550" t="str" cm="1">
        <f t="array" ref="B550">IF(ISBLANK(INDEX(SampleList[NMR],ROW()-1)),"Not Requested",INDEX(SampleList[Experiment ID],ROW()-1))</f>
        <v>Not Requested</v>
      </c>
      <c r="C550">
        <f>SampleList[[#This Row],[Duration (Days)]]</f>
        <v>0</v>
      </c>
      <c r="D550">
        <f>SampleList[[#This Row],[Sample Description]]</f>
        <v>0</v>
      </c>
      <c r="N550">
        <f>SUM(NMRPrep[[#This Row],[d-DMSO (uL) ]:[ NH4Cl (uL)]])</f>
        <v>0</v>
      </c>
      <c r="O550">
        <f>647</f>
        <v>647</v>
      </c>
      <c r="P550">
        <f>NMRPrep[[#This Row],[Total (uL) ]]-NMRPrep[[#This Row],[Target (uL)]]</f>
        <v>-647</v>
      </c>
      <c r="R550" t="e">
        <f>(NMRPrep[[#This Row],[NH4Cl Stock Concentration (mM)]]*NMRPrep[[#This Row],[ NH4Cl (uL)]])/SUM(NMRPrep[[#This Row],[DI (uL) ]:[ NH4Cl (uL)]])</f>
        <v>#DIV/0!</v>
      </c>
    </row>
    <row r="551" spans="1:18" x14ac:dyDescent="0.25">
      <c r="A551" s="1">
        <f>SampleList[[#This Row],[Date Sampled]]</f>
        <v>0</v>
      </c>
      <c r="B551" t="str" cm="1">
        <f t="array" ref="B551">IF(ISBLANK(INDEX(SampleList[NMR],ROW()-1)),"Not Requested",INDEX(SampleList[Experiment ID],ROW()-1))</f>
        <v>Not Requested</v>
      </c>
      <c r="C551">
        <f>SampleList[[#This Row],[Duration (Days)]]</f>
        <v>0</v>
      </c>
      <c r="D551">
        <f>SampleList[[#This Row],[Sample Description]]</f>
        <v>0</v>
      </c>
      <c r="N551">
        <f>SUM(NMRPrep[[#This Row],[d-DMSO (uL) ]:[ NH4Cl (uL)]])</f>
        <v>0</v>
      </c>
      <c r="O551">
        <f>647</f>
        <v>647</v>
      </c>
      <c r="P551">
        <f>NMRPrep[[#This Row],[Total (uL) ]]-NMRPrep[[#This Row],[Target (uL)]]</f>
        <v>-647</v>
      </c>
      <c r="R551" t="e">
        <f>(NMRPrep[[#This Row],[NH4Cl Stock Concentration (mM)]]*NMRPrep[[#This Row],[ NH4Cl (uL)]])/SUM(NMRPrep[[#This Row],[DI (uL) ]:[ NH4Cl (uL)]])</f>
        <v>#DIV/0!</v>
      </c>
    </row>
    <row r="552" spans="1:18" x14ac:dyDescent="0.25">
      <c r="A552" s="1">
        <f>SampleList[[#This Row],[Date Sampled]]</f>
        <v>0</v>
      </c>
      <c r="B552" t="str" cm="1">
        <f t="array" ref="B552">IF(ISBLANK(INDEX(SampleList[NMR],ROW()-1)),"Not Requested",INDEX(SampleList[Experiment ID],ROW()-1))</f>
        <v>Not Requested</v>
      </c>
      <c r="C552">
        <f>SampleList[[#This Row],[Duration (Days)]]</f>
        <v>0</v>
      </c>
      <c r="D552">
        <f>SampleList[[#This Row],[Sample Description]]</f>
        <v>0</v>
      </c>
      <c r="N552">
        <f>SUM(NMRPrep[[#This Row],[d-DMSO (uL) ]:[ NH4Cl (uL)]])</f>
        <v>0</v>
      </c>
      <c r="O552">
        <f>647</f>
        <v>647</v>
      </c>
      <c r="P552">
        <f>NMRPrep[[#This Row],[Total (uL) ]]-NMRPrep[[#This Row],[Target (uL)]]</f>
        <v>-647</v>
      </c>
      <c r="R552" t="e">
        <f>(NMRPrep[[#This Row],[NH4Cl Stock Concentration (mM)]]*NMRPrep[[#This Row],[ NH4Cl (uL)]])/SUM(NMRPrep[[#This Row],[DI (uL) ]:[ NH4Cl (uL)]])</f>
        <v>#DIV/0!</v>
      </c>
    </row>
    <row r="553" spans="1:18" x14ac:dyDescent="0.25">
      <c r="A553" s="1">
        <f>SampleList[[#This Row],[Date Sampled]]</f>
        <v>0</v>
      </c>
      <c r="B553" t="str" cm="1">
        <f t="array" ref="B553">IF(ISBLANK(INDEX(SampleList[NMR],ROW()-1)),"Not Requested",INDEX(SampleList[Experiment ID],ROW()-1))</f>
        <v>Not Requested</v>
      </c>
      <c r="C553">
        <f>SampleList[[#This Row],[Duration (Days)]]</f>
        <v>0</v>
      </c>
      <c r="D553">
        <f>SampleList[[#This Row],[Sample Description]]</f>
        <v>0</v>
      </c>
      <c r="N553">
        <f>SUM(NMRPrep[[#This Row],[d-DMSO (uL) ]:[ NH4Cl (uL)]])</f>
        <v>0</v>
      </c>
      <c r="O553">
        <f>647</f>
        <v>647</v>
      </c>
      <c r="P553">
        <f>NMRPrep[[#This Row],[Total (uL) ]]-NMRPrep[[#This Row],[Target (uL)]]</f>
        <v>-647</v>
      </c>
      <c r="R553" t="e">
        <f>(NMRPrep[[#This Row],[NH4Cl Stock Concentration (mM)]]*NMRPrep[[#This Row],[ NH4Cl (uL)]])/SUM(NMRPrep[[#This Row],[DI (uL) ]:[ NH4Cl (uL)]])</f>
        <v>#DIV/0!</v>
      </c>
    </row>
    <row r="554" spans="1:18" x14ac:dyDescent="0.25">
      <c r="A554" s="1">
        <f>SampleList[[#This Row],[Date Sampled]]</f>
        <v>0</v>
      </c>
      <c r="B554" t="str" cm="1">
        <f t="array" ref="B554">IF(ISBLANK(INDEX(SampleList[NMR],ROW()-1)),"Not Requested",INDEX(SampleList[Experiment ID],ROW()-1))</f>
        <v>Not Requested</v>
      </c>
      <c r="C554">
        <f>SampleList[[#This Row],[Duration (Days)]]</f>
        <v>0</v>
      </c>
      <c r="D554">
        <f>SampleList[[#This Row],[Sample Description]]</f>
        <v>0</v>
      </c>
      <c r="N554">
        <f>SUM(NMRPrep[[#This Row],[d-DMSO (uL) ]:[ NH4Cl (uL)]])</f>
        <v>0</v>
      </c>
      <c r="O554">
        <f>647</f>
        <v>647</v>
      </c>
      <c r="P554">
        <f>NMRPrep[[#This Row],[Total (uL) ]]-NMRPrep[[#This Row],[Target (uL)]]</f>
        <v>-647</v>
      </c>
      <c r="R554" t="e">
        <f>(NMRPrep[[#This Row],[NH4Cl Stock Concentration (mM)]]*NMRPrep[[#This Row],[ NH4Cl (uL)]])/SUM(NMRPrep[[#This Row],[DI (uL) ]:[ NH4Cl (uL)]])</f>
        <v>#DIV/0!</v>
      </c>
    </row>
    <row r="555" spans="1:18" x14ac:dyDescent="0.25">
      <c r="A555" s="1">
        <f>SampleList[[#This Row],[Date Sampled]]</f>
        <v>0</v>
      </c>
      <c r="B555" t="str" cm="1">
        <f t="array" ref="B555">IF(ISBLANK(INDEX(SampleList[NMR],ROW()-1)),"Not Requested",INDEX(SampleList[Experiment ID],ROW()-1))</f>
        <v>Not Requested</v>
      </c>
      <c r="C555">
        <f>SampleList[[#This Row],[Duration (Days)]]</f>
        <v>0</v>
      </c>
      <c r="D555">
        <f>SampleList[[#This Row],[Sample Description]]</f>
        <v>0</v>
      </c>
      <c r="N555">
        <f>SUM(NMRPrep[[#This Row],[d-DMSO (uL) ]:[ NH4Cl (uL)]])</f>
        <v>0</v>
      </c>
      <c r="O555">
        <f>647</f>
        <v>647</v>
      </c>
      <c r="P555">
        <f>NMRPrep[[#This Row],[Total (uL) ]]-NMRPrep[[#This Row],[Target (uL)]]</f>
        <v>-647</v>
      </c>
      <c r="R555" t="e">
        <f>(NMRPrep[[#This Row],[NH4Cl Stock Concentration (mM)]]*NMRPrep[[#This Row],[ NH4Cl (uL)]])/SUM(NMRPrep[[#This Row],[DI (uL) ]:[ NH4Cl (uL)]])</f>
        <v>#DIV/0!</v>
      </c>
    </row>
    <row r="556" spans="1:18" x14ac:dyDescent="0.25">
      <c r="A556" s="1">
        <f>SampleList[[#This Row],[Date Sampled]]</f>
        <v>0</v>
      </c>
      <c r="B556" t="str" cm="1">
        <f t="array" ref="B556">IF(ISBLANK(INDEX(SampleList[NMR],ROW()-1)),"Not Requested",INDEX(SampleList[Experiment ID],ROW()-1))</f>
        <v>Not Requested</v>
      </c>
      <c r="C556">
        <f>SampleList[[#This Row],[Duration (Days)]]</f>
        <v>0</v>
      </c>
      <c r="D556">
        <f>SampleList[[#This Row],[Sample Description]]</f>
        <v>0</v>
      </c>
      <c r="N556">
        <f>SUM(NMRPrep[[#This Row],[d-DMSO (uL) ]:[ NH4Cl (uL)]])</f>
        <v>0</v>
      </c>
      <c r="O556">
        <f>647</f>
        <v>647</v>
      </c>
      <c r="P556">
        <f>NMRPrep[[#This Row],[Total (uL) ]]-NMRPrep[[#This Row],[Target (uL)]]</f>
        <v>-647</v>
      </c>
      <c r="R556" t="e">
        <f>(NMRPrep[[#This Row],[NH4Cl Stock Concentration (mM)]]*NMRPrep[[#This Row],[ NH4Cl (uL)]])/SUM(NMRPrep[[#This Row],[DI (uL) ]:[ NH4Cl (uL)]])</f>
        <v>#DIV/0!</v>
      </c>
    </row>
    <row r="557" spans="1:18" x14ac:dyDescent="0.25">
      <c r="A557" s="1">
        <f>SampleList[[#This Row],[Date Sampled]]</f>
        <v>0</v>
      </c>
      <c r="B557" t="str" cm="1">
        <f t="array" ref="B557">IF(ISBLANK(INDEX(SampleList[NMR],ROW()-1)),"Not Requested",INDEX(SampleList[Experiment ID],ROW()-1))</f>
        <v>Not Requested</v>
      </c>
      <c r="C557">
        <f>SampleList[[#This Row],[Duration (Days)]]</f>
        <v>0</v>
      </c>
      <c r="D557">
        <f>SampleList[[#This Row],[Sample Description]]</f>
        <v>0</v>
      </c>
      <c r="N557">
        <f>SUM(NMRPrep[[#This Row],[d-DMSO (uL) ]:[ NH4Cl (uL)]])</f>
        <v>0</v>
      </c>
      <c r="O557">
        <f>647</f>
        <v>647</v>
      </c>
      <c r="P557">
        <f>NMRPrep[[#This Row],[Total (uL) ]]-NMRPrep[[#This Row],[Target (uL)]]</f>
        <v>-647</v>
      </c>
      <c r="R557" t="e">
        <f>(NMRPrep[[#This Row],[NH4Cl Stock Concentration (mM)]]*NMRPrep[[#This Row],[ NH4Cl (uL)]])/SUM(NMRPrep[[#This Row],[DI (uL) ]:[ NH4Cl (uL)]])</f>
        <v>#DIV/0!</v>
      </c>
    </row>
    <row r="558" spans="1:18" x14ac:dyDescent="0.25">
      <c r="A558" s="1">
        <f>SampleList[[#This Row],[Date Sampled]]</f>
        <v>0</v>
      </c>
      <c r="B558" t="str" cm="1">
        <f t="array" ref="B558">IF(ISBLANK(INDEX(SampleList[NMR],ROW()-1)),"Not Requested",INDEX(SampleList[Experiment ID],ROW()-1))</f>
        <v>Not Requested</v>
      </c>
      <c r="C558">
        <f>SampleList[[#This Row],[Duration (Days)]]</f>
        <v>0</v>
      </c>
      <c r="D558">
        <f>SampleList[[#This Row],[Sample Description]]</f>
        <v>0</v>
      </c>
      <c r="N558">
        <f>SUM(NMRPrep[[#This Row],[d-DMSO (uL) ]:[ NH4Cl (uL)]])</f>
        <v>0</v>
      </c>
      <c r="O558">
        <f>647</f>
        <v>647</v>
      </c>
      <c r="P558">
        <f>NMRPrep[[#This Row],[Total (uL) ]]-NMRPrep[[#This Row],[Target (uL)]]</f>
        <v>-647</v>
      </c>
      <c r="R558" t="e">
        <f>(NMRPrep[[#This Row],[NH4Cl Stock Concentration (mM)]]*NMRPrep[[#This Row],[ NH4Cl (uL)]])/SUM(NMRPrep[[#This Row],[DI (uL) ]:[ NH4Cl (uL)]])</f>
        <v>#DIV/0!</v>
      </c>
    </row>
    <row r="559" spans="1:18" x14ac:dyDescent="0.25">
      <c r="A559" s="1">
        <f>SampleList[[#This Row],[Date Sampled]]</f>
        <v>0</v>
      </c>
      <c r="B559" t="str" cm="1">
        <f t="array" ref="B559">IF(ISBLANK(INDEX(SampleList[NMR],ROW()-1)),"Not Requested",INDEX(SampleList[Experiment ID],ROW()-1))</f>
        <v>Not Requested</v>
      </c>
      <c r="C559">
        <f>SampleList[[#This Row],[Duration (Days)]]</f>
        <v>0</v>
      </c>
      <c r="D559">
        <f>SampleList[[#This Row],[Sample Description]]</f>
        <v>0</v>
      </c>
      <c r="N559">
        <f>SUM(NMRPrep[[#This Row],[d-DMSO (uL) ]:[ NH4Cl (uL)]])</f>
        <v>0</v>
      </c>
      <c r="O559">
        <f>647</f>
        <v>647</v>
      </c>
      <c r="P559">
        <f>NMRPrep[[#This Row],[Total (uL) ]]-NMRPrep[[#This Row],[Target (uL)]]</f>
        <v>-647</v>
      </c>
      <c r="R559" t="e">
        <f>(NMRPrep[[#This Row],[NH4Cl Stock Concentration (mM)]]*NMRPrep[[#This Row],[ NH4Cl (uL)]])/SUM(NMRPrep[[#This Row],[DI (uL) ]:[ NH4Cl (uL)]])</f>
        <v>#DIV/0!</v>
      </c>
    </row>
    <row r="560" spans="1:18" x14ac:dyDescent="0.25">
      <c r="A560" s="1">
        <f>SampleList[[#This Row],[Date Sampled]]</f>
        <v>0</v>
      </c>
      <c r="B560" t="str" cm="1">
        <f t="array" ref="B560">IF(ISBLANK(INDEX(SampleList[NMR],ROW()-1)),"Not Requested",INDEX(SampleList[Experiment ID],ROW()-1))</f>
        <v>Not Requested</v>
      </c>
      <c r="C560">
        <f>SampleList[[#This Row],[Duration (Days)]]</f>
        <v>0</v>
      </c>
      <c r="D560">
        <f>SampleList[[#This Row],[Sample Description]]</f>
        <v>0</v>
      </c>
      <c r="N560">
        <f>SUM(NMRPrep[[#This Row],[d-DMSO (uL) ]:[ NH4Cl (uL)]])</f>
        <v>0</v>
      </c>
      <c r="O560">
        <f>647</f>
        <v>647</v>
      </c>
      <c r="P560">
        <f>NMRPrep[[#This Row],[Total (uL) ]]-NMRPrep[[#This Row],[Target (uL)]]</f>
        <v>-647</v>
      </c>
      <c r="R560" t="e">
        <f>(NMRPrep[[#This Row],[NH4Cl Stock Concentration (mM)]]*NMRPrep[[#This Row],[ NH4Cl (uL)]])/SUM(NMRPrep[[#This Row],[DI (uL) ]:[ NH4Cl (uL)]])</f>
        <v>#DIV/0!</v>
      </c>
    </row>
    <row r="561" spans="1:18" x14ac:dyDescent="0.25">
      <c r="A561" s="1">
        <f>SampleList[[#This Row],[Date Sampled]]</f>
        <v>0</v>
      </c>
      <c r="B561" t="str" cm="1">
        <f t="array" ref="B561">IF(ISBLANK(INDEX(SampleList[NMR],ROW()-1)),"Not Requested",INDEX(SampleList[Experiment ID],ROW()-1))</f>
        <v>Not Requested</v>
      </c>
      <c r="C561">
        <f>SampleList[[#This Row],[Duration (Days)]]</f>
        <v>0</v>
      </c>
      <c r="D561">
        <f>SampleList[[#This Row],[Sample Description]]</f>
        <v>0</v>
      </c>
      <c r="N561">
        <f>SUM(NMRPrep[[#This Row],[d-DMSO (uL) ]:[ NH4Cl (uL)]])</f>
        <v>0</v>
      </c>
      <c r="O561">
        <f>647</f>
        <v>647</v>
      </c>
      <c r="P561">
        <f>NMRPrep[[#This Row],[Total (uL) ]]-NMRPrep[[#This Row],[Target (uL)]]</f>
        <v>-647</v>
      </c>
      <c r="R561" t="e">
        <f>(NMRPrep[[#This Row],[NH4Cl Stock Concentration (mM)]]*NMRPrep[[#This Row],[ NH4Cl (uL)]])/SUM(NMRPrep[[#This Row],[DI (uL) ]:[ NH4Cl (uL)]])</f>
        <v>#DIV/0!</v>
      </c>
    </row>
    <row r="562" spans="1:18" x14ac:dyDescent="0.25">
      <c r="A562" s="1">
        <f>SampleList[[#This Row],[Date Sampled]]</f>
        <v>0</v>
      </c>
      <c r="B562" t="str" cm="1">
        <f t="array" ref="B562">IF(ISBLANK(INDEX(SampleList[NMR],ROW()-1)),"Not Requested",INDEX(SampleList[Experiment ID],ROW()-1))</f>
        <v>Not Requested</v>
      </c>
      <c r="C562">
        <f>SampleList[[#This Row],[Duration (Days)]]</f>
        <v>0</v>
      </c>
      <c r="D562">
        <f>SampleList[[#This Row],[Sample Description]]</f>
        <v>0</v>
      </c>
      <c r="N562">
        <f>SUM(NMRPrep[[#This Row],[d-DMSO (uL) ]:[ NH4Cl (uL)]])</f>
        <v>0</v>
      </c>
      <c r="O562">
        <f>647</f>
        <v>647</v>
      </c>
      <c r="P562">
        <f>NMRPrep[[#This Row],[Total (uL) ]]-NMRPrep[[#This Row],[Target (uL)]]</f>
        <v>-647</v>
      </c>
      <c r="R562" t="e">
        <f>(NMRPrep[[#This Row],[NH4Cl Stock Concentration (mM)]]*NMRPrep[[#This Row],[ NH4Cl (uL)]])/SUM(NMRPrep[[#This Row],[DI (uL) ]:[ NH4Cl (uL)]])</f>
        <v>#DIV/0!</v>
      </c>
    </row>
    <row r="563" spans="1:18" x14ac:dyDescent="0.25">
      <c r="A563" s="1">
        <f>SampleList[[#This Row],[Date Sampled]]</f>
        <v>0</v>
      </c>
      <c r="B563" t="str" cm="1">
        <f t="array" ref="B563">IF(ISBLANK(INDEX(SampleList[NMR],ROW()-1)),"Not Requested",INDEX(SampleList[Experiment ID],ROW()-1))</f>
        <v>Not Requested</v>
      </c>
      <c r="C563">
        <f>SampleList[[#This Row],[Duration (Days)]]</f>
        <v>0</v>
      </c>
      <c r="D563">
        <f>SampleList[[#This Row],[Sample Description]]</f>
        <v>0</v>
      </c>
      <c r="N563">
        <f>SUM(NMRPrep[[#This Row],[d-DMSO (uL) ]:[ NH4Cl (uL)]])</f>
        <v>0</v>
      </c>
      <c r="O563">
        <f>647</f>
        <v>647</v>
      </c>
      <c r="P563">
        <f>NMRPrep[[#This Row],[Total (uL) ]]-NMRPrep[[#This Row],[Target (uL)]]</f>
        <v>-647</v>
      </c>
      <c r="R563" t="e">
        <f>(NMRPrep[[#This Row],[NH4Cl Stock Concentration (mM)]]*NMRPrep[[#This Row],[ NH4Cl (uL)]])/SUM(NMRPrep[[#This Row],[DI (uL) ]:[ NH4Cl (uL)]])</f>
        <v>#DIV/0!</v>
      </c>
    </row>
    <row r="564" spans="1:18" x14ac:dyDescent="0.25">
      <c r="A564" s="1">
        <f>SampleList[[#This Row],[Date Sampled]]</f>
        <v>0</v>
      </c>
      <c r="B564" t="str" cm="1">
        <f t="array" ref="B564">IF(ISBLANK(INDEX(SampleList[NMR],ROW()-1)),"Not Requested",INDEX(SampleList[Experiment ID],ROW()-1))</f>
        <v>Not Requested</v>
      </c>
      <c r="C564">
        <f>SampleList[[#This Row],[Duration (Days)]]</f>
        <v>0</v>
      </c>
      <c r="D564">
        <f>SampleList[[#This Row],[Sample Description]]</f>
        <v>0</v>
      </c>
      <c r="N564">
        <f>SUM(NMRPrep[[#This Row],[d-DMSO (uL) ]:[ NH4Cl (uL)]])</f>
        <v>0</v>
      </c>
      <c r="O564">
        <f>647</f>
        <v>647</v>
      </c>
      <c r="P564">
        <f>NMRPrep[[#This Row],[Total (uL) ]]-NMRPrep[[#This Row],[Target (uL)]]</f>
        <v>-647</v>
      </c>
      <c r="R564" t="e">
        <f>(NMRPrep[[#This Row],[NH4Cl Stock Concentration (mM)]]*NMRPrep[[#This Row],[ NH4Cl (uL)]])/SUM(NMRPrep[[#This Row],[DI (uL) ]:[ NH4Cl (uL)]])</f>
        <v>#DIV/0!</v>
      </c>
    </row>
    <row r="565" spans="1:18" x14ac:dyDescent="0.25">
      <c r="A565" s="1">
        <f>SampleList[[#This Row],[Date Sampled]]</f>
        <v>0</v>
      </c>
      <c r="B565" t="str" cm="1">
        <f t="array" ref="B565">IF(ISBLANK(INDEX(SampleList[NMR],ROW()-1)),"Not Requested",INDEX(SampleList[Experiment ID],ROW()-1))</f>
        <v>Not Requested</v>
      </c>
      <c r="C565">
        <f>SampleList[[#This Row],[Duration (Days)]]</f>
        <v>0</v>
      </c>
      <c r="D565">
        <f>SampleList[[#This Row],[Sample Description]]</f>
        <v>0</v>
      </c>
      <c r="N565">
        <f>SUM(NMRPrep[[#This Row],[d-DMSO (uL) ]:[ NH4Cl (uL)]])</f>
        <v>0</v>
      </c>
      <c r="O565">
        <f>647</f>
        <v>647</v>
      </c>
      <c r="P565">
        <f>NMRPrep[[#This Row],[Total (uL) ]]-NMRPrep[[#This Row],[Target (uL)]]</f>
        <v>-647</v>
      </c>
      <c r="R565" t="e">
        <f>(NMRPrep[[#This Row],[NH4Cl Stock Concentration (mM)]]*NMRPrep[[#This Row],[ NH4Cl (uL)]])/SUM(NMRPrep[[#This Row],[DI (uL) ]:[ NH4Cl (uL)]])</f>
        <v>#DIV/0!</v>
      </c>
    </row>
    <row r="566" spans="1:18" x14ac:dyDescent="0.25">
      <c r="A566" s="1">
        <f>SampleList[[#This Row],[Date Sampled]]</f>
        <v>0</v>
      </c>
      <c r="B566" t="str" cm="1">
        <f t="array" ref="B566">IF(ISBLANK(INDEX(SampleList[NMR],ROW()-1)),"Not Requested",INDEX(SampleList[Experiment ID],ROW()-1))</f>
        <v>Not Requested</v>
      </c>
      <c r="C566">
        <f>SampleList[[#This Row],[Duration (Days)]]</f>
        <v>0</v>
      </c>
      <c r="D566">
        <f>SampleList[[#This Row],[Sample Description]]</f>
        <v>0</v>
      </c>
      <c r="N566">
        <f>SUM(NMRPrep[[#This Row],[d-DMSO (uL) ]:[ NH4Cl (uL)]])</f>
        <v>0</v>
      </c>
      <c r="O566">
        <f>647</f>
        <v>647</v>
      </c>
      <c r="P566">
        <f>NMRPrep[[#This Row],[Total (uL) ]]-NMRPrep[[#This Row],[Target (uL)]]</f>
        <v>-647</v>
      </c>
      <c r="R566" t="e">
        <f>(NMRPrep[[#This Row],[NH4Cl Stock Concentration (mM)]]*NMRPrep[[#This Row],[ NH4Cl (uL)]])/SUM(NMRPrep[[#This Row],[DI (uL) ]:[ NH4Cl (uL)]])</f>
        <v>#DIV/0!</v>
      </c>
    </row>
    <row r="567" spans="1:18" x14ac:dyDescent="0.25">
      <c r="A567" s="1">
        <f>SampleList[[#This Row],[Date Sampled]]</f>
        <v>0</v>
      </c>
      <c r="B567" t="str" cm="1">
        <f t="array" ref="B567">IF(ISBLANK(INDEX(SampleList[NMR],ROW()-1)),"Not Requested",INDEX(SampleList[Experiment ID],ROW()-1))</f>
        <v>Not Requested</v>
      </c>
      <c r="C567">
        <f>SampleList[[#This Row],[Duration (Days)]]</f>
        <v>0</v>
      </c>
      <c r="D567">
        <f>SampleList[[#This Row],[Sample Description]]</f>
        <v>0</v>
      </c>
      <c r="N567">
        <f>SUM(NMRPrep[[#This Row],[d-DMSO (uL) ]:[ NH4Cl (uL)]])</f>
        <v>0</v>
      </c>
      <c r="O567">
        <f>647</f>
        <v>647</v>
      </c>
      <c r="P567">
        <f>NMRPrep[[#This Row],[Total (uL) ]]-NMRPrep[[#This Row],[Target (uL)]]</f>
        <v>-647</v>
      </c>
      <c r="R567" t="e">
        <f>(NMRPrep[[#This Row],[NH4Cl Stock Concentration (mM)]]*NMRPrep[[#This Row],[ NH4Cl (uL)]])/SUM(NMRPrep[[#This Row],[DI (uL) ]:[ NH4Cl (uL)]])</f>
        <v>#DIV/0!</v>
      </c>
    </row>
    <row r="568" spans="1:18" x14ac:dyDescent="0.25">
      <c r="A568" s="1">
        <f>SampleList[[#This Row],[Date Sampled]]</f>
        <v>0</v>
      </c>
      <c r="B568" t="str" cm="1">
        <f t="array" ref="B568">IF(ISBLANK(INDEX(SampleList[NMR],ROW()-1)),"Not Requested",INDEX(SampleList[Experiment ID],ROW()-1))</f>
        <v>Not Requested</v>
      </c>
      <c r="C568">
        <f>SampleList[[#This Row],[Duration (Days)]]</f>
        <v>0</v>
      </c>
      <c r="D568">
        <f>SampleList[[#This Row],[Sample Description]]</f>
        <v>0</v>
      </c>
      <c r="N568">
        <f>SUM(NMRPrep[[#This Row],[d-DMSO (uL) ]:[ NH4Cl (uL)]])</f>
        <v>0</v>
      </c>
      <c r="O568">
        <f>647</f>
        <v>647</v>
      </c>
      <c r="P568">
        <f>NMRPrep[[#This Row],[Total (uL) ]]-NMRPrep[[#This Row],[Target (uL)]]</f>
        <v>-647</v>
      </c>
      <c r="R568" t="e">
        <f>(NMRPrep[[#This Row],[NH4Cl Stock Concentration (mM)]]*NMRPrep[[#This Row],[ NH4Cl (uL)]])/SUM(NMRPrep[[#This Row],[DI (uL) ]:[ NH4Cl (uL)]])</f>
        <v>#DIV/0!</v>
      </c>
    </row>
    <row r="569" spans="1:18" x14ac:dyDescent="0.25">
      <c r="A569" s="1">
        <f>SampleList[[#This Row],[Date Sampled]]</f>
        <v>0</v>
      </c>
      <c r="B569" t="str" cm="1">
        <f t="array" ref="B569">IF(ISBLANK(INDEX(SampleList[NMR],ROW()-1)),"Not Requested",INDEX(SampleList[Experiment ID],ROW()-1))</f>
        <v>Not Requested</v>
      </c>
      <c r="C569">
        <f>SampleList[[#This Row],[Duration (Days)]]</f>
        <v>0</v>
      </c>
      <c r="D569">
        <f>SampleList[[#This Row],[Sample Description]]</f>
        <v>0</v>
      </c>
      <c r="N569">
        <f>SUM(NMRPrep[[#This Row],[d-DMSO (uL) ]:[ NH4Cl (uL)]])</f>
        <v>0</v>
      </c>
      <c r="O569">
        <f>647</f>
        <v>647</v>
      </c>
      <c r="P569">
        <f>NMRPrep[[#This Row],[Total (uL) ]]-NMRPrep[[#This Row],[Target (uL)]]</f>
        <v>-647</v>
      </c>
      <c r="R569" t="e">
        <f>(NMRPrep[[#This Row],[NH4Cl Stock Concentration (mM)]]*NMRPrep[[#This Row],[ NH4Cl (uL)]])/SUM(NMRPrep[[#This Row],[DI (uL) ]:[ NH4Cl (uL)]])</f>
        <v>#DIV/0!</v>
      </c>
    </row>
    <row r="570" spans="1:18" x14ac:dyDescent="0.25">
      <c r="A570" s="1">
        <f>SampleList[[#This Row],[Date Sampled]]</f>
        <v>0</v>
      </c>
      <c r="B570" t="str" cm="1">
        <f t="array" ref="B570">IF(ISBLANK(INDEX(SampleList[NMR],ROW()-1)),"Not Requested",INDEX(SampleList[Experiment ID],ROW()-1))</f>
        <v>Not Requested</v>
      </c>
      <c r="C570">
        <f>SampleList[[#This Row],[Duration (Days)]]</f>
        <v>0</v>
      </c>
      <c r="D570">
        <f>SampleList[[#This Row],[Sample Description]]</f>
        <v>0</v>
      </c>
      <c r="N570">
        <f>SUM(NMRPrep[[#This Row],[d-DMSO (uL) ]:[ NH4Cl (uL)]])</f>
        <v>0</v>
      </c>
      <c r="O570">
        <f>647</f>
        <v>647</v>
      </c>
      <c r="P570">
        <f>NMRPrep[[#This Row],[Total (uL) ]]-NMRPrep[[#This Row],[Target (uL)]]</f>
        <v>-647</v>
      </c>
      <c r="R570" t="e">
        <f>(NMRPrep[[#This Row],[NH4Cl Stock Concentration (mM)]]*NMRPrep[[#This Row],[ NH4Cl (uL)]])/SUM(NMRPrep[[#This Row],[DI (uL) ]:[ NH4Cl (uL)]])</f>
        <v>#DIV/0!</v>
      </c>
    </row>
    <row r="571" spans="1:18" x14ac:dyDescent="0.25">
      <c r="A571" s="1">
        <f>SampleList[[#This Row],[Date Sampled]]</f>
        <v>0</v>
      </c>
      <c r="B571" t="str" cm="1">
        <f t="array" ref="B571">IF(ISBLANK(INDEX(SampleList[NMR],ROW()-1)),"Not Requested",INDEX(SampleList[Experiment ID],ROW()-1))</f>
        <v>Not Requested</v>
      </c>
      <c r="C571">
        <f>SampleList[[#This Row],[Duration (Days)]]</f>
        <v>0</v>
      </c>
      <c r="D571">
        <f>SampleList[[#This Row],[Sample Description]]</f>
        <v>0</v>
      </c>
      <c r="N571">
        <f>SUM(NMRPrep[[#This Row],[d-DMSO (uL) ]:[ NH4Cl (uL)]])</f>
        <v>0</v>
      </c>
      <c r="O571">
        <f>647</f>
        <v>647</v>
      </c>
      <c r="P571">
        <f>NMRPrep[[#This Row],[Total (uL) ]]-NMRPrep[[#This Row],[Target (uL)]]</f>
        <v>-647</v>
      </c>
      <c r="R571" t="e">
        <f>(NMRPrep[[#This Row],[NH4Cl Stock Concentration (mM)]]*NMRPrep[[#This Row],[ NH4Cl (uL)]])/SUM(NMRPrep[[#This Row],[DI (uL) ]:[ NH4Cl (uL)]])</f>
        <v>#DIV/0!</v>
      </c>
    </row>
    <row r="572" spans="1:18" x14ac:dyDescent="0.25">
      <c r="A572" s="1">
        <f>SampleList[[#This Row],[Date Sampled]]</f>
        <v>0</v>
      </c>
      <c r="B572" t="str" cm="1">
        <f t="array" ref="B572">IF(ISBLANK(INDEX(SampleList[NMR],ROW()-1)),"Not Requested",INDEX(SampleList[Experiment ID],ROW()-1))</f>
        <v>Not Requested</v>
      </c>
      <c r="C572">
        <f>SampleList[[#This Row],[Duration (Days)]]</f>
        <v>0</v>
      </c>
      <c r="D572">
        <f>SampleList[[#This Row],[Sample Description]]</f>
        <v>0</v>
      </c>
      <c r="N572">
        <f>SUM(NMRPrep[[#This Row],[d-DMSO (uL) ]:[ NH4Cl (uL)]])</f>
        <v>0</v>
      </c>
      <c r="O572">
        <f>647</f>
        <v>647</v>
      </c>
      <c r="P572">
        <f>NMRPrep[[#This Row],[Total (uL) ]]-NMRPrep[[#This Row],[Target (uL)]]</f>
        <v>-647</v>
      </c>
      <c r="R572" t="e">
        <f>(NMRPrep[[#This Row],[NH4Cl Stock Concentration (mM)]]*NMRPrep[[#This Row],[ NH4Cl (uL)]])/SUM(NMRPrep[[#This Row],[DI (uL) ]:[ NH4Cl (uL)]])</f>
        <v>#DIV/0!</v>
      </c>
    </row>
    <row r="573" spans="1:18" x14ac:dyDescent="0.25">
      <c r="A573" s="1">
        <f>SampleList[[#This Row],[Date Sampled]]</f>
        <v>0</v>
      </c>
      <c r="B573" t="str" cm="1">
        <f t="array" ref="B573">IF(ISBLANK(INDEX(SampleList[NMR],ROW()-1)),"Not Requested",INDEX(SampleList[Experiment ID],ROW()-1))</f>
        <v>Not Requested</v>
      </c>
      <c r="C573">
        <f>SampleList[[#This Row],[Duration (Days)]]</f>
        <v>0</v>
      </c>
      <c r="D573">
        <f>SampleList[[#This Row],[Sample Description]]</f>
        <v>0</v>
      </c>
      <c r="N573">
        <f>SUM(NMRPrep[[#This Row],[d-DMSO (uL) ]:[ NH4Cl (uL)]])</f>
        <v>0</v>
      </c>
      <c r="O573">
        <f>647</f>
        <v>647</v>
      </c>
      <c r="P573">
        <f>NMRPrep[[#This Row],[Total (uL) ]]-NMRPrep[[#This Row],[Target (uL)]]</f>
        <v>-647</v>
      </c>
      <c r="R573" t="e">
        <f>(NMRPrep[[#This Row],[NH4Cl Stock Concentration (mM)]]*NMRPrep[[#This Row],[ NH4Cl (uL)]])/SUM(NMRPrep[[#This Row],[DI (uL) ]:[ NH4Cl (uL)]])</f>
        <v>#DIV/0!</v>
      </c>
    </row>
    <row r="574" spans="1:18" x14ac:dyDescent="0.25">
      <c r="A574" s="1">
        <f>SampleList[[#This Row],[Date Sampled]]</f>
        <v>0</v>
      </c>
      <c r="B574" t="str" cm="1">
        <f t="array" ref="B574">IF(ISBLANK(INDEX(SampleList[NMR],ROW()-1)),"Not Requested",INDEX(SampleList[Experiment ID],ROW()-1))</f>
        <v>Not Requested</v>
      </c>
      <c r="C574">
        <f>SampleList[[#This Row],[Duration (Days)]]</f>
        <v>0</v>
      </c>
      <c r="D574">
        <f>SampleList[[#This Row],[Sample Description]]</f>
        <v>0</v>
      </c>
      <c r="N574">
        <f>SUM(NMRPrep[[#This Row],[d-DMSO (uL) ]:[ NH4Cl (uL)]])</f>
        <v>0</v>
      </c>
      <c r="O574">
        <f>647</f>
        <v>647</v>
      </c>
      <c r="P574">
        <f>NMRPrep[[#This Row],[Total (uL) ]]-NMRPrep[[#This Row],[Target (uL)]]</f>
        <v>-647</v>
      </c>
      <c r="R574" t="e">
        <f>(NMRPrep[[#This Row],[NH4Cl Stock Concentration (mM)]]*NMRPrep[[#This Row],[ NH4Cl (uL)]])/SUM(NMRPrep[[#This Row],[DI (uL) ]:[ NH4Cl (uL)]])</f>
        <v>#DIV/0!</v>
      </c>
    </row>
    <row r="575" spans="1:18" x14ac:dyDescent="0.25">
      <c r="A575" s="1">
        <f>SampleList[[#This Row],[Date Sampled]]</f>
        <v>0</v>
      </c>
      <c r="B575" t="str" cm="1">
        <f t="array" ref="B575">IF(ISBLANK(INDEX(SampleList[NMR],ROW()-1)),"Not Requested",INDEX(SampleList[Experiment ID],ROW()-1))</f>
        <v>Not Requested</v>
      </c>
      <c r="C575">
        <f>SampleList[[#This Row],[Duration (Days)]]</f>
        <v>0</v>
      </c>
      <c r="D575">
        <f>SampleList[[#This Row],[Sample Description]]</f>
        <v>0</v>
      </c>
      <c r="N575">
        <f>SUM(NMRPrep[[#This Row],[d-DMSO (uL) ]:[ NH4Cl (uL)]])</f>
        <v>0</v>
      </c>
      <c r="O575">
        <f>647</f>
        <v>647</v>
      </c>
      <c r="P575">
        <f>NMRPrep[[#This Row],[Total (uL) ]]-NMRPrep[[#This Row],[Target (uL)]]</f>
        <v>-647</v>
      </c>
      <c r="R575" t="e">
        <f>(NMRPrep[[#This Row],[NH4Cl Stock Concentration (mM)]]*NMRPrep[[#This Row],[ NH4Cl (uL)]])/SUM(NMRPrep[[#This Row],[DI (uL) ]:[ NH4Cl (uL)]])</f>
        <v>#DIV/0!</v>
      </c>
    </row>
    <row r="576" spans="1:18" x14ac:dyDescent="0.25">
      <c r="A576" s="1">
        <f>SampleList[[#This Row],[Date Sampled]]</f>
        <v>0</v>
      </c>
      <c r="B576" t="str" cm="1">
        <f t="array" ref="B576">IF(ISBLANK(INDEX(SampleList[NMR],ROW()-1)),"Not Requested",INDEX(SampleList[Experiment ID],ROW()-1))</f>
        <v>Not Requested</v>
      </c>
      <c r="C576">
        <f>SampleList[[#This Row],[Duration (Days)]]</f>
        <v>0</v>
      </c>
      <c r="D576">
        <f>SampleList[[#This Row],[Sample Description]]</f>
        <v>0</v>
      </c>
      <c r="N576">
        <f>SUM(NMRPrep[[#This Row],[d-DMSO (uL) ]:[ NH4Cl (uL)]])</f>
        <v>0</v>
      </c>
      <c r="O576">
        <f>647</f>
        <v>647</v>
      </c>
      <c r="P576">
        <f>NMRPrep[[#This Row],[Total (uL) ]]-NMRPrep[[#This Row],[Target (uL)]]</f>
        <v>-647</v>
      </c>
      <c r="R576" t="e">
        <f>(NMRPrep[[#This Row],[NH4Cl Stock Concentration (mM)]]*NMRPrep[[#This Row],[ NH4Cl (uL)]])/SUM(NMRPrep[[#This Row],[DI (uL) ]:[ NH4Cl (uL)]])</f>
        <v>#DIV/0!</v>
      </c>
    </row>
    <row r="577" spans="1:18" x14ac:dyDescent="0.25">
      <c r="A577" s="1">
        <f>SampleList[[#This Row],[Date Sampled]]</f>
        <v>0</v>
      </c>
      <c r="B577" t="str" cm="1">
        <f t="array" ref="B577">IF(ISBLANK(INDEX(SampleList[NMR],ROW()-1)),"Not Requested",INDEX(SampleList[Experiment ID],ROW()-1))</f>
        <v>Not Requested</v>
      </c>
      <c r="C577">
        <f>SampleList[[#This Row],[Duration (Days)]]</f>
        <v>0</v>
      </c>
      <c r="D577">
        <f>SampleList[[#This Row],[Sample Description]]</f>
        <v>0</v>
      </c>
      <c r="N577">
        <f>SUM(NMRPrep[[#This Row],[d-DMSO (uL) ]:[ NH4Cl (uL)]])</f>
        <v>0</v>
      </c>
      <c r="O577">
        <f>647</f>
        <v>647</v>
      </c>
      <c r="P577">
        <f>NMRPrep[[#This Row],[Total (uL) ]]-NMRPrep[[#This Row],[Target (uL)]]</f>
        <v>-647</v>
      </c>
      <c r="R577" t="e">
        <f>(NMRPrep[[#This Row],[NH4Cl Stock Concentration (mM)]]*NMRPrep[[#This Row],[ NH4Cl (uL)]])/SUM(NMRPrep[[#This Row],[DI (uL) ]:[ NH4Cl (uL)]])</f>
        <v>#DIV/0!</v>
      </c>
    </row>
    <row r="578" spans="1:18" x14ac:dyDescent="0.25">
      <c r="A578" s="1">
        <f>SampleList[[#This Row],[Date Sampled]]</f>
        <v>0</v>
      </c>
      <c r="B578" t="str" cm="1">
        <f t="array" ref="B578">IF(ISBLANK(INDEX(SampleList[NMR],ROW()-1)),"Not Requested",INDEX(SampleList[Experiment ID],ROW()-1))</f>
        <v>Not Requested</v>
      </c>
      <c r="C578">
        <f>SampleList[[#This Row],[Duration (Days)]]</f>
        <v>0</v>
      </c>
      <c r="D578">
        <f>SampleList[[#This Row],[Sample Description]]</f>
        <v>0</v>
      </c>
      <c r="N578">
        <f>SUM(NMRPrep[[#This Row],[d-DMSO (uL) ]:[ NH4Cl (uL)]])</f>
        <v>0</v>
      </c>
      <c r="O578">
        <f>647</f>
        <v>647</v>
      </c>
      <c r="P578">
        <f>NMRPrep[[#This Row],[Total (uL) ]]-NMRPrep[[#This Row],[Target (uL)]]</f>
        <v>-647</v>
      </c>
      <c r="R578" t="e">
        <f>(NMRPrep[[#This Row],[NH4Cl Stock Concentration (mM)]]*NMRPrep[[#This Row],[ NH4Cl (uL)]])/SUM(NMRPrep[[#This Row],[DI (uL) ]:[ NH4Cl (uL)]])</f>
        <v>#DIV/0!</v>
      </c>
    </row>
    <row r="579" spans="1:18" x14ac:dyDescent="0.25">
      <c r="A579" s="1">
        <f>SampleList[[#This Row],[Date Sampled]]</f>
        <v>0</v>
      </c>
      <c r="B579" t="str" cm="1">
        <f t="array" ref="B579">IF(ISBLANK(INDEX(SampleList[NMR],ROW()-1)),"Not Requested",INDEX(SampleList[Experiment ID],ROW()-1))</f>
        <v>Not Requested</v>
      </c>
      <c r="C579">
        <f>SampleList[[#This Row],[Duration (Days)]]</f>
        <v>0</v>
      </c>
      <c r="D579">
        <f>SampleList[[#This Row],[Sample Description]]</f>
        <v>0</v>
      </c>
      <c r="N579">
        <f>SUM(NMRPrep[[#This Row],[d-DMSO (uL) ]:[ NH4Cl (uL)]])</f>
        <v>0</v>
      </c>
      <c r="O579">
        <f>647</f>
        <v>647</v>
      </c>
      <c r="P579">
        <f>NMRPrep[[#This Row],[Total (uL) ]]-NMRPrep[[#This Row],[Target (uL)]]</f>
        <v>-647</v>
      </c>
      <c r="R579" t="e">
        <f>(NMRPrep[[#This Row],[NH4Cl Stock Concentration (mM)]]*NMRPrep[[#This Row],[ NH4Cl (uL)]])/SUM(NMRPrep[[#This Row],[DI (uL) ]:[ NH4Cl (uL)]])</f>
        <v>#DIV/0!</v>
      </c>
    </row>
    <row r="580" spans="1:18" x14ac:dyDescent="0.25">
      <c r="A580" s="1">
        <f>SampleList[[#This Row],[Date Sampled]]</f>
        <v>0</v>
      </c>
      <c r="B580" t="str" cm="1">
        <f t="array" ref="B580">IF(ISBLANK(INDEX(SampleList[NMR],ROW()-1)),"Not Requested",INDEX(SampleList[Experiment ID],ROW()-1))</f>
        <v>Not Requested</v>
      </c>
      <c r="C580">
        <f>SampleList[[#This Row],[Duration (Days)]]</f>
        <v>0</v>
      </c>
      <c r="D580">
        <f>SampleList[[#This Row],[Sample Description]]</f>
        <v>0</v>
      </c>
      <c r="N580">
        <f>SUM(NMRPrep[[#This Row],[d-DMSO (uL) ]:[ NH4Cl (uL)]])</f>
        <v>0</v>
      </c>
      <c r="O580">
        <f>647</f>
        <v>647</v>
      </c>
      <c r="P580">
        <f>NMRPrep[[#This Row],[Total (uL) ]]-NMRPrep[[#This Row],[Target (uL)]]</f>
        <v>-647</v>
      </c>
      <c r="R580" t="e">
        <f>(NMRPrep[[#This Row],[NH4Cl Stock Concentration (mM)]]*NMRPrep[[#This Row],[ NH4Cl (uL)]])/SUM(NMRPrep[[#This Row],[DI (uL) ]:[ NH4Cl (uL)]])</f>
        <v>#DIV/0!</v>
      </c>
    </row>
    <row r="581" spans="1:18" x14ac:dyDescent="0.25">
      <c r="A581" s="1">
        <f>SampleList[[#This Row],[Date Sampled]]</f>
        <v>0</v>
      </c>
      <c r="B581" t="str" cm="1">
        <f t="array" ref="B581">IF(ISBLANK(INDEX(SampleList[NMR],ROW()-1)),"Not Requested",INDEX(SampleList[Experiment ID],ROW()-1))</f>
        <v>Not Requested</v>
      </c>
      <c r="C581">
        <f>SampleList[[#This Row],[Duration (Days)]]</f>
        <v>0</v>
      </c>
      <c r="D581">
        <f>SampleList[[#This Row],[Sample Description]]</f>
        <v>0</v>
      </c>
      <c r="N581">
        <f>SUM(NMRPrep[[#This Row],[d-DMSO (uL) ]:[ NH4Cl (uL)]])</f>
        <v>0</v>
      </c>
      <c r="O581">
        <f>647</f>
        <v>647</v>
      </c>
      <c r="P581">
        <f>NMRPrep[[#This Row],[Total (uL) ]]-NMRPrep[[#This Row],[Target (uL)]]</f>
        <v>-647</v>
      </c>
      <c r="R581" t="e">
        <f>(NMRPrep[[#This Row],[NH4Cl Stock Concentration (mM)]]*NMRPrep[[#This Row],[ NH4Cl (uL)]])/SUM(NMRPrep[[#This Row],[DI (uL) ]:[ NH4Cl (uL)]])</f>
        <v>#DIV/0!</v>
      </c>
    </row>
    <row r="582" spans="1:18" x14ac:dyDescent="0.25">
      <c r="A582" s="1">
        <f>SampleList[[#This Row],[Date Sampled]]</f>
        <v>0</v>
      </c>
      <c r="B582" t="str" cm="1">
        <f t="array" ref="B582">IF(ISBLANK(INDEX(SampleList[NMR],ROW()-1)),"Not Requested",INDEX(SampleList[Experiment ID],ROW()-1))</f>
        <v>Not Requested</v>
      </c>
      <c r="C582">
        <f>SampleList[[#This Row],[Duration (Days)]]</f>
        <v>0</v>
      </c>
      <c r="D582">
        <f>SampleList[[#This Row],[Sample Description]]</f>
        <v>0</v>
      </c>
      <c r="N582">
        <f>SUM(NMRPrep[[#This Row],[d-DMSO (uL) ]:[ NH4Cl (uL)]])</f>
        <v>0</v>
      </c>
      <c r="O582">
        <f>647</f>
        <v>647</v>
      </c>
      <c r="P582">
        <f>NMRPrep[[#This Row],[Total (uL) ]]-NMRPrep[[#This Row],[Target (uL)]]</f>
        <v>-647</v>
      </c>
      <c r="R582" t="e">
        <f>(NMRPrep[[#This Row],[NH4Cl Stock Concentration (mM)]]*NMRPrep[[#This Row],[ NH4Cl (uL)]])/SUM(NMRPrep[[#This Row],[DI (uL) ]:[ NH4Cl (uL)]])</f>
        <v>#DIV/0!</v>
      </c>
    </row>
    <row r="583" spans="1:18" x14ac:dyDescent="0.25">
      <c r="A583" s="1">
        <f>SampleList[[#This Row],[Date Sampled]]</f>
        <v>0</v>
      </c>
      <c r="B583" t="str" cm="1">
        <f t="array" ref="B583">IF(ISBLANK(INDEX(SampleList[NMR],ROW()-1)),"Not Requested",INDEX(SampleList[Experiment ID],ROW()-1))</f>
        <v>Not Requested</v>
      </c>
      <c r="C583">
        <f>SampleList[[#This Row],[Duration (Days)]]</f>
        <v>0</v>
      </c>
      <c r="D583">
        <f>SampleList[[#This Row],[Sample Description]]</f>
        <v>0</v>
      </c>
      <c r="N583">
        <f>SUM(NMRPrep[[#This Row],[d-DMSO (uL) ]:[ NH4Cl (uL)]])</f>
        <v>0</v>
      </c>
      <c r="O583">
        <f>647</f>
        <v>647</v>
      </c>
      <c r="P583">
        <f>NMRPrep[[#This Row],[Total (uL) ]]-NMRPrep[[#This Row],[Target (uL)]]</f>
        <v>-647</v>
      </c>
      <c r="R583" t="e">
        <f>(NMRPrep[[#This Row],[NH4Cl Stock Concentration (mM)]]*NMRPrep[[#This Row],[ NH4Cl (uL)]])/SUM(NMRPrep[[#This Row],[DI (uL) ]:[ NH4Cl (uL)]])</f>
        <v>#DIV/0!</v>
      </c>
    </row>
    <row r="584" spans="1:18" x14ac:dyDescent="0.25">
      <c r="A584" s="1">
        <f>SampleList[[#This Row],[Date Sampled]]</f>
        <v>0</v>
      </c>
      <c r="B584" t="str" cm="1">
        <f t="array" ref="B584">IF(ISBLANK(INDEX(SampleList[NMR],ROW()-1)),"Not Requested",INDEX(SampleList[Experiment ID],ROW()-1))</f>
        <v>Not Requested</v>
      </c>
      <c r="C584">
        <f>SampleList[[#This Row],[Duration (Days)]]</f>
        <v>0</v>
      </c>
      <c r="D584">
        <f>SampleList[[#This Row],[Sample Description]]</f>
        <v>0</v>
      </c>
      <c r="N584">
        <f>SUM(NMRPrep[[#This Row],[d-DMSO (uL) ]:[ NH4Cl (uL)]])</f>
        <v>0</v>
      </c>
      <c r="O584">
        <f>647</f>
        <v>647</v>
      </c>
      <c r="P584">
        <f>NMRPrep[[#This Row],[Total (uL) ]]-NMRPrep[[#This Row],[Target (uL)]]</f>
        <v>-647</v>
      </c>
      <c r="R584" t="e">
        <f>(NMRPrep[[#This Row],[NH4Cl Stock Concentration (mM)]]*NMRPrep[[#This Row],[ NH4Cl (uL)]])/SUM(NMRPrep[[#This Row],[DI (uL) ]:[ NH4Cl (uL)]])</f>
        <v>#DIV/0!</v>
      </c>
    </row>
    <row r="585" spans="1:18" x14ac:dyDescent="0.25">
      <c r="A585" s="1">
        <f>SampleList[[#This Row],[Date Sampled]]</f>
        <v>0</v>
      </c>
      <c r="B585" t="str" cm="1">
        <f t="array" ref="B585">IF(ISBLANK(INDEX(SampleList[NMR],ROW()-1)),"Not Requested",INDEX(SampleList[Experiment ID],ROW()-1))</f>
        <v>Not Requested</v>
      </c>
      <c r="C585">
        <f>SampleList[[#This Row],[Duration (Days)]]</f>
        <v>0</v>
      </c>
      <c r="D585">
        <f>SampleList[[#This Row],[Sample Description]]</f>
        <v>0</v>
      </c>
      <c r="N585">
        <f>SUM(NMRPrep[[#This Row],[d-DMSO (uL) ]:[ NH4Cl (uL)]])</f>
        <v>0</v>
      </c>
      <c r="O585">
        <f>647</f>
        <v>647</v>
      </c>
      <c r="P585">
        <f>NMRPrep[[#This Row],[Total (uL) ]]-NMRPrep[[#This Row],[Target (uL)]]</f>
        <v>-647</v>
      </c>
      <c r="R585" t="e">
        <f>(NMRPrep[[#This Row],[NH4Cl Stock Concentration (mM)]]*NMRPrep[[#This Row],[ NH4Cl (uL)]])/SUM(NMRPrep[[#This Row],[DI (uL) ]:[ NH4Cl (uL)]])</f>
        <v>#DIV/0!</v>
      </c>
    </row>
    <row r="586" spans="1:18" x14ac:dyDescent="0.25">
      <c r="A586" s="1">
        <f>SampleList[[#This Row],[Date Sampled]]</f>
        <v>0</v>
      </c>
      <c r="B586" t="str" cm="1">
        <f t="array" ref="B586">IF(ISBLANK(INDEX(SampleList[NMR],ROW()-1)),"Not Requested",INDEX(SampleList[Experiment ID],ROW()-1))</f>
        <v>Not Requested</v>
      </c>
      <c r="C586">
        <f>SampleList[[#This Row],[Duration (Days)]]</f>
        <v>0</v>
      </c>
      <c r="D586">
        <f>SampleList[[#This Row],[Sample Description]]</f>
        <v>0</v>
      </c>
      <c r="N586">
        <f>SUM(NMRPrep[[#This Row],[d-DMSO (uL) ]:[ NH4Cl (uL)]])</f>
        <v>0</v>
      </c>
      <c r="O586">
        <f>647</f>
        <v>647</v>
      </c>
      <c r="P586">
        <f>NMRPrep[[#This Row],[Total (uL) ]]-NMRPrep[[#This Row],[Target (uL)]]</f>
        <v>-647</v>
      </c>
      <c r="R586" t="e">
        <f>(NMRPrep[[#This Row],[NH4Cl Stock Concentration (mM)]]*NMRPrep[[#This Row],[ NH4Cl (uL)]])/SUM(NMRPrep[[#This Row],[DI (uL) ]:[ NH4Cl (uL)]])</f>
        <v>#DIV/0!</v>
      </c>
    </row>
    <row r="587" spans="1:18" x14ac:dyDescent="0.25">
      <c r="A587" s="1">
        <f>SampleList[[#This Row],[Date Sampled]]</f>
        <v>0</v>
      </c>
      <c r="B587" t="str" cm="1">
        <f t="array" ref="B587">IF(ISBLANK(INDEX(SampleList[NMR],ROW()-1)),"Not Requested",INDEX(SampleList[Experiment ID],ROW()-1))</f>
        <v>Not Requested</v>
      </c>
      <c r="C587">
        <f>SampleList[[#This Row],[Duration (Days)]]</f>
        <v>0</v>
      </c>
      <c r="D587">
        <f>SampleList[[#This Row],[Sample Description]]</f>
        <v>0</v>
      </c>
      <c r="N587">
        <f>SUM(NMRPrep[[#This Row],[d-DMSO (uL) ]:[ NH4Cl (uL)]])</f>
        <v>0</v>
      </c>
      <c r="O587">
        <f>647</f>
        <v>647</v>
      </c>
      <c r="P587">
        <f>NMRPrep[[#This Row],[Total (uL) ]]-NMRPrep[[#This Row],[Target (uL)]]</f>
        <v>-647</v>
      </c>
      <c r="R587" t="e">
        <f>(NMRPrep[[#This Row],[NH4Cl Stock Concentration (mM)]]*NMRPrep[[#This Row],[ NH4Cl (uL)]])/SUM(NMRPrep[[#This Row],[DI (uL) ]:[ NH4Cl (uL)]])</f>
        <v>#DIV/0!</v>
      </c>
    </row>
    <row r="588" spans="1:18" x14ac:dyDescent="0.25">
      <c r="A588" s="1">
        <f>SampleList[[#This Row],[Date Sampled]]</f>
        <v>0</v>
      </c>
      <c r="B588" t="str" cm="1">
        <f t="array" ref="B588">IF(ISBLANK(INDEX(SampleList[NMR],ROW()-1)),"Not Requested",INDEX(SampleList[Experiment ID],ROW()-1))</f>
        <v>Not Requested</v>
      </c>
      <c r="C588">
        <f>SampleList[[#This Row],[Duration (Days)]]</f>
        <v>0</v>
      </c>
      <c r="D588">
        <f>SampleList[[#This Row],[Sample Description]]</f>
        <v>0</v>
      </c>
      <c r="N588">
        <f>SUM(NMRPrep[[#This Row],[d-DMSO (uL) ]:[ NH4Cl (uL)]])</f>
        <v>0</v>
      </c>
      <c r="O588">
        <f>647</f>
        <v>647</v>
      </c>
      <c r="P588">
        <f>NMRPrep[[#This Row],[Total (uL) ]]-NMRPrep[[#This Row],[Target (uL)]]</f>
        <v>-647</v>
      </c>
      <c r="R588" t="e">
        <f>(NMRPrep[[#This Row],[NH4Cl Stock Concentration (mM)]]*NMRPrep[[#This Row],[ NH4Cl (uL)]])/SUM(NMRPrep[[#This Row],[DI (uL) ]:[ NH4Cl (uL)]])</f>
        <v>#DIV/0!</v>
      </c>
    </row>
    <row r="589" spans="1:18" x14ac:dyDescent="0.25">
      <c r="A589" s="1">
        <f>SampleList[[#This Row],[Date Sampled]]</f>
        <v>0</v>
      </c>
      <c r="B589" t="str" cm="1">
        <f t="array" ref="B589">IF(ISBLANK(INDEX(SampleList[NMR],ROW()-1)),"Not Requested",INDEX(SampleList[Experiment ID],ROW()-1))</f>
        <v>Not Requested</v>
      </c>
      <c r="C589">
        <f>SampleList[[#This Row],[Duration (Days)]]</f>
        <v>0</v>
      </c>
      <c r="D589">
        <f>SampleList[[#This Row],[Sample Description]]</f>
        <v>0</v>
      </c>
      <c r="N589">
        <f>SUM(NMRPrep[[#This Row],[d-DMSO (uL) ]:[ NH4Cl (uL)]])</f>
        <v>0</v>
      </c>
      <c r="O589">
        <f>647</f>
        <v>647</v>
      </c>
      <c r="P589">
        <f>NMRPrep[[#This Row],[Total (uL) ]]-NMRPrep[[#This Row],[Target (uL)]]</f>
        <v>-647</v>
      </c>
      <c r="R589" t="e">
        <f>(NMRPrep[[#This Row],[NH4Cl Stock Concentration (mM)]]*NMRPrep[[#This Row],[ NH4Cl (uL)]])/SUM(NMRPrep[[#This Row],[DI (uL) ]:[ NH4Cl (uL)]])</f>
        <v>#DIV/0!</v>
      </c>
    </row>
    <row r="590" spans="1:18" x14ac:dyDescent="0.25">
      <c r="A590" s="1">
        <f>SampleList[[#This Row],[Date Sampled]]</f>
        <v>0</v>
      </c>
      <c r="B590" t="str" cm="1">
        <f t="array" ref="B590">IF(ISBLANK(INDEX(SampleList[NMR],ROW()-1)),"Not Requested",INDEX(SampleList[Experiment ID],ROW()-1))</f>
        <v>Not Requested</v>
      </c>
      <c r="C590">
        <f>SampleList[[#This Row],[Duration (Days)]]</f>
        <v>0</v>
      </c>
      <c r="D590">
        <f>SampleList[[#This Row],[Sample Description]]</f>
        <v>0</v>
      </c>
      <c r="N590">
        <f>SUM(NMRPrep[[#This Row],[d-DMSO (uL) ]:[ NH4Cl (uL)]])</f>
        <v>0</v>
      </c>
      <c r="O590">
        <f>647</f>
        <v>647</v>
      </c>
      <c r="P590">
        <f>NMRPrep[[#This Row],[Total (uL) ]]-NMRPrep[[#This Row],[Target (uL)]]</f>
        <v>-647</v>
      </c>
      <c r="R590" t="e">
        <f>(NMRPrep[[#This Row],[NH4Cl Stock Concentration (mM)]]*NMRPrep[[#This Row],[ NH4Cl (uL)]])/SUM(NMRPrep[[#This Row],[DI (uL) ]:[ NH4Cl (uL)]])</f>
        <v>#DIV/0!</v>
      </c>
    </row>
    <row r="591" spans="1:18" x14ac:dyDescent="0.25">
      <c r="A591" s="1">
        <f>SampleList[[#This Row],[Date Sampled]]</f>
        <v>0</v>
      </c>
      <c r="B591" t="str" cm="1">
        <f t="array" ref="B591">IF(ISBLANK(INDEX(SampleList[NMR],ROW()-1)),"Not Requested",INDEX(SampleList[Experiment ID],ROW()-1))</f>
        <v>Not Requested</v>
      </c>
      <c r="C591">
        <f>SampleList[[#This Row],[Duration (Days)]]</f>
        <v>0</v>
      </c>
      <c r="D591">
        <f>SampleList[[#This Row],[Sample Description]]</f>
        <v>0</v>
      </c>
      <c r="N591">
        <f>SUM(NMRPrep[[#This Row],[d-DMSO (uL) ]:[ NH4Cl (uL)]])</f>
        <v>0</v>
      </c>
      <c r="O591">
        <f>647</f>
        <v>647</v>
      </c>
      <c r="P591">
        <f>NMRPrep[[#This Row],[Total (uL) ]]-NMRPrep[[#This Row],[Target (uL)]]</f>
        <v>-647</v>
      </c>
      <c r="R591" t="e">
        <f>(NMRPrep[[#This Row],[NH4Cl Stock Concentration (mM)]]*NMRPrep[[#This Row],[ NH4Cl (uL)]])/SUM(NMRPrep[[#This Row],[DI (uL) ]:[ NH4Cl (uL)]])</f>
        <v>#DIV/0!</v>
      </c>
    </row>
    <row r="592" spans="1:18" x14ac:dyDescent="0.25">
      <c r="A592" s="1">
        <f>SampleList[[#This Row],[Date Sampled]]</f>
        <v>0</v>
      </c>
      <c r="B592" t="str" cm="1">
        <f t="array" ref="B592">IF(ISBLANK(INDEX(SampleList[NMR],ROW()-1)),"Not Requested",INDEX(SampleList[Experiment ID],ROW()-1))</f>
        <v>Not Requested</v>
      </c>
      <c r="C592">
        <f>SampleList[[#This Row],[Duration (Days)]]</f>
        <v>0</v>
      </c>
      <c r="D592">
        <f>SampleList[[#This Row],[Sample Description]]</f>
        <v>0</v>
      </c>
      <c r="N592">
        <f>SUM(NMRPrep[[#This Row],[d-DMSO (uL) ]:[ NH4Cl (uL)]])</f>
        <v>0</v>
      </c>
      <c r="O592">
        <f>647</f>
        <v>647</v>
      </c>
      <c r="P592">
        <f>NMRPrep[[#This Row],[Total (uL) ]]-NMRPrep[[#This Row],[Target (uL)]]</f>
        <v>-647</v>
      </c>
      <c r="R592" t="e">
        <f>(NMRPrep[[#This Row],[NH4Cl Stock Concentration (mM)]]*NMRPrep[[#This Row],[ NH4Cl (uL)]])/SUM(NMRPrep[[#This Row],[DI (uL) ]:[ NH4Cl (uL)]])</f>
        <v>#DIV/0!</v>
      </c>
    </row>
    <row r="593" spans="1:18" x14ac:dyDescent="0.25">
      <c r="A593" s="1">
        <f>SampleList[[#This Row],[Date Sampled]]</f>
        <v>0</v>
      </c>
      <c r="B593" t="str" cm="1">
        <f t="array" ref="B593">IF(ISBLANK(INDEX(SampleList[NMR],ROW()-1)),"Not Requested",INDEX(SampleList[Experiment ID],ROW()-1))</f>
        <v>Not Requested</v>
      </c>
      <c r="C593">
        <f>SampleList[[#This Row],[Duration (Days)]]</f>
        <v>0</v>
      </c>
      <c r="D593">
        <f>SampleList[[#This Row],[Sample Description]]</f>
        <v>0</v>
      </c>
      <c r="N593">
        <f>SUM(NMRPrep[[#This Row],[d-DMSO (uL) ]:[ NH4Cl (uL)]])</f>
        <v>0</v>
      </c>
      <c r="O593">
        <f>647</f>
        <v>647</v>
      </c>
      <c r="P593">
        <f>NMRPrep[[#This Row],[Total (uL) ]]-NMRPrep[[#This Row],[Target (uL)]]</f>
        <v>-647</v>
      </c>
      <c r="R593" t="e">
        <f>(NMRPrep[[#This Row],[NH4Cl Stock Concentration (mM)]]*NMRPrep[[#This Row],[ NH4Cl (uL)]])/SUM(NMRPrep[[#This Row],[DI (uL) ]:[ NH4Cl (uL)]])</f>
        <v>#DIV/0!</v>
      </c>
    </row>
    <row r="594" spans="1:18" x14ac:dyDescent="0.25">
      <c r="A594" s="1">
        <f>SampleList[[#This Row],[Date Sampled]]</f>
        <v>0</v>
      </c>
      <c r="B594" t="str" cm="1">
        <f t="array" ref="B594">IF(ISBLANK(INDEX(SampleList[NMR],ROW()-1)),"Not Requested",INDEX(SampleList[Experiment ID],ROW()-1))</f>
        <v>Not Requested</v>
      </c>
      <c r="C594">
        <f>SampleList[[#This Row],[Duration (Days)]]</f>
        <v>0</v>
      </c>
      <c r="D594">
        <f>SampleList[[#This Row],[Sample Description]]</f>
        <v>0</v>
      </c>
      <c r="N594">
        <f>SUM(NMRPrep[[#This Row],[d-DMSO (uL) ]:[ NH4Cl (uL)]])</f>
        <v>0</v>
      </c>
      <c r="O594">
        <f>647</f>
        <v>647</v>
      </c>
      <c r="P594">
        <f>NMRPrep[[#This Row],[Total (uL) ]]-NMRPrep[[#This Row],[Target (uL)]]</f>
        <v>-647</v>
      </c>
      <c r="R594" t="e">
        <f>(NMRPrep[[#This Row],[NH4Cl Stock Concentration (mM)]]*NMRPrep[[#This Row],[ NH4Cl (uL)]])/SUM(NMRPrep[[#This Row],[DI (uL) ]:[ NH4Cl (uL)]])</f>
        <v>#DIV/0!</v>
      </c>
    </row>
    <row r="595" spans="1:18" x14ac:dyDescent="0.25">
      <c r="A595" s="1">
        <f>SampleList[[#This Row],[Date Sampled]]</f>
        <v>0</v>
      </c>
      <c r="B595" t="str" cm="1">
        <f t="array" ref="B595">IF(ISBLANK(INDEX(SampleList[NMR],ROW()-1)),"Not Requested",INDEX(SampleList[Experiment ID],ROW()-1))</f>
        <v>Not Requested</v>
      </c>
      <c r="C595">
        <f>SampleList[[#This Row],[Duration (Days)]]</f>
        <v>0</v>
      </c>
      <c r="D595">
        <f>SampleList[[#This Row],[Sample Description]]</f>
        <v>0</v>
      </c>
      <c r="N595">
        <f>SUM(NMRPrep[[#This Row],[d-DMSO (uL) ]:[ NH4Cl (uL)]])</f>
        <v>0</v>
      </c>
      <c r="O595">
        <f>647</f>
        <v>647</v>
      </c>
      <c r="P595">
        <f>NMRPrep[[#This Row],[Total (uL) ]]-NMRPrep[[#This Row],[Target (uL)]]</f>
        <v>-647</v>
      </c>
      <c r="R595" t="e">
        <f>(NMRPrep[[#This Row],[NH4Cl Stock Concentration (mM)]]*NMRPrep[[#This Row],[ NH4Cl (uL)]])/SUM(NMRPrep[[#This Row],[DI (uL) ]:[ NH4Cl (uL)]])</f>
        <v>#DIV/0!</v>
      </c>
    </row>
    <row r="596" spans="1:18" x14ac:dyDescent="0.25">
      <c r="A596" s="1">
        <f>SampleList[[#This Row],[Date Sampled]]</f>
        <v>0</v>
      </c>
      <c r="B596" t="str" cm="1">
        <f t="array" ref="B596">IF(ISBLANK(INDEX(SampleList[NMR],ROW()-1)),"Not Requested",INDEX(SampleList[Experiment ID],ROW()-1))</f>
        <v>Not Requested</v>
      </c>
      <c r="C596">
        <f>SampleList[[#This Row],[Duration (Days)]]</f>
        <v>0</v>
      </c>
      <c r="D596">
        <f>SampleList[[#This Row],[Sample Description]]</f>
        <v>0</v>
      </c>
      <c r="N596">
        <f>SUM(NMRPrep[[#This Row],[d-DMSO (uL) ]:[ NH4Cl (uL)]])</f>
        <v>0</v>
      </c>
      <c r="O596">
        <f>647</f>
        <v>647</v>
      </c>
      <c r="P596">
        <f>NMRPrep[[#This Row],[Total (uL) ]]-NMRPrep[[#This Row],[Target (uL)]]</f>
        <v>-647</v>
      </c>
      <c r="R596" t="e">
        <f>(NMRPrep[[#This Row],[NH4Cl Stock Concentration (mM)]]*NMRPrep[[#This Row],[ NH4Cl (uL)]])/SUM(NMRPrep[[#This Row],[DI (uL) ]:[ NH4Cl (uL)]])</f>
        <v>#DIV/0!</v>
      </c>
    </row>
    <row r="597" spans="1:18" x14ac:dyDescent="0.25">
      <c r="A597" s="1">
        <f>SampleList[[#This Row],[Date Sampled]]</f>
        <v>0</v>
      </c>
      <c r="B597" t="str" cm="1">
        <f t="array" ref="B597">IF(ISBLANK(INDEX(SampleList[NMR],ROW()-1)),"Not Requested",INDEX(SampleList[Experiment ID],ROW()-1))</f>
        <v>Not Requested</v>
      </c>
      <c r="C597">
        <f>SampleList[[#This Row],[Duration (Days)]]</f>
        <v>0</v>
      </c>
      <c r="D597">
        <f>SampleList[[#This Row],[Sample Description]]</f>
        <v>0</v>
      </c>
      <c r="N597">
        <f>SUM(NMRPrep[[#This Row],[d-DMSO (uL) ]:[ NH4Cl (uL)]])</f>
        <v>0</v>
      </c>
      <c r="O597">
        <f>647</f>
        <v>647</v>
      </c>
      <c r="P597">
        <f>NMRPrep[[#This Row],[Total (uL) ]]-NMRPrep[[#This Row],[Target (uL)]]</f>
        <v>-647</v>
      </c>
      <c r="R597" t="e">
        <f>(NMRPrep[[#This Row],[NH4Cl Stock Concentration (mM)]]*NMRPrep[[#This Row],[ NH4Cl (uL)]])/SUM(NMRPrep[[#This Row],[DI (uL) ]:[ NH4Cl (uL)]])</f>
        <v>#DIV/0!</v>
      </c>
    </row>
    <row r="598" spans="1:18" x14ac:dyDescent="0.25">
      <c r="A598" s="1">
        <f>SampleList[[#This Row],[Date Sampled]]</f>
        <v>0</v>
      </c>
      <c r="B598" t="str" cm="1">
        <f t="array" ref="B598">IF(ISBLANK(INDEX(SampleList[NMR],ROW()-1)),"Not Requested",INDEX(SampleList[Experiment ID],ROW()-1))</f>
        <v>Not Requested</v>
      </c>
      <c r="C598">
        <f>SampleList[[#This Row],[Duration (Days)]]</f>
        <v>0</v>
      </c>
      <c r="D598">
        <f>SampleList[[#This Row],[Sample Description]]</f>
        <v>0</v>
      </c>
      <c r="N598">
        <f>SUM(NMRPrep[[#This Row],[d-DMSO (uL) ]:[ NH4Cl (uL)]])</f>
        <v>0</v>
      </c>
      <c r="O598">
        <f>647</f>
        <v>647</v>
      </c>
      <c r="P598">
        <f>NMRPrep[[#This Row],[Total (uL) ]]-NMRPrep[[#This Row],[Target (uL)]]</f>
        <v>-647</v>
      </c>
      <c r="R598" t="e">
        <f>(NMRPrep[[#This Row],[NH4Cl Stock Concentration (mM)]]*NMRPrep[[#This Row],[ NH4Cl (uL)]])/SUM(NMRPrep[[#This Row],[DI (uL) ]:[ NH4Cl (uL)]])</f>
        <v>#DIV/0!</v>
      </c>
    </row>
    <row r="599" spans="1:18" x14ac:dyDescent="0.25">
      <c r="A599" s="1">
        <f>SampleList[[#This Row],[Date Sampled]]</f>
        <v>0</v>
      </c>
      <c r="B599" t="str" cm="1">
        <f t="array" ref="B599">IF(ISBLANK(INDEX(SampleList[NMR],ROW()-1)),"Not Requested",INDEX(SampleList[Experiment ID],ROW()-1))</f>
        <v>Not Requested</v>
      </c>
      <c r="C599">
        <f>SampleList[[#This Row],[Duration (Days)]]</f>
        <v>0</v>
      </c>
      <c r="D599">
        <f>SampleList[[#This Row],[Sample Description]]</f>
        <v>0</v>
      </c>
      <c r="N599">
        <f>SUM(NMRPrep[[#This Row],[d-DMSO (uL) ]:[ NH4Cl (uL)]])</f>
        <v>0</v>
      </c>
      <c r="O599">
        <f>647</f>
        <v>647</v>
      </c>
      <c r="P599">
        <f>NMRPrep[[#This Row],[Total (uL) ]]-NMRPrep[[#This Row],[Target (uL)]]</f>
        <v>-647</v>
      </c>
      <c r="R599" t="e">
        <f>(NMRPrep[[#This Row],[NH4Cl Stock Concentration (mM)]]*NMRPrep[[#This Row],[ NH4Cl (uL)]])/SUM(NMRPrep[[#This Row],[DI (uL) ]:[ NH4Cl (uL)]])</f>
        <v>#DIV/0!</v>
      </c>
    </row>
    <row r="600" spans="1:18" x14ac:dyDescent="0.25">
      <c r="A600" s="1">
        <f>SampleList[[#This Row],[Date Sampled]]</f>
        <v>0</v>
      </c>
      <c r="B600" t="str" cm="1">
        <f t="array" ref="B600">IF(ISBLANK(INDEX(SampleList[NMR],ROW()-1)),"Not Requested",INDEX(SampleList[Experiment ID],ROW()-1))</f>
        <v>Not Requested</v>
      </c>
      <c r="C600">
        <f>SampleList[[#This Row],[Duration (Days)]]</f>
        <v>0</v>
      </c>
      <c r="D600">
        <f>SampleList[[#This Row],[Sample Description]]</f>
        <v>0</v>
      </c>
      <c r="N600">
        <f>SUM(NMRPrep[[#This Row],[d-DMSO (uL) ]:[ NH4Cl (uL)]])</f>
        <v>0</v>
      </c>
      <c r="O600">
        <f>647</f>
        <v>647</v>
      </c>
      <c r="P600">
        <f>NMRPrep[[#This Row],[Total (uL) ]]-NMRPrep[[#This Row],[Target (uL)]]</f>
        <v>-647</v>
      </c>
      <c r="R600" t="e">
        <f>(NMRPrep[[#This Row],[NH4Cl Stock Concentration (mM)]]*NMRPrep[[#This Row],[ NH4Cl (uL)]])/SUM(NMRPrep[[#This Row],[DI (uL) ]:[ NH4Cl (uL)]])</f>
        <v>#DIV/0!</v>
      </c>
    </row>
    <row r="601" spans="1:18" x14ac:dyDescent="0.25">
      <c r="A601" s="1">
        <f>SampleList[[#This Row],[Date Sampled]]</f>
        <v>0</v>
      </c>
      <c r="B601" t="str" cm="1">
        <f t="array" ref="B601">IF(ISBLANK(INDEX(SampleList[NMR],ROW()-1)),"Not Requested",INDEX(SampleList[Experiment ID],ROW()-1))</f>
        <v>Not Requested</v>
      </c>
      <c r="C601">
        <f>SampleList[[#This Row],[Duration (Days)]]</f>
        <v>0</v>
      </c>
      <c r="D601">
        <f>SampleList[[#This Row],[Sample Description]]</f>
        <v>0</v>
      </c>
      <c r="N601">
        <f>SUM(NMRPrep[[#This Row],[d-DMSO (uL) ]:[ NH4Cl (uL)]])</f>
        <v>0</v>
      </c>
      <c r="O601">
        <f>647</f>
        <v>647</v>
      </c>
      <c r="P601">
        <f>NMRPrep[[#This Row],[Total (uL) ]]-NMRPrep[[#This Row],[Target (uL)]]</f>
        <v>-647</v>
      </c>
      <c r="R601" t="e">
        <f>(NMRPrep[[#This Row],[NH4Cl Stock Concentration (mM)]]*NMRPrep[[#This Row],[ NH4Cl (uL)]])/SUM(NMRPrep[[#This Row],[DI (uL) ]:[ NH4Cl (uL)]])</f>
        <v>#DIV/0!</v>
      </c>
    </row>
    <row r="602" spans="1:18" x14ac:dyDescent="0.25">
      <c r="A602" s="1">
        <f>SampleList[[#This Row],[Date Sampled]]</f>
        <v>0</v>
      </c>
      <c r="B602" t="str" cm="1">
        <f t="array" ref="B602">IF(ISBLANK(INDEX(SampleList[NMR],ROW()-1)),"Not Requested",INDEX(SampleList[Experiment ID],ROW()-1))</f>
        <v>Not Requested</v>
      </c>
      <c r="C602">
        <f>SampleList[[#This Row],[Duration (Days)]]</f>
        <v>0</v>
      </c>
      <c r="D602">
        <f>SampleList[[#This Row],[Sample Description]]</f>
        <v>0</v>
      </c>
      <c r="N602">
        <f>SUM(NMRPrep[[#This Row],[d-DMSO (uL) ]:[ NH4Cl (uL)]])</f>
        <v>0</v>
      </c>
      <c r="O602">
        <f>647</f>
        <v>647</v>
      </c>
      <c r="P602">
        <f>NMRPrep[[#This Row],[Total (uL) ]]-NMRPrep[[#This Row],[Target (uL)]]</f>
        <v>-647</v>
      </c>
      <c r="R602" t="e">
        <f>(NMRPrep[[#This Row],[NH4Cl Stock Concentration (mM)]]*NMRPrep[[#This Row],[ NH4Cl (uL)]])/SUM(NMRPrep[[#This Row],[DI (uL) ]:[ NH4Cl (uL)]])</f>
        <v>#DIV/0!</v>
      </c>
    </row>
    <row r="603" spans="1:18" x14ac:dyDescent="0.25">
      <c r="A603" s="1">
        <f>SampleList[[#This Row],[Date Sampled]]</f>
        <v>0</v>
      </c>
      <c r="B603" t="str" cm="1">
        <f t="array" ref="B603">IF(ISBLANK(INDEX(SampleList[NMR],ROW()-1)),"Not Requested",INDEX(SampleList[Experiment ID],ROW()-1))</f>
        <v>Not Requested</v>
      </c>
      <c r="C603">
        <f>SampleList[[#This Row],[Duration (Days)]]</f>
        <v>0</v>
      </c>
      <c r="D603">
        <f>SampleList[[#This Row],[Sample Description]]</f>
        <v>0</v>
      </c>
      <c r="N603">
        <f>SUM(NMRPrep[[#This Row],[d-DMSO (uL) ]:[ NH4Cl (uL)]])</f>
        <v>0</v>
      </c>
      <c r="O603">
        <f>647</f>
        <v>647</v>
      </c>
      <c r="P603">
        <f>NMRPrep[[#This Row],[Total (uL) ]]-NMRPrep[[#This Row],[Target (uL)]]</f>
        <v>-647</v>
      </c>
      <c r="R603" t="e">
        <f>(NMRPrep[[#This Row],[NH4Cl Stock Concentration (mM)]]*NMRPrep[[#This Row],[ NH4Cl (uL)]])/SUM(NMRPrep[[#This Row],[DI (uL) ]:[ NH4Cl (uL)]])</f>
        <v>#DIV/0!</v>
      </c>
    </row>
    <row r="604" spans="1:18" x14ac:dyDescent="0.25">
      <c r="A604" s="1">
        <f>SampleList[[#This Row],[Date Sampled]]</f>
        <v>0</v>
      </c>
      <c r="B604" t="str" cm="1">
        <f t="array" ref="B604">IF(ISBLANK(INDEX(SampleList[NMR],ROW()-1)),"Not Requested",INDEX(SampleList[Experiment ID],ROW()-1))</f>
        <v>Not Requested</v>
      </c>
      <c r="C604">
        <f>SampleList[[#This Row],[Duration (Days)]]</f>
        <v>0</v>
      </c>
      <c r="D604">
        <f>SampleList[[#This Row],[Sample Description]]</f>
        <v>0</v>
      </c>
      <c r="N604">
        <f>SUM(NMRPrep[[#This Row],[d-DMSO (uL) ]:[ NH4Cl (uL)]])</f>
        <v>0</v>
      </c>
      <c r="O604">
        <f>647</f>
        <v>647</v>
      </c>
      <c r="P604">
        <f>NMRPrep[[#This Row],[Total (uL) ]]-NMRPrep[[#This Row],[Target (uL)]]</f>
        <v>-647</v>
      </c>
      <c r="R604" t="e">
        <f>(NMRPrep[[#This Row],[NH4Cl Stock Concentration (mM)]]*NMRPrep[[#This Row],[ NH4Cl (uL)]])/SUM(NMRPrep[[#This Row],[DI (uL) ]:[ NH4Cl (uL)]])</f>
        <v>#DIV/0!</v>
      </c>
    </row>
    <row r="605" spans="1:18" x14ac:dyDescent="0.25">
      <c r="A605" s="1">
        <f>SampleList[[#This Row],[Date Sampled]]</f>
        <v>0</v>
      </c>
      <c r="B605" t="str" cm="1">
        <f t="array" ref="B605">IF(ISBLANK(INDEX(SampleList[NMR],ROW()-1)),"Not Requested",INDEX(SampleList[Experiment ID],ROW()-1))</f>
        <v>Not Requested</v>
      </c>
      <c r="C605">
        <f>SampleList[[#This Row],[Duration (Days)]]</f>
        <v>0</v>
      </c>
      <c r="D605">
        <f>SampleList[[#This Row],[Sample Description]]</f>
        <v>0</v>
      </c>
      <c r="N605">
        <f>SUM(NMRPrep[[#This Row],[d-DMSO (uL) ]:[ NH4Cl (uL)]])</f>
        <v>0</v>
      </c>
      <c r="O605">
        <f>647</f>
        <v>647</v>
      </c>
      <c r="P605">
        <f>NMRPrep[[#This Row],[Total (uL) ]]-NMRPrep[[#This Row],[Target (uL)]]</f>
        <v>-647</v>
      </c>
      <c r="R605" t="e">
        <f>(NMRPrep[[#This Row],[NH4Cl Stock Concentration (mM)]]*NMRPrep[[#This Row],[ NH4Cl (uL)]])/SUM(NMRPrep[[#This Row],[DI (uL) ]:[ NH4Cl (uL)]])</f>
        <v>#DIV/0!</v>
      </c>
    </row>
    <row r="606" spans="1:18" x14ac:dyDescent="0.25">
      <c r="A606" s="1">
        <f>SampleList[[#This Row],[Date Sampled]]</f>
        <v>0</v>
      </c>
      <c r="B606" t="str" cm="1">
        <f t="array" ref="B606">IF(ISBLANK(INDEX(SampleList[NMR],ROW()-1)),"Not Requested",INDEX(SampleList[Experiment ID],ROW()-1))</f>
        <v>Not Requested</v>
      </c>
      <c r="C606">
        <f>SampleList[[#This Row],[Duration (Days)]]</f>
        <v>0</v>
      </c>
      <c r="D606">
        <f>SampleList[[#This Row],[Sample Description]]</f>
        <v>0</v>
      </c>
      <c r="N606">
        <f>SUM(NMRPrep[[#This Row],[d-DMSO (uL) ]:[ NH4Cl (uL)]])</f>
        <v>0</v>
      </c>
      <c r="O606">
        <f>647</f>
        <v>647</v>
      </c>
      <c r="P606">
        <f>NMRPrep[[#This Row],[Total (uL) ]]-NMRPrep[[#This Row],[Target (uL)]]</f>
        <v>-647</v>
      </c>
      <c r="R606" t="e">
        <f>(NMRPrep[[#This Row],[NH4Cl Stock Concentration (mM)]]*NMRPrep[[#This Row],[ NH4Cl (uL)]])/SUM(NMRPrep[[#This Row],[DI (uL) ]:[ NH4Cl (uL)]])</f>
        <v>#DIV/0!</v>
      </c>
    </row>
    <row r="607" spans="1:18" x14ac:dyDescent="0.25">
      <c r="A607" s="1">
        <f>SampleList[[#This Row],[Date Sampled]]</f>
        <v>0</v>
      </c>
      <c r="B607" t="str" cm="1">
        <f t="array" ref="B607">IF(ISBLANK(INDEX(SampleList[NMR],ROW()-1)),"Not Requested",INDEX(SampleList[Experiment ID],ROW()-1))</f>
        <v>Not Requested</v>
      </c>
      <c r="C607">
        <f>SampleList[[#This Row],[Duration (Days)]]</f>
        <v>0</v>
      </c>
      <c r="D607">
        <f>SampleList[[#This Row],[Sample Description]]</f>
        <v>0</v>
      </c>
      <c r="N607">
        <f>SUM(NMRPrep[[#This Row],[d-DMSO (uL) ]:[ NH4Cl (uL)]])</f>
        <v>0</v>
      </c>
      <c r="O607">
        <f>647</f>
        <v>647</v>
      </c>
      <c r="P607">
        <f>NMRPrep[[#This Row],[Total (uL) ]]-NMRPrep[[#This Row],[Target (uL)]]</f>
        <v>-647</v>
      </c>
      <c r="R607" t="e">
        <f>(NMRPrep[[#This Row],[NH4Cl Stock Concentration (mM)]]*NMRPrep[[#This Row],[ NH4Cl (uL)]])/SUM(NMRPrep[[#This Row],[DI (uL) ]:[ NH4Cl (uL)]])</f>
        <v>#DIV/0!</v>
      </c>
    </row>
    <row r="608" spans="1:18" x14ac:dyDescent="0.25">
      <c r="A608" s="1">
        <f>SampleList[[#This Row],[Date Sampled]]</f>
        <v>0</v>
      </c>
      <c r="B608" t="str" cm="1">
        <f t="array" ref="B608">IF(ISBLANK(INDEX(SampleList[NMR],ROW()-1)),"Not Requested",INDEX(SampleList[Experiment ID],ROW()-1))</f>
        <v>Not Requested</v>
      </c>
      <c r="C608">
        <f>SampleList[[#This Row],[Duration (Days)]]</f>
        <v>0</v>
      </c>
      <c r="D608">
        <f>SampleList[[#This Row],[Sample Description]]</f>
        <v>0</v>
      </c>
      <c r="N608">
        <f>SUM(NMRPrep[[#This Row],[d-DMSO (uL) ]:[ NH4Cl (uL)]])</f>
        <v>0</v>
      </c>
      <c r="O608">
        <f>647</f>
        <v>647</v>
      </c>
      <c r="P608">
        <f>NMRPrep[[#This Row],[Total (uL) ]]-NMRPrep[[#This Row],[Target (uL)]]</f>
        <v>-647</v>
      </c>
      <c r="R608" t="e">
        <f>(NMRPrep[[#This Row],[NH4Cl Stock Concentration (mM)]]*NMRPrep[[#This Row],[ NH4Cl (uL)]])/SUM(NMRPrep[[#This Row],[DI (uL) ]:[ NH4Cl (uL)]])</f>
        <v>#DIV/0!</v>
      </c>
    </row>
    <row r="609" spans="1:18" x14ac:dyDescent="0.25">
      <c r="A609" s="1">
        <f>SampleList[[#This Row],[Date Sampled]]</f>
        <v>0</v>
      </c>
      <c r="B609" t="str" cm="1">
        <f t="array" ref="B609">IF(ISBLANK(INDEX(SampleList[NMR],ROW()-1)),"Not Requested",INDEX(SampleList[Experiment ID],ROW()-1))</f>
        <v>Not Requested</v>
      </c>
      <c r="C609">
        <f>SampleList[[#This Row],[Duration (Days)]]</f>
        <v>0</v>
      </c>
      <c r="D609">
        <f>SampleList[[#This Row],[Sample Description]]</f>
        <v>0</v>
      </c>
      <c r="N609">
        <f>SUM(NMRPrep[[#This Row],[d-DMSO (uL) ]:[ NH4Cl (uL)]])</f>
        <v>0</v>
      </c>
      <c r="O609">
        <f>647</f>
        <v>647</v>
      </c>
      <c r="P609">
        <f>NMRPrep[[#This Row],[Total (uL) ]]-NMRPrep[[#This Row],[Target (uL)]]</f>
        <v>-647</v>
      </c>
      <c r="R609" t="e">
        <f>(NMRPrep[[#This Row],[NH4Cl Stock Concentration (mM)]]*NMRPrep[[#This Row],[ NH4Cl (uL)]])/SUM(NMRPrep[[#This Row],[DI (uL) ]:[ NH4Cl (uL)]])</f>
        <v>#DIV/0!</v>
      </c>
    </row>
    <row r="610" spans="1:18" x14ac:dyDescent="0.25">
      <c r="A610" s="1">
        <f>SampleList[[#This Row],[Date Sampled]]</f>
        <v>0</v>
      </c>
      <c r="B610" t="str" cm="1">
        <f t="array" ref="B610">IF(ISBLANK(INDEX(SampleList[NMR],ROW()-1)),"Not Requested",INDEX(SampleList[Experiment ID],ROW()-1))</f>
        <v>Not Requested</v>
      </c>
      <c r="C610">
        <f>SampleList[[#This Row],[Duration (Days)]]</f>
        <v>0</v>
      </c>
      <c r="D610">
        <f>SampleList[[#This Row],[Sample Description]]</f>
        <v>0</v>
      </c>
      <c r="N610">
        <f>SUM(NMRPrep[[#This Row],[d-DMSO (uL) ]:[ NH4Cl (uL)]])</f>
        <v>0</v>
      </c>
      <c r="O610">
        <f>647</f>
        <v>647</v>
      </c>
      <c r="P610">
        <f>NMRPrep[[#This Row],[Total (uL) ]]-NMRPrep[[#This Row],[Target (uL)]]</f>
        <v>-647</v>
      </c>
      <c r="R610" t="e">
        <f>(NMRPrep[[#This Row],[NH4Cl Stock Concentration (mM)]]*NMRPrep[[#This Row],[ NH4Cl (uL)]])/SUM(NMRPrep[[#This Row],[DI (uL) ]:[ NH4Cl (uL)]])</f>
        <v>#DIV/0!</v>
      </c>
    </row>
    <row r="611" spans="1:18" x14ac:dyDescent="0.25">
      <c r="A611" s="1">
        <f>SampleList[[#This Row],[Date Sampled]]</f>
        <v>0</v>
      </c>
      <c r="B611" t="str" cm="1">
        <f t="array" ref="B611">IF(ISBLANK(INDEX(SampleList[NMR],ROW()-1)),"Not Requested",INDEX(SampleList[Experiment ID],ROW()-1))</f>
        <v>Not Requested</v>
      </c>
      <c r="C611">
        <f>SampleList[[#This Row],[Duration (Days)]]</f>
        <v>0</v>
      </c>
      <c r="D611">
        <f>SampleList[[#This Row],[Sample Description]]</f>
        <v>0</v>
      </c>
      <c r="N611">
        <f>SUM(NMRPrep[[#This Row],[d-DMSO (uL) ]:[ NH4Cl (uL)]])</f>
        <v>0</v>
      </c>
      <c r="O611">
        <f>647</f>
        <v>647</v>
      </c>
      <c r="P611">
        <f>NMRPrep[[#This Row],[Total (uL) ]]-NMRPrep[[#This Row],[Target (uL)]]</f>
        <v>-647</v>
      </c>
      <c r="R611" t="e">
        <f>(NMRPrep[[#This Row],[NH4Cl Stock Concentration (mM)]]*NMRPrep[[#This Row],[ NH4Cl (uL)]])/SUM(NMRPrep[[#This Row],[DI (uL) ]:[ NH4Cl (uL)]])</f>
        <v>#DIV/0!</v>
      </c>
    </row>
    <row r="612" spans="1:18" x14ac:dyDescent="0.25">
      <c r="A612" s="1">
        <f>SampleList[[#This Row],[Date Sampled]]</f>
        <v>0</v>
      </c>
      <c r="B612" t="str" cm="1">
        <f t="array" ref="B612">IF(ISBLANK(INDEX(SampleList[NMR],ROW()-1)),"Not Requested",INDEX(SampleList[Experiment ID],ROW()-1))</f>
        <v>Not Requested</v>
      </c>
      <c r="C612">
        <f>SampleList[[#This Row],[Duration (Days)]]</f>
        <v>0</v>
      </c>
      <c r="D612">
        <f>SampleList[[#This Row],[Sample Description]]</f>
        <v>0</v>
      </c>
      <c r="N612">
        <f>SUM(NMRPrep[[#This Row],[d-DMSO (uL) ]:[ NH4Cl (uL)]])</f>
        <v>0</v>
      </c>
      <c r="O612">
        <f>647</f>
        <v>647</v>
      </c>
      <c r="P612">
        <f>NMRPrep[[#This Row],[Total (uL) ]]-NMRPrep[[#This Row],[Target (uL)]]</f>
        <v>-647</v>
      </c>
      <c r="R612" t="e">
        <f>(NMRPrep[[#This Row],[NH4Cl Stock Concentration (mM)]]*NMRPrep[[#This Row],[ NH4Cl (uL)]])/SUM(NMRPrep[[#This Row],[DI (uL) ]:[ NH4Cl (uL)]])</f>
        <v>#DIV/0!</v>
      </c>
    </row>
    <row r="613" spans="1:18" x14ac:dyDescent="0.25">
      <c r="A613" s="1">
        <f>SampleList[[#This Row],[Date Sampled]]</f>
        <v>0</v>
      </c>
      <c r="B613" t="str" cm="1">
        <f t="array" ref="B613">IF(ISBLANK(INDEX(SampleList[NMR],ROW()-1)),"Not Requested",INDEX(SampleList[Experiment ID],ROW()-1))</f>
        <v>Not Requested</v>
      </c>
      <c r="C613">
        <f>SampleList[[#This Row],[Duration (Days)]]</f>
        <v>0</v>
      </c>
      <c r="D613">
        <f>SampleList[[#This Row],[Sample Description]]</f>
        <v>0</v>
      </c>
      <c r="N613">
        <f>SUM(NMRPrep[[#This Row],[d-DMSO (uL) ]:[ NH4Cl (uL)]])</f>
        <v>0</v>
      </c>
      <c r="O613">
        <f>647</f>
        <v>647</v>
      </c>
      <c r="P613">
        <f>NMRPrep[[#This Row],[Total (uL) ]]-NMRPrep[[#This Row],[Target (uL)]]</f>
        <v>-647</v>
      </c>
      <c r="R613" t="e">
        <f>(NMRPrep[[#This Row],[NH4Cl Stock Concentration (mM)]]*NMRPrep[[#This Row],[ NH4Cl (uL)]])/SUM(NMRPrep[[#This Row],[DI (uL) ]:[ NH4Cl (uL)]])</f>
        <v>#DIV/0!</v>
      </c>
    </row>
    <row r="614" spans="1:18" x14ac:dyDescent="0.25">
      <c r="A614" s="1">
        <f>SampleList[[#This Row],[Date Sampled]]</f>
        <v>0</v>
      </c>
      <c r="B614" t="str" cm="1">
        <f t="array" ref="B614">IF(ISBLANK(INDEX(SampleList[NMR],ROW()-1)),"Not Requested",INDEX(SampleList[Experiment ID],ROW()-1))</f>
        <v>Not Requested</v>
      </c>
      <c r="C614">
        <f>SampleList[[#This Row],[Duration (Days)]]</f>
        <v>0</v>
      </c>
      <c r="D614">
        <f>SampleList[[#This Row],[Sample Description]]</f>
        <v>0</v>
      </c>
      <c r="N614">
        <f>SUM(NMRPrep[[#This Row],[d-DMSO (uL) ]:[ NH4Cl (uL)]])</f>
        <v>0</v>
      </c>
      <c r="O614">
        <f>647</f>
        <v>647</v>
      </c>
      <c r="P614">
        <f>NMRPrep[[#This Row],[Total (uL) ]]-NMRPrep[[#This Row],[Target (uL)]]</f>
        <v>-647</v>
      </c>
      <c r="R614" t="e">
        <f>(NMRPrep[[#This Row],[NH4Cl Stock Concentration (mM)]]*NMRPrep[[#This Row],[ NH4Cl (uL)]])/SUM(NMRPrep[[#This Row],[DI (uL) ]:[ NH4Cl (uL)]])</f>
        <v>#DIV/0!</v>
      </c>
    </row>
    <row r="615" spans="1:18" x14ac:dyDescent="0.25">
      <c r="A615" s="1">
        <f>SampleList[[#This Row],[Date Sampled]]</f>
        <v>0</v>
      </c>
      <c r="B615" t="str" cm="1">
        <f t="array" ref="B615">IF(ISBLANK(INDEX(SampleList[NMR],ROW()-1)),"Not Requested",INDEX(SampleList[Experiment ID],ROW()-1))</f>
        <v>Not Requested</v>
      </c>
      <c r="C615">
        <f>SampleList[[#This Row],[Duration (Days)]]</f>
        <v>0</v>
      </c>
      <c r="D615">
        <f>SampleList[[#This Row],[Sample Description]]</f>
        <v>0</v>
      </c>
      <c r="N615">
        <f>SUM(NMRPrep[[#This Row],[d-DMSO (uL) ]:[ NH4Cl (uL)]])</f>
        <v>0</v>
      </c>
      <c r="O615">
        <f>647</f>
        <v>647</v>
      </c>
      <c r="P615">
        <f>NMRPrep[[#This Row],[Total (uL) ]]-NMRPrep[[#This Row],[Target (uL)]]</f>
        <v>-647</v>
      </c>
      <c r="R615" t="e">
        <f>(NMRPrep[[#This Row],[NH4Cl Stock Concentration (mM)]]*NMRPrep[[#This Row],[ NH4Cl (uL)]])/SUM(NMRPrep[[#This Row],[DI (uL) ]:[ NH4Cl (uL)]])</f>
        <v>#DIV/0!</v>
      </c>
    </row>
    <row r="616" spans="1:18" x14ac:dyDescent="0.25">
      <c r="A616" s="1">
        <f>SampleList[[#This Row],[Date Sampled]]</f>
        <v>0</v>
      </c>
      <c r="B616" t="str" cm="1">
        <f t="array" ref="B616">IF(ISBLANK(INDEX(SampleList[NMR],ROW()-1)),"Not Requested",INDEX(SampleList[Experiment ID],ROW()-1))</f>
        <v>Not Requested</v>
      </c>
      <c r="C616">
        <f>SampleList[[#This Row],[Duration (Days)]]</f>
        <v>0</v>
      </c>
      <c r="D616">
        <f>SampleList[[#This Row],[Sample Description]]</f>
        <v>0</v>
      </c>
      <c r="N616">
        <f>SUM(NMRPrep[[#This Row],[d-DMSO (uL) ]:[ NH4Cl (uL)]])</f>
        <v>0</v>
      </c>
      <c r="O616">
        <f>647</f>
        <v>647</v>
      </c>
      <c r="P616">
        <f>NMRPrep[[#This Row],[Total (uL) ]]-NMRPrep[[#This Row],[Target (uL)]]</f>
        <v>-647</v>
      </c>
      <c r="R616" t="e">
        <f>(NMRPrep[[#This Row],[NH4Cl Stock Concentration (mM)]]*NMRPrep[[#This Row],[ NH4Cl (uL)]])/SUM(NMRPrep[[#This Row],[DI (uL) ]:[ NH4Cl (uL)]])</f>
        <v>#DIV/0!</v>
      </c>
    </row>
    <row r="617" spans="1:18" x14ac:dyDescent="0.25">
      <c r="A617" s="1">
        <f>SampleList[[#This Row],[Date Sampled]]</f>
        <v>0</v>
      </c>
      <c r="B617" t="str" cm="1">
        <f t="array" ref="B617">IF(ISBLANK(INDEX(SampleList[NMR],ROW()-1)),"Not Requested",INDEX(SampleList[Experiment ID],ROW()-1))</f>
        <v>Not Requested</v>
      </c>
      <c r="C617">
        <f>SampleList[[#This Row],[Duration (Days)]]</f>
        <v>0</v>
      </c>
      <c r="D617">
        <f>SampleList[[#This Row],[Sample Description]]</f>
        <v>0</v>
      </c>
      <c r="N617">
        <f>SUM(NMRPrep[[#This Row],[d-DMSO (uL) ]:[ NH4Cl (uL)]])</f>
        <v>0</v>
      </c>
      <c r="O617">
        <f>647</f>
        <v>647</v>
      </c>
      <c r="P617">
        <f>NMRPrep[[#This Row],[Total (uL) ]]-NMRPrep[[#This Row],[Target (uL)]]</f>
        <v>-647</v>
      </c>
      <c r="R617" t="e">
        <f>(NMRPrep[[#This Row],[NH4Cl Stock Concentration (mM)]]*NMRPrep[[#This Row],[ NH4Cl (uL)]])/SUM(NMRPrep[[#This Row],[DI (uL) ]:[ NH4Cl (uL)]])</f>
        <v>#DIV/0!</v>
      </c>
    </row>
    <row r="618" spans="1:18" x14ac:dyDescent="0.25">
      <c r="A618" s="1">
        <f>SampleList[[#This Row],[Date Sampled]]</f>
        <v>0</v>
      </c>
      <c r="B618" t="str" cm="1">
        <f t="array" ref="B618">IF(ISBLANK(INDEX(SampleList[NMR],ROW()-1)),"Not Requested",INDEX(SampleList[Experiment ID],ROW()-1))</f>
        <v>Not Requested</v>
      </c>
      <c r="C618">
        <f>SampleList[[#This Row],[Duration (Days)]]</f>
        <v>0</v>
      </c>
      <c r="D618">
        <f>SampleList[[#This Row],[Sample Description]]</f>
        <v>0</v>
      </c>
      <c r="N618">
        <f>SUM(NMRPrep[[#This Row],[d-DMSO (uL) ]:[ NH4Cl (uL)]])</f>
        <v>0</v>
      </c>
      <c r="O618">
        <f>647</f>
        <v>647</v>
      </c>
      <c r="P618">
        <f>NMRPrep[[#This Row],[Total (uL) ]]-NMRPrep[[#This Row],[Target (uL)]]</f>
        <v>-647</v>
      </c>
      <c r="R618" t="e">
        <f>(NMRPrep[[#This Row],[NH4Cl Stock Concentration (mM)]]*NMRPrep[[#This Row],[ NH4Cl (uL)]])/SUM(NMRPrep[[#This Row],[DI (uL) ]:[ NH4Cl (uL)]])</f>
        <v>#DIV/0!</v>
      </c>
    </row>
    <row r="619" spans="1:18" x14ac:dyDescent="0.25">
      <c r="A619" s="1">
        <f>SampleList[[#This Row],[Date Sampled]]</f>
        <v>0</v>
      </c>
      <c r="B619" t="str" cm="1">
        <f t="array" ref="B619">IF(ISBLANK(INDEX(SampleList[NMR],ROW()-1)),"Not Requested",INDEX(SampleList[Experiment ID],ROW()-1))</f>
        <v>Not Requested</v>
      </c>
      <c r="C619">
        <f>SampleList[[#This Row],[Duration (Days)]]</f>
        <v>0</v>
      </c>
      <c r="D619">
        <f>SampleList[[#This Row],[Sample Description]]</f>
        <v>0</v>
      </c>
      <c r="N619">
        <f>SUM(NMRPrep[[#This Row],[d-DMSO (uL) ]:[ NH4Cl (uL)]])</f>
        <v>0</v>
      </c>
      <c r="O619">
        <f>647</f>
        <v>647</v>
      </c>
      <c r="P619">
        <f>NMRPrep[[#This Row],[Total (uL) ]]-NMRPrep[[#This Row],[Target (uL)]]</f>
        <v>-647</v>
      </c>
      <c r="R619" t="e">
        <f>(NMRPrep[[#This Row],[NH4Cl Stock Concentration (mM)]]*NMRPrep[[#This Row],[ NH4Cl (uL)]])/SUM(NMRPrep[[#This Row],[DI (uL) ]:[ NH4Cl (uL)]])</f>
        <v>#DIV/0!</v>
      </c>
    </row>
    <row r="620" spans="1:18" x14ac:dyDescent="0.25">
      <c r="A620" s="1">
        <f>SampleList[[#This Row],[Date Sampled]]</f>
        <v>0</v>
      </c>
      <c r="B620" t="str" cm="1">
        <f t="array" ref="B620">IF(ISBLANK(INDEX(SampleList[NMR],ROW()-1)),"Not Requested",INDEX(SampleList[Experiment ID],ROW()-1))</f>
        <v>Not Requested</v>
      </c>
      <c r="C620">
        <f>SampleList[[#This Row],[Duration (Days)]]</f>
        <v>0</v>
      </c>
      <c r="D620">
        <f>SampleList[[#This Row],[Sample Description]]</f>
        <v>0</v>
      </c>
      <c r="N620">
        <f>SUM(NMRPrep[[#This Row],[d-DMSO (uL) ]:[ NH4Cl (uL)]])</f>
        <v>0</v>
      </c>
      <c r="O620">
        <f>647</f>
        <v>647</v>
      </c>
      <c r="P620">
        <f>NMRPrep[[#This Row],[Total (uL) ]]-NMRPrep[[#This Row],[Target (uL)]]</f>
        <v>-647</v>
      </c>
      <c r="R620" t="e">
        <f>(NMRPrep[[#This Row],[NH4Cl Stock Concentration (mM)]]*NMRPrep[[#This Row],[ NH4Cl (uL)]])/SUM(NMRPrep[[#This Row],[DI (uL) ]:[ NH4Cl (uL)]])</f>
        <v>#DIV/0!</v>
      </c>
    </row>
    <row r="621" spans="1:18" x14ac:dyDescent="0.25">
      <c r="A621" s="1">
        <f>SampleList[[#This Row],[Date Sampled]]</f>
        <v>0</v>
      </c>
      <c r="B621" t="str" cm="1">
        <f t="array" ref="B621">IF(ISBLANK(INDEX(SampleList[NMR],ROW()-1)),"Not Requested",INDEX(SampleList[Experiment ID],ROW()-1))</f>
        <v>Not Requested</v>
      </c>
      <c r="C621">
        <f>SampleList[[#This Row],[Duration (Days)]]</f>
        <v>0</v>
      </c>
      <c r="D621">
        <f>SampleList[[#This Row],[Sample Description]]</f>
        <v>0</v>
      </c>
      <c r="N621">
        <f>SUM(NMRPrep[[#This Row],[d-DMSO (uL) ]:[ NH4Cl (uL)]])</f>
        <v>0</v>
      </c>
      <c r="O621">
        <f>647</f>
        <v>647</v>
      </c>
      <c r="P621">
        <f>NMRPrep[[#This Row],[Total (uL) ]]-NMRPrep[[#This Row],[Target (uL)]]</f>
        <v>-647</v>
      </c>
      <c r="R621" t="e">
        <f>(NMRPrep[[#This Row],[NH4Cl Stock Concentration (mM)]]*NMRPrep[[#This Row],[ NH4Cl (uL)]])/SUM(NMRPrep[[#This Row],[DI (uL) ]:[ NH4Cl (uL)]])</f>
        <v>#DIV/0!</v>
      </c>
    </row>
    <row r="622" spans="1:18" x14ac:dyDescent="0.25">
      <c r="A622" s="1">
        <f>SampleList[[#This Row],[Date Sampled]]</f>
        <v>0</v>
      </c>
      <c r="B622" t="str" cm="1">
        <f t="array" ref="B622">IF(ISBLANK(INDEX(SampleList[NMR],ROW()-1)),"Not Requested",INDEX(SampleList[Experiment ID],ROW()-1))</f>
        <v>Not Requested</v>
      </c>
      <c r="C622">
        <f>SampleList[[#This Row],[Duration (Days)]]</f>
        <v>0</v>
      </c>
      <c r="D622">
        <f>SampleList[[#This Row],[Sample Description]]</f>
        <v>0</v>
      </c>
      <c r="N622">
        <f>SUM(NMRPrep[[#This Row],[d-DMSO (uL) ]:[ NH4Cl (uL)]])</f>
        <v>0</v>
      </c>
      <c r="O622">
        <f>647</f>
        <v>647</v>
      </c>
      <c r="P622">
        <f>NMRPrep[[#This Row],[Total (uL) ]]-NMRPrep[[#This Row],[Target (uL)]]</f>
        <v>-647</v>
      </c>
      <c r="R622" t="e">
        <f>(NMRPrep[[#This Row],[NH4Cl Stock Concentration (mM)]]*NMRPrep[[#This Row],[ NH4Cl (uL)]])/SUM(NMRPrep[[#This Row],[DI (uL) ]:[ NH4Cl (uL)]])</f>
        <v>#DIV/0!</v>
      </c>
    </row>
    <row r="623" spans="1:18" x14ac:dyDescent="0.25">
      <c r="A623" s="1">
        <f>SampleList[[#This Row],[Date Sampled]]</f>
        <v>0</v>
      </c>
      <c r="B623" t="str" cm="1">
        <f t="array" ref="B623">IF(ISBLANK(INDEX(SampleList[NMR],ROW()-1)),"Not Requested",INDEX(SampleList[Experiment ID],ROW()-1))</f>
        <v>Not Requested</v>
      </c>
      <c r="C623">
        <f>SampleList[[#This Row],[Duration (Days)]]</f>
        <v>0</v>
      </c>
      <c r="D623">
        <f>SampleList[[#This Row],[Sample Description]]</f>
        <v>0</v>
      </c>
      <c r="N623">
        <f>SUM(NMRPrep[[#This Row],[d-DMSO (uL) ]:[ NH4Cl (uL)]])</f>
        <v>0</v>
      </c>
      <c r="O623">
        <f>647</f>
        <v>647</v>
      </c>
      <c r="P623">
        <f>NMRPrep[[#This Row],[Total (uL) ]]-NMRPrep[[#This Row],[Target (uL)]]</f>
        <v>-647</v>
      </c>
      <c r="R623" t="e">
        <f>(NMRPrep[[#This Row],[NH4Cl Stock Concentration (mM)]]*NMRPrep[[#This Row],[ NH4Cl (uL)]])/SUM(NMRPrep[[#This Row],[DI (uL) ]:[ NH4Cl (uL)]])</f>
        <v>#DIV/0!</v>
      </c>
    </row>
    <row r="624" spans="1:18" x14ac:dyDescent="0.25">
      <c r="A624" s="1">
        <f>SampleList[[#This Row],[Date Sampled]]</f>
        <v>0</v>
      </c>
      <c r="B624" t="str" cm="1">
        <f t="array" ref="B624">IF(ISBLANK(INDEX(SampleList[NMR],ROW()-1)),"Not Requested",INDEX(SampleList[Experiment ID],ROW()-1))</f>
        <v>Not Requested</v>
      </c>
      <c r="C624">
        <f>SampleList[[#This Row],[Duration (Days)]]</f>
        <v>0</v>
      </c>
      <c r="D624">
        <f>SampleList[[#This Row],[Sample Description]]</f>
        <v>0</v>
      </c>
      <c r="N624">
        <f>SUM(NMRPrep[[#This Row],[d-DMSO (uL) ]:[ NH4Cl (uL)]])</f>
        <v>0</v>
      </c>
      <c r="O624">
        <f>647</f>
        <v>647</v>
      </c>
      <c r="P624">
        <f>NMRPrep[[#This Row],[Total (uL) ]]-NMRPrep[[#This Row],[Target (uL)]]</f>
        <v>-647</v>
      </c>
      <c r="R624" t="e">
        <f>(NMRPrep[[#This Row],[NH4Cl Stock Concentration (mM)]]*NMRPrep[[#This Row],[ NH4Cl (uL)]])/SUM(NMRPrep[[#This Row],[DI (uL) ]:[ NH4Cl (uL)]])</f>
        <v>#DIV/0!</v>
      </c>
    </row>
    <row r="625" spans="1:18" x14ac:dyDescent="0.25">
      <c r="A625" s="1">
        <f>SampleList[[#This Row],[Date Sampled]]</f>
        <v>0</v>
      </c>
      <c r="B625" t="str" cm="1">
        <f t="array" ref="B625">IF(ISBLANK(INDEX(SampleList[NMR],ROW()-1)),"Not Requested",INDEX(SampleList[Experiment ID],ROW()-1))</f>
        <v>Not Requested</v>
      </c>
      <c r="C625">
        <f>SampleList[[#This Row],[Duration (Days)]]</f>
        <v>0</v>
      </c>
      <c r="D625">
        <f>SampleList[[#This Row],[Sample Description]]</f>
        <v>0</v>
      </c>
      <c r="N625">
        <f>SUM(NMRPrep[[#This Row],[d-DMSO (uL) ]:[ NH4Cl (uL)]])</f>
        <v>0</v>
      </c>
      <c r="O625">
        <f>647</f>
        <v>647</v>
      </c>
      <c r="P625">
        <f>NMRPrep[[#This Row],[Total (uL) ]]-NMRPrep[[#This Row],[Target (uL)]]</f>
        <v>-647</v>
      </c>
      <c r="R625" t="e">
        <f>(NMRPrep[[#This Row],[NH4Cl Stock Concentration (mM)]]*NMRPrep[[#This Row],[ NH4Cl (uL)]])/SUM(NMRPrep[[#This Row],[DI (uL) ]:[ NH4Cl (uL)]])</f>
        <v>#DIV/0!</v>
      </c>
    </row>
    <row r="626" spans="1:18" x14ac:dyDescent="0.25">
      <c r="A626" s="1">
        <f>SampleList[[#This Row],[Date Sampled]]</f>
        <v>0</v>
      </c>
      <c r="B626" t="str" cm="1">
        <f t="array" ref="B626">IF(ISBLANK(INDEX(SampleList[NMR],ROW()-1)),"Not Requested",INDEX(SampleList[Experiment ID],ROW()-1))</f>
        <v>Not Requested</v>
      </c>
      <c r="C626">
        <f>SampleList[[#This Row],[Duration (Days)]]</f>
        <v>0</v>
      </c>
      <c r="D626">
        <f>SampleList[[#This Row],[Sample Description]]</f>
        <v>0</v>
      </c>
      <c r="N626">
        <f>SUM(NMRPrep[[#This Row],[d-DMSO (uL) ]:[ NH4Cl (uL)]])</f>
        <v>0</v>
      </c>
      <c r="O626">
        <f>647</f>
        <v>647</v>
      </c>
      <c r="P626">
        <f>NMRPrep[[#This Row],[Total (uL) ]]-NMRPrep[[#This Row],[Target (uL)]]</f>
        <v>-647</v>
      </c>
      <c r="R626" t="e">
        <f>(NMRPrep[[#This Row],[NH4Cl Stock Concentration (mM)]]*NMRPrep[[#This Row],[ NH4Cl (uL)]])/SUM(NMRPrep[[#This Row],[DI (uL) ]:[ NH4Cl (uL)]])</f>
        <v>#DIV/0!</v>
      </c>
    </row>
    <row r="627" spans="1:18" x14ac:dyDescent="0.25">
      <c r="A627" s="1">
        <f>SampleList[[#This Row],[Date Sampled]]</f>
        <v>0</v>
      </c>
      <c r="B627" t="str" cm="1">
        <f t="array" ref="B627">IF(ISBLANK(INDEX(SampleList[NMR],ROW()-1)),"Not Requested",INDEX(SampleList[Experiment ID],ROW()-1))</f>
        <v>Not Requested</v>
      </c>
      <c r="C627">
        <f>SampleList[[#This Row],[Duration (Days)]]</f>
        <v>0</v>
      </c>
      <c r="D627">
        <f>SampleList[[#This Row],[Sample Description]]</f>
        <v>0</v>
      </c>
      <c r="N627">
        <f>SUM(NMRPrep[[#This Row],[d-DMSO (uL) ]:[ NH4Cl (uL)]])</f>
        <v>0</v>
      </c>
      <c r="O627">
        <f>647</f>
        <v>647</v>
      </c>
      <c r="P627">
        <f>NMRPrep[[#This Row],[Total (uL) ]]-NMRPrep[[#This Row],[Target (uL)]]</f>
        <v>-647</v>
      </c>
      <c r="R627" t="e">
        <f>(NMRPrep[[#This Row],[NH4Cl Stock Concentration (mM)]]*NMRPrep[[#This Row],[ NH4Cl (uL)]])/SUM(NMRPrep[[#This Row],[DI (uL) ]:[ NH4Cl (uL)]])</f>
        <v>#DIV/0!</v>
      </c>
    </row>
    <row r="628" spans="1:18" x14ac:dyDescent="0.25">
      <c r="A628" s="1">
        <f>SampleList[[#This Row],[Date Sampled]]</f>
        <v>0</v>
      </c>
      <c r="B628" t="str" cm="1">
        <f t="array" ref="B628">IF(ISBLANK(INDEX(SampleList[NMR],ROW()-1)),"Not Requested",INDEX(SampleList[Experiment ID],ROW()-1))</f>
        <v>Not Requested</v>
      </c>
      <c r="C628">
        <f>SampleList[[#This Row],[Duration (Days)]]</f>
        <v>0</v>
      </c>
      <c r="D628">
        <f>SampleList[[#This Row],[Sample Description]]</f>
        <v>0</v>
      </c>
      <c r="N628">
        <f>SUM(NMRPrep[[#This Row],[d-DMSO (uL) ]:[ NH4Cl (uL)]])</f>
        <v>0</v>
      </c>
      <c r="O628">
        <f>647</f>
        <v>647</v>
      </c>
      <c r="P628">
        <f>NMRPrep[[#This Row],[Total (uL) ]]-NMRPrep[[#This Row],[Target (uL)]]</f>
        <v>-647</v>
      </c>
      <c r="R628" t="e">
        <f>(NMRPrep[[#This Row],[NH4Cl Stock Concentration (mM)]]*NMRPrep[[#This Row],[ NH4Cl (uL)]])/SUM(NMRPrep[[#This Row],[DI (uL) ]:[ NH4Cl (uL)]])</f>
        <v>#DIV/0!</v>
      </c>
    </row>
    <row r="629" spans="1:18" x14ac:dyDescent="0.25">
      <c r="A629" s="1">
        <f>SampleList[[#This Row],[Date Sampled]]</f>
        <v>0</v>
      </c>
      <c r="B629" t="str" cm="1">
        <f t="array" ref="B629">IF(ISBLANK(INDEX(SampleList[NMR],ROW()-1)),"Not Requested",INDEX(SampleList[Experiment ID],ROW()-1))</f>
        <v>Not Requested</v>
      </c>
      <c r="C629">
        <f>SampleList[[#This Row],[Duration (Days)]]</f>
        <v>0</v>
      </c>
      <c r="D629">
        <f>SampleList[[#This Row],[Sample Description]]</f>
        <v>0</v>
      </c>
      <c r="N629">
        <f>SUM(NMRPrep[[#This Row],[d-DMSO (uL) ]:[ NH4Cl (uL)]])</f>
        <v>0</v>
      </c>
      <c r="O629">
        <f>647</f>
        <v>647</v>
      </c>
      <c r="P629">
        <f>NMRPrep[[#This Row],[Total (uL) ]]-NMRPrep[[#This Row],[Target (uL)]]</f>
        <v>-647</v>
      </c>
      <c r="R629" t="e">
        <f>(NMRPrep[[#This Row],[NH4Cl Stock Concentration (mM)]]*NMRPrep[[#This Row],[ NH4Cl (uL)]])/SUM(NMRPrep[[#This Row],[DI (uL) ]:[ NH4Cl (uL)]])</f>
        <v>#DIV/0!</v>
      </c>
    </row>
    <row r="630" spans="1:18" x14ac:dyDescent="0.25">
      <c r="A630" s="1">
        <f>SampleList[[#This Row],[Date Sampled]]</f>
        <v>0</v>
      </c>
      <c r="B630" t="str" cm="1">
        <f t="array" ref="B630">IF(ISBLANK(INDEX(SampleList[NMR],ROW()-1)),"Not Requested",INDEX(SampleList[Experiment ID],ROW()-1))</f>
        <v>Not Requested</v>
      </c>
      <c r="C630">
        <f>SampleList[[#This Row],[Duration (Days)]]</f>
        <v>0</v>
      </c>
      <c r="D630">
        <f>SampleList[[#This Row],[Sample Description]]</f>
        <v>0</v>
      </c>
      <c r="N630">
        <f>SUM(NMRPrep[[#This Row],[d-DMSO (uL) ]:[ NH4Cl (uL)]])</f>
        <v>0</v>
      </c>
      <c r="O630">
        <f>647</f>
        <v>647</v>
      </c>
      <c r="P630">
        <f>NMRPrep[[#This Row],[Total (uL) ]]-NMRPrep[[#This Row],[Target (uL)]]</f>
        <v>-647</v>
      </c>
      <c r="R630" t="e">
        <f>(NMRPrep[[#This Row],[NH4Cl Stock Concentration (mM)]]*NMRPrep[[#This Row],[ NH4Cl (uL)]])/SUM(NMRPrep[[#This Row],[DI (uL) ]:[ NH4Cl (uL)]])</f>
        <v>#DIV/0!</v>
      </c>
    </row>
    <row r="631" spans="1:18" x14ac:dyDescent="0.25">
      <c r="A631" s="1">
        <f>SampleList[[#This Row],[Date Sampled]]</f>
        <v>0</v>
      </c>
      <c r="B631" t="str" cm="1">
        <f t="array" ref="B631">IF(ISBLANK(INDEX(SampleList[NMR],ROW()-1)),"Not Requested",INDEX(SampleList[Experiment ID],ROW()-1))</f>
        <v>Not Requested</v>
      </c>
      <c r="C631">
        <f>SampleList[[#This Row],[Duration (Days)]]</f>
        <v>0</v>
      </c>
      <c r="D631">
        <f>SampleList[[#This Row],[Sample Description]]</f>
        <v>0</v>
      </c>
      <c r="N631">
        <f>SUM(NMRPrep[[#This Row],[d-DMSO (uL) ]:[ NH4Cl (uL)]])</f>
        <v>0</v>
      </c>
      <c r="O631">
        <f>647</f>
        <v>647</v>
      </c>
      <c r="P631">
        <f>NMRPrep[[#This Row],[Total (uL) ]]-NMRPrep[[#This Row],[Target (uL)]]</f>
        <v>-647</v>
      </c>
      <c r="R631" t="e">
        <f>(NMRPrep[[#This Row],[NH4Cl Stock Concentration (mM)]]*NMRPrep[[#This Row],[ NH4Cl (uL)]])/SUM(NMRPrep[[#This Row],[DI (uL) ]:[ NH4Cl (uL)]])</f>
        <v>#DIV/0!</v>
      </c>
    </row>
    <row r="632" spans="1:18" x14ac:dyDescent="0.25">
      <c r="A632" s="1">
        <f>SampleList[[#This Row],[Date Sampled]]</f>
        <v>0</v>
      </c>
      <c r="B632" t="str" cm="1">
        <f t="array" ref="B632">IF(ISBLANK(INDEX(SampleList[NMR],ROW()-1)),"Not Requested",INDEX(SampleList[Experiment ID],ROW()-1))</f>
        <v>Not Requested</v>
      </c>
      <c r="C632">
        <f>SampleList[[#This Row],[Duration (Days)]]</f>
        <v>0</v>
      </c>
      <c r="D632">
        <f>SampleList[[#This Row],[Sample Description]]</f>
        <v>0</v>
      </c>
      <c r="N632">
        <f>SUM(NMRPrep[[#This Row],[d-DMSO (uL) ]:[ NH4Cl (uL)]])</f>
        <v>0</v>
      </c>
      <c r="O632">
        <f>647</f>
        <v>647</v>
      </c>
      <c r="P632">
        <f>NMRPrep[[#This Row],[Total (uL) ]]-NMRPrep[[#This Row],[Target (uL)]]</f>
        <v>-647</v>
      </c>
      <c r="R632" t="e">
        <f>(NMRPrep[[#This Row],[NH4Cl Stock Concentration (mM)]]*NMRPrep[[#This Row],[ NH4Cl (uL)]])/SUM(NMRPrep[[#This Row],[DI (uL) ]:[ NH4Cl (uL)]])</f>
        <v>#DIV/0!</v>
      </c>
    </row>
    <row r="633" spans="1:18" x14ac:dyDescent="0.25">
      <c r="A633" s="1">
        <f>SampleList[[#This Row],[Date Sampled]]</f>
        <v>0</v>
      </c>
      <c r="B633" t="str" cm="1">
        <f t="array" ref="B633">IF(ISBLANK(INDEX(SampleList[NMR],ROW()-1)),"Not Requested",INDEX(SampleList[Experiment ID],ROW()-1))</f>
        <v>Not Requested</v>
      </c>
      <c r="C633">
        <f>SampleList[[#This Row],[Duration (Days)]]</f>
        <v>0</v>
      </c>
      <c r="D633">
        <f>SampleList[[#This Row],[Sample Description]]</f>
        <v>0</v>
      </c>
      <c r="N633">
        <f>SUM(NMRPrep[[#This Row],[d-DMSO (uL) ]:[ NH4Cl (uL)]])</f>
        <v>0</v>
      </c>
      <c r="O633">
        <f>647</f>
        <v>647</v>
      </c>
      <c r="P633">
        <f>NMRPrep[[#This Row],[Total (uL) ]]-NMRPrep[[#This Row],[Target (uL)]]</f>
        <v>-647</v>
      </c>
      <c r="R633" t="e">
        <f>(NMRPrep[[#This Row],[NH4Cl Stock Concentration (mM)]]*NMRPrep[[#This Row],[ NH4Cl (uL)]])/SUM(NMRPrep[[#This Row],[DI (uL) ]:[ NH4Cl (uL)]])</f>
        <v>#DIV/0!</v>
      </c>
    </row>
    <row r="634" spans="1:18" x14ac:dyDescent="0.25">
      <c r="A634" s="1">
        <f>SampleList[[#This Row],[Date Sampled]]</f>
        <v>0</v>
      </c>
      <c r="B634" t="str" cm="1">
        <f t="array" ref="B634">IF(ISBLANK(INDEX(SampleList[NMR],ROW()-1)),"Not Requested",INDEX(SampleList[Experiment ID],ROW()-1))</f>
        <v>Not Requested</v>
      </c>
      <c r="C634">
        <f>SampleList[[#This Row],[Duration (Days)]]</f>
        <v>0</v>
      </c>
      <c r="D634">
        <f>SampleList[[#This Row],[Sample Description]]</f>
        <v>0</v>
      </c>
      <c r="N634">
        <f>SUM(NMRPrep[[#This Row],[d-DMSO (uL) ]:[ NH4Cl (uL)]])</f>
        <v>0</v>
      </c>
      <c r="O634">
        <f>647</f>
        <v>647</v>
      </c>
      <c r="P634">
        <f>NMRPrep[[#This Row],[Total (uL) ]]-NMRPrep[[#This Row],[Target (uL)]]</f>
        <v>-647</v>
      </c>
      <c r="R634" t="e">
        <f>(NMRPrep[[#This Row],[NH4Cl Stock Concentration (mM)]]*NMRPrep[[#This Row],[ NH4Cl (uL)]])/SUM(NMRPrep[[#This Row],[DI (uL) ]:[ NH4Cl (uL)]])</f>
        <v>#DIV/0!</v>
      </c>
    </row>
    <row r="635" spans="1:18" x14ac:dyDescent="0.25">
      <c r="A635" s="1">
        <f>SampleList[[#This Row],[Date Sampled]]</f>
        <v>0</v>
      </c>
      <c r="B635" t="str" cm="1">
        <f t="array" ref="B635">IF(ISBLANK(INDEX(SampleList[NMR],ROW()-1)),"Not Requested",INDEX(SampleList[Experiment ID],ROW()-1))</f>
        <v>Not Requested</v>
      </c>
      <c r="C635">
        <f>SampleList[[#This Row],[Duration (Days)]]</f>
        <v>0</v>
      </c>
      <c r="D635">
        <f>SampleList[[#This Row],[Sample Description]]</f>
        <v>0</v>
      </c>
      <c r="N635">
        <f>SUM(NMRPrep[[#This Row],[d-DMSO (uL) ]:[ NH4Cl (uL)]])</f>
        <v>0</v>
      </c>
      <c r="O635">
        <f>647</f>
        <v>647</v>
      </c>
      <c r="P635">
        <f>NMRPrep[[#This Row],[Total (uL) ]]-NMRPrep[[#This Row],[Target (uL)]]</f>
        <v>-647</v>
      </c>
      <c r="R635" t="e">
        <f>(NMRPrep[[#This Row],[NH4Cl Stock Concentration (mM)]]*NMRPrep[[#This Row],[ NH4Cl (uL)]])/SUM(NMRPrep[[#This Row],[DI (uL) ]:[ NH4Cl (uL)]])</f>
        <v>#DIV/0!</v>
      </c>
    </row>
    <row r="636" spans="1:18" x14ac:dyDescent="0.25">
      <c r="A636" s="1">
        <f>SampleList[[#This Row],[Date Sampled]]</f>
        <v>0</v>
      </c>
      <c r="B636" t="str" cm="1">
        <f t="array" ref="B636">IF(ISBLANK(INDEX(SampleList[NMR],ROW()-1)),"Not Requested",INDEX(SampleList[Experiment ID],ROW()-1))</f>
        <v>Not Requested</v>
      </c>
      <c r="C636">
        <f>SampleList[[#This Row],[Duration (Days)]]</f>
        <v>0</v>
      </c>
      <c r="D636">
        <f>SampleList[[#This Row],[Sample Description]]</f>
        <v>0</v>
      </c>
      <c r="N636">
        <f>SUM(NMRPrep[[#This Row],[d-DMSO (uL) ]:[ NH4Cl (uL)]])</f>
        <v>0</v>
      </c>
      <c r="O636">
        <f>647</f>
        <v>647</v>
      </c>
      <c r="P636">
        <f>NMRPrep[[#This Row],[Total (uL) ]]-NMRPrep[[#This Row],[Target (uL)]]</f>
        <v>-647</v>
      </c>
      <c r="R636" t="e">
        <f>(NMRPrep[[#This Row],[NH4Cl Stock Concentration (mM)]]*NMRPrep[[#This Row],[ NH4Cl (uL)]])/SUM(NMRPrep[[#This Row],[DI (uL) ]:[ NH4Cl (uL)]])</f>
        <v>#DIV/0!</v>
      </c>
    </row>
    <row r="637" spans="1:18" x14ac:dyDescent="0.25">
      <c r="A637" s="1">
        <f>SampleList[[#This Row],[Date Sampled]]</f>
        <v>0</v>
      </c>
      <c r="B637" t="str" cm="1">
        <f t="array" ref="B637">IF(ISBLANK(INDEX(SampleList[NMR],ROW()-1)),"Not Requested",INDEX(SampleList[Experiment ID],ROW()-1))</f>
        <v>Not Requested</v>
      </c>
      <c r="C637">
        <f>SampleList[[#This Row],[Duration (Days)]]</f>
        <v>0</v>
      </c>
      <c r="D637">
        <f>SampleList[[#This Row],[Sample Description]]</f>
        <v>0</v>
      </c>
      <c r="N637">
        <f>SUM(NMRPrep[[#This Row],[d-DMSO (uL) ]:[ NH4Cl (uL)]])</f>
        <v>0</v>
      </c>
      <c r="O637">
        <f>647</f>
        <v>647</v>
      </c>
      <c r="P637">
        <f>NMRPrep[[#This Row],[Total (uL) ]]-NMRPrep[[#This Row],[Target (uL)]]</f>
        <v>-647</v>
      </c>
      <c r="R637" t="e">
        <f>(NMRPrep[[#This Row],[NH4Cl Stock Concentration (mM)]]*NMRPrep[[#This Row],[ NH4Cl (uL)]])/SUM(NMRPrep[[#This Row],[DI (uL) ]:[ NH4Cl (uL)]])</f>
        <v>#DIV/0!</v>
      </c>
    </row>
    <row r="638" spans="1:18" x14ac:dyDescent="0.25">
      <c r="A638" s="1">
        <f>SampleList[[#This Row],[Date Sampled]]</f>
        <v>0</v>
      </c>
      <c r="B638" t="str" cm="1">
        <f t="array" ref="B638">IF(ISBLANK(INDEX(SampleList[NMR],ROW()-1)),"Not Requested",INDEX(SampleList[Experiment ID],ROW()-1))</f>
        <v>Not Requested</v>
      </c>
      <c r="C638">
        <f>SampleList[[#This Row],[Duration (Days)]]</f>
        <v>0</v>
      </c>
      <c r="D638">
        <f>SampleList[[#This Row],[Sample Description]]</f>
        <v>0</v>
      </c>
      <c r="N638">
        <f>SUM(NMRPrep[[#This Row],[d-DMSO (uL) ]:[ NH4Cl (uL)]])</f>
        <v>0</v>
      </c>
      <c r="O638">
        <f>647</f>
        <v>647</v>
      </c>
      <c r="P638">
        <f>NMRPrep[[#This Row],[Total (uL) ]]-NMRPrep[[#This Row],[Target (uL)]]</f>
        <v>-647</v>
      </c>
      <c r="R638" t="e">
        <f>(NMRPrep[[#This Row],[NH4Cl Stock Concentration (mM)]]*NMRPrep[[#This Row],[ NH4Cl (uL)]])/SUM(NMRPrep[[#This Row],[DI (uL) ]:[ NH4Cl (uL)]])</f>
        <v>#DIV/0!</v>
      </c>
    </row>
    <row r="639" spans="1:18" x14ac:dyDescent="0.25">
      <c r="A639" s="1">
        <f>SampleList[[#This Row],[Date Sampled]]</f>
        <v>0</v>
      </c>
      <c r="B639" t="str" cm="1">
        <f t="array" ref="B639">IF(ISBLANK(INDEX(SampleList[NMR],ROW()-1)),"Not Requested",INDEX(SampleList[Experiment ID],ROW()-1))</f>
        <v>Not Requested</v>
      </c>
      <c r="C639">
        <f>SampleList[[#This Row],[Duration (Days)]]</f>
        <v>0</v>
      </c>
      <c r="D639">
        <f>SampleList[[#This Row],[Sample Description]]</f>
        <v>0</v>
      </c>
      <c r="N639">
        <f>SUM(NMRPrep[[#This Row],[d-DMSO (uL) ]:[ NH4Cl (uL)]])</f>
        <v>0</v>
      </c>
      <c r="O639">
        <f>647</f>
        <v>647</v>
      </c>
      <c r="P639">
        <f>NMRPrep[[#This Row],[Total (uL) ]]-NMRPrep[[#This Row],[Target (uL)]]</f>
        <v>-647</v>
      </c>
      <c r="R639" t="e">
        <f>(NMRPrep[[#This Row],[NH4Cl Stock Concentration (mM)]]*NMRPrep[[#This Row],[ NH4Cl (uL)]])/SUM(NMRPrep[[#This Row],[DI (uL) ]:[ NH4Cl (uL)]])</f>
        <v>#DIV/0!</v>
      </c>
    </row>
    <row r="640" spans="1:18" x14ac:dyDescent="0.25">
      <c r="A640" s="1">
        <f>SampleList[[#This Row],[Date Sampled]]</f>
        <v>0</v>
      </c>
      <c r="B640" t="str" cm="1">
        <f t="array" ref="B640">IF(ISBLANK(INDEX(SampleList[NMR],ROW()-1)),"Not Requested",INDEX(SampleList[Experiment ID],ROW()-1))</f>
        <v>Not Requested</v>
      </c>
      <c r="C640">
        <f>SampleList[[#This Row],[Duration (Days)]]</f>
        <v>0</v>
      </c>
      <c r="D640">
        <f>SampleList[[#This Row],[Sample Description]]</f>
        <v>0</v>
      </c>
      <c r="N640">
        <f>SUM(NMRPrep[[#This Row],[d-DMSO (uL) ]:[ NH4Cl (uL)]])</f>
        <v>0</v>
      </c>
      <c r="O640">
        <f>647</f>
        <v>647</v>
      </c>
      <c r="P640">
        <f>NMRPrep[[#This Row],[Total (uL) ]]-NMRPrep[[#This Row],[Target (uL)]]</f>
        <v>-647</v>
      </c>
      <c r="R640" t="e">
        <f>(NMRPrep[[#This Row],[NH4Cl Stock Concentration (mM)]]*NMRPrep[[#This Row],[ NH4Cl (uL)]])/SUM(NMRPrep[[#This Row],[DI (uL) ]:[ NH4Cl (uL)]])</f>
        <v>#DIV/0!</v>
      </c>
    </row>
    <row r="641" spans="1:18" x14ac:dyDescent="0.25">
      <c r="A641" s="1">
        <f>SampleList[[#This Row],[Date Sampled]]</f>
        <v>0</v>
      </c>
      <c r="B641" t="str" cm="1">
        <f t="array" ref="B641">IF(ISBLANK(INDEX(SampleList[NMR],ROW()-1)),"Not Requested",INDEX(SampleList[Experiment ID],ROW()-1))</f>
        <v>Not Requested</v>
      </c>
      <c r="C641">
        <f>SampleList[[#This Row],[Duration (Days)]]</f>
        <v>0</v>
      </c>
      <c r="D641">
        <f>SampleList[[#This Row],[Sample Description]]</f>
        <v>0</v>
      </c>
      <c r="N641">
        <f>SUM(NMRPrep[[#This Row],[d-DMSO (uL) ]:[ NH4Cl (uL)]])</f>
        <v>0</v>
      </c>
      <c r="O641">
        <f>647</f>
        <v>647</v>
      </c>
      <c r="P641">
        <f>NMRPrep[[#This Row],[Total (uL) ]]-NMRPrep[[#This Row],[Target (uL)]]</f>
        <v>-647</v>
      </c>
      <c r="R641" t="e">
        <f>(NMRPrep[[#This Row],[NH4Cl Stock Concentration (mM)]]*NMRPrep[[#This Row],[ NH4Cl (uL)]])/SUM(NMRPrep[[#This Row],[DI (uL) ]:[ NH4Cl (uL)]])</f>
        <v>#DIV/0!</v>
      </c>
    </row>
    <row r="642" spans="1:18" x14ac:dyDescent="0.25">
      <c r="A642" s="1">
        <f>SampleList[[#This Row],[Date Sampled]]</f>
        <v>0</v>
      </c>
      <c r="B642" t="str" cm="1">
        <f t="array" ref="B642">IF(ISBLANK(INDEX(SampleList[NMR],ROW()-1)),"Not Requested",INDEX(SampleList[Experiment ID],ROW()-1))</f>
        <v>Not Requested</v>
      </c>
      <c r="C642">
        <f>SampleList[[#This Row],[Duration (Days)]]</f>
        <v>0</v>
      </c>
      <c r="D642">
        <f>SampleList[[#This Row],[Sample Description]]</f>
        <v>0</v>
      </c>
      <c r="N642">
        <f>SUM(NMRPrep[[#This Row],[d-DMSO (uL) ]:[ NH4Cl (uL)]])</f>
        <v>0</v>
      </c>
      <c r="O642">
        <f>647</f>
        <v>647</v>
      </c>
      <c r="P642">
        <f>NMRPrep[[#This Row],[Total (uL) ]]-NMRPrep[[#This Row],[Target (uL)]]</f>
        <v>-647</v>
      </c>
      <c r="R642" t="e">
        <f>(NMRPrep[[#This Row],[NH4Cl Stock Concentration (mM)]]*NMRPrep[[#This Row],[ NH4Cl (uL)]])/SUM(NMRPrep[[#This Row],[DI (uL) ]:[ NH4Cl (uL)]])</f>
        <v>#DIV/0!</v>
      </c>
    </row>
    <row r="643" spans="1:18" x14ac:dyDescent="0.25">
      <c r="A643" s="1">
        <f>SampleList[[#This Row],[Date Sampled]]</f>
        <v>0</v>
      </c>
      <c r="B643" t="str" cm="1">
        <f t="array" ref="B643">IF(ISBLANK(INDEX(SampleList[NMR],ROW()-1)),"Not Requested",INDEX(SampleList[Experiment ID],ROW()-1))</f>
        <v>Not Requested</v>
      </c>
      <c r="C643">
        <f>SampleList[[#This Row],[Duration (Days)]]</f>
        <v>0</v>
      </c>
      <c r="D643">
        <f>SampleList[[#This Row],[Sample Description]]</f>
        <v>0</v>
      </c>
      <c r="N643">
        <f>SUM(NMRPrep[[#This Row],[d-DMSO (uL) ]:[ NH4Cl (uL)]])</f>
        <v>0</v>
      </c>
      <c r="O643">
        <f>647</f>
        <v>647</v>
      </c>
      <c r="P643">
        <f>NMRPrep[[#This Row],[Total (uL) ]]-NMRPrep[[#This Row],[Target (uL)]]</f>
        <v>-647</v>
      </c>
      <c r="R643" t="e">
        <f>(NMRPrep[[#This Row],[NH4Cl Stock Concentration (mM)]]*NMRPrep[[#This Row],[ NH4Cl (uL)]])/SUM(NMRPrep[[#This Row],[DI (uL) ]:[ NH4Cl (uL)]])</f>
        <v>#DIV/0!</v>
      </c>
    </row>
    <row r="644" spans="1:18" x14ac:dyDescent="0.25">
      <c r="A644" s="1">
        <f>SampleList[[#This Row],[Date Sampled]]</f>
        <v>0</v>
      </c>
      <c r="B644" t="str" cm="1">
        <f t="array" ref="B644">IF(ISBLANK(INDEX(SampleList[NMR],ROW()-1)),"Not Requested",INDEX(SampleList[Experiment ID],ROW()-1))</f>
        <v>Not Requested</v>
      </c>
      <c r="C644">
        <f>SampleList[[#This Row],[Duration (Days)]]</f>
        <v>0</v>
      </c>
      <c r="D644">
        <f>SampleList[[#This Row],[Sample Description]]</f>
        <v>0</v>
      </c>
      <c r="N644">
        <f>SUM(NMRPrep[[#This Row],[d-DMSO (uL) ]:[ NH4Cl (uL)]])</f>
        <v>0</v>
      </c>
      <c r="O644">
        <f>647</f>
        <v>647</v>
      </c>
      <c r="P644">
        <f>NMRPrep[[#This Row],[Total (uL) ]]-NMRPrep[[#This Row],[Target (uL)]]</f>
        <v>-647</v>
      </c>
      <c r="R644" t="e">
        <f>(NMRPrep[[#This Row],[NH4Cl Stock Concentration (mM)]]*NMRPrep[[#This Row],[ NH4Cl (uL)]])/SUM(NMRPrep[[#This Row],[DI (uL) ]:[ NH4Cl (uL)]])</f>
        <v>#DIV/0!</v>
      </c>
    </row>
    <row r="645" spans="1:18" x14ac:dyDescent="0.25">
      <c r="A645" s="1">
        <f>SampleList[[#This Row],[Date Sampled]]</f>
        <v>0</v>
      </c>
      <c r="B645" t="str" cm="1">
        <f t="array" ref="B645">IF(ISBLANK(INDEX(SampleList[NMR],ROW()-1)),"Not Requested",INDEX(SampleList[Experiment ID],ROW()-1))</f>
        <v>Not Requested</v>
      </c>
      <c r="C645">
        <f>SampleList[[#This Row],[Duration (Days)]]</f>
        <v>0</v>
      </c>
      <c r="D645">
        <f>SampleList[[#This Row],[Sample Description]]</f>
        <v>0</v>
      </c>
      <c r="N645">
        <f>SUM(NMRPrep[[#This Row],[d-DMSO (uL) ]:[ NH4Cl (uL)]])</f>
        <v>0</v>
      </c>
      <c r="O645">
        <f>647</f>
        <v>647</v>
      </c>
      <c r="P645">
        <f>NMRPrep[[#This Row],[Total (uL) ]]-NMRPrep[[#This Row],[Target (uL)]]</f>
        <v>-647</v>
      </c>
      <c r="R645" t="e">
        <f>(NMRPrep[[#This Row],[NH4Cl Stock Concentration (mM)]]*NMRPrep[[#This Row],[ NH4Cl (uL)]])/SUM(NMRPrep[[#This Row],[DI (uL) ]:[ NH4Cl (uL)]])</f>
        <v>#DIV/0!</v>
      </c>
    </row>
    <row r="646" spans="1:18" x14ac:dyDescent="0.25">
      <c r="A646" s="1">
        <f>SampleList[[#This Row],[Date Sampled]]</f>
        <v>0</v>
      </c>
      <c r="B646" t="str" cm="1">
        <f t="array" ref="B646">IF(ISBLANK(INDEX(SampleList[NMR],ROW()-1)),"Not Requested",INDEX(SampleList[Experiment ID],ROW()-1))</f>
        <v>Not Requested</v>
      </c>
      <c r="C646">
        <f>SampleList[[#This Row],[Duration (Days)]]</f>
        <v>0</v>
      </c>
      <c r="D646">
        <f>SampleList[[#This Row],[Sample Description]]</f>
        <v>0</v>
      </c>
      <c r="N646">
        <f>SUM(NMRPrep[[#This Row],[d-DMSO (uL) ]:[ NH4Cl (uL)]])</f>
        <v>0</v>
      </c>
      <c r="O646">
        <f>647</f>
        <v>647</v>
      </c>
      <c r="P646">
        <f>NMRPrep[[#This Row],[Total (uL) ]]-NMRPrep[[#This Row],[Target (uL)]]</f>
        <v>-647</v>
      </c>
      <c r="R646" t="e">
        <f>(NMRPrep[[#This Row],[NH4Cl Stock Concentration (mM)]]*NMRPrep[[#This Row],[ NH4Cl (uL)]])/SUM(NMRPrep[[#This Row],[DI (uL) ]:[ NH4Cl (uL)]])</f>
        <v>#DIV/0!</v>
      </c>
    </row>
    <row r="647" spans="1:18" x14ac:dyDescent="0.25">
      <c r="A647" s="1">
        <f>SampleList[[#This Row],[Date Sampled]]</f>
        <v>0</v>
      </c>
      <c r="B647" t="str" cm="1">
        <f t="array" ref="B647">IF(ISBLANK(INDEX(SampleList[NMR],ROW()-1)),"Not Requested",INDEX(SampleList[Experiment ID],ROW()-1))</f>
        <v>Not Requested</v>
      </c>
      <c r="C647">
        <f>SampleList[[#This Row],[Duration (Days)]]</f>
        <v>0</v>
      </c>
      <c r="D647">
        <f>SampleList[[#This Row],[Sample Description]]</f>
        <v>0</v>
      </c>
      <c r="N647">
        <f>SUM(NMRPrep[[#This Row],[d-DMSO (uL) ]:[ NH4Cl (uL)]])</f>
        <v>0</v>
      </c>
      <c r="O647">
        <f>647</f>
        <v>647</v>
      </c>
      <c r="P647">
        <f>NMRPrep[[#This Row],[Total (uL) ]]-NMRPrep[[#This Row],[Target (uL)]]</f>
        <v>-647</v>
      </c>
      <c r="R647" t="e">
        <f>(NMRPrep[[#This Row],[NH4Cl Stock Concentration (mM)]]*NMRPrep[[#This Row],[ NH4Cl (uL)]])/SUM(NMRPrep[[#This Row],[DI (uL) ]:[ NH4Cl (uL)]])</f>
        <v>#DIV/0!</v>
      </c>
    </row>
    <row r="648" spans="1:18" x14ac:dyDescent="0.25">
      <c r="A648" s="1">
        <f>SampleList[[#This Row],[Date Sampled]]</f>
        <v>0</v>
      </c>
      <c r="B648" t="str" cm="1">
        <f t="array" ref="B648">IF(ISBLANK(INDEX(SampleList[NMR],ROW()-1)),"Not Requested",INDEX(SampleList[Experiment ID],ROW()-1))</f>
        <v>Not Requested</v>
      </c>
      <c r="C648">
        <f>SampleList[[#This Row],[Duration (Days)]]</f>
        <v>0</v>
      </c>
      <c r="D648">
        <f>SampleList[[#This Row],[Sample Description]]</f>
        <v>0</v>
      </c>
      <c r="N648">
        <f>SUM(NMRPrep[[#This Row],[d-DMSO (uL) ]:[ NH4Cl (uL)]])</f>
        <v>0</v>
      </c>
      <c r="O648">
        <f>647</f>
        <v>647</v>
      </c>
      <c r="P648">
        <f>NMRPrep[[#This Row],[Total (uL) ]]-NMRPrep[[#This Row],[Target (uL)]]</f>
        <v>-647</v>
      </c>
      <c r="R648" t="e">
        <f>(NMRPrep[[#This Row],[NH4Cl Stock Concentration (mM)]]*NMRPrep[[#This Row],[ NH4Cl (uL)]])/SUM(NMRPrep[[#This Row],[DI (uL) ]:[ NH4Cl (uL)]])</f>
        <v>#DIV/0!</v>
      </c>
    </row>
    <row r="649" spans="1:18" x14ac:dyDescent="0.25">
      <c r="A649" s="1">
        <f>SampleList[[#This Row],[Date Sampled]]</f>
        <v>0</v>
      </c>
      <c r="B649" t="str" cm="1">
        <f t="array" ref="B649">IF(ISBLANK(INDEX(SampleList[NMR],ROW()-1)),"Not Requested",INDEX(SampleList[Experiment ID],ROW()-1))</f>
        <v>Not Requested</v>
      </c>
      <c r="C649">
        <f>SampleList[[#This Row],[Duration (Days)]]</f>
        <v>0</v>
      </c>
      <c r="D649">
        <f>SampleList[[#This Row],[Sample Description]]</f>
        <v>0</v>
      </c>
      <c r="N649">
        <f>SUM(NMRPrep[[#This Row],[d-DMSO (uL) ]:[ NH4Cl (uL)]])</f>
        <v>0</v>
      </c>
      <c r="O649">
        <f>647</f>
        <v>647</v>
      </c>
      <c r="P649">
        <f>NMRPrep[[#This Row],[Total (uL) ]]-NMRPrep[[#This Row],[Target (uL)]]</f>
        <v>-647</v>
      </c>
      <c r="R649" t="e">
        <f>(NMRPrep[[#This Row],[NH4Cl Stock Concentration (mM)]]*NMRPrep[[#This Row],[ NH4Cl (uL)]])/SUM(NMRPrep[[#This Row],[DI (uL) ]:[ NH4Cl (uL)]])</f>
        <v>#DIV/0!</v>
      </c>
    </row>
    <row r="650" spans="1:18" x14ac:dyDescent="0.25">
      <c r="A650" s="1">
        <f>SampleList[[#This Row],[Date Sampled]]</f>
        <v>0</v>
      </c>
      <c r="B650" t="str" cm="1">
        <f t="array" ref="B650">IF(ISBLANK(INDEX(SampleList[NMR],ROW()-1)),"Not Requested",INDEX(SampleList[Experiment ID],ROW()-1))</f>
        <v>Not Requested</v>
      </c>
      <c r="C650">
        <f>SampleList[[#This Row],[Duration (Days)]]</f>
        <v>0</v>
      </c>
      <c r="D650">
        <f>SampleList[[#This Row],[Sample Description]]</f>
        <v>0</v>
      </c>
      <c r="N650">
        <f>SUM(NMRPrep[[#This Row],[d-DMSO (uL) ]:[ NH4Cl (uL)]])</f>
        <v>0</v>
      </c>
      <c r="O650">
        <f>647</f>
        <v>647</v>
      </c>
      <c r="P650">
        <f>NMRPrep[[#This Row],[Total (uL) ]]-NMRPrep[[#This Row],[Target (uL)]]</f>
        <v>-647</v>
      </c>
      <c r="R650" t="e">
        <f>(NMRPrep[[#This Row],[NH4Cl Stock Concentration (mM)]]*NMRPrep[[#This Row],[ NH4Cl (uL)]])/SUM(NMRPrep[[#This Row],[DI (uL) ]:[ NH4Cl (uL)]])</f>
        <v>#DIV/0!</v>
      </c>
    </row>
    <row r="651" spans="1:18" x14ac:dyDescent="0.25">
      <c r="A651" s="1">
        <f>SampleList[[#This Row],[Date Sampled]]</f>
        <v>0</v>
      </c>
      <c r="B651" t="str" cm="1">
        <f t="array" ref="B651">IF(ISBLANK(INDEX(SampleList[NMR],ROW()-1)),"Not Requested",INDEX(SampleList[Experiment ID],ROW()-1))</f>
        <v>Not Requested</v>
      </c>
      <c r="C651">
        <f>SampleList[[#This Row],[Duration (Days)]]</f>
        <v>0</v>
      </c>
      <c r="D651">
        <f>SampleList[[#This Row],[Sample Description]]</f>
        <v>0</v>
      </c>
      <c r="N651">
        <f>SUM(NMRPrep[[#This Row],[d-DMSO (uL) ]:[ NH4Cl (uL)]])</f>
        <v>0</v>
      </c>
      <c r="O651">
        <f>647</f>
        <v>647</v>
      </c>
      <c r="P651">
        <f>NMRPrep[[#This Row],[Total (uL) ]]-NMRPrep[[#This Row],[Target (uL)]]</f>
        <v>-647</v>
      </c>
      <c r="R651" t="e">
        <f>(NMRPrep[[#This Row],[NH4Cl Stock Concentration (mM)]]*NMRPrep[[#This Row],[ NH4Cl (uL)]])/SUM(NMRPrep[[#This Row],[DI (uL) ]:[ NH4Cl (uL)]])</f>
        <v>#DIV/0!</v>
      </c>
    </row>
    <row r="652" spans="1:18" x14ac:dyDescent="0.25">
      <c r="A652" s="1">
        <f>SampleList[[#This Row],[Date Sampled]]</f>
        <v>0</v>
      </c>
      <c r="B652" t="str" cm="1">
        <f t="array" ref="B652">IF(ISBLANK(INDEX(SampleList[NMR],ROW()-1)),"Not Requested",INDEX(SampleList[Experiment ID],ROW()-1))</f>
        <v>Not Requested</v>
      </c>
      <c r="C652">
        <f>SampleList[[#This Row],[Duration (Days)]]</f>
        <v>0</v>
      </c>
      <c r="D652">
        <f>SampleList[[#This Row],[Sample Description]]</f>
        <v>0</v>
      </c>
      <c r="N652">
        <f>SUM(NMRPrep[[#This Row],[d-DMSO (uL) ]:[ NH4Cl (uL)]])</f>
        <v>0</v>
      </c>
      <c r="O652">
        <f>647</f>
        <v>647</v>
      </c>
      <c r="P652">
        <f>NMRPrep[[#This Row],[Total (uL) ]]-NMRPrep[[#This Row],[Target (uL)]]</f>
        <v>-647</v>
      </c>
      <c r="R652" t="e">
        <f>(NMRPrep[[#This Row],[NH4Cl Stock Concentration (mM)]]*NMRPrep[[#This Row],[ NH4Cl (uL)]])/SUM(NMRPrep[[#This Row],[DI (uL) ]:[ NH4Cl (uL)]])</f>
        <v>#DIV/0!</v>
      </c>
    </row>
    <row r="653" spans="1:18" x14ac:dyDescent="0.25">
      <c r="A653" s="1">
        <f>SampleList[[#This Row],[Date Sampled]]</f>
        <v>0</v>
      </c>
      <c r="B653" t="str" cm="1">
        <f t="array" ref="B653">IF(ISBLANK(INDEX(SampleList[NMR],ROW()-1)),"Not Requested",INDEX(SampleList[Experiment ID],ROW()-1))</f>
        <v>Not Requested</v>
      </c>
      <c r="C653">
        <f>SampleList[[#This Row],[Duration (Days)]]</f>
        <v>0</v>
      </c>
      <c r="D653">
        <f>SampleList[[#This Row],[Sample Description]]</f>
        <v>0</v>
      </c>
      <c r="N653">
        <f>SUM(NMRPrep[[#This Row],[d-DMSO (uL) ]:[ NH4Cl (uL)]])</f>
        <v>0</v>
      </c>
      <c r="O653">
        <f>647</f>
        <v>647</v>
      </c>
      <c r="P653">
        <f>NMRPrep[[#This Row],[Total (uL) ]]-NMRPrep[[#This Row],[Target (uL)]]</f>
        <v>-647</v>
      </c>
      <c r="R653" t="e">
        <f>(NMRPrep[[#This Row],[NH4Cl Stock Concentration (mM)]]*NMRPrep[[#This Row],[ NH4Cl (uL)]])/SUM(NMRPrep[[#This Row],[DI (uL) ]:[ NH4Cl (uL)]])</f>
        <v>#DIV/0!</v>
      </c>
    </row>
    <row r="654" spans="1:18" x14ac:dyDescent="0.25">
      <c r="A654" s="1">
        <f>SampleList[[#This Row],[Date Sampled]]</f>
        <v>0</v>
      </c>
      <c r="B654" t="str" cm="1">
        <f t="array" ref="B654">IF(ISBLANK(INDEX(SampleList[NMR],ROW()-1)),"Not Requested",INDEX(SampleList[Experiment ID],ROW()-1))</f>
        <v>Not Requested</v>
      </c>
      <c r="C654">
        <f>SampleList[[#This Row],[Duration (Days)]]</f>
        <v>0</v>
      </c>
      <c r="D654">
        <f>SampleList[[#This Row],[Sample Description]]</f>
        <v>0</v>
      </c>
      <c r="N654">
        <f>SUM(NMRPrep[[#This Row],[d-DMSO (uL) ]:[ NH4Cl (uL)]])</f>
        <v>0</v>
      </c>
      <c r="O654">
        <f>647</f>
        <v>647</v>
      </c>
      <c r="P654">
        <f>NMRPrep[[#This Row],[Total (uL) ]]-NMRPrep[[#This Row],[Target (uL)]]</f>
        <v>-647</v>
      </c>
      <c r="R654" t="e">
        <f>(NMRPrep[[#This Row],[NH4Cl Stock Concentration (mM)]]*NMRPrep[[#This Row],[ NH4Cl (uL)]])/SUM(NMRPrep[[#This Row],[DI (uL) ]:[ NH4Cl (uL)]])</f>
        <v>#DIV/0!</v>
      </c>
    </row>
    <row r="655" spans="1:18" x14ac:dyDescent="0.25">
      <c r="A655" s="1">
        <f>SampleList[[#This Row],[Date Sampled]]</f>
        <v>0</v>
      </c>
      <c r="B655" t="str" cm="1">
        <f t="array" ref="B655">IF(ISBLANK(INDEX(SampleList[NMR],ROW()-1)),"Not Requested",INDEX(SampleList[Experiment ID],ROW()-1))</f>
        <v>Not Requested</v>
      </c>
      <c r="C655">
        <f>SampleList[[#This Row],[Duration (Days)]]</f>
        <v>0</v>
      </c>
      <c r="D655">
        <f>SampleList[[#This Row],[Sample Description]]</f>
        <v>0</v>
      </c>
      <c r="N655">
        <f>SUM(NMRPrep[[#This Row],[d-DMSO (uL) ]:[ NH4Cl (uL)]])</f>
        <v>0</v>
      </c>
      <c r="O655">
        <f>647</f>
        <v>647</v>
      </c>
      <c r="P655">
        <f>NMRPrep[[#This Row],[Total (uL) ]]-NMRPrep[[#This Row],[Target (uL)]]</f>
        <v>-647</v>
      </c>
      <c r="R655" t="e">
        <f>(NMRPrep[[#This Row],[NH4Cl Stock Concentration (mM)]]*NMRPrep[[#This Row],[ NH4Cl (uL)]])/SUM(NMRPrep[[#This Row],[DI (uL) ]:[ NH4Cl (uL)]])</f>
        <v>#DIV/0!</v>
      </c>
    </row>
    <row r="656" spans="1:18" x14ac:dyDescent="0.25">
      <c r="A656" s="1">
        <f>SampleList[[#This Row],[Date Sampled]]</f>
        <v>0</v>
      </c>
      <c r="B656" t="str" cm="1">
        <f t="array" ref="B656">IF(ISBLANK(INDEX(SampleList[NMR],ROW()-1)),"Not Requested",INDEX(SampleList[Experiment ID],ROW()-1))</f>
        <v>Not Requested</v>
      </c>
      <c r="C656">
        <f>SampleList[[#This Row],[Duration (Days)]]</f>
        <v>0</v>
      </c>
      <c r="D656">
        <f>SampleList[[#This Row],[Sample Description]]</f>
        <v>0</v>
      </c>
      <c r="N656">
        <f>SUM(NMRPrep[[#This Row],[d-DMSO (uL) ]:[ NH4Cl (uL)]])</f>
        <v>0</v>
      </c>
      <c r="O656">
        <f>647</f>
        <v>647</v>
      </c>
      <c r="P656">
        <f>NMRPrep[[#This Row],[Total (uL) ]]-NMRPrep[[#This Row],[Target (uL)]]</f>
        <v>-647</v>
      </c>
      <c r="R656" t="e">
        <f>(NMRPrep[[#This Row],[NH4Cl Stock Concentration (mM)]]*NMRPrep[[#This Row],[ NH4Cl (uL)]])/SUM(NMRPrep[[#This Row],[DI (uL) ]:[ NH4Cl (uL)]])</f>
        <v>#DIV/0!</v>
      </c>
    </row>
    <row r="657" spans="1:18" x14ac:dyDescent="0.25">
      <c r="A657" s="1">
        <f>SampleList[[#This Row],[Date Sampled]]</f>
        <v>0</v>
      </c>
      <c r="B657" t="str" cm="1">
        <f t="array" ref="B657">IF(ISBLANK(INDEX(SampleList[NMR],ROW()-1)),"Not Requested",INDEX(SampleList[Experiment ID],ROW()-1))</f>
        <v>Not Requested</v>
      </c>
      <c r="C657">
        <f>SampleList[[#This Row],[Duration (Days)]]</f>
        <v>0</v>
      </c>
      <c r="D657">
        <f>SampleList[[#This Row],[Sample Description]]</f>
        <v>0</v>
      </c>
      <c r="N657">
        <f>SUM(NMRPrep[[#This Row],[d-DMSO (uL) ]:[ NH4Cl (uL)]])</f>
        <v>0</v>
      </c>
      <c r="O657">
        <f>647</f>
        <v>647</v>
      </c>
      <c r="P657">
        <f>NMRPrep[[#This Row],[Total (uL) ]]-NMRPrep[[#This Row],[Target (uL)]]</f>
        <v>-647</v>
      </c>
      <c r="R657" t="e">
        <f>(NMRPrep[[#This Row],[NH4Cl Stock Concentration (mM)]]*NMRPrep[[#This Row],[ NH4Cl (uL)]])/SUM(NMRPrep[[#This Row],[DI (uL) ]:[ NH4Cl (uL)]])</f>
        <v>#DIV/0!</v>
      </c>
    </row>
    <row r="658" spans="1:18" x14ac:dyDescent="0.25">
      <c r="A658" s="1">
        <f>SampleList[[#This Row],[Date Sampled]]</f>
        <v>0</v>
      </c>
      <c r="B658" t="str" cm="1">
        <f t="array" ref="B658">IF(ISBLANK(INDEX(SampleList[NMR],ROW()-1)),"Not Requested",INDEX(SampleList[Experiment ID],ROW()-1))</f>
        <v>Not Requested</v>
      </c>
      <c r="C658">
        <f>SampleList[[#This Row],[Duration (Days)]]</f>
        <v>0</v>
      </c>
      <c r="D658">
        <f>SampleList[[#This Row],[Sample Description]]</f>
        <v>0</v>
      </c>
      <c r="N658">
        <f>SUM(NMRPrep[[#This Row],[d-DMSO (uL) ]:[ NH4Cl (uL)]])</f>
        <v>0</v>
      </c>
      <c r="O658">
        <f>647</f>
        <v>647</v>
      </c>
      <c r="P658">
        <f>NMRPrep[[#This Row],[Total (uL) ]]-NMRPrep[[#This Row],[Target (uL)]]</f>
        <v>-647</v>
      </c>
      <c r="R658" t="e">
        <f>(NMRPrep[[#This Row],[NH4Cl Stock Concentration (mM)]]*NMRPrep[[#This Row],[ NH4Cl (uL)]])/SUM(NMRPrep[[#This Row],[DI (uL) ]:[ NH4Cl (uL)]])</f>
        <v>#DIV/0!</v>
      </c>
    </row>
    <row r="659" spans="1:18" x14ac:dyDescent="0.25">
      <c r="A659" s="1">
        <f>SampleList[[#This Row],[Date Sampled]]</f>
        <v>0</v>
      </c>
      <c r="B659" t="str" cm="1">
        <f t="array" ref="B659">IF(ISBLANK(INDEX(SampleList[NMR],ROW()-1)),"Not Requested",INDEX(SampleList[Experiment ID],ROW()-1))</f>
        <v>Not Requested</v>
      </c>
      <c r="C659">
        <f>SampleList[[#This Row],[Duration (Days)]]</f>
        <v>0</v>
      </c>
      <c r="D659">
        <f>SampleList[[#This Row],[Sample Description]]</f>
        <v>0</v>
      </c>
      <c r="N659">
        <f>SUM(NMRPrep[[#This Row],[d-DMSO (uL) ]:[ NH4Cl (uL)]])</f>
        <v>0</v>
      </c>
      <c r="O659">
        <f>647</f>
        <v>647</v>
      </c>
      <c r="P659">
        <f>NMRPrep[[#This Row],[Total (uL) ]]-NMRPrep[[#This Row],[Target (uL)]]</f>
        <v>-647</v>
      </c>
      <c r="R659" t="e">
        <f>(NMRPrep[[#This Row],[NH4Cl Stock Concentration (mM)]]*NMRPrep[[#This Row],[ NH4Cl (uL)]])/SUM(NMRPrep[[#This Row],[DI (uL) ]:[ NH4Cl (uL)]])</f>
        <v>#DIV/0!</v>
      </c>
    </row>
    <row r="660" spans="1:18" x14ac:dyDescent="0.25">
      <c r="A660" s="1">
        <f>SampleList[[#This Row],[Date Sampled]]</f>
        <v>0</v>
      </c>
      <c r="B660" t="str" cm="1">
        <f t="array" ref="B660">IF(ISBLANK(INDEX(SampleList[NMR],ROW()-1)),"Not Requested",INDEX(SampleList[Experiment ID],ROW()-1))</f>
        <v>Not Requested</v>
      </c>
      <c r="C660">
        <f>SampleList[[#This Row],[Duration (Days)]]</f>
        <v>0</v>
      </c>
      <c r="D660">
        <f>SampleList[[#This Row],[Sample Description]]</f>
        <v>0</v>
      </c>
      <c r="N660">
        <f>SUM(NMRPrep[[#This Row],[d-DMSO (uL) ]:[ NH4Cl (uL)]])</f>
        <v>0</v>
      </c>
      <c r="O660">
        <f>647</f>
        <v>647</v>
      </c>
      <c r="P660">
        <f>NMRPrep[[#This Row],[Total (uL) ]]-NMRPrep[[#This Row],[Target (uL)]]</f>
        <v>-647</v>
      </c>
      <c r="R660" t="e">
        <f>(NMRPrep[[#This Row],[NH4Cl Stock Concentration (mM)]]*NMRPrep[[#This Row],[ NH4Cl (uL)]])/SUM(NMRPrep[[#This Row],[DI (uL) ]:[ NH4Cl (uL)]])</f>
        <v>#DIV/0!</v>
      </c>
    </row>
    <row r="661" spans="1:18" x14ac:dyDescent="0.25">
      <c r="A661" s="1">
        <f>SampleList[[#This Row],[Date Sampled]]</f>
        <v>0</v>
      </c>
      <c r="B661" t="str" cm="1">
        <f t="array" ref="B661">IF(ISBLANK(INDEX(SampleList[NMR],ROW()-1)),"Not Requested",INDEX(SampleList[Experiment ID],ROW()-1))</f>
        <v>Not Requested</v>
      </c>
      <c r="C661">
        <f>SampleList[[#This Row],[Duration (Days)]]</f>
        <v>0</v>
      </c>
      <c r="D661">
        <f>SampleList[[#This Row],[Sample Description]]</f>
        <v>0</v>
      </c>
      <c r="N661">
        <f>SUM(NMRPrep[[#This Row],[d-DMSO (uL) ]:[ NH4Cl (uL)]])</f>
        <v>0</v>
      </c>
      <c r="O661">
        <f>647</f>
        <v>647</v>
      </c>
      <c r="P661">
        <f>NMRPrep[[#This Row],[Total (uL) ]]-NMRPrep[[#This Row],[Target (uL)]]</f>
        <v>-647</v>
      </c>
      <c r="R661" t="e">
        <f>(NMRPrep[[#This Row],[NH4Cl Stock Concentration (mM)]]*NMRPrep[[#This Row],[ NH4Cl (uL)]])/SUM(NMRPrep[[#This Row],[DI (uL) ]:[ NH4Cl (uL)]])</f>
        <v>#DIV/0!</v>
      </c>
    </row>
    <row r="662" spans="1:18" x14ac:dyDescent="0.25">
      <c r="A662" s="1">
        <f>SampleList[[#This Row],[Date Sampled]]</f>
        <v>0</v>
      </c>
      <c r="B662" t="str" cm="1">
        <f t="array" ref="B662">IF(ISBLANK(INDEX(SampleList[NMR],ROW()-1)),"Not Requested",INDEX(SampleList[Experiment ID],ROW()-1))</f>
        <v>Not Requested</v>
      </c>
      <c r="C662">
        <f>SampleList[[#This Row],[Duration (Days)]]</f>
        <v>0</v>
      </c>
      <c r="D662">
        <f>SampleList[[#This Row],[Sample Description]]</f>
        <v>0</v>
      </c>
      <c r="N662">
        <f>SUM(NMRPrep[[#This Row],[d-DMSO (uL) ]:[ NH4Cl (uL)]])</f>
        <v>0</v>
      </c>
      <c r="O662">
        <f>647</f>
        <v>647</v>
      </c>
      <c r="P662">
        <f>NMRPrep[[#This Row],[Total (uL) ]]-NMRPrep[[#This Row],[Target (uL)]]</f>
        <v>-647</v>
      </c>
      <c r="R662" t="e">
        <f>(NMRPrep[[#This Row],[NH4Cl Stock Concentration (mM)]]*NMRPrep[[#This Row],[ NH4Cl (uL)]])/SUM(NMRPrep[[#This Row],[DI (uL) ]:[ NH4Cl (uL)]])</f>
        <v>#DIV/0!</v>
      </c>
    </row>
    <row r="663" spans="1:18" x14ac:dyDescent="0.25">
      <c r="A663" s="1">
        <f>SampleList[[#This Row],[Date Sampled]]</f>
        <v>0</v>
      </c>
      <c r="B663" t="str" cm="1">
        <f t="array" ref="B663">IF(ISBLANK(INDEX(SampleList[NMR],ROW()-1)),"Not Requested",INDEX(SampleList[Experiment ID],ROW()-1))</f>
        <v>Not Requested</v>
      </c>
      <c r="C663">
        <f>SampleList[[#This Row],[Duration (Days)]]</f>
        <v>0</v>
      </c>
      <c r="D663">
        <f>SampleList[[#This Row],[Sample Description]]</f>
        <v>0</v>
      </c>
      <c r="N663">
        <f>SUM(NMRPrep[[#This Row],[d-DMSO (uL) ]:[ NH4Cl (uL)]])</f>
        <v>0</v>
      </c>
      <c r="O663">
        <f>647</f>
        <v>647</v>
      </c>
      <c r="P663">
        <f>NMRPrep[[#This Row],[Total (uL) ]]-NMRPrep[[#This Row],[Target (uL)]]</f>
        <v>-647</v>
      </c>
      <c r="R663" t="e">
        <f>(NMRPrep[[#This Row],[NH4Cl Stock Concentration (mM)]]*NMRPrep[[#This Row],[ NH4Cl (uL)]])/SUM(NMRPrep[[#This Row],[DI (uL) ]:[ NH4Cl (uL)]])</f>
        <v>#DIV/0!</v>
      </c>
    </row>
    <row r="664" spans="1:18" x14ac:dyDescent="0.25">
      <c r="A664" s="1">
        <f>SampleList[[#This Row],[Date Sampled]]</f>
        <v>0</v>
      </c>
      <c r="B664" t="str" cm="1">
        <f t="array" ref="B664">IF(ISBLANK(INDEX(SampleList[NMR],ROW()-1)),"Not Requested",INDEX(SampleList[Experiment ID],ROW()-1))</f>
        <v>Not Requested</v>
      </c>
      <c r="C664">
        <f>SampleList[[#This Row],[Duration (Days)]]</f>
        <v>0</v>
      </c>
      <c r="D664">
        <f>SampleList[[#This Row],[Sample Description]]</f>
        <v>0</v>
      </c>
      <c r="N664">
        <f>SUM(NMRPrep[[#This Row],[d-DMSO (uL) ]:[ NH4Cl (uL)]])</f>
        <v>0</v>
      </c>
      <c r="O664">
        <f>647</f>
        <v>647</v>
      </c>
      <c r="P664">
        <f>NMRPrep[[#This Row],[Total (uL) ]]-NMRPrep[[#This Row],[Target (uL)]]</f>
        <v>-647</v>
      </c>
      <c r="R664" t="e">
        <f>(NMRPrep[[#This Row],[NH4Cl Stock Concentration (mM)]]*NMRPrep[[#This Row],[ NH4Cl (uL)]])/SUM(NMRPrep[[#This Row],[DI (uL) ]:[ NH4Cl (uL)]])</f>
        <v>#DIV/0!</v>
      </c>
    </row>
    <row r="665" spans="1:18" x14ac:dyDescent="0.25">
      <c r="A665" s="1">
        <f>SampleList[[#This Row],[Date Sampled]]</f>
        <v>0</v>
      </c>
      <c r="B665" t="str" cm="1">
        <f t="array" ref="B665">IF(ISBLANK(INDEX(SampleList[NMR],ROW()-1)),"Not Requested",INDEX(SampleList[Experiment ID],ROW()-1))</f>
        <v>Not Requested</v>
      </c>
      <c r="C665">
        <f>SampleList[[#This Row],[Duration (Days)]]</f>
        <v>0</v>
      </c>
      <c r="D665">
        <f>SampleList[[#This Row],[Sample Description]]</f>
        <v>0</v>
      </c>
      <c r="N665">
        <f>SUM(NMRPrep[[#This Row],[d-DMSO (uL) ]:[ NH4Cl (uL)]])</f>
        <v>0</v>
      </c>
      <c r="O665">
        <f>647</f>
        <v>647</v>
      </c>
      <c r="P665">
        <f>NMRPrep[[#This Row],[Total (uL) ]]-NMRPrep[[#This Row],[Target (uL)]]</f>
        <v>-647</v>
      </c>
      <c r="R665" t="e">
        <f>(NMRPrep[[#This Row],[NH4Cl Stock Concentration (mM)]]*NMRPrep[[#This Row],[ NH4Cl (uL)]])/SUM(NMRPrep[[#This Row],[DI (uL) ]:[ NH4Cl (uL)]])</f>
        <v>#DIV/0!</v>
      </c>
    </row>
    <row r="666" spans="1:18" x14ac:dyDescent="0.25">
      <c r="A666" s="1">
        <f>SampleList[[#This Row],[Date Sampled]]</f>
        <v>0</v>
      </c>
      <c r="B666" t="str" cm="1">
        <f t="array" ref="B666">IF(ISBLANK(INDEX(SampleList[NMR],ROW()-1)),"Not Requested",INDEX(SampleList[Experiment ID],ROW()-1))</f>
        <v>Not Requested</v>
      </c>
      <c r="C666">
        <f>SampleList[[#This Row],[Duration (Days)]]</f>
        <v>0</v>
      </c>
      <c r="D666">
        <f>SampleList[[#This Row],[Sample Description]]</f>
        <v>0</v>
      </c>
      <c r="N666">
        <f>SUM(NMRPrep[[#This Row],[d-DMSO (uL) ]:[ NH4Cl (uL)]])</f>
        <v>0</v>
      </c>
      <c r="O666">
        <f>647</f>
        <v>647</v>
      </c>
      <c r="P666">
        <f>NMRPrep[[#This Row],[Total (uL) ]]-NMRPrep[[#This Row],[Target (uL)]]</f>
        <v>-647</v>
      </c>
      <c r="R666" t="e">
        <f>(NMRPrep[[#This Row],[NH4Cl Stock Concentration (mM)]]*NMRPrep[[#This Row],[ NH4Cl (uL)]])/SUM(NMRPrep[[#This Row],[DI (uL) ]:[ NH4Cl (uL)]])</f>
        <v>#DIV/0!</v>
      </c>
    </row>
    <row r="667" spans="1:18" x14ac:dyDescent="0.25">
      <c r="A667" s="1">
        <f>SampleList[[#This Row],[Date Sampled]]</f>
        <v>0</v>
      </c>
      <c r="B667" t="str" cm="1">
        <f t="array" ref="B667">IF(ISBLANK(INDEX(SampleList[NMR],ROW()-1)),"Not Requested",INDEX(SampleList[Experiment ID],ROW()-1))</f>
        <v>Not Requested</v>
      </c>
      <c r="C667">
        <f>SampleList[[#This Row],[Duration (Days)]]</f>
        <v>0</v>
      </c>
      <c r="D667">
        <f>SampleList[[#This Row],[Sample Description]]</f>
        <v>0</v>
      </c>
      <c r="N667">
        <f>SUM(NMRPrep[[#This Row],[d-DMSO (uL) ]:[ NH4Cl (uL)]])</f>
        <v>0</v>
      </c>
      <c r="O667">
        <f>647</f>
        <v>647</v>
      </c>
      <c r="P667">
        <f>NMRPrep[[#This Row],[Total (uL) ]]-NMRPrep[[#This Row],[Target (uL)]]</f>
        <v>-647</v>
      </c>
      <c r="R667" t="e">
        <f>(NMRPrep[[#This Row],[NH4Cl Stock Concentration (mM)]]*NMRPrep[[#This Row],[ NH4Cl (uL)]])/SUM(NMRPrep[[#This Row],[DI (uL) ]:[ NH4Cl (uL)]])</f>
        <v>#DIV/0!</v>
      </c>
    </row>
    <row r="668" spans="1:18" x14ac:dyDescent="0.25">
      <c r="A668" s="1">
        <f>SampleList[[#This Row],[Date Sampled]]</f>
        <v>0</v>
      </c>
      <c r="B668" t="str" cm="1">
        <f t="array" ref="B668">IF(ISBLANK(INDEX(SampleList[NMR],ROW()-1)),"Not Requested",INDEX(SampleList[Experiment ID],ROW()-1))</f>
        <v>Not Requested</v>
      </c>
      <c r="C668">
        <f>SampleList[[#This Row],[Duration (Days)]]</f>
        <v>0</v>
      </c>
      <c r="D668">
        <f>SampleList[[#This Row],[Sample Description]]</f>
        <v>0</v>
      </c>
      <c r="N668">
        <f>SUM(NMRPrep[[#This Row],[d-DMSO (uL) ]:[ NH4Cl (uL)]])</f>
        <v>0</v>
      </c>
      <c r="O668">
        <f>647</f>
        <v>647</v>
      </c>
      <c r="P668">
        <f>NMRPrep[[#This Row],[Total (uL) ]]-NMRPrep[[#This Row],[Target (uL)]]</f>
        <v>-647</v>
      </c>
      <c r="R668" t="e">
        <f>(NMRPrep[[#This Row],[NH4Cl Stock Concentration (mM)]]*NMRPrep[[#This Row],[ NH4Cl (uL)]])/SUM(NMRPrep[[#This Row],[DI (uL) ]:[ NH4Cl (uL)]])</f>
        <v>#DIV/0!</v>
      </c>
    </row>
    <row r="669" spans="1:18" x14ac:dyDescent="0.25">
      <c r="A669" s="1">
        <f>SampleList[[#This Row],[Date Sampled]]</f>
        <v>0</v>
      </c>
      <c r="B669" t="str" cm="1">
        <f t="array" ref="B669">IF(ISBLANK(INDEX(SampleList[NMR],ROW()-1)),"Not Requested",INDEX(SampleList[Experiment ID],ROW()-1))</f>
        <v>Not Requested</v>
      </c>
      <c r="C669">
        <f>SampleList[[#This Row],[Duration (Days)]]</f>
        <v>0</v>
      </c>
      <c r="D669">
        <f>SampleList[[#This Row],[Sample Description]]</f>
        <v>0</v>
      </c>
      <c r="N669">
        <f>SUM(NMRPrep[[#This Row],[d-DMSO (uL) ]:[ NH4Cl (uL)]])</f>
        <v>0</v>
      </c>
      <c r="O669">
        <f>647</f>
        <v>647</v>
      </c>
      <c r="P669">
        <f>NMRPrep[[#This Row],[Total (uL) ]]-NMRPrep[[#This Row],[Target (uL)]]</f>
        <v>-647</v>
      </c>
      <c r="R669" t="e">
        <f>(NMRPrep[[#This Row],[NH4Cl Stock Concentration (mM)]]*NMRPrep[[#This Row],[ NH4Cl (uL)]])/SUM(NMRPrep[[#This Row],[DI (uL) ]:[ NH4Cl (uL)]])</f>
        <v>#DIV/0!</v>
      </c>
    </row>
    <row r="670" spans="1:18" x14ac:dyDescent="0.25">
      <c r="A670" s="1">
        <f>SampleList[[#This Row],[Date Sampled]]</f>
        <v>0</v>
      </c>
      <c r="B670" t="str" cm="1">
        <f t="array" ref="B670">IF(ISBLANK(INDEX(SampleList[NMR],ROW()-1)),"Not Requested",INDEX(SampleList[Experiment ID],ROW()-1))</f>
        <v>Not Requested</v>
      </c>
      <c r="C670">
        <f>SampleList[[#This Row],[Duration (Days)]]</f>
        <v>0</v>
      </c>
      <c r="D670">
        <f>SampleList[[#This Row],[Sample Description]]</f>
        <v>0</v>
      </c>
      <c r="N670">
        <f>SUM(NMRPrep[[#This Row],[d-DMSO (uL) ]:[ NH4Cl (uL)]])</f>
        <v>0</v>
      </c>
      <c r="O670">
        <f>647</f>
        <v>647</v>
      </c>
      <c r="P670">
        <f>NMRPrep[[#This Row],[Total (uL) ]]-NMRPrep[[#This Row],[Target (uL)]]</f>
        <v>-647</v>
      </c>
      <c r="R670" t="e">
        <f>(NMRPrep[[#This Row],[NH4Cl Stock Concentration (mM)]]*NMRPrep[[#This Row],[ NH4Cl (uL)]])/SUM(NMRPrep[[#This Row],[DI (uL) ]:[ NH4Cl (uL)]])</f>
        <v>#DIV/0!</v>
      </c>
    </row>
    <row r="671" spans="1:18" x14ac:dyDescent="0.25">
      <c r="A671" s="1">
        <f>SampleList[[#This Row],[Date Sampled]]</f>
        <v>0</v>
      </c>
      <c r="B671" t="str" cm="1">
        <f t="array" ref="B671">IF(ISBLANK(INDEX(SampleList[NMR],ROW()-1)),"Not Requested",INDEX(SampleList[Experiment ID],ROW()-1))</f>
        <v>Not Requested</v>
      </c>
      <c r="C671">
        <f>SampleList[[#This Row],[Duration (Days)]]</f>
        <v>0</v>
      </c>
      <c r="D671">
        <f>SampleList[[#This Row],[Sample Description]]</f>
        <v>0</v>
      </c>
      <c r="N671">
        <f>SUM(NMRPrep[[#This Row],[d-DMSO (uL) ]:[ NH4Cl (uL)]])</f>
        <v>0</v>
      </c>
      <c r="O671">
        <f>647</f>
        <v>647</v>
      </c>
      <c r="P671">
        <f>NMRPrep[[#This Row],[Total (uL) ]]-NMRPrep[[#This Row],[Target (uL)]]</f>
        <v>-647</v>
      </c>
      <c r="R671" t="e">
        <f>(NMRPrep[[#This Row],[NH4Cl Stock Concentration (mM)]]*NMRPrep[[#This Row],[ NH4Cl (uL)]])/SUM(NMRPrep[[#This Row],[DI (uL) ]:[ NH4Cl (uL)]])</f>
        <v>#DIV/0!</v>
      </c>
    </row>
    <row r="672" spans="1:18" x14ac:dyDescent="0.25">
      <c r="A672" s="1">
        <f>SampleList[[#This Row],[Date Sampled]]</f>
        <v>0</v>
      </c>
      <c r="B672" t="str" cm="1">
        <f t="array" ref="B672">IF(ISBLANK(INDEX(SampleList[NMR],ROW()-1)),"Not Requested",INDEX(SampleList[Experiment ID],ROW()-1))</f>
        <v>Not Requested</v>
      </c>
      <c r="C672">
        <f>SampleList[[#This Row],[Duration (Days)]]</f>
        <v>0</v>
      </c>
      <c r="D672">
        <f>SampleList[[#This Row],[Sample Description]]</f>
        <v>0</v>
      </c>
      <c r="N672">
        <f>SUM(NMRPrep[[#This Row],[d-DMSO (uL) ]:[ NH4Cl (uL)]])</f>
        <v>0</v>
      </c>
      <c r="O672">
        <f>647</f>
        <v>647</v>
      </c>
      <c r="P672">
        <f>NMRPrep[[#This Row],[Total (uL) ]]-NMRPrep[[#This Row],[Target (uL)]]</f>
        <v>-647</v>
      </c>
      <c r="R672" t="e">
        <f>(NMRPrep[[#This Row],[NH4Cl Stock Concentration (mM)]]*NMRPrep[[#This Row],[ NH4Cl (uL)]])/SUM(NMRPrep[[#This Row],[DI (uL) ]:[ NH4Cl (uL)]])</f>
        <v>#DIV/0!</v>
      </c>
    </row>
    <row r="673" spans="1:18" x14ac:dyDescent="0.25">
      <c r="A673" s="1">
        <f>SampleList[[#This Row],[Date Sampled]]</f>
        <v>0</v>
      </c>
      <c r="B673" t="str" cm="1">
        <f t="array" ref="B673">IF(ISBLANK(INDEX(SampleList[NMR],ROW()-1)),"Not Requested",INDEX(SampleList[Experiment ID],ROW()-1))</f>
        <v>Not Requested</v>
      </c>
      <c r="C673">
        <f>SampleList[[#This Row],[Duration (Days)]]</f>
        <v>0</v>
      </c>
      <c r="D673">
        <f>SampleList[[#This Row],[Sample Description]]</f>
        <v>0</v>
      </c>
      <c r="N673">
        <f>SUM(NMRPrep[[#This Row],[d-DMSO (uL) ]:[ NH4Cl (uL)]])</f>
        <v>0</v>
      </c>
      <c r="O673">
        <f>647</f>
        <v>647</v>
      </c>
      <c r="P673">
        <f>NMRPrep[[#This Row],[Total (uL) ]]-NMRPrep[[#This Row],[Target (uL)]]</f>
        <v>-647</v>
      </c>
      <c r="R673" t="e">
        <f>(NMRPrep[[#This Row],[NH4Cl Stock Concentration (mM)]]*NMRPrep[[#This Row],[ NH4Cl (uL)]])/SUM(NMRPrep[[#This Row],[DI (uL) ]:[ NH4Cl (uL)]])</f>
        <v>#DIV/0!</v>
      </c>
    </row>
    <row r="674" spans="1:18" x14ac:dyDescent="0.25">
      <c r="A674" s="1">
        <f>SampleList[[#This Row],[Date Sampled]]</f>
        <v>0</v>
      </c>
      <c r="B674" t="str" cm="1">
        <f t="array" ref="B674">IF(ISBLANK(INDEX(SampleList[NMR],ROW()-1)),"Not Requested",INDEX(SampleList[Experiment ID],ROW()-1))</f>
        <v>Not Requested</v>
      </c>
      <c r="C674">
        <f>SampleList[[#This Row],[Duration (Days)]]</f>
        <v>0</v>
      </c>
      <c r="D674">
        <f>SampleList[[#This Row],[Sample Description]]</f>
        <v>0</v>
      </c>
      <c r="N674">
        <f>SUM(NMRPrep[[#This Row],[d-DMSO (uL) ]:[ NH4Cl (uL)]])</f>
        <v>0</v>
      </c>
      <c r="O674">
        <f>647</f>
        <v>647</v>
      </c>
      <c r="P674">
        <f>NMRPrep[[#This Row],[Total (uL) ]]-NMRPrep[[#This Row],[Target (uL)]]</f>
        <v>-647</v>
      </c>
      <c r="R674" t="e">
        <f>(NMRPrep[[#This Row],[NH4Cl Stock Concentration (mM)]]*NMRPrep[[#This Row],[ NH4Cl (uL)]])/SUM(NMRPrep[[#This Row],[DI (uL) ]:[ NH4Cl (uL)]])</f>
        <v>#DIV/0!</v>
      </c>
    </row>
    <row r="675" spans="1:18" x14ac:dyDescent="0.25">
      <c r="A675" s="1">
        <f>SampleList[[#This Row],[Date Sampled]]</f>
        <v>0</v>
      </c>
      <c r="B675" t="str" cm="1">
        <f t="array" ref="B675">IF(ISBLANK(INDEX(SampleList[NMR],ROW()-1)),"Not Requested",INDEX(SampleList[Experiment ID],ROW()-1))</f>
        <v>Not Requested</v>
      </c>
      <c r="C675">
        <f>SampleList[[#This Row],[Duration (Days)]]</f>
        <v>0</v>
      </c>
      <c r="D675">
        <f>SampleList[[#This Row],[Sample Description]]</f>
        <v>0</v>
      </c>
      <c r="N675">
        <f>SUM(NMRPrep[[#This Row],[d-DMSO (uL) ]:[ NH4Cl (uL)]])</f>
        <v>0</v>
      </c>
      <c r="O675">
        <f>647</f>
        <v>647</v>
      </c>
      <c r="P675">
        <f>NMRPrep[[#This Row],[Total (uL) ]]-NMRPrep[[#This Row],[Target (uL)]]</f>
        <v>-647</v>
      </c>
      <c r="R675" t="e">
        <f>(NMRPrep[[#This Row],[NH4Cl Stock Concentration (mM)]]*NMRPrep[[#This Row],[ NH4Cl (uL)]])/SUM(NMRPrep[[#This Row],[DI (uL) ]:[ NH4Cl (uL)]])</f>
        <v>#DIV/0!</v>
      </c>
    </row>
    <row r="676" spans="1:18" x14ac:dyDescent="0.25">
      <c r="A676" s="1">
        <f>SampleList[[#This Row],[Date Sampled]]</f>
        <v>0</v>
      </c>
      <c r="B676" t="str" cm="1">
        <f t="array" ref="B676">IF(ISBLANK(INDEX(SampleList[NMR],ROW()-1)),"Not Requested",INDEX(SampleList[Experiment ID],ROW()-1))</f>
        <v>Not Requested</v>
      </c>
      <c r="C676">
        <f>SampleList[[#This Row],[Duration (Days)]]</f>
        <v>0</v>
      </c>
      <c r="D676">
        <f>SampleList[[#This Row],[Sample Description]]</f>
        <v>0</v>
      </c>
      <c r="N676">
        <f>SUM(NMRPrep[[#This Row],[d-DMSO (uL) ]:[ NH4Cl (uL)]])</f>
        <v>0</v>
      </c>
      <c r="O676">
        <f>647</f>
        <v>647</v>
      </c>
      <c r="P676">
        <f>NMRPrep[[#This Row],[Total (uL) ]]-NMRPrep[[#This Row],[Target (uL)]]</f>
        <v>-647</v>
      </c>
      <c r="R676" t="e">
        <f>(NMRPrep[[#This Row],[NH4Cl Stock Concentration (mM)]]*NMRPrep[[#This Row],[ NH4Cl (uL)]])/SUM(NMRPrep[[#This Row],[DI (uL) ]:[ NH4Cl (uL)]])</f>
        <v>#DIV/0!</v>
      </c>
    </row>
    <row r="677" spans="1:18" x14ac:dyDescent="0.25">
      <c r="A677" s="1">
        <f>SampleList[[#This Row],[Date Sampled]]</f>
        <v>0</v>
      </c>
      <c r="B677" t="str" cm="1">
        <f t="array" ref="B677">IF(ISBLANK(INDEX(SampleList[NMR],ROW()-1)),"Not Requested",INDEX(SampleList[Experiment ID],ROW()-1))</f>
        <v>Not Requested</v>
      </c>
      <c r="C677">
        <f>SampleList[[#This Row],[Duration (Days)]]</f>
        <v>0</v>
      </c>
      <c r="D677">
        <f>SampleList[[#This Row],[Sample Description]]</f>
        <v>0</v>
      </c>
      <c r="N677">
        <f>SUM(NMRPrep[[#This Row],[d-DMSO (uL) ]:[ NH4Cl (uL)]])</f>
        <v>0</v>
      </c>
      <c r="O677">
        <f>647</f>
        <v>647</v>
      </c>
      <c r="P677">
        <f>NMRPrep[[#This Row],[Total (uL) ]]-NMRPrep[[#This Row],[Target (uL)]]</f>
        <v>-647</v>
      </c>
      <c r="R677" t="e">
        <f>(NMRPrep[[#This Row],[NH4Cl Stock Concentration (mM)]]*NMRPrep[[#This Row],[ NH4Cl (uL)]])/SUM(NMRPrep[[#This Row],[DI (uL) ]:[ NH4Cl (uL)]])</f>
        <v>#DIV/0!</v>
      </c>
    </row>
    <row r="678" spans="1:18" x14ac:dyDescent="0.25">
      <c r="A678" s="1">
        <f>SampleList[[#This Row],[Date Sampled]]</f>
        <v>0</v>
      </c>
      <c r="B678" t="str" cm="1">
        <f t="array" ref="B678">IF(ISBLANK(INDEX(SampleList[NMR],ROW()-1)),"Not Requested",INDEX(SampleList[Experiment ID],ROW()-1))</f>
        <v>Not Requested</v>
      </c>
      <c r="C678">
        <f>SampleList[[#This Row],[Duration (Days)]]</f>
        <v>0</v>
      </c>
      <c r="D678">
        <f>SampleList[[#This Row],[Sample Description]]</f>
        <v>0</v>
      </c>
      <c r="N678">
        <f>SUM(NMRPrep[[#This Row],[d-DMSO (uL) ]:[ NH4Cl (uL)]])</f>
        <v>0</v>
      </c>
      <c r="O678">
        <f>647</f>
        <v>647</v>
      </c>
      <c r="P678">
        <f>NMRPrep[[#This Row],[Total (uL) ]]-NMRPrep[[#This Row],[Target (uL)]]</f>
        <v>-647</v>
      </c>
      <c r="R678" t="e">
        <f>(NMRPrep[[#This Row],[NH4Cl Stock Concentration (mM)]]*NMRPrep[[#This Row],[ NH4Cl (uL)]])/SUM(NMRPrep[[#This Row],[DI (uL) ]:[ NH4Cl (uL)]])</f>
        <v>#DIV/0!</v>
      </c>
    </row>
    <row r="679" spans="1:18" x14ac:dyDescent="0.25">
      <c r="A679" s="1">
        <f>SampleList[[#This Row],[Date Sampled]]</f>
        <v>0</v>
      </c>
      <c r="B679" t="str" cm="1">
        <f t="array" ref="B679">IF(ISBLANK(INDEX(SampleList[NMR],ROW()-1)),"Not Requested",INDEX(SampleList[Experiment ID],ROW()-1))</f>
        <v>Not Requested</v>
      </c>
      <c r="C679">
        <f>SampleList[[#This Row],[Duration (Days)]]</f>
        <v>0</v>
      </c>
      <c r="D679">
        <f>SampleList[[#This Row],[Sample Description]]</f>
        <v>0</v>
      </c>
      <c r="N679">
        <f>SUM(NMRPrep[[#This Row],[d-DMSO (uL) ]:[ NH4Cl (uL)]])</f>
        <v>0</v>
      </c>
      <c r="O679">
        <f>647</f>
        <v>647</v>
      </c>
      <c r="P679">
        <f>NMRPrep[[#This Row],[Total (uL) ]]-NMRPrep[[#This Row],[Target (uL)]]</f>
        <v>-647</v>
      </c>
      <c r="R679" t="e">
        <f>(NMRPrep[[#This Row],[NH4Cl Stock Concentration (mM)]]*NMRPrep[[#This Row],[ NH4Cl (uL)]])/SUM(NMRPrep[[#This Row],[DI (uL) ]:[ NH4Cl (uL)]])</f>
        <v>#DIV/0!</v>
      </c>
    </row>
    <row r="680" spans="1:18" x14ac:dyDescent="0.25">
      <c r="A680" s="1">
        <f>SampleList[[#This Row],[Date Sampled]]</f>
        <v>0</v>
      </c>
      <c r="B680" t="str" cm="1">
        <f t="array" ref="B680">IF(ISBLANK(INDEX(SampleList[NMR],ROW()-1)),"Not Requested",INDEX(SampleList[Experiment ID],ROW()-1))</f>
        <v>Not Requested</v>
      </c>
      <c r="C680">
        <f>SampleList[[#This Row],[Duration (Days)]]</f>
        <v>0</v>
      </c>
      <c r="D680">
        <f>SampleList[[#This Row],[Sample Description]]</f>
        <v>0</v>
      </c>
      <c r="N680">
        <f>SUM(NMRPrep[[#This Row],[d-DMSO (uL) ]:[ NH4Cl (uL)]])</f>
        <v>0</v>
      </c>
      <c r="O680">
        <f>647</f>
        <v>647</v>
      </c>
      <c r="P680">
        <f>NMRPrep[[#This Row],[Total (uL) ]]-NMRPrep[[#This Row],[Target (uL)]]</f>
        <v>-647</v>
      </c>
      <c r="R680" t="e">
        <f>(NMRPrep[[#This Row],[NH4Cl Stock Concentration (mM)]]*NMRPrep[[#This Row],[ NH4Cl (uL)]])/SUM(NMRPrep[[#This Row],[DI (uL) ]:[ NH4Cl (uL)]])</f>
        <v>#DIV/0!</v>
      </c>
    </row>
    <row r="681" spans="1:18" x14ac:dyDescent="0.25">
      <c r="A681" s="1">
        <f>SampleList[[#This Row],[Date Sampled]]</f>
        <v>0</v>
      </c>
      <c r="B681" t="str" cm="1">
        <f t="array" ref="B681">IF(ISBLANK(INDEX(SampleList[NMR],ROW()-1)),"Not Requested",INDEX(SampleList[Experiment ID],ROW()-1))</f>
        <v>Not Requested</v>
      </c>
      <c r="C681">
        <f>SampleList[[#This Row],[Duration (Days)]]</f>
        <v>0</v>
      </c>
      <c r="D681">
        <f>SampleList[[#This Row],[Sample Description]]</f>
        <v>0</v>
      </c>
      <c r="N681">
        <f>SUM(NMRPrep[[#This Row],[d-DMSO (uL) ]:[ NH4Cl (uL)]])</f>
        <v>0</v>
      </c>
      <c r="O681">
        <f>647</f>
        <v>647</v>
      </c>
      <c r="P681">
        <f>NMRPrep[[#This Row],[Total (uL) ]]-NMRPrep[[#This Row],[Target (uL)]]</f>
        <v>-647</v>
      </c>
      <c r="R681" t="e">
        <f>(NMRPrep[[#This Row],[NH4Cl Stock Concentration (mM)]]*NMRPrep[[#This Row],[ NH4Cl (uL)]])/SUM(NMRPrep[[#This Row],[DI (uL) ]:[ NH4Cl (uL)]])</f>
        <v>#DIV/0!</v>
      </c>
    </row>
    <row r="682" spans="1:18" x14ac:dyDescent="0.25">
      <c r="A682" s="1">
        <f>SampleList[[#This Row],[Date Sampled]]</f>
        <v>0</v>
      </c>
      <c r="B682" t="str" cm="1">
        <f t="array" ref="B682">IF(ISBLANK(INDEX(SampleList[NMR],ROW()-1)),"Not Requested",INDEX(SampleList[Experiment ID],ROW()-1))</f>
        <v>Not Requested</v>
      </c>
      <c r="C682">
        <f>SampleList[[#This Row],[Duration (Days)]]</f>
        <v>0</v>
      </c>
      <c r="D682">
        <f>SampleList[[#This Row],[Sample Description]]</f>
        <v>0</v>
      </c>
      <c r="N682">
        <f>SUM(NMRPrep[[#This Row],[d-DMSO (uL) ]:[ NH4Cl (uL)]])</f>
        <v>0</v>
      </c>
      <c r="O682">
        <f>647</f>
        <v>647</v>
      </c>
      <c r="P682">
        <f>NMRPrep[[#This Row],[Total (uL) ]]-NMRPrep[[#This Row],[Target (uL)]]</f>
        <v>-647</v>
      </c>
      <c r="R682" t="e">
        <f>(NMRPrep[[#This Row],[NH4Cl Stock Concentration (mM)]]*NMRPrep[[#This Row],[ NH4Cl (uL)]])/SUM(NMRPrep[[#This Row],[DI (uL) ]:[ NH4Cl (uL)]])</f>
        <v>#DIV/0!</v>
      </c>
    </row>
    <row r="683" spans="1:18" x14ac:dyDescent="0.25">
      <c r="A683" s="1">
        <f>SampleList[[#This Row],[Date Sampled]]</f>
        <v>0</v>
      </c>
      <c r="B683" t="str" cm="1">
        <f t="array" ref="B683">IF(ISBLANK(INDEX(SampleList[NMR],ROW()-1)),"Not Requested",INDEX(SampleList[Experiment ID],ROW()-1))</f>
        <v>Not Requested</v>
      </c>
      <c r="C683">
        <f>SampleList[[#This Row],[Duration (Days)]]</f>
        <v>0</v>
      </c>
      <c r="D683">
        <f>SampleList[[#This Row],[Sample Description]]</f>
        <v>0</v>
      </c>
      <c r="N683">
        <f>SUM(NMRPrep[[#This Row],[d-DMSO (uL) ]:[ NH4Cl (uL)]])</f>
        <v>0</v>
      </c>
      <c r="O683">
        <f>647</f>
        <v>647</v>
      </c>
      <c r="P683">
        <f>NMRPrep[[#This Row],[Total (uL) ]]-NMRPrep[[#This Row],[Target (uL)]]</f>
        <v>-647</v>
      </c>
      <c r="R683" t="e">
        <f>(NMRPrep[[#This Row],[NH4Cl Stock Concentration (mM)]]*NMRPrep[[#This Row],[ NH4Cl (uL)]])/SUM(NMRPrep[[#This Row],[DI (uL) ]:[ NH4Cl (uL)]])</f>
        <v>#DIV/0!</v>
      </c>
    </row>
    <row r="684" spans="1:18" x14ac:dyDescent="0.25">
      <c r="A684" s="1">
        <f>SampleList[[#This Row],[Date Sampled]]</f>
        <v>0</v>
      </c>
      <c r="B684" t="str" cm="1">
        <f t="array" ref="B684">IF(ISBLANK(INDEX(SampleList[NMR],ROW()-1)),"Not Requested",INDEX(SampleList[Experiment ID],ROW()-1))</f>
        <v>Not Requested</v>
      </c>
      <c r="C684">
        <f>SampleList[[#This Row],[Duration (Days)]]</f>
        <v>0</v>
      </c>
      <c r="D684">
        <f>SampleList[[#This Row],[Sample Description]]</f>
        <v>0</v>
      </c>
      <c r="N684">
        <f>SUM(NMRPrep[[#This Row],[d-DMSO (uL) ]:[ NH4Cl (uL)]])</f>
        <v>0</v>
      </c>
      <c r="O684">
        <f>647</f>
        <v>647</v>
      </c>
      <c r="P684">
        <f>NMRPrep[[#This Row],[Total (uL) ]]-NMRPrep[[#This Row],[Target (uL)]]</f>
        <v>-647</v>
      </c>
      <c r="R684" t="e">
        <f>(NMRPrep[[#This Row],[NH4Cl Stock Concentration (mM)]]*NMRPrep[[#This Row],[ NH4Cl (uL)]])/SUM(NMRPrep[[#This Row],[DI (uL) ]:[ NH4Cl (uL)]])</f>
        <v>#DIV/0!</v>
      </c>
    </row>
    <row r="685" spans="1:18" x14ac:dyDescent="0.25">
      <c r="A685" s="1">
        <f>SampleList[[#This Row],[Date Sampled]]</f>
        <v>0</v>
      </c>
      <c r="B685" t="str" cm="1">
        <f t="array" ref="B685">IF(ISBLANK(INDEX(SampleList[NMR],ROW()-1)),"Not Requested",INDEX(SampleList[Experiment ID],ROW()-1))</f>
        <v>Not Requested</v>
      </c>
      <c r="C685">
        <f>SampleList[[#This Row],[Duration (Days)]]</f>
        <v>0</v>
      </c>
      <c r="D685">
        <f>SampleList[[#This Row],[Sample Description]]</f>
        <v>0</v>
      </c>
      <c r="N685">
        <f>SUM(NMRPrep[[#This Row],[d-DMSO (uL) ]:[ NH4Cl (uL)]])</f>
        <v>0</v>
      </c>
      <c r="O685">
        <f>647</f>
        <v>647</v>
      </c>
      <c r="P685">
        <f>NMRPrep[[#This Row],[Total (uL) ]]-NMRPrep[[#This Row],[Target (uL)]]</f>
        <v>-647</v>
      </c>
      <c r="R685" t="e">
        <f>(NMRPrep[[#This Row],[NH4Cl Stock Concentration (mM)]]*NMRPrep[[#This Row],[ NH4Cl (uL)]])/SUM(NMRPrep[[#This Row],[DI (uL) ]:[ NH4Cl (uL)]])</f>
        <v>#DIV/0!</v>
      </c>
    </row>
    <row r="686" spans="1:18" x14ac:dyDescent="0.25">
      <c r="A686" s="1">
        <f>SampleList[[#This Row],[Date Sampled]]</f>
        <v>0</v>
      </c>
      <c r="B686" t="str" cm="1">
        <f t="array" ref="B686">IF(ISBLANK(INDEX(SampleList[NMR],ROW()-1)),"Not Requested",INDEX(SampleList[Experiment ID],ROW()-1))</f>
        <v>Not Requested</v>
      </c>
      <c r="C686">
        <f>SampleList[[#This Row],[Duration (Days)]]</f>
        <v>0</v>
      </c>
      <c r="D686">
        <f>SampleList[[#This Row],[Sample Description]]</f>
        <v>0</v>
      </c>
      <c r="N686">
        <f>SUM(NMRPrep[[#This Row],[d-DMSO (uL) ]:[ NH4Cl (uL)]])</f>
        <v>0</v>
      </c>
      <c r="O686">
        <f>647</f>
        <v>647</v>
      </c>
      <c r="P686">
        <f>NMRPrep[[#This Row],[Total (uL) ]]-NMRPrep[[#This Row],[Target (uL)]]</f>
        <v>-647</v>
      </c>
      <c r="R686" t="e">
        <f>(NMRPrep[[#This Row],[NH4Cl Stock Concentration (mM)]]*NMRPrep[[#This Row],[ NH4Cl (uL)]])/SUM(NMRPrep[[#This Row],[DI (uL) ]:[ NH4Cl (uL)]])</f>
        <v>#DIV/0!</v>
      </c>
    </row>
    <row r="687" spans="1:18" x14ac:dyDescent="0.25">
      <c r="A687" s="1">
        <f>SampleList[[#This Row],[Date Sampled]]</f>
        <v>0</v>
      </c>
      <c r="B687" t="str" cm="1">
        <f t="array" ref="B687">IF(ISBLANK(INDEX(SampleList[NMR],ROW()-1)),"Not Requested",INDEX(SampleList[Experiment ID],ROW()-1))</f>
        <v>Not Requested</v>
      </c>
      <c r="C687">
        <f>SampleList[[#This Row],[Duration (Days)]]</f>
        <v>0</v>
      </c>
      <c r="D687">
        <f>SampleList[[#This Row],[Sample Description]]</f>
        <v>0</v>
      </c>
      <c r="N687">
        <f>SUM(NMRPrep[[#This Row],[d-DMSO (uL) ]:[ NH4Cl (uL)]])</f>
        <v>0</v>
      </c>
      <c r="O687">
        <f>647</f>
        <v>647</v>
      </c>
      <c r="P687">
        <f>NMRPrep[[#This Row],[Total (uL) ]]-NMRPrep[[#This Row],[Target (uL)]]</f>
        <v>-647</v>
      </c>
      <c r="R687" t="e">
        <f>(NMRPrep[[#This Row],[NH4Cl Stock Concentration (mM)]]*NMRPrep[[#This Row],[ NH4Cl (uL)]])/SUM(NMRPrep[[#This Row],[DI (uL) ]:[ NH4Cl (uL)]])</f>
        <v>#DIV/0!</v>
      </c>
    </row>
    <row r="688" spans="1:18" x14ac:dyDescent="0.25">
      <c r="A688" s="1">
        <f>SampleList[[#This Row],[Date Sampled]]</f>
        <v>0</v>
      </c>
      <c r="B688" t="str" cm="1">
        <f t="array" ref="B688">IF(ISBLANK(INDEX(SampleList[NMR],ROW()-1)),"Not Requested",INDEX(SampleList[Experiment ID],ROW()-1))</f>
        <v>Not Requested</v>
      </c>
      <c r="C688">
        <f>SampleList[[#This Row],[Duration (Days)]]</f>
        <v>0</v>
      </c>
      <c r="D688">
        <f>SampleList[[#This Row],[Sample Description]]</f>
        <v>0</v>
      </c>
      <c r="N688">
        <f>SUM(NMRPrep[[#This Row],[d-DMSO (uL) ]:[ NH4Cl (uL)]])</f>
        <v>0</v>
      </c>
      <c r="O688">
        <f>647</f>
        <v>647</v>
      </c>
      <c r="P688">
        <f>NMRPrep[[#This Row],[Total (uL) ]]-NMRPrep[[#This Row],[Target (uL)]]</f>
        <v>-647</v>
      </c>
      <c r="R688" t="e">
        <f>(NMRPrep[[#This Row],[NH4Cl Stock Concentration (mM)]]*NMRPrep[[#This Row],[ NH4Cl (uL)]])/SUM(NMRPrep[[#This Row],[DI (uL) ]:[ NH4Cl (uL)]])</f>
        <v>#DIV/0!</v>
      </c>
    </row>
    <row r="689" spans="1:18" x14ac:dyDescent="0.25">
      <c r="A689" s="1">
        <f>SampleList[[#This Row],[Date Sampled]]</f>
        <v>0</v>
      </c>
      <c r="B689" t="str" cm="1">
        <f t="array" ref="B689">IF(ISBLANK(INDEX(SampleList[NMR],ROW()-1)),"Not Requested",INDEX(SampleList[Experiment ID],ROW()-1))</f>
        <v>Not Requested</v>
      </c>
      <c r="C689">
        <f>SampleList[[#This Row],[Duration (Days)]]</f>
        <v>0</v>
      </c>
      <c r="D689">
        <f>SampleList[[#This Row],[Sample Description]]</f>
        <v>0</v>
      </c>
      <c r="N689">
        <f>SUM(NMRPrep[[#This Row],[d-DMSO (uL) ]:[ NH4Cl (uL)]])</f>
        <v>0</v>
      </c>
      <c r="O689">
        <f>647</f>
        <v>647</v>
      </c>
      <c r="P689">
        <f>NMRPrep[[#This Row],[Total (uL) ]]-NMRPrep[[#This Row],[Target (uL)]]</f>
        <v>-647</v>
      </c>
      <c r="R689" t="e">
        <f>(NMRPrep[[#This Row],[NH4Cl Stock Concentration (mM)]]*NMRPrep[[#This Row],[ NH4Cl (uL)]])/SUM(NMRPrep[[#This Row],[DI (uL) ]:[ NH4Cl (uL)]])</f>
        <v>#DIV/0!</v>
      </c>
    </row>
    <row r="690" spans="1:18" x14ac:dyDescent="0.25">
      <c r="A690" s="1">
        <f>SampleList[[#This Row],[Date Sampled]]</f>
        <v>0</v>
      </c>
      <c r="B690" t="str" cm="1">
        <f t="array" ref="B690">IF(ISBLANK(INDEX(SampleList[NMR],ROW()-1)),"Not Requested",INDEX(SampleList[Experiment ID],ROW()-1))</f>
        <v>Not Requested</v>
      </c>
      <c r="C690">
        <f>SampleList[[#This Row],[Duration (Days)]]</f>
        <v>0</v>
      </c>
      <c r="D690">
        <f>SampleList[[#This Row],[Sample Description]]</f>
        <v>0</v>
      </c>
      <c r="N690">
        <f>SUM(NMRPrep[[#This Row],[d-DMSO (uL) ]:[ NH4Cl (uL)]])</f>
        <v>0</v>
      </c>
      <c r="O690">
        <f>647</f>
        <v>647</v>
      </c>
      <c r="P690">
        <f>NMRPrep[[#This Row],[Total (uL) ]]-NMRPrep[[#This Row],[Target (uL)]]</f>
        <v>-647</v>
      </c>
      <c r="R690" t="e">
        <f>(NMRPrep[[#This Row],[NH4Cl Stock Concentration (mM)]]*NMRPrep[[#This Row],[ NH4Cl (uL)]])/SUM(NMRPrep[[#This Row],[DI (uL) ]:[ NH4Cl (uL)]])</f>
        <v>#DIV/0!</v>
      </c>
    </row>
    <row r="691" spans="1:18" x14ac:dyDescent="0.25">
      <c r="A691" s="1">
        <f>SampleList[[#This Row],[Date Sampled]]</f>
        <v>0</v>
      </c>
      <c r="B691" t="str" cm="1">
        <f t="array" ref="B691">IF(ISBLANK(INDEX(SampleList[NMR],ROW()-1)),"Not Requested",INDEX(SampleList[Experiment ID],ROW()-1))</f>
        <v>Not Requested</v>
      </c>
      <c r="C691">
        <f>SampleList[[#This Row],[Duration (Days)]]</f>
        <v>0</v>
      </c>
      <c r="D691">
        <f>SampleList[[#This Row],[Sample Description]]</f>
        <v>0</v>
      </c>
      <c r="N691">
        <f>SUM(NMRPrep[[#This Row],[d-DMSO (uL) ]:[ NH4Cl (uL)]])</f>
        <v>0</v>
      </c>
      <c r="O691">
        <f>647</f>
        <v>647</v>
      </c>
      <c r="P691">
        <f>NMRPrep[[#This Row],[Total (uL) ]]-NMRPrep[[#This Row],[Target (uL)]]</f>
        <v>-647</v>
      </c>
      <c r="R691" t="e">
        <f>(NMRPrep[[#This Row],[NH4Cl Stock Concentration (mM)]]*NMRPrep[[#This Row],[ NH4Cl (uL)]])/SUM(NMRPrep[[#This Row],[DI (uL) ]:[ NH4Cl (uL)]])</f>
        <v>#DIV/0!</v>
      </c>
    </row>
    <row r="692" spans="1:18" x14ac:dyDescent="0.25">
      <c r="A692" s="1">
        <f>SampleList[[#This Row],[Date Sampled]]</f>
        <v>0</v>
      </c>
      <c r="B692" t="str" cm="1">
        <f t="array" ref="B692">IF(ISBLANK(INDEX(SampleList[NMR],ROW()-1)),"Not Requested",INDEX(SampleList[Experiment ID],ROW()-1))</f>
        <v>Not Requested</v>
      </c>
      <c r="C692">
        <f>SampleList[[#This Row],[Duration (Days)]]</f>
        <v>0</v>
      </c>
      <c r="D692">
        <f>SampleList[[#This Row],[Sample Description]]</f>
        <v>0</v>
      </c>
      <c r="N692">
        <f>SUM(NMRPrep[[#This Row],[d-DMSO (uL) ]:[ NH4Cl (uL)]])</f>
        <v>0</v>
      </c>
      <c r="O692">
        <f>647</f>
        <v>647</v>
      </c>
      <c r="P692">
        <f>NMRPrep[[#This Row],[Total (uL) ]]-NMRPrep[[#This Row],[Target (uL)]]</f>
        <v>-647</v>
      </c>
      <c r="R692" t="e">
        <f>(NMRPrep[[#This Row],[NH4Cl Stock Concentration (mM)]]*NMRPrep[[#This Row],[ NH4Cl (uL)]])/SUM(NMRPrep[[#This Row],[DI (uL) ]:[ NH4Cl (uL)]])</f>
        <v>#DIV/0!</v>
      </c>
    </row>
    <row r="693" spans="1:18" x14ac:dyDescent="0.25">
      <c r="A693" s="1">
        <f>SampleList[[#This Row],[Date Sampled]]</f>
        <v>0</v>
      </c>
      <c r="B693" t="str" cm="1">
        <f t="array" ref="B693">IF(ISBLANK(INDEX(SampleList[NMR],ROW()-1)),"Not Requested",INDEX(SampleList[Experiment ID],ROW()-1))</f>
        <v>Not Requested</v>
      </c>
      <c r="C693">
        <f>SampleList[[#This Row],[Duration (Days)]]</f>
        <v>0</v>
      </c>
      <c r="D693">
        <f>SampleList[[#This Row],[Sample Description]]</f>
        <v>0</v>
      </c>
      <c r="N693">
        <f>SUM(NMRPrep[[#This Row],[d-DMSO (uL) ]:[ NH4Cl (uL)]])</f>
        <v>0</v>
      </c>
      <c r="O693">
        <f>647</f>
        <v>647</v>
      </c>
      <c r="P693">
        <f>NMRPrep[[#This Row],[Total (uL) ]]-NMRPrep[[#This Row],[Target (uL)]]</f>
        <v>-647</v>
      </c>
      <c r="R693" t="e">
        <f>(NMRPrep[[#This Row],[NH4Cl Stock Concentration (mM)]]*NMRPrep[[#This Row],[ NH4Cl (uL)]])/SUM(NMRPrep[[#This Row],[DI (uL) ]:[ NH4Cl (uL)]])</f>
        <v>#DIV/0!</v>
      </c>
    </row>
    <row r="694" spans="1:18" x14ac:dyDescent="0.25">
      <c r="A694" s="1">
        <f>SampleList[[#This Row],[Date Sampled]]</f>
        <v>0</v>
      </c>
      <c r="B694" t="str" cm="1">
        <f t="array" ref="B694">IF(ISBLANK(INDEX(SampleList[NMR],ROW()-1)),"Not Requested",INDEX(SampleList[Experiment ID],ROW()-1))</f>
        <v>Not Requested</v>
      </c>
      <c r="C694">
        <f>SampleList[[#This Row],[Duration (Days)]]</f>
        <v>0</v>
      </c>
      <c r="D694">
        <f>SampleList[[#This Row],[Sample Description]]</f>
        <v>0</v>
      </c>
      <c r="N694">
        <f>SUM(NMRPrep[[#This Row],[d-DMSO (uL) ]:[ NH4Cl (uL)]])</f>
        <v>0</v>
      </c>
      <c r="O694">
        <f>647</f>
        <v>647</v>
      </c>
      <c r="P694">
        <f>NMRPrep[[#This Row],[Total (uL) ]]-NMRPrep[[#This Row],[Target (uL)]]</f>
        <v>-647</v>
      </c>
      <c r="R694" t="e">
        <f>(NMRPrep[[#This Row],[NH4Cl Stock Concentration (mM)]]*NMRPrep[[#This Row],[ NH4Cl (uL)]])/SUM(NMRPrep[[#This Row],[DI (uL) ]:[ NH4Cl (uL)]])</f>
        <v>#DIV/0!</v>
      </c>
    </row>
    <row r="695" spans="1:18" x14ac:dyDescent="0.25">
      <c r="A695" s="1">
        <f>SampleList[[#This Row],[Date Sampled]]</f>
        <v>0</v>
      </c>
      <c r="B695" t="str" cm="1">
        <f t="array" ref="B695">IF(ISBLANK(INDEX(SampleList[NMR],ROW()-1)),"Not Requested",INDEX(SampleList[Experiment ID],ROW()-1))</f>
        <v>Not Requested</v>
      </c>
      <c r="C695">
        <f>SampleList[[#This Row],[Duration (Days)]]</f>
        <v>0</v>
      </c>
      <c r="D695">
        <f>SampleList[[#This Row],[Sample Description]]</f>
        <v>0</v>
      </c>
      <c r="N695">
        <f>SUM(NMRPrep[[#This Row],[d-DMSO (uL) ]:[ NH4Cl (uL)]])</f>
        <v>0</v>
      </c>
      <c r="O695">
        <f>647</f>
        <v>647</v>
      </c>
      <c r="P695">
        <f>NMRPrep[[#This Row],[Total (uL) ]]-NMRPrep[[#This Row],[Target (uL)]]</f>
        <v>-647</v>
      </c>
      <c r="R695" t="e">
        <f>(NMRPrep[[#This Row],[NH4Cl Stock Concentration (mM)]]*NMRPrep[[#This Row],[ NH4Cl (uL)]])/SUM(NMRPrep[[#This Row],[DI (uL) ]:[ NH4Cl (uL)]])</f>
        <v>#DIV/0!</v>
      </c>
    </row>
    <row r="696" spans="1:18" x14ac:dyDescent="0.25">
      <c r="A696" s="1">
        <f>SampleList[[#This Row],[Date Sampled]]</f>
        <v>0</v>
      </c>
      <c r="B696" t="str" cm="1">
        <f t="array" ref="B696">IF(ISBLANK(INDEX(SampleList[NMR],ROW()-1)),"Not Requested",INDEX(SampleList[Experiment ID],ROW()-1))</f>
        <v>Not Requested</v>
      </c>
      <c r="C696">
        <f>SampleList[[#This Row],[Duration (Days)]]</f>
        <v>0</v>
      </c>
      <c r="D696">
        <f>SampleList[[#This Row],[Sample Description]]</f>
        <v>0</v>
      </c>
      <c r="N696">
        <f>SUM(NMRPrep[[#This Row],[d-DMSO (uL) ]:[ NH4Cl (uL)]])</f>
        <v>0</v>
      </c>
      <c r="O696">
        <f>647</f>
        <v>647</v>
      </c>
      <c r="P696">
        <f>NMRPrep[[#This Row],[Total (uL) ]]-NMRPrep[[#This Row],[Target (uL)]]</f>
        <v>-647</v>
      </c>
      <c r="R696" t="e">
        <f>(NMRPrep[[#This Row],[NH4Cl Stock Concentration (mM)]]*NMRPrep[[#This Row],[ NH4Cl (uL)]])/SUM(NMRPrep[[#This Row],[DI (uL) ]:[ NH4Cl (uL)]])</f>
        <v>#DIV/0!</v>
      </c>
    </row>
    <row r="697" spans="1:18" x14ac:dyDescent="0.25">
      <c r="A697" s="1">
        <f>SampleList[[#This Row],[Date Sampled]]</f>
        <v>0</v>
      </c>
      <c r="B697" t="str" cm="1">
        <f t="array" ref="B697">IF(ISBLANK(INDEX(SampleList[NMR],ROW()-1)),"Not Requested",INDEX(SampleList[Experiment ID],ROW()-1))</f>
        <v>Not Requested</v>
      </c>
      <c r="C697">
        <f>SampleList[[#This Row],[Duration (Days)]]</f>
        <v>0</v>
      </c>
      <c r="D697">
        <f>SampleList[[#This Row],[Sample Description]]</f>
        <v>0</v>
      </c>
      <c r="N697">
        <f>SUM(NMRPrep[[#This Row],[d-DMSO (uL) ]:[ NH4Cl (uL)]])</f>
        <v>0</v>
      </c>
      <c r="O697">
        <f>647</f>
        <v>647</v>
      </c>
      <c r="P697">
        <f>NMRPrep[[#This Row],[Total (uL) ]]-NMRPrep[[#This Row],[Target (uL)]]</f>
        <v>-647</v>
      </c>
      <c r="R697" t="e">
        <f>(NMRPrep[[#This Row],[NH4Cl Stock Concentration (mM)]]*NMRPrep[[#This Row],[ NH4Cl (uL)]])/SUM(NMRPrep[[#This Row],[DI (uL) ]:[ NH4Cl (uL)]])</f>
        <v>#DIV/0!</v>
      </c>
    </row>
    <row r="698" spans="1:18" x14ac:dyDescent="0.25">
      <c r="A698" s="1">
        <f>SampleList[[#This Row],[Date Sampled]]</f>
        <v>0</v>
      </c>
      <c r="B698" t="str" cm="1">
        <f t="array" ref="B698">IF(ISBLANK(INDEX(SampleList[NMR],ROW()-1)),"Not Requested",INDEX(SampleList[Experiment ID],ROW()-1))</f>
        <v>Not Requested</v>
      </c>
      <c r="C698">
        <f>SampleList[[#This Row],[Duration (Days)]]</f>
        <v>0</v>
      </c>
      <c r="D698">
        <f>SampleList[[#This Row],[Sample Description]]</f>
        <v>0</v>
      </c>
      <c r="N698">
        <f>SUM(NMRPrep[[#This Row],[d-DMSO (uL) ]:[ NH4Cl (uL)]])</f>
        <v>0</v>
      </c>
      <c r="O698">
        <f>647</f>
        <v>647</v>
      </c>
      <c r="P698">
        <f>NMRPrep[[#This Row],[Total (uL) ]]-NMRPrep[[#This Row],[Target (uL)]]</f>
        <v>-647</v>
      </c>
      <c r="R698" t="e">
        <f>(NMRPrep[[#This Row],[NH4Cl Stock Concentration (mM)]]*NMRPrep[[#This Row],[ NH4Cl (uL)]])/SUM(NMRPrep[[#This Row],[DI (uL) ]:[ NH4Cl (uL)]])</f>
        <v>#DIV/0!</v>
      </c>
    </row>
    <row r="699" spans="1:18" x14ac:dyDescent="0.25">
      <c r="A699" s="1">
        <f>SampleList[[#This Row],[Date Sampled]]</f>
        <v>0</v>
      </c>
      <c r="B699" t="str" cm="1">
        <f t="array" ref="B699">IF(ISBLANK(INDEX(SampleList[NMR],ROW()-1)),"Not Requested",INDEX(SampleList[Experiment ID],ROW()-1))</f>
        <v>Not Requested</v>
      </c>
      <c r="C699">
        <f>SampleList[[#This Row],[Duration (Days)]]</f>
        <v>0</v>
      </c>
      <c r="D699">
        <f>SampleList[[#This Row],[Sample Description]]</f>
        <v>0</v>
      </c>
      <c r="N699">
        <f>SUM(NMRPrep[[#This Row],[d-DMSO (uL) ]:[ NH4Cl (uL)]])</f>
        <v>0</v>
      </c>
      <c r="O699">
        <f>647</f>
        <v>647</v>
      </c>
      <c r="P699">
        <f>NMRPrep[[#This Row],[Total (uL) ]]-NMRPrep[[#This Row],[Target (uL)]]</f>
        <v>-647</v>
      </c>
      <c r="R699" t="e">
        <f>(NMRPrep[[#This Row],[NH4Cl Stock Concentration (mM)]]*NMRPrep[[#This Row],[ NH4Cl (uL)]])/SUM(NMRPrep[[#This Row],[DI (uL) ]:[ NH4Cl (uL)]])</f>
        <v>#DIV/0!</v>
      </c>
    </row>
    <row r="700" spans="1:18" x14ac:dyDescent="0.25">
      <c r="A700" s="1">
        <f>SampleList[[#This Row],[Date Sampled]]</f>
        <v>0</v>
      </c>
      <c r="B700" t="str" cm="1">
        <f t="array" ref="B700">IF(ISBLANK(INDEX(SampleList[NMR],ROW()-1)),"Not Requested",INDEX(SampleList[Experiment ID],ROW()-1))</f>
        <v>Not Requested</v>
      </c>
      <c r="C700">
        <f>SampleList[[#This Row],[Duration (Days)]]</f>
        <v>0</v>
      </c>
      <c r="D700">
        <f>SampleList[[#This Row],[Sample Description]]</f>
        <v>0</v>
      </c>
      <c r="N700">
        <f>SUM(NMRPrep[[#This Row],[d-DMSO (uL) ]:[ NH4Cl (uL)]])</f>
        <v>0</v>
      </c>
      <c r="O700">
        <f>647</f>
        <v>647</v>
      </c>
      <c r="P700">
        <f>NMRPrep[[#This Row],[Total (uL) ]]-NMRPrep[[#This Row],[Target (uL)]]</f>
        <v>-647</v>
      </c>
      <c r="R700" t="e">
        <f>(NMRPrep[[#This Row],[NH4Cl Stock Concentration (mM)]]*NMRPrep[[#This Row],[ NH4Cl (uL)]])/SUM(NMRPrep[[#This Row],[DI (uL) ]:[ NH4Cl (uL)]])</f>
        <v>#DIV/0!</v>
      </c>
    </row>
    <row r="701" spans="1:18" x14ac:dyDescent="0.25">
      <c r="A701" s="1">
        <f>SampleList[[#This Row],[Date Sampled]]</f>
        <v>0</v>
      </c>
      <c r="B701" t="str" cm="1">
        <f t="array" ref="B701">IF(ISBLANK(INDEX(SampleList[NMR],ROW()-1)),"Not Requested",INDEX(SampleList[Experiment ID],ROW()-1))</f>
        <v>Not Requested</v>
      </c>
      <c r="C701">
        <f>SampleList[[#This Row],[Duration (Days)]]</f>
        <v>0</v>
      </c>
      <c r="D701">
        <f>SampleList[[#This Row],[Sample Description]]</f>
        <v>0</v>
      </c>
      <c r="N701">
        <f>SUM(NMRPrep[[#This Row],[d-DMSO (uL) ]:[ NH4Cl (uL)]])</f>
        <v>0</v>
      </c>
      <c r="O701">
        <f>647</f>
        <v>647</v>
      </c>
      <c r="P701">
        <f>NMRPrep[[#This Row],[Total (uL) ]]-NMRPrep[[#This Row],[Target (uL)]]</f>
        <v>-647</v>
      </c>
      <c r="R701" t="e">
        <f>(NMRPrep[[#This Row],[NH4Cl Stock Concentration (mM)]]*NMRPrep[[#This Row],[ NH4Cl (uL)]])/SUM(NMRPrep[[#This Row],[DI (uL) ]:[ NH4Cl (uL)]])</f>
        <v>#DIV/0!</v>
      </c>
    </row>
    <row r="702" spans="1:18" x14ac:dyDescent="0.25">
      <c r="A702" s="1">
        <f>SampleList[[#This Row],[Date Sampled]]</f>
        <v>0</v>
      </c>
      <c r="B702" t="str" cm="1">
        <f t="array" ref="B702">IF(ISBLANK(INDEX(SampleList[NMR],ROW()-1)),"Not Requested",INDEX(SampleList[Experiment ID],ROW()-1))</f>
        <v>Not Requested</v>
      </c>
      <c r="C702">
        <f>SampleList[[#This Row],[Duration (Days)]]</f>
        <v>0</v>
      </c>
      <c r="D702">
        <f>SampleList[[#This Row],[Sample Description]]</f>
        <v>0</v>
      </c>
      <c r="N702">
        <f>SUM(NMRPrep[[#This Row],[d-DMSO (uL) ]:[ NH4Cl (uL)]])</f>
        <v>0</v>
      </c>
      <c r="O702">
        <f>647</f>
        <v>647</v>
      </c>
      <c r="P702">
        <f>NMRPrep[[#This Row],[Total (uL) ]]-NMRPrep[[#This Row],[Target (uL)]]</f>
        <v>-647</v>
      </c>
      <c r="R702" t="e">
        <f>(NMRPrep[[#This Row],[NH4Cl Stock Concentration (mM)]]*NMRPrep[[#This Row],[ NH4Cl (uL)]])/SUM(NMRPrep[[#This Row],[DI (uL) ]:[ NH4Cl (uL)]])</f>
        <v>#DIV/0!</v>
      </c>
    </row>
    <row r="703" spans="1:18" x14ac:dyDescent="0.25">
      <c r="A703" s="1">
        <f>SampleList[[#This Row],[Date Sampled]]</f>
        <v>0</v>
      </c>
      <c r="B703" t="str" cm="1">
        <f t="array" ref="B703">IF(ISBLANK(INDEX(SampleList[NMR],ROW()-1)),"Not Requested",INDEX(SampleList[Experiment ID],ROW()-1))</f>
        <v>Not Requested</v>
      </c>
      <c r="C703">
        <f>SampleList[[#This Row],[Duration (Days)]]</f>
        <v>0</v>
      </c>
      <c r="D703">
        <f>SampleList[[#This Row],[Sample Description]]</f>
        <v>0</v>
      </c>
      <c r="N703">
        <f>SUM(NMRPrep[[#This Row],[d-DMSO (uL) ]:[ NH4Cl (uL)]])</f>
        <v>0</v>
      </c>
      <c r="O703">
        <f>647</f>
        <v>647</v>
      </c>
      <c r="P703">
        <f>NMRPrep[[#This Row],[Total (uL) ]]-NMRPrep[[#This Row],[Target (uL)]]</f>
        <v>-647</v>
      </c>
      <c r="R703" t="e">
        <f>(NMRPrep[[#This Row],[NH4Cl Stock Concentration (mM)]]*NMRPrep[[#This Row],[ NH4Cl (uL)]])/SUM(NMRPrep[[#This Row],[DI (uL) ]:[ NH4Cl (uL)]])</f>
        <v>#DIV/0!</v>
      </c>
    </row>
    <row r="704" spans="1:18" x14ac:dyDescent="0.25">
      <c r="A704" s="1">
        <f>SampleList[[#This Row],[Date Sampled]]</f>
        <v>0</v>
      </c>
      <c r="B704" t="str" cm="1">
        <f t="array" ref="B704">IF(ISBLANK(INDEX(SampleList[NMR],ROW()-1)),"Not Requested",INDEX(SampleList[Experiment ID],ROW()-1))</f>
        <v>Not Requested</v>
      </c>
      <c r="C704">
        <f>SampleList[[#This Row],[Duration (Days)]]</f>
        <v>0</v>
      </c>
      <c r="D704">
        <f>SampleList[[#This Row],[Sample Description]]</f>
        <v>0</v>
      </c>
      <c r="N704">
        <f>SUM(NMRPrep[[#This Row],[d-DMSO (uL) ]:[ NH4Cl (uL)]])</f>
        <v>0</v>
      </c>
      <c r="O704">
        <f>647</f>
        <v>647</v>
      </c>
      <c r="P704">
        <f>NMRPrep[[#This Row],[Total (uL) ]]-NMRPrep[[#This Row],[Target (uL)]]</f>
        <v>-647</v>
      </c>
      <c r="R704" t="e">
        <f>(NMRPrep[[#This Row],[NH4Cl Stock Concentration (mM)]]*NMRPrep[[#This Row],[ NH4Cl (uL)]])/SUM(NMRPrep[[#This Row],[DI (uL) ]:[ NH4Cl (uL)]])</f>
        <v>#DIV/0!</v>
      </c>
    </row>
    <row r="705" spans="1:18" x14ac:dyDescent="0.25">
      <c r="A705" s="1">
        <f>SampleList[[#This Row],[Date Sampled]]</f>
        <v>0</v>
      </c>
      <c r="B705" t="str" cm="1">
        <f t="array" ref="B705">IF(ISBLANK(INDEX(SampleList[NMR],ROW()-1)),"Not Requested",INDEX(SampleList[Experiment ID],ROW()-1))</f>
        <v>Not Requested</v>
      </c>
      <c r="C705">
        <f>SampleList[[#This Row],[Duration (Days)]]</f>
        <v>0</v>
      </c>
      <c r="D705">
        <f>SampleList[[#This Row],[Sample Description]]</f>
        <v>0</v>
      </c>
      <c r="N705">
        <f>SUM(NMRPrep[[#This Row],[d-DMSO (uL) ]:[ NH4Cl (uL)]])</f>
        <v>0</v>
      </c>
      <c r="O705">
        <f>647</f>
        <v>647</v>
      </c>
      <c r="P705">
        <f>NMRPrep[[#This Row],[Total (uL) ]]-NMRPrep[[#This Row],[Target (uL)]]</f>
        <v>-647</v>
      </c>
      <c r="R705" t="e">
        <f>(NMRPrep[[#This Row],[NH4Cl Stock Concentration (mM)]]*NMRPrep[[#This Row],[ NH4Cl (uL)]])/SUM(NMRPrep[[#This Row],[DI (uL) ]:[ NH4Cl (uL)]])</f>
        <v>#DIV/0!</v>
      </c>
    </row>
    <row r="706" spans="1:18" x14ac:dyDescent="0.25">
      <c r="A706" s="1">
        <f>SampleList[[#This Row],[Date Sampled]]</f>
        <v>0</v>
      </c>
      <c r="B706" t="str" cm="1">
        <f t="array" ref="B706">IF(ISBLANK(INDEX(SampleList[NMR],ROW()-1)),"Not Requested",INDEX(SampleList[Experiment ID],ROW()-1))</f>
        <v>Not Requested</v>
      </c>
      <c r="C706">
        <f>SampleList[[#This Row],[Duration (Days)]]</f>
        <v>0</v>
      </c>
      <c r="D706">
        <f>SampleList[[#This Row],[Sample Description]]</f>
        <v>0</v>
      </c>
      <c r="N706">
        <f>SUM(NMRPrep[[#This Row],[d-DMSO (uL) ]:[ NH4Cl (uL)]])</f>
        <v>0</v>
      </c>
      <c r="O706">
        <f>647</f>
        <v>647</v>
      </c>
      <c r="P706">
        <f>NMRPrep[[#This Row],[Total (uL) ]]-NMRPrep[[#This Row],[Target (uL)]]</f>
        <v>-647</v>
      </c>
      <c r="R706" t="e">
        <f>(NMRPrep[[#This Row],[NH4Cl Stock Concentration (mM)]]*NMRPrep[[#This Row],[ NH4Cl (uL)]])/SUM(NMRPrep[[#This Row],[DI (uL) ]:[ NH4Cl (uL)]])</f>
        <v>#DIV/0!</v>
      </c>
    </row>
    <row r="707" spans="1:18" x14ac:dyDescent="0.25">
      <c r="A707" s="1">
        <f>SampleList[[#This Row],[Date Sampled]]</f>
        <v>0</v>
      </c>
      <c r="B707" t="str" cm="1">
        <f t="array" ref="B707">IF(ISBLANK(INDEX(SampleList[NMR],ROW()-1)),"Not Requested",INDEX(SampleList[Experiment ID],ROW()-1))</f>
        <v>Not Requested</v>
      </c>
      <c r="C707">
        <f>SampleList[[#This Row],[Duration (Days)]]</f>
        <v>0</v>
      </c>
      <c r="D707">
        <f>SampleList[[#This Row],[Sample Description]]</f>
        <v>0</v>
      </c>
      <c r="N707">
        <f>SUM(NMRPrep[[#This Row],[d-DMSO (uL) ]:[ NH4Cl (uL)]])</f>
        <v>0</v>
      </c>
      <c r="O707">
        <f>647</f>
        <v>647</v>
      </c>
      <c r="P707">
        <f>NMRPrep[[#This Row],[Total (uL) ]]-NMRPrep[[#This Row],[Target (uL)]]</f>
        <v>-647</v>
      </c>
      <c r="R707" t="e">
        <f>(NMRPrep[[#This Row],[NH4Cl Stock Concentration (mM)]]*NMRPrep[[#This Row],[ NH4Cl (uL)]])/SUM(NMRPrep[[#This Row],[DI (uL) ]:[ NH4Cl (uL)]])</f>
        <v>#DIV/0!</v>
      </c>
    </row>
    <row r="708" spans="1:18" x14ac:dyDescent="0.25">
      <c r="A708" s="1">
        <f>SampleList[[#This Row],[Date Sampled]]</f>
        <v>0</v>
      </c>
      <c r="B708" t="str" cm="1">
        <f t="array" ref="B708">IF(ISBLANK(INDEX(SampleList[NMR],ROW()-1)),"Not Requested",INDEX(SampleList[Experiment ID],ROW()-1))</f>
        <v>Not Requested</v>
      </c>
      <c r="C708">
        <f>SampleList[[#This Row],[Duration (Days)]]</f>
        <v>0</v>
      </c>
      <c r="D708">
        <f>SampleList[[#This Row],[Sample Description]]</f>
        <v>0</v>
      </c>
      <c r="N708">
        <f>SUM(NMRPrep[[#This Row],[d-DMSO (uL) ]:[ NH4Cl (uL)]])</f>
        <v>0</v>
      </c>
      <c r="O708">
        <f>647</f>
        <v>647</v>
      </c>
      <c r="P708">
        <f>NMRPrep[[#This Row],[Total (uL) ]]-NMRPrep[[#This Row],[Target (uL)]]</f>
        <v>-647</v>
      </c>
      <c r="R708" t="e">
        <f>(NMRPrep[[#This Row],[NH4Cl Stock Concentration (mM)]]*NMRPrep[[#This Row],[ NH4Cl (uL)]])/SUM(NMRPrep[[#This Row],[DI (uL) ]:[ NH4Cl (uL)]])</f>
        <v>#DIV/0!</v>
      </c>
    </row>
    <row r="709" spans="1:18" x14ac:dyDescent="0.25">
      <c r="A709" s="1">
        <f>SampleList[[#This Row],[Date Sampled]]</f>
        <v>0</v>
      </c>
      <c r="B709" t="str" cm="1">
        <f t="array" ref="B709">IF(ISBLANK(INDEX(SampleList[NMR],ROW()-1)),"Not Requested",INDEX(SampleList[Experiment ID],ROW()-1))</f>
        <v>Not Requested</v>
      </c>
      <c r="C709">
        <f>SampleList[[#This Row],[Duration (Days)]]</f>
        <v>0</v>
      </c>
      <c r="D709">
        <f>SampleList[[#This Row],[Sample Description]]</f>
        <v>0</v>
      </c>
      <c r="N709">
        <f>SUM(NMRPrep[[#This Row],[d-DMSO (uL) ]:[ NH4Cl (uL)]])</f>
        <v>0</v>
      </c>
      <c r="O709">
        <f>647</f>
        <v>647</v>
      </c>
      <c r="P709">
        <f>NMRPrep[[#This Row],[Total (uL) ]]-NMRPrep[[#This Row],[Target (uL)]]</f>
        <v>-647</v>
      </c>
      <c r="R709" t="e">
        <f>(NMRPrep[[#This Row],[NH4Cl Stock Concentration (mM)]]*NMRPrep[[#This Row],[ NH4Cl (uL)]])/SUM(NMRPrep[[#This Row],[DI (uL) ]:[ NH4Cl (uL)]])</f>
        <v>#DIV/0!</v>
      </c>
    </row>
    <row r="710" spans="1:18" x14ac:dyDescent="0.25">
      <c r="A710" s="1">
        <f>SampleList[[#This Row],[Date Sampled]]</f>
        <v>0</v>
      </c>
      <c r="B710" t="str" cm="1">
        <f t="array" ref="B710">IF(ISBLANK(INDEX(SampleList[NMR],ROW()-1)),"Not Requested",INDEX(SampleList[Experiment ID],ROW()-1))</f>
        <v>Not Requested</v>
      </c>
      <c r="C710">
        <f>SampleList[[#This Row],[Duration (Days)]]</f>
        <v>0</v>
      </c>
      <c r="D710">
        <f>SampleList[[#This Row],[Sample Description]]</f>
        <v>0</v>
      </c>
      <c r="N710">
        <f>SUM(NMRPrep[[#This Row],[d-DMSO (uL) ]:[ NH4Cl (uL)]])</f>
        <v>0</v>
      </c>
      <c r="O710">
        <f>647</f>
        <v>647</v>
      </c>
      <c r="P710">
        <f>NMRPrep[[#This Row],[Total (uL) ]]-NMRPrep[[#This Row],[Target (uL)]]</f>
        <v>-647</v>
      </c>
      <c r="R710" t="e">
        <f>(NMRPrep[[#This Row],[NH4Cl Stock Concentration (mM)]]*NMRPrep[[#This Row],[ NH4Cl (uL)]])/SUM(NMRPrep[[#This Row],[DI (uL) ]:[ NH4Cl (uL)]])</f>
        <v>#DIV/0!</v>
      </c>
    </row>
    <row r="711" spans="1:18" x14ac:dyDescent="0.25">
      <c r="A711" s="1">
        <f>SampleList[[#This Row],[Date Sampled]]</f>
        <v>0</v>
      </c>
      <c r="B711" t="str" cm="1">
        <f t="array" ref="B711">IF(ISBLANK(INDEX(SampleList[NMR],ROW()-1)),"Not Requested",INDEX(SampleList[Experiment ID],ROW()-1))</f>
        <v>Not Requested</v>
      </c>
      <c r="C711">
        <f>SampleList[[#This Row],[Duration (Days)]]</f>
        <v>0</v>
      </c>
      <c r="D711">
        <f>SampleList[[#This Row],[Sample Description]]</f>
        <v>0</v>
      </c>
      <c r="N711">
        <f>SUM(NMRPrep[[#This Row],[d-DMSO (uL) ]:[ NH4Cl (uL)]])</f>
        <v>0</v>
      </c>
      <c r="O711">
        <f>647</f>
        <v>647</v>
      </c>
      <c r="P711">
        <f>NMRPrep[[#This Row],[Total (uL) ]]-NMRPrep[[#This Row],[Target (uL)]]</f>
        <v>-647</v>
      </c>
      <c r="R711" t="e">
        <f>(NMRPrep[[#This Row],[NH4Cl Stock Concentration (mM)]]*NMRPrep[[#This Row],[ NH4Cl (uL)]])/SUM(NMRPrep[[#This Row],[DI (uL) ]:[ NH4Cl (uL)]])</f>
        <v>#DIV/0!</v>
      </c>
    </row>
    <row r="712" spans="1:18" x14ac:dyDescent="0.25">
      <c r="A712" s="1">
        <f>SampleList[[#This Row],[Date Sampled]]</f>
        <v>0</v>
      </c>
      <c r="B712" t="str" cm="1">
        <f t="array" ref="B712">IF(ISBLANK(INDEX(SampleList[NMR],ROW()-1)),"Not Requested",INDEX(SampleList[Experiment ID],ROW()-1))</f>
        <v>Not Requested</v>
      </c>
      <c r="C712">
        <f>SampleList[[#This Row],[Duration (Days)]]</f>
        <v>0</v>
      </c>
      <c r="D712">
        <f>SampleList[[#This Row],[Sample Description]]</f>
        <v>0</v>
      </c>
      <c r="N712">
        <f>SUM(NMRPrep[[#This Row],[d-DMSO (uL) ]:[ NH4Cl (uL)]])</f>
        <v>0</v>
      </c>
      <c r="O712">
        <f>647</f>
        <v>647</v>
      </c>
      <c r="P712">
        <f>NMRPrep[[#This Row],[Total (uL) ]]-NMRPrep[[#This Row],[Target (uL)]]</f>
        <v>-647</v>
      </c>
      <c r="R712" t="e">
        <f>(NMRPrep[[#This Row],[NH4Cl Stock Concentration (mM)]]*NMRPrep[[#This Row],[ NH4Cl (uL)]])/SUM(NMRPrep[[#This Row],[DI (uL) ]:[ NH4Cl (uL)]])</f>
        <v>#DIV/0!</v>
      </c>
    </row>
    <row r="713" spans="1:18" x14ac:dyDescent="0.25">
      <c r="A713" s="1">
        <f>SampleList[[#This Row],[Date Sampled]]</f>
        <v>0</v>
      </c>
      <c r="B713" t="str" cm="1">
        <f t="array" ref="B713">IF(ISBLANK(INDEX(SampleList[NMR],ROW()-1)),"Not Requested",INDEX(SampleList[Experiment ID],ROW()-1))</f>
        <v>Not Requested</v>
      </c>
      <c r="C713">
        <f>SampleList[[#This Row],[Duration (Days)]]</f>
        <v>0</v>
      </c>
      <c r="D713">
        <f>SampleList[[#This Row],[Sample Description]]</f>
        <v>0</v>
      </c>
      <c r="N713">
        <f>SUM(NMRPrep[[#This Row],[d-DMSO (uL) ]:[ NH4Cl (uL)]])</f>
        <v>0</v>
      </c>
      <c r="O713">
        <f>647</f>
        <v>647</v>
      </c>
      <c r="P713">
        <f>NMRPrep[[#This Row],[Total (uL) ]]-NMRPrep[[#This Row],[Target (uL)]]</f>
        <v>-647</v>
      </c>
      <c r="R713" t="e">
        <f>(NMRPrep[[#This Row],[NH4Cl Stock Concentration (mM)]]*NMRPrep[[#This Row],[ NH4Cl (uL)]])/SUM(NMRPrep[[#This Row],[DI (uL) ]:[ NH4Cl (uL)]])</f>
        <v>#DIV/0!</v>
      </c>
    </row>
    <row r="714" spans="1:18" x14ac:dyDescent="0.25">
      <c r="A714" s="1">
        <f>SampleList[[#This Row],[Date Sampled]]</f>
        <v>0</v>
      </c>
      <c r="B714" t="str" cm="1">
        <f t="array" ref="B714">IF(ISBLANK(INDEX(SampleList[NMR],ROW()-1)),"Not Requested",INDEX(SampleList[Experiment ID],ROW()-1))</f>
        <v>Not Requested</v>
      </c>
      <c r="C714">
        <f>SampleList[[#This Row],[Duration (Days)]]</f>
        <v>0</v>
      </c>
      <c r="D714">
        <f>SampleList[[#This Row],[Sample Description]]</f>
        <v>0</v>
      </c>
      <c r="N714">
        <f>SUM(NMRPrep[[#This Row],[d-DMSO (uL) ]:[ NH4Cl (uL)]])</f>
        <v>0</v>
      </c>
      <c r="O714">
        <f>647</f>
        <v>647</v>
      </c>
      <c r="P714">
        <f>NMRPrep[[#This Row],[Total (uL) ]]-NMRPrep[[#This Row],[Target (uL)]]</f>
        <v>-647</v>
      </c>
      <c r="R714" t="e">
        <f>(NMRPrep[[#This Row],[NH4Cl Stock Concentration (mM)]]*NMRPrep[[#This Row],[ NH4Cl (uL)]])/SUM(NMRPrep[[#This Row],[DI (uL) ]:[ NH4Cl (uL)]])</f>
        <v>#DIV/0!</v>
      </c>
    </row>
    <row r="715" spans="1:18" x14ac:dyDescent="0.25">
      <c r="A715" s="1">
        <f>SampleList[[#This Row],[Date Sampled]]</f>
        <v>0</v>
      </c>
      <c r="B715" t="str" cm="1">
        <f t="array" ref="B715">IF(ISBLANK(INDEX(SampleList[NMR],ROW()-1)),"Not Requested",INDEX(SampleList[Experiment ID],ROW()-1))</f>
        <v>Not Requested</v>
      </c>
      <c r="C715">
        <f>SampleList[[#This Row],[Duration (Days)]]</f>
        <v>0</v>
      </c>
      <c r="D715">
        <f>SampleList[[#This Row],[Sample Description]]</f>
        <v>0</v>
      </c>
      <c r="N715">
        <f>SUM(NMRPrep[[#This Row],[d-DMSO (uL) ]:[ NH4Cl (uL)]])</f>
        <v>0</v>
      </c>
      <c r="O715">
        <f>647</f>
        <v>647</v>
      </c>
      <c r="P715">
        <f>NMRPrep[[#This Row],[Total (uL) ]]-NMRPrep[[#This Row],[Target (uL)]]</f>
        <v>-647</v>
      </c>
      <c r="R715" t="e">
        <f>(NMRPrep[[#This Row],[NH4Cl Stock Concentration (mM)]]*NMRPrep[[#This Row],[ NH4Cl (uL)]])/SUM(NMRPrep[[#This Row],[DI (uL) ]:[ NH4Cl (uL)]])</f>
        <v>#DIV/0!</v>
      </c>
    </row>
    <row r="716" spans="1:18" x14ac:dyDescent="0.25">
      <c r="A716" s="1">
        <f>SampleList[[#This Row],[Date Sampled]]</f>
        <v>0</v>
      </c>
      <c r="B716" t="str" cm="1">
        <f t="array" ref="B716">IF(ISBLANK(INDEX(SampleList[NMR],ROW()-1)),"Not Requested",INDEX(SampleList[Experiment ID],ROW()-1))</f>
        <v>Not Requested</v>
      </c>
      <c r="C716">
        <f>SampleList[[#This Row],[Duration (Days)]]</f>
        <v>0</v>
      </c>
      <c r="D716">
        <f>SampleList[[#This Row],[Sample Description]]</f>
        <v>0</v>
      </c>
      <c r="N716">
        <f>SUM(NMRPrep[[#This Row],[d-DMSO (uL) ]:[ NH4Cl (uL)]])</f>
        <v>0</v>
      </c>
      <c r="O716">
        <f>647</f>
        <v>647</v>
      </c>
      <c r="P716">
        <f>NMRPrep[[#This Row],[Total (uL) ]]-NMRPrep[[#This Row],[Target (uL)]]</f>
        <v>-647</v>
      </c>
      <c r="R716" t="e">
        <f>(NMRPrep[[#This Row],[NH4Cl Stock Concentration (mM)]]*NMRPrep[[#This Row],[ NH4Cl (uL)]])/SUM(NMRPrep[[#This Row],[DI (uL) ]:[ NH4Cl (uL)]])</f>
        <v>#DIV/0!</v>
      </c>
    </row>
    <row r="717" spans="1:18" x14ac:dyDescent="0.25">
      <c r="A717" s="1">
        <f>SampleList[[#This Row],[Date Sampled]]</f>
        <v>0</v>
      </c>
      <c r="B717" t="str" cm="1">
        <f t="array" ref="B717">IF(ISBLANK(INDEX(SampleList[NMR],ROW()-1)),"Not Requested",INDEX(SampleList[Experiment ID],ROW()-1))</f>
        <v>Not Requested</v>
      </c>
      <c r="C717">
        <f>SampleList[[#This Row],[Duration (Days)]]</f>
        <v>0</v>
      </c>
      <c r="D717">
        <f>SampleList[[#This Row],[Sample Description]]</f>
        <v>0</v>
      </c>
      <c r="N717">
        <f>SUM(NMRPrep[[#This Row],[d-DMSO (uL) ]:[ NH4Cl (uL)]])</f>
        <v>0</v>
      </c>
      <c r="O717">
        <f>647</f>
        <v>647</v>
      </c>
      <c r="P717">
        <f>NMRPrep[[#This Row],[Total (uL) ]]-NMRPrep[[#This Row],[Target (uL)]]</f>
        <v>-647</v>
      </c>
      <c r="R717" t="e">
        <f>(NMRPrep[[#This Row],[NH4Cl Stock Concentration (mM)]]*NMRPrep[[#This Row],[ NH4Cl (uL)]])/SUM(NMRPrep[[#This Row],[DI (uL) ]:[ NH4Cl (uL)]])</f>
        <v>#DIV/0!</v>
      </c>
    </row>
    <row r="718" spans="1:18" x14ac:dyDescent="0.25">
      <c r="A718" s="1">
        <f>SampleList[[#This Row],[Date Sampled]]</f>
        <v>0</v>
      </c>
      <c r="B718" t="str" cm="1">
        <f t="array" ref="B718">IF(ISBLANK(INDEX(SampleList[NMR],ROW()-1)),"Not Requested",INDEX(SampleList[Experiment ID],ROW()-1))</f>
        <v>Not Requested</v>
      </c>
      <c r="C718">
        <f>SampleList[[#This Row],[Duration (Days)]]</f>
        <v>0</v>
      </c>
      <c r="D718">
        <f>SampleList[[#This Row],[Sample Description]]</f>
        <v>0</v>
      </c>
      <c r="N718">
        <f>SUM(NMRPrep[[#This Row],[d-DMSO (uL) ]:[ NH4Cl (uL)]])</f>
        <v>0</v>
      </c>
      <c r="O718">
        <f>647</f>
        <v>647</v>
      </c>
      <c r="P718">
        <f>NMRPrep[[#This Row],[Total (uL) ]]-NMRPrep[[#This Row],[Target (uL)]]</f>
        <v>-647</v>
      </c>
      <c r="R718" t="e">
        <f>(NMRPrep[[#This Row],[NH4Cl Stock Concentration (mM)]]*NMRPrep[[#This Row],[ NH4Cl (uL)]])/SUM(NMRPrep[[#This Row],[DI (uL) ]:[ NH4Cl (uL)]])</f>
        <v>#DIV/0!</v>
      </c>
    </row>
    <row r="719" spans="1:18" x14ac:dyDescent="0.25">
      <c r="A719" s="1">
        <f>SampleList[[#This Row],[Date Sampled]]</f>
        <v>0</v>
      </c>
      <c r="B719" t="str" cm="1">
        <f t="array" ref="B719">IF(ISBLANK(INDEX(SampleList[NMR],ROW()-1)),"Not Requested",INDEX(SampleList[Experiment ID],ROW()-1))</f>
        <v>Not Requested</v>
      </c>
      <c r="C719">
        <f>SampleList[[#This Row],[Duration (Days)]]</f>
        <v>0</v>
      </c>
      <c r="D719">
        <f>SampleList[[#This Row],[Sample Description]]</f>
        <v>0</v>
      </c>
      <c r="N719">
        <f>SUM(NMRPrep[[#This Row],[d-DMSO (uL) ]:[ NH4Cl (uL)]])</f>
        <v>0</v>
      </c>
      <c r="O719">
        <f>647</f>
        <v>647</v>
      </c>
      <c r="P719">
        <f>NMRPrep[[#This Row],[Total (uL) ]]-NMRPrep[[#This Row],[Target (uL)]]</f>
        <v>-647</v>
      </c>
      <c r="R719" t="e">
        <f>(NMRPrep[[#This Row],[NH4Cl Stock Concentration (mM)]]*NMRPrep[[#This Row],[ NH4Cl (uL)]])/SUM(NMRPrep[[#This Row],[DI (uL) ]:[ NH4Cl (uL)]])</f>
        <v>#DIV/0!</v>
      </c>
    </row>
    <row r="720" spans="1:18" x14ac:dyDescent="0.25">
      <c r="A720" s="1">
        <f>SampleList[[#This Row],[Date Sampled]]</f>
        <v>0</v>
      </c>
      <c r="B720" t="str" cm="1">
        <f t="array" ref="B720">IF(ISBLANK(INDEX(SampleList[NMR],ROW()-1)),"Not Requested",INDEX(SampleList[Experiment ID],ROW()-1))</f>
        <v>Not Requested</v>
      </c>
      <c r="C720">
        <f>SampleList[[#This Row],[Duration (Days)]]</f>
        <v>0</v>
      </c>
      <c r="D720">
        <f>SampleList[[#This Row],[Sample Description]]</f>
        <v>0</v>
      </c>
      <c r="N720">
        <f>SUM(NMRPrep[[#This Row],[d-DMSO (uL) ]:[ NH4Cl (uL)]])</f>
        <v>0</v>
      </c>
      <c r="O720">
        <f>647</f>
        <v>647</v>
      </c>
      <c r="P720">
        <f>NMRPrep[[#This Row],[Total (uL) ]]-NMRPrep[[#This Row],[Target (uL)]]</f>
        <v>-647</v>
      </c>
      <c r="R720" t="e">
        <f>(NMRPrep[[#This Row],[NH4Cl Stock Concentration (mM)]]*NMRPrep[[#This Row],[ NH4Cl (uL)]])/SUM(NMRPrep[[#This Row],[DI (uL) ]:[ NH4Cl (uL)]])</f>
        <v>#DIV/0!</v>
      </c>
    </row>
    <row r="721" spans="1:18" x14ac:dyDescent="0.25">
      <c r="A721" s="1">
        <f>SampleList[[#This Row],[Date Sampled]]</f>
        <v>0</v>
      </c>
      <c r="B721" t="str" cm="1">
        <f t="array" ref="B721">IF(ISBLANK(INDEX(SampleList[NMR],ROW()-1)),"Not Requested",INDEX(SampleList[Experiment ID],ROW()-1))</f>
        <v>Not Requested</v>
      </c>
      <c r="C721">
        <f>SampleList[[#This Row],[Duration (Days)]]</f>
        <v>0</v>
      </c>
      <c r="D721">
        <f>SampleList[[#This Row],[Sample Description]]</f>
        <v>0</v>
      </c>
      <c r="N721">
        <f>SUM(NMRPrep[[#This Row],[d-DMSO (uL) ]:[ NH4Cl (uL)]])</f>
        <v>0</v>
      </c>
      <c r="O721">
        <f>647</f>
        <v>647</v>
      </c>
      <c r="P721">
        <f>NMRPrep[[#This Row],[Total (uL) ]]-NMRPrep[[#This Row],[Target (uL)]]</f>
        <v>-647</v>
      </c>
      <c r="R721" t="e">
        <f>(NMRPrep[[#This Row],[NH4Cl Stock Concentration (mM)]]*NMRPrep[[#This Row],[ NH4Cl (uL)]])/SUM(NMRPrep[[#This Row],[DI (uL) ]:[ NH4Cl (uL)]])</f>
        <v>#DIV/0!</v>
      </c>
    </row>
    <row r="722" spans="1:18" x14ac:dyDescent="0.25">
      <c r="A722" s="1">
        <f>SampleList[[#This Row],[Date Sampled]]</f>
        <v>0</v>
      </c>
      <c r="B722" t="str" cm="1">
        <f t="array" ref="B722">IF(ISBLANK(INDEX(SampleList[NMR],ROW()-1)),"Not Requested",INDEX(SampleList[Experiment ID],ROW()-1))</f>
        <v>Not Requested</v>
      </c>
      <c r="C722">
        <f>SampleList[[#This Row],[Duration (Days)]]</f>
        <v>0</v>
      </c>
      <c r="D722">
        <f>SampleList[[#This Row],[Sample Description]]</f>
        <v>0</v>
      </c>
      <c r="N722">
        <f>SUM(NMRPrep[[#This Row],[d-DMSO (uL) ]:[ NH4Cl (uL)]])</f>
        <v>0</v>
      </c>
      <c r="O722">
        <f>647</f>
        <v>647</v>
      </c>
      <c r="P722">
        <f>NMRPrep[[#This Row],[Total (uL) ]]-NMRPrep[[#This Row],[Target (uL)]]</f>
        <v>-647</v>
      </c>
      <c r="R722" t="e">
        <f>(NMRPrep[[#This Row],[NH4Cl Stock Concentration (mM)]]*NMRPrep[[#This Row],[ NH4Cl (uL)]])/SUM(NMRPrep[[#This Row],[DI (uL) ]:[ NH4Cl (uL)]])</f>
        <v>#DIV/0!</v>
      </c>
    </row>
    <row r="723" spans="1:18" x14ac:dyDescent="0.25">
      <c r="A723" s="1">
        <f>SampleList[[#This Row],[Date Sampled]]</f>
        <v>0</v>
      </c>
      <c r="B723" t="str" cm="1">
        <f t="array" ref="B723">IF(ISBLANK(INDEX(SampleList[NMR],ROW()-1)),"Not Requested",INDEX(SampleList[Experiment ID],ROW()-1))</f>
        <v>Not Requested</v>
      </c>
      <c r="C723">
        <f>SampleList[[#This Row],[Duration (Days)]]</f>
        <v>0</v>
      </c>
      <c r="D723">
        <f>SampleList[[#This Row],[Sample Description]]</f>
        <v>0</v>
      </c>
      <c r="N723">
        <f>SUM(NMRPrep[[#This Row],[d-DMSO (uL) ]:[ NH4Cl (uL)]])</f>
        <v>0</v>
      </c>
      <c r="O723">
        <f>647</f>
        <v>647</v>
      </c>
      <c r="P723">
        <f>NMRPrep[[#This Row],[Total (uL) ]]-NMRPrep[[#This Row],[Target (uL)]]</f>
        <v>-647</v>
      </c>
      <c r="R723" t="e">
        <f>(NMRPrep[[#This Row],[NH4Cl Stock Concentration (mM)]]*NMRPrep[[#This Row],[ NH4Cl (uL)]])/SUM(NMRPrep[[#This Row],[DI (uL) ]:[ NH4Cl (uL)]])</f>
        <v>#DIV/0!</v>
      </c>
    </row>
    <row r="724" spans="1:18" x14ac:dyDescent="0.25">
      <c r="A724" s="1">
        <f>SampleList[[#This Row],[Date Sampled]]</f>
        <v>0</v>
      </c>
      <c r="B724" t="str" cm="1">
        <f t="array" ref="B724">IF(ISBLANK(INDEX(SampleList[NMR],ROW()-1)),"Not Requested",INDEX(SampleList[Experiment ID],ROW()-1))</f>
        <v>Not Requested</v>
      </c>
      <c r="C724">
        <f>SampleList[[#This Row],[Duration (Days)]]</f>
        <v>0</v>
      </c>
      <c r="D724">
        <f>SampleList[[#This Row],[Sample Description]]</f>
        <v>0</v>
      </c>
      <c r="N724">
        <f>SUM(NMRPrep[[#This Row],[d-DMSO (uL) ]:[ NH4Cl (uL)]])</f>
        <v>0</v>
      </c>
      <c r="O724">
        <f>647</f>
        <v>647</v>
      </c>
      <c r="P724">
        <f>NMRPrep[[#This Row],[Total (uL) ]]-NMRPrep[[#This Row],[Target (uL)]]</f>
        <v>-647</v>
      </c>
      <c r="R724" t="e">
        <f>(NMRPrep[[#This Row],[NH4Cl Stock Concentration (mM)]]*NMRPrep[[#This Row],[ NH4Cl (uL)]])/SUM(NMRPrep[[#This Row],[DI (uL) ]:[ NH4Cl (uL)]])</f>
        <v>#DIV/0!</v>
      </c>
    </row>
    <row r="725" spans="1:18" x14ac:dyDescent="0.25">
      <c r="A725" s="1">
        <f>SampleList[[#This Row],[Date Sampled]]</f>
        <v>0</v>
      </c>
      <c r="B725" t="str" cm="1">
        <f t="array" ref="B725">IF(ISBLANK(INDEX(SampleList[NMR],ROW()-1)),"Not Requested",INDEX(SampleList[Experiment ID],ROW()-1))</f>
        <v>Not Requested</v>
      </c>
      <c r="C725">
        <f>SampleList[[#This Row],[Duration (Days)]]</f>
        <v>0</v>
      </c>
      <c r="D725">
        <f>SampleList[[#This Row],[Sample Description]]</f>
        <v>0</v>
      </c>
      <c r="N725">
        <f>SUM(NMRPrep[[#This Row],[d-DMSO (uL) ]:[ NH4Cl (uL)]])</f>
        <v>0</v>
      </c>
      <c r="O725">
        <f>647</f>
        <v>647</v>
      </c>
      <c r="P725">
        <f>NMRPrep[[#This Row],[Total (uL) ]]-NMRPrep[[#This Row],[Target (uL)]]</f>
        <v>-647</v>
      </c>
      <c r="R725" t="e">
        <f>(NMRPrep[[#This Row],[NH4Cl Stock Concentration (mM)]]*NMRPrep[[#This Row],[ NH4Cl (uL)]])/SUM(NMRPrep[[#This Row],[DI (uL) ]:[ NH4Cl (uL)]])</f>
        <v>#DIV/0!</v>
      </c>
    </row>
    <row r="726" spans="1:18" x14ac:dyDescent="0.25">
      <c r="A726" s="1">
        <f>SampleList[[#This Row],[Date Sampled]]</f>
        <v>0</v>
      </c>
      <c r="B726" t="str" cm="1">
        <f t="array" ref="B726">IF(ISBLANK(INDEX(SampleList[NMR],ROW()-1)),"Not Requested",INDEX(SampleList[Experiment ID],ROW()-1))</f>
        <v>Not Requested</v>
      </c>
      <c r="C726">
        <f>SampleList[[#This Row],[Duration (Days)]]</f>
        <v>0</v>
      </c>
      <c r="D726">
        <f>SampleList[[#This Row],[Sample Description]]</f>
        <v>0</v>
      </c>
      <c r="N726">
        <f>SUM(NMRPrep[[#This Row],[d-DMSO (uL) ]:[ NH4Cl (uL)]])</f>
        <v>0</v>
      </c>
      <c r="O726">
        <f>647</f>
        <v>647</v>
      </c>
      <c r="P726">
        <f>NMRPrep[[#This Row],[Total (uL) ]]-NMRPrep[[#This Row],[Target (uL)]]</f>
        <v>-647</v>
      </c>
      <c r="R726" t="e">
        <f>(NMRPrep[[#This Row],[NH4Cl Stock Concentration (mM)]]*NMRPrep[[#This Row],[ NH4Cl (uL)]])/SUM(NMRPrep[[#This Row],[DI (uL) ]:[ NH4Cl (uL)]])</f>
        <v>#DIV/0!</v>
      </c>
    </row>
    <row r="727" spans="1:18" x14ac:dyDescent="0.25">
      <c r="A727" s="1">
        <f>SampleList[[#This Row],[Date Sampled]]</f>
        <v>0</v>
      </c>
      <c r="B727" t="str" cm="1">
        <f t="array" ref="B727">IF(ISBLANK(INDEX(SampleList[NMR],ROW()-1)),"Not Requested",INDEX(SampleList[Experiment ID],ROW()-1))</f>
        <v>Not Requested</v>
      </c>
      <c r="C727">
        <f>SampleList[[#This Row],[Duration (Days)]]</f>
        <v>0</v>
      </c>
      <c r="D727">
        <f>SampleList[[#This Row],[Sample Description]]</f>
        <v>0</v>
      </c>
      <c r="N727">
        <f>SUM(NMRPrep[[#This Row],[d-DMSO (uL) ]:[ NH4Cl (uL)]])</f>
        <v>0</v>
      </c>
      <c r="O727">
        <f>647</f>
        <v>647</v>
      </c>
      <c r="P727">
        <f>NMRPrep[[#This Row],[Total (uL) ]]-NMRPrep[[#This Row],[Target (uL)]]</f>
        <v>-647</v>
      </c>
      <c r="R727" t="e">
        <f>(NMRPrep[[#This Row],[NH4Cl Stock Concentration (mM)]]*NMRPrep[[#This Row],[ NH4Cl (uL)]])/SUM(NMRPrep[[#This Row],[DI (uL) ]:[ NH4Cl (uL)]])</f>
        <v>#DIV/0!</v>
      </c>
    </row>
    <row r="728" spans="1:18" x14ac:dyDescent="0.25">
      <c r="A728" s="1">
        <f>SampleList[[#This Row],[Date Sampled]]</f>
        <v>0</v>
      </c>
      <c r="B728" t="str" cm="1">
        <f t="array" ref="B728">IF(ISBLANK(INDEX(SampleList[NMR],ROW()-1)),"Not Requested",INDEX(SampleList[Experiment ID],ROW()-1))</f>
        <v>Not Requested</v>
      </c>
      <c r="C728">
        <f>SampleList[[#This Row],[Duration (Days)]]</f>
        <v>0</v>
      </c>
      <c r="D728">
        <f>SampleList[[#This Row],[Sample Description]]</f>
        <v>0</v>
      </c>
      <c r="N728">
        <f>SUM(NMRPrep[[#This Row],[d-DMSO (uL) ]:[ NH4Cl (uL)]])</f>
        <v>0</v>
      </c>
      <c r="O728">
        <f>647</f>
        <v>647</v>
      </c>
      <c r="P728">
        <f>NMRPrep[[#This Row],[Total (uL) ]]-NMRPrep[[#This Row],[Target (uL)]]</f>
        <v>-647</v>
      </c>
      <c r="R728" t="e">
        <f>(NMRPrep[[#This Row],[NH4Cl Stock Concentration (mM)]]*NMRPrep[[#This Row],[ NH4Cl (uL)]])/SUM(NMRPrep[[#This Row],[DI (uL) ]:[ NH4Cl (uL)]])</f>
        <v>#DIV/0!</v>
      </c>
    </row>
    <row r="729" spans="1:18" x14ac:dyDescent="0.25">
      <c r="A729" s="1">
        <f>SampleList[[#This Row],[Date Sampled]]</f>
        <v>0</v>
      </c>
      <c r="B729" t="str" cm="1">
        <f t="array" ref="B729">IF(ISBLANK(INDEX(SampleList[NMR],ROW()-1)),"Not Requested",INDEX(SampleList[Experiment ID],ROW()-1))</f>
        <v>Not Requested</v>
      </c>
      <c r="C729">
        <f>SampleList[[#This Row],[Duration (Days)]]</f>
        <v>0</v>
      </c>
      <c r="D729">
        <f>SampleList[[#This Row],[Sample Description]]</f>
        <v>0</v>
      </c>
      <c r="N729">
        <f>SUM(NMRPrep[[#This Row],[d-DMSO (uL) ]:[ NH4Cl (uL)]])</f>
        <v>0</v>
      </c>
      <c r="O729">
        <f>647</f>
        <v>647</v>
      </c>
      <c r="P729">
        <f>NMRPrep[[#This Row],[Total (uL) ]]-NMRPrep[[#This Row],[Target (uL)]]</f>
        <v>-647</v>
      </c>
      <c r="R729" t="e">
        <f>(NMRPrep[[#This Row],[NH4Cl Stock Concentration (mM)]]*NMRPrep[[#This Row],[ NH4Cl (uL)]])/SUM(NMRPrep[[#This Row],[DI (uL) ]:[ NH4Cl (uL)]])</f>
        <v>#DIV/0!</v>
      </c>
    </row>
    <row r="730" spans="1:18" x14ac:dyDescent="0.25">
      <c r="A730" s="1">
        <f>SampleList[[#This Row],[Date Sampled]]</f>
        <v>0</v>
      </c>
      <c r="B730" t="str" cm="1">
        <f t="array" ref="B730">IF(ISBLANK(INDEX(SampleList[NMR],ROW()-1)),"Not Requested",INDEX(SampleList[Experiment ID],ROW()-1))</f>
        <v>Not Requested</v>
      </c>
      <c r="C730">
        <f>SampleList[[#This Row],[Duration (Days)]]</f>
        <v>0</v>
      </c>
      <c r="D730">
        <f>SampleList[[#This Row],[Sample Description]]</f>
        <v>0</v>
      </c>
      <c r="N730">
        <f>SUM(NMRPrep[[#This Row],[d-DMSO (uL) ]:[ NH4Cl (uL)]])</f>
        <v>0</v>
      </c>
      <c r="O730">
        <f>647</f>
        <v>647</v>
      </c>
      <c r="P730">
        <f>NMRPrep[[#This Row],[Total (uL) ]]-NMRPrep[[#This Row],[Target (uL)]]</f>
        <v>-647</v>
      </c>
      <c r="R730" t="e">
        <f>(NMRPrep[[#This Row],[NH4Cl Stock Concentration (mM)]]*NMRPrep[[#This Row],[ NH4Cl (uL)]])/SUM(NMRPrep[[#This Row],[DI (uL) ]:[ NH4Cl (uL)]])</f>
        <v>#DIV/0!</v>
      </c>
    </row>
    <row r="731" spans="1:18" x14ac:dyDescent="0.25">
      <c r="A731" s="1">
        <f>SampleList[[#This Row],[Date Sampled]]</f>
        <v>0</v>
      </c>
      <c r="B731" t="str" cm="1">
        <f t="array" ref="B731">IF(ISBLANK(INDEX(SampleList[NMR],ROW()-1)),"Not Requested",INDEX(SampleList[Experiment ID],ROW()-1))</f>
        <v>Not Requested</v>
      </c>
      <c r="C731">
        <f>SampleList[[#This Row],[Duration (Days)]]</f>
        <v>0</v>
      </c>
      <c r="D731">
        <f>SampleList[[#This Row],[Sample Description]]</f>
        <v>0</v>
      </c>
      <c r="N731">
        <f>SUM(NMRPrep[[#This Row],[d-DMSO (uL) ]:[ NH4Cl (uL)]])</f>
        <v>0</v>
      </c>
      <c r="O731">
        <f>647</f>
        <v>647</v>
      </c>
      <c r="P731">
        <f>NMRPrep[[#This Row],[Total (uL) ]]-NMRPrep[[#This Row],[Target (uL)]]</f>
        <v>-647</v>
      </c>
      <c r="R731" t="e">
        <f>(NMRPrep[[#This Row],[NH4Cl Stock Concentration (mM)]]*NMRPrep[[#This Row],[ NH4Cl (uL)]])/SUM(NMRPrep[[#This Row],[DI (uL) ]:[ NH4Cl (uL)]])</f>
        <v>#DIV/0!</v>
      </c>
    </row>
    <row r="732" spans="1:18" x14ac:dyDescent="0.25">
      <c r="A732" s="1">
        <f>SampleList[[#This Row],[Date Sampled]]</f>
        <v>0</v>
      </c>
      <c r="B732" t="str" cm="1">
        <f t="array" ref="B732">IF(ISBLANK(INDEX(SampleList[NMR],ROW()-1)),"Not Requested",INDEX(SampleList[Experiment ID],ROW()-1))</f>
        <v>Not Requested</v>
      </c>
      <c r="C732">
        <f>SampleList[[#This Row],[Duration (Days)]]</f>
        <v>0</v>
      </c>
      <c r="D732">
        <f>SampleList[[#This Row],[Sample Description]]</f>
        <v>0</v>
      </c>
      <c r="N732">
        <f>SUM(NMRPrep[[#This Row],[d-DMSO (uL) ]:[ NH4Cl (uL)]])</f>
        <v>0</v>
      </c>
      <c r="O732">
        <f>647</f>
        <v>647</v>
      </c>
      <c r="P732">
        <f>NMRPrep[[#This Row],[Total (uL) ]]-NMRPrep[[#This Row],[Target (uL)]]</f>
        <v>-647</v>
      </c>
      <c r="R732" t="e">
        <f>(NMRPrep[[#This Row],[NH4Cl Stock Concentration (mM)]]*NMRPrep[[#This Row],[ NH4Cl (uL)]])/SUM(NMRPrep[[#This Row],[DI (uL) ]:[ NH4Cl (uL)]])</f>
        <v>#DIV/0!</v>
      </c>
    </row>
    <row r="733" spans="1:18" x14ac:dyDescent="0.25">
      <c r="A733" s="1">
        <f>SampleList[[#This Row],[Date Sampled]]</f>
        <v>0</v>
      </c>
      <c r="B733" t="str" cm="1">
        <f t="array" ref="B733">IF(ISBLANK(INDEX(SampleList[NMR],ROW()-1)),"Not Requested",INDEX(SampleList[Experiment ID],ROW()-1))</f>
        <v>Not Requested</v>
      </c>
      <c r="C733">
        <f>SampleList[[#This Row],[Duration (Days)]]</f>
        <v>0</v>
      </c>
      <c r="D733">
        <f>SampleList[[#This Row],[Sample Description]]</f>
        <v>0</v>
      </c>
      <c r="N733">
        <f>SUM(NMRPrep[[#This Row],[d-DMSO (uL) ]:[ NH4Cl (uL)]])</f>
        <v>0</v>
      </c>
      <c r="O733">
        <f>647</f>
        <v>647</v>
      </c>
      <c r="P733">
        <f>NMRPrep[[#This Row],[Total (uL) ]]-NMRPrep[[#This Row],[Target (uL)]]</f>
        <v>-647</v>
      </c>
      <c r="R733" t="e">
        <f>(NMRPrep[[#This Row],[NH4Cl Stock Concentration (mM)]]*NMRPrep[[#This Row],[ NH4Cl (uL)]])/SUM(NMRPrep[[#This Row],[DI (uL) ]:[ NH4Cl (uL)]])</f>
        <v>#DIV/0!</v>
      </c>
    </row>
    <row r="734" spans="1:18" x14ac:dyDescent="0.25">
      <c r="A734" s="1">
        <f>SampleList[[#This Row],[Date Sampled]]</f>
        <v>0</v>
      </c>
      <c r="B734" t="str" cm="1">
        <f t="array" ref="B734">IF(ISBLANK(INDEX(SampleList[NMR],ROW()-1)),"Not Requested",INDEX(SampleList[Experiment ID],ROW()-1))</f>
        <v>Not Requested</v>
      </c>
      <c r="C734">
        <f>SampleList[[#This Row],[Duration (Days)]]</f>
        <v>0</v>
      </c>
      <c r="D734">
        <f>SampleList[[#This Row],[Sample Description]]</f>
        <v>0</v>
      </c>
      <c r="N734">
        <f>SUM(NMRPrep[[#This Row],[d-DMSO (uL) ]:[ NH4Cl (uL)]])</f>
        <v>0</v>
      </c>
      <c r="O734">
        <f>647</f>
        <v>647</v>
      </c>
      <c r="P734">
        <f>NMRPrep[[#This Row],[Total (uL) ]]-NMRPrep[[#This Row],[Target (uL)]]</f>
        <v>-647</v>
      </c>
      <c r="R734" t="e">
        <f>(NMRPrep[[#This Row],[NH4Cl Stock Concentration (mM)]]*NMRPrep[[#This Row],[ NH4Cl (uL)]])/SUM(NMRPrep[[#This Row],[DI (uL) ]:[ NH4Cl (uL)]])</f>
        <v>#DIV/0!</v>
      </c>
    </row>
    <row r="735" spans="1:18" x14ac:dyDescent="0.25">
      <c r="A735" s="1">
        <f>SampleList[[#This Row],[Date Sampled]]</f>
        <v>0</v>
      </c>
      <c r="B735" t="str" cm="1">
        <f t="array" ref="B735">IF(ISBLANK(INDEX(SampleList[NMR],ROW()-1)),"Not Requested",INDEX(SampleList[Experiment ID],ROW()-1))</f>
        <v>Not Requested</v>
      </c>
      <c r="C735">
        <f>SampleList[[#This Row],[Duration (Days)]]</f>
        <v>0</v>
      </c>
      <c r="D735">
        <f>SampleList[[#This Row],[Sample Description]]</f>
        <v>0</v>
      </c>
      <c r="N735">
        <f>SUM(NMRPrep[[#This Row],[d-DMSO (uL) ]:[ NH4Cl (uL)]])</f>
        <v>0</v>
      </c>
      <c r="O735">
        <f>647</f>
        <v>647</v>
      </c>
      <c r="P735">
        <f>NMRPrep[[#This Row],[Total (uL) ]]-NMRPrep[[#This Row],[Target (uL)]]</f>
        <v>-647</v>
      </c>
      <c r="R735" t="e">
        <f>(NMRPrep[[#This Row],[NH4Cl Stock Concentration (mM)]]*NMRPrep[[#This Row],[ NH4Cl (uL)]])/SUM(NMRPrep[[#This Row],[DI (uL) ]:[ NH4Cl (uL)]])</f>
        <v>#DIV/0!</v>
      </c>
    </row>
    <row r="736" spans="1:18" x14ac:dyDescent="0.25">
      <c r="A736" s="1">
        <f>SampleList[[#This Row],[Date Sampled]]</f>
        <v>0</v>
      </c>
      <c r="B736" t="str" cm="1">
        <f t="array" ref="B736">IF(ISBLANK(INDEX(SampleList[NMR],ROW()-1)),"Not Requested",INDEX(SampleList[Experiment ID],ROW()-1))</f>
        <v>Not Requested</v>
      </c>
      <c r="C736">
        <f>SampleList[[#This Row],[Duration (Days)]]</f>
        <v>0</v>
      </c>
      <c r="D736">
        <f>SampleList[[#This Row],[Sample Description]]</f>
        <v>0</v>
      </c>
      <c r="N736">
        <f>SUM(NMRPrep[[#This Row],[d-DMSO (uL) ]:[ NH4Cl (uL)]])</f>
        <v>0</v>
      </c>
      <c r="O736">
        <f>647</f>
        <v>647</v>
      </c>
      <c r="P736">
        <f>NMRPrep[[#This Row],[Total (uL) ]]-NMRPrep[[#This Row],[Target (uL)]]</f>
        <v>-647</v>
      </c>
      <c r="R736" t="e">
        <f>(NMRPrep[[#This Row],[NH4Cl Stock Concentration (mM)]]*NMRPrep[[#This Row],[ NH4Cl (uL)]])/SUM(NMRPrep[[#This Row],[DI (uL) ]:[ NH4Cl (uL)]])</f>
        <v>#DIV/0!</v>
      </c>
    </row>
    <row r="737" spans="1:18" x14ac:dyDescent="0.25">
      <c r="A737" s="1">
        <f>SampleList[[#This Row],[Date Sampled]]</f>
        <v>0</v>
      </c>
      <c r="B737" t="str" cm="1">
        <f t="array" ref="B737">IF(ISBLANK(INDEX(SampleList[NMR],ROW()-1)),"Not Requested",INDEX(SampleList[Experiment ID],ROW()-1))</f>
        <v>Not Requested</v>
      </c>
      <c r="C737">
        <f>SampleList[[#This Row],[Duration (Days)]]</f>
        <v>0</v>
      </c>
      <c r="D737">
        <f>SampleList[[#This Row],[Sample Description]]</f>
        <v>0</v>
      </c>
      <c r="N737">
        <f>SUM(NMRPrep[[#This Row],[d-DMSO (uL) ]:[ NH4Cl (uL)]])</f>
        <v>0</v>
      </c>
      <c r="O737">
        <f>647</f>
        <v>647</v>
      </c>
      <c r="P737">
        <f>NMRPrep[[#This Row],[Total (uL) ]]-NMRPrep[[#This Row],[Target (uL)]]</f>
        <v>-647</v>
      </c>
      <c r="R737" t="e">
        <f>(NMRPrep[[#This Row],[NH4Cl Stock Concentration (mM)]]*NMRPrep[[#This Row],[ NH4Cl (uL)]])/SUM(NMRPrep[[#This Row],[DI (uL) ]:[ NH4Cl (uL)]])</f>
        <v>#DIV/0!</v>
      </c>
    </row>
    <row r="738" spans="1:18" x14ac:dyDescent="0.25">
      <c r="A738" s="1">
        <f>SampleList[[#This Row],[Date Sampled]]</f>
        <v>0</v>
      </c>
      <c r="B738" t="str" cm="1">
        <f t="array" ref="B738">IF(ISBLANK(INDEX(SampleList[NMR],ROW()-1)),"Not Requested",INDEX(SampleList[Experiment ID],ROW()-1))</f>
        <v>Not Requested</v>
      </c>
      <c r="C738">
        <f>SampleList[[#This Row],[Duration (Days)]]</f>
        <v>0</v>
      </c>
      <c r="D738">
        <f>SampleList[[#This Row],[Sample Description]]</f>
        <v>0</v>
      </c>
      <c r="N738">
        <f>SUM(NMRPrep[[#This Row],[d-DMSO (uL) ]:[ NH4Cl (uL)]])</f>
        <v>0</v>
      </c>
      <c r="O738">
        <f>647</f>
        <v>647</v>
      </c>
      <c r="P738">
        <f>NMRPrep[[#This Row],[Total (uL) ]]-NMRPrep[[#This Row],[Target (uL)]]</f>
        <v>-647</v>
      </c>
      <c r="R738" t="e">
        <f>(NMRPrep[[#This Row],[NH4Cl Stock Concentration (mM)]]*NMRPrep[[#This Row],[ NH4Cl (uL)]])/SUM(NMRPrep[[#This Row],[DI (uL) ]:[ NH4Cl (uL)]])</f>
        <v>#DIV/0!</v>
      </c>
    </row>
    <row r="739" spans="1:18" x14ac:dyDescent="0.25">
      <c r="A739" s="1">
        <f>SampleList[[#This Row],[Date Sampled]]</f>
        <v>0</v>
      </c>
      <c r="B739" t="str" cm="1">
        <f t="array" ref="B739">IF(ISBLANK(INDEX(SampleList[NMR],ROW()-1)),"Not Requested",INDEX(SampleList[Experiment ID],ROW()-1))</f>
        <v>Not Requested</v>
      </c>
      <c r="C739">
        <f>SampleList[[#This Row],[Duration (Days)]]</f>
        <v>0</v>
      </c>
      <c r="D739">
        <f>SampleList[[#This Row],[Sample Description]]</f>
        <v>0</v>
      </c>
      <c r="N739">
        <f>SUM(NMRPrep[[#This Row],[d-DMSO (uL) ]:[ NH4Cl (uL)]])</f>
        <v>0</v>
      </c>
      <c r="O739">
        <f>647</f>
        <v>647</v>
      </c>
      <c r="P739">
        <f>NMRPrep[[#This Row],[Total (uL) ]]-NMRPrep[[#This Row],[Target (uL)]]</f>
        <v>-647</v>
      </c>
      <c r="R739" t="e">
        <f>(NMRPrep[[#This Row],[NH4Cl Stock Concentration (mM)]]*NMRPrep[[#This Row],[ NH4Cl (uL)]])/SUM(NMRPrep[[#This Row],[DI (uL) ]:[ NH4Cl (uL)]])</f>
        <v>#DIV/0!</v>
      </c>
    </row>
    <row r="740" spans="1:18" x14ac:dyDescent="0.25">
      <c r="A740" s="1">
        <f>SampleList[[#This Row],[Date Sampled]]</f>
        <v>0</v>
      </c>
      <c r="B740" t="str" cm="1">
        <f t="array" ref="B740">IF(ISBLANK(INDEX(SampleList[NMR],ROW()-1)),"Not Requested",INDEX(SampleList[Experiment ID],ROW()-1))</f>
        <v>Not Requested</v>
      </c>
      <c r="C740">
        <f>SampleList[[#This Row],[Duration (Days)]]</f>
        <v>0</v>
      </c>
      <c r="D740">
        <f>SampleList[[#This Row],[Sample Description]]</f>
        <v>0</v>
      </c>
      <c r="N740">
        <f>SUM(NMRPrep[[#This Row],[d-DMSO (uL) ]:[ NH4Cl (uL)]])</f>
        <v>0</v>
      </c>
      <c r="O740">
        <f>647</f>
        <v>647</v>
      </c>
      <c r="P740">
        <f>NMRPrep[[#This Row],[Total (uL) ]]-NMRPrep[[#This Row],[Target (uL)]]</f>
        <v>-647</v>
      </c>
      <c r="R740" t="e">
        <f>(NMRPrep[[#This Row],[NH4Cl Stock Concentration (mM)]]*NMRPrep[[#This Row],[ NH4Cl (uL)]])/SUM(NMRPrep[[#This Row],[DI (uL) ]:[ NH4Cl (uL)]])</f>
        <v>#DIV/0!</v>
      </c>
    </row>
    <row r="741" spans="1:18" x14ac:dyDescent="0.25">
      <c r="A741" s="1">
        <f>SampleList[[#This Row],[Date Sampled]]</f>
        <v>0</v>
      </c>
      <c r="B741" t="str" cm="1">
        <f t="array" ref="B741">IF(ISBLANK(INDEX(SampleList[NMR],ROW()-1)),"Not Requested",INDEX(SampleList[Experiment ID],ROW()-1))</f>
        <v>Not Requested</v>
      </c>
      <c r="C741">
        <f>SampleList[[#This Row],[Duration (Days)]]</f>
        <v>0</v>
      </c>
      <c r="D741">
        <f>SampleList[[#This Row],[Sample Description]]</f>
        <v>0</v>
      </c>
      <c r="N741">
        <f>SUM(NMRPrep[[#This Row],[d-DMSO (uL) ]:[ NH4Cl (uL)]])</f>
        <v>0</v>
      </c>
      <c r="O741">
        <f>647</f>
        <v>647</v>
      </c>
      <c r="P741">
        <f>NMRPrep[[#This Row],[Total (uL) ]]-NMRPrep[[#This Row],[Target (uL)]]</f>
        <v>-647</v>
      </c>
      <c r="R741" t="e">
        <f>(NMRPrep[[#This Row],[NH4Cl Stock Concentration (mM)]]*NMRPrep[[#This Row],[ NH4Cl (uL)]])/SUM(NMRPrep[[#This Row],[DI (uL) ]:[ NH4Cl (uL)]])</f>
        <v>#DIV/0!</v>
      </c>
    </row>
    <row r="742" spans="1:18" x14ac:dyDescent="0.25">
      <c r="A742" s="1">
        <f>SampleList[[#This Row],[Date Sampled]]</f>
        <v>0</v>
      </c>
      <c r="B742" t="str" cm="1">
        <f t="array" ref="B742">IF(ISBLANK(INDEX(SampleList[NMR],ROW()-1)),"Not Requested",INDEX(SampleList[Experiment ID],ROW()-1))</f>
        <v>Not Requested</v>
      </c>
      <c r="C742">
        <f>SampleList[[#This Row],[Duration (Days)]]</f>
        <v>0</v>
      </c>
      <c r="D742">
        <f>SampleList[[#This Row],[Sample Description]]</f>
        <v>0</v>
      </c>
      <c r="N742">
        <f>SUM(NMRPrep[[#This Row],[d-DMSO (uL) ]:[ NH4Cl (uL)]])</f>
        <v>0</v>
      </c>
      <c r="O742">
        <f>647</f>
        <v>647</v>
      </c>
      <c r="P742">
        <f>NMRPrep[[#This Row],[Total (uL) ]]-NMRPrep[[#This Row],[Target (uL)]]</f>
        <v>-647</v>
      </c>
      <c r="R742" t="e">
        <f>(NMRPrep[[#This Row],[NH4Cl Stock Concentration (mM)]]*NMRPrep[[#This Row],[ NH4Cl (uL)]])/SUM(NMRPrep[[#This Row],[DI (uL) ]:[ NH4Cl (uL)]])</f>
        <v>#DIV/0!</v>
      </c>
    </row>
    <row r="743" spans="1:18" x14ac:dyDescent="0.25">
      <c r="A743" s="1">
        <f>SampleList[[#This Row],[Date Sampled]]</f>
        <v>0</v>
      </c>
      <c r="B743" t="str" cm="1">
        <f t="array" ref="B743">IF(ISBLANK(INDEX(SampleList[NMR],ROW()-1)),"Not Requested",INDEX(SampleList[Experiment ID],ROW()-1))</f>
        <v>Not Requested</v>
      </c>
      <c r="C743">
        <f>SampleList[[#This Row],[Duration (Days)]]</f>
        <v>0</v>
      </c>
      <c r="D743">
        <f>SampleList[[#This Row],[Sample Description]]</f>
        <v>0</v>
      </c>
      <c r="N743">
        <f>SUM(NMRPrep[[#This Row],[d-DMSO (uL) ]:[ NH4Cl (uL)]])</f>
        <v>0</v>
      </c>
      <c r="O743">
        <f>647</f>
        <v>647</v>
      </c>
      <c r="P743">
        <f>NMRPrep[[#This Row],[Total (uL) ]]-NMRPrep[[#This Row],[Target (uL)]]</f>
        <v>-647</v>
      </c>
      <c r="R743" t="e">
        <f>(NMRPrep[[#This Row],[NH4Cl Stock Concentration (mM)]]*NMRPrep[[#This Row],[ NH4Cl (uL)]])/SUM(NMRPrep[[#This Row],[DI (uL) ]:[ NH4Cl (uL)]])</f>
        <v>#DIV/0!</v>
      </c>
    </row>
    <row r="744" spans="1:18" x14ac:dyDescent="0.25">
      <c r="A744" s="1">
        <f>SampleList[[#This Row],[Date Sampled]]</f>
        <v>0</v>
      </c>
      <c r="B744" t="str" cm="1">
        <f t="array" ref="B744">IF(ISBLANK(INDEX(SampleList[NMR],ROW()-1)),"Not Requested",INDEX(SampleList[Experiment ID],ROW()-1))</f>
        <v>Not Requested</v>
      </c>
      <c r="C744">
        <f>SampleList[[#This Row],[Duration (Days)]]</f>
        <v>0</v>
      </c>
      <c r="D744">
        <f>SampleList[[#This Row],[Sample Description]]</f>
        <v>0</v>
      </c>
      <c r="E744">
        <v>1</v>
      </c>
      <c r="F744">
        <v>100</v>
      </c>
      <c r="G744">
        <v>24</v>
      </c>
      <c r="H744">
        <v>50</v>
      </c>
      <c r="I744">
        <v>30</v>
      </c>
      <c r="J744">
        <v>375</v>
      </c>
      <c r="K744">
        <v>68</v>
      </c>
      <c r="N744">
        <f>SUM(NMRPrep[[#This Row],[d-DMSO (uL) ]:[ NH4Cl (uL)]])</f>
        <v>647</v>
      </c>
      <c r="O744">
        <f>647</f>
        <v>647</v>
      </c>
      <c r="P744">
        <f>NMRPrep[[#This Row],[Total (uL) ]]-NMRPrep[[#This Row],[Target (uL)]]</f>
        <v>0</v>
      </c>
      <c r="R744">
        <f>(NMRPrep[[#This Row],[NH4Cl Stock Concentration (mM)]]*NMRPrep[[#This Row],[ NH4Cl (uL)]])/SUM(NMRPrep[[#This Row],[DI (uL) ]:[ NH4Cl (uL)]])</f>
        <v>0</v>
      </c>
    </row>
    <row r="745" spans="1:18" x14ac:dyDescent="0.25">
      <c r="A745" s="1">
        <f>SampleList[[#This Row],[Date Sampled]]</f>
        <v>0</v>
      </c>
      <c r="B745" t="str" cm="1">
        <f t="array" ref="B745">IF(ISBLANK(INDEX(SampleList[NMR],ROW()-1)),"Not Requested",INDEX(SampleList[Experiment ID],ROW()-1))</f>
        <v>Not Requested</v>
      </c>
      <c r="C745">
        <f>SampleList[[#This Row],[Duration (Days)]]</f>
        <v>0</v>
      </c>
      <c r="D745">
        <f>SampleList[[#This Row],[Sample Description]]</f>
        <v>0</v>
      </c>
      <c r="E745">
        <v>2</v>
      </c>
      <c r="F745">
        <v>100</v>
      </c>
      <c r="G745">
        <v>24</v>
      </c>
      <c r="H745">
        <v>50</v>
      </c>
      <c r="I745">
        <v>30</v>
      </c>
      <c r="J745">
        <v>375</v>
      </c>
      <c r="K745">
        <v>68</v>
      </c>
      <c r="N745">
        <f>SUM(NMRPrep[[#This Row],[d-DMSO (uL) ]:[ NH4Cl (uL)]])</f>
        <v>647</v>
      </c>
      <c r="O745">
        <f>647</f>
        <v>647</v>
      </c>
      <c r="P745">
        <f>NMRPrep[[#This Row],[Total (uL) ]]-NMRPrep[[#This Row],[Target (uL)]]</f>
        <v>0</v>
      </c>
      <c r="R745">
        <f>(NMRPrep[[#This Row],[NH4Cl Stock Concentration (mM)]]*NMRPrep[[#This Row],[ NH4Cl (uL)]])/SUM(NMRPrep[[#This Row],[DI (uL) ]:[ NH4Cl (uL)]])</f>
        <v>0</v>
      </c>
    </row>
    <row r="746" spans="1:18" x14ac:dyDescent="0.25">
      <c r="A746" s="1">
        <f>SampleList[[#This Row],[Date Sampled]]</f>
        <v>0</v>
      </c>
      <c r="B746" t="str" cm="1">
        <f t="array" ref="B746">IF(ISBLANK(INDEX(SampleList[NMR],ROW()-1)),"Not Requested",INDEX(SampleList[Experiment ID],ROW()-1))</f>
        <v>Not Requested</v>
      </c>
      <c r="C746">
        <f>SampleList[[#This Row],[Duration (Days)]]</f>
        <v>0</v>
      </c>
      <c r="D746">
        <f>SampleList[[#This Row],[Sample Description]]</f>
        <v>0</v>
      </c>
      <c r="E746">
        <v>3</v>
      </c>
      <c r="F746">
        <v>100</v>
      </c>
      <c r="G746">
        <v>24</v>
      </c>
      <c r="H746">
        <v>50</v>
      </c>
      <c r="I746">
        <v>30</v>
      </c>
      <c r="J746">
        <v>375</v>
      </c>
      <c r="K746">
        <v>68</v>
      </c>
      <c r="N746">
        <f>SUM(NMRPrep[[#This Row],[d-DMSO (uL) ]:[ NH4Cl (uL)]])</f>
        <v>647</v>
      </c>
      <c r="O746">
        <f>647</f>
        <v>647</v>
      </c>
      <c r="P746">
        <f>NMRPrep[[#This Row],[Total (uL) ]]-NMRPrep[[#This Row],[Target (uL)]]</f>
        <v>0</v>
      </c>
      <c r="R746">
        <f>(NMRPrep[[#This Row],[NH4Cl Stock Concentration (mM)]]*NMRPrep[[#This Row],[ NH4Cl (uL)]])/SUM(NMRPrep[[#This Row],[DI (uL) ]:[ NH4Cl (uL)]])</f>
        <v>0</v>
      </c>
    </row>
    <row r="747" spans="1:18" x14ac:dyDescent="0.25">
      <c r="A747" s="1">
        <f>SampleList[[#This Row],[Date Sampled]]</f>
        <v>0</v>
      </c>
      <c r="B747" t="str" cm="1">
        <f t="array" ref="B747">IF(ISBLANK(INDEX(SampleList[NMR],ROW()-1)),"Not Requested",INDEX(SampleList[Experiment ID],ROW()-1))</f>
        <v>Not Requested</v>
      </c>
      <c r="C747">
        <f>SampleList[[#This Row],[Duration (Days)]]</f>
        <v>0</v>
      </c>
      <c r="D747">
        <f>SampleList[[#This Row],[Sample Description]]</f>
        <v>0</v>
      </c>
      <c r="E747">
        <v>4</v>
      </c>
      <c r="F747">
        <v>100</v>
      </c>
      <c r="G747">
        <v>24</v>
      </c>
      <c r="H747">
        <v>50</v>
      </c>
      <c r="I747">
        <v>30</v>
      </c>
      <c r="J747">
        <v>375</v>
      </c>
      <c r="K747">
        <v>68</v>
      </c>
      <c r="N747">
        <f>SUM(NMRPrep[[#This Row],[d-DMSO (uL) ]:[ NH4Cl (uL)]])</f>
        <v>647</v>
      </c>
      <c r="O747">
        <f>647</f>
        <v>647</v>
      </c>
      <c r="P747">
        <f>NMRPrep[[#This Row],[Total (uL) ]]-NMRPrep[[#This Row],[Target (uL)]]</f>
        <v>0</v>
      </c>
      <c r="R747">
        <f>(NMRPrep[[#This Row],[NH4Cl Stock Concentration (mM)]]*NMRPrep[[#This Row],[ NH4Cl (uL)]])/SUM(NMRPrep[[#This Row],[DI (uL) ]:[ NH4Cl (uL)]])</f>
        <v>0</v>
      </c>
    </row>
    <row r="748" spans="1:18" x14ac:dyDescent="0.25">
      <c r="A748" s="1">
        <f>SampleList[[#This Row],[Date Sampled]]</f>
        <v>0</v>
      </c>
      <c r="B748" t="str" cm="1">
        <f t="array" ref="B748">IF(ISBLANK(INDEX(SampleList[NMR],ROW()-1)),"Not Requested",INDEX(SampleList[Experiment ID],ROW()-1))</f>
        <v>Not Requested</v>
      </c>
      <c r="C748">
        <f>SampleList[[#This Row],[Duration (Days)]]</f>
        <v>0</v>
      </c>
      <c r="D748">
        <f>SampleList[[#This Row],[Sample Description]]</f>
        <v>0</v>
      </c>
      <c r="E748">
        <v>6</v>
      </c>
      <c r="F748">
        <v>100</v>
      </c>
      <c r="G748">
        <v>24</v>
      </c>
      <c r="H748">
        <v>50</v>
      </c>
      <c r="I748">
        <v>30</v>
      </c>
      <c r="J748">
        <v>375</v>
      </c>
      <c r="K748">
        <v>68</v>
      </c>
      <c r="N748">
        <f>SUM(NMRPrep[[#This Row],[d-DMSO (uL) ]:[ NH4Cl (uL)]])</f>
        <v>647</v>
      </c>
      <c r="O748">
        <f>647</f>
        <v>647</v>
      </c>
      <c r="P748">
        <f>NMRPrep[[#This Row],[Total (uL) ]]-NMRPrep[[#This Row],[Target (uL)]]</f>
        <v>0</v>
      </c>
      <c r="R748">
        <f>(NMRPrep[[#This Row],[NH4Cl Stock Concentration (mM)]]*NMRPrep[[#This Row],[ NH4Cl (uL)]])/SUM(NMRPrep[[#This Row],[DI (uL) ]:[ NH4Cl (uL)]])</f>
        <v>0</v>
      </c>
    </row>
    <row r="749" spans="1:18" x14ac:dyDescent="0.25">
      <c r="A749" s="1">
        <f>SampleList[[#This Row],[Date Sampled]]</f>
        <v>0</v>
      </c>
      <c r="B749" t="str" cm="1">
        <f t="array" ref="B749">IF(ISBLANK(INDEX(SampleList[NMR],ROW()-1)),"Not Requested",INDEX(SampleList[Experiment ID],ROW()-1))</f>
        <v>Not Requested</v>
      </c>
      <c r="C749">
        <f>SampleList[[#This Row],[Duration (Days)]]</f>
        <v>0</v>
      </c>
      <c r="D749">
        <f>SampleList[[#This Row],[Sample Description]]</f>
        <v>0</v>
      </c>
      <c r="E749">
        <v>5</v>
      </c>
      <c r="F749">
        <v>100</v>
      </c>
      <c r="G749">
        <v>24</v>
      </c>
      <c r="H749">
        <v>50</v>
      </c>
      <c r="I749">
        <v>30</v>
      </c>
      <c r="J749">
        <v>375</v>
      </c>
      <c r="K749">
        <v>68</v>
      </c>
      <c r="N749">
        <f>SUM(NMRPrep[[#This Row],[d-DMSO (uL) ]:[ NH4Cl (uL)]])</f>
        <v>647</v>
      </c>
      <c r="O749">
        <f>647</f>
        <v>647</v>
      </c>
      <c r="P749">
        <f>NMRPrep[[#This Row],[Total (uL) ]]-NMRPrep[[#This Row],[Target (uL)]]</f>
        <v>0</v>
      </c>
      <c r="R749">
        <f>(NMRPrep[[#This Row],[NH4Cl Stock Concentration (mM)]]*NMRPrep[[#This Row],[ NH4Cl (uL)]])/SUM(NMRPrep[[#This Row],[DI (uL) ]:[ NH4Cl (uL)]])</f>
        <v>0</v>
      </c>
    </row>
    <row r="750" spans="1:18" x14ac:dyDescent="0.25">
      <c r="A750" s="1">
        <f>SampleList[[#This Row],[Date Sampled]]</f>
        <v>0</v>
      </c>
      <c r="B750" t="str" cm="1">
        <f t="array" ref="B750">IF(ISBLANK(INDEX(SampleList[NMR],ROW()-1)),"Not Requested",INDEX(SampleList[Experiment ID],ROW()-1))</f>
        <v>Not Requested</v>
      </c>
      <c r="C750">
        <f>SampleList[[#This Row],[Duration (Days)]]</f>
        <v>0</v>
      </c>
      <c r="D750">
        <f>SampleList[[#This Row],[Sample Description]]</f>
        <v>0</v>
      </c>
      <c r="E750">
        <v>7</v>
      </c>
      <c r="F750">
        <v>100</v>
      </c>
      <c r="G750">
        <v>24</v>
      </c>
      <c r="H750">
        <v>50</v>
      </c>
      <c r="I750">
        <v>30</v>
      </c>
      <c r="J750">
        <v>375</v>
      </c>
      <c r="K750">
        <v>68</v>
      </c>
      <c r="N750">
        <f>SUM(NMRPrep[[#This Row],[d-DMSO (uL) ]:[ NH4Cl (uL)]])</f>
        <v>647</v>
      </c>
      <c r="O750">
        <f>647</f>
        <v>647</v>
      </c>
      <c r="P750">
        <f>NMRPrep[[#This Row],[Total (uL) ]]-NMRPrep[[#This Row],[Target (uL)]]</f>
        <v>0</v>
      </c>
      <c r="R750">
        <f>(NMRPrep[[#This Row],[NH4Cl Stock Concentration (mM)]]*NMRPrep[[#This Row],[ NH4Cl (uL)]])/SUM(NMRPrep[[#This Row],[DI (uL) ]:[ NH4Cl (uL)]])</f>
        <v>0</v>
      </c>
    </row>
    <row r="751" spans="1:18" x14ac:dyDescent="0.25">
      <c r="A751" s="1">
        <f>SampleList[[#This Row],[Date Sampled]]</f>
        <v>0</v>
      </c>
      <c r="B751" t="str" cm="1">
        <f t="array" ref="B751">IF(ISBLANK(INDEX(SampleList[NMR],ROW()-1)),"Not Requested",INDEX(SampleList[Experiment ID],ROW()-1))</f>
        <v>Not Requested</v>
      </c>
      <c r="C751">
        <f>SampleList[[#This Row],[Duration (Days)]]</f>
        <v>0</v>
      </c>
      <c r="D751">
        <f>SampleList[[#This Row],[Sample Description]]</f>
        <v>0</v>
      </c>
      <c r="E751">
        <v>8</v>
      </c>
      <c r="F751">
        <v>100</v>
      </c>
      <c r="G751">
        <v>24</v>
      </c>
      <c r="H751">
        <v>50</v>
      </c>
      <c r="I751">
        <v>30</v>
      </c>
      <c r="J751">
        <v>375</v>
      </c>
      <c r="K751">
        <v>68</v>
      </c>
      <c r="N751">
        <f>SUM(NMRPrep[[#This Row],[d-DMSO (uL) ]:[ NH4Cl (uL)]])</f>
        <v>647</v>
      </c>
      <c r="O751">
        <f>647</f>
        <v>647</v>
      </c>
      <c r="P751">
        <f>NMRPrep[[#This Row],[Total (uL) ]]-NMRPrep[[#This Row],[Target (uL)]]</f>
        <v>0</v>
      </c>
      <c r="R751">
        <f>(NMRPrep[[#This Row],[NH4Cl Stock Concentration (mM)]]*NMRPrep[[#This Row],[ NH4Cl (uL)]])/SUM(NMRPrep[[#This Row],[DI (uL) ]:[ NH4Cl (uL)]])</f>
        <v>0</v>
      </c>
    </row>
    <row r="752" spans="1:18" x14ac:dyDescent="0.25">
      <c r="A752" s="1">
        <f>SampleList[[#This Row],[Date Sampled]]</f>
        <v>0</v>
      </c>
      <c r="B752" t="str" cm="1">
        <f t="array" ref="B752">IF(ISBLANK(INDEX(SampleList[NMR],ROW()-1)),"Not Requested",INDEX(SampleList[Experiment ID],ROW()-1))</f>
        <v>Not Requested</v>
      </c>
      <c r="C752">
        <f>SampleList[[#This Row],[Duration (Days)]]</f>
        <v>0</v>
      </c>
      <c r="D752">
        <f>SampleList[[#This Row],[Sample Description]]</f>
        <v>0</v>
      </c>
      <c r="E752">
        <v>9</v>
      </c>
      <c r="F752">
        <v>100</v>
      </c>
      <c r="G752">
        <v>24</v>
      </c>
      <c r="H752">
        <v>50</v>
      </c>
      <c r="I752">
        <v>30</v>
      </c>
      <c r="J752">
        <v>375</v>
      </c>
      <c r="K752">
        <v>68</v>
      </c>
      <c r="N752">
        <f>SUM(NMRPrep[[#This Row],[d-DMSO (uL) ]:[ NH4Cl (uL)]])</f>
        <v>647</v>
      </c>
      <c r="O752">
        <f>647</f>
        <v>647</v>
      </c>
      <c r="P752">
        <f>NMRPrep[[#This Row],[Total (uL) ]]-NMRPrep[[#This Row],[Target (uL)]]</f>
        <v>0</v>
      </c>
      <c r="R752">
        <f>(NMRPrep[[#This Row],[NH4Cl Stock Concentration (mM)]]*NMRPrep[[#This Row],[ NH4Cl (uL)]])/SUM(NMRPrep[[#This Row],[DI (uL) ]:[ NH4Cl (uL)]])</f>
        <v>0</v>
      </c>
    </row>
    <row r="753" spans="1:18" x14ac:dyDescent="0.25">
      <c r="A753" s="1">
        <f>SampleList[[#This Row],[Date Sampled]]</f>
        <v>0</v>
      </c>
      <c r="B753" t="str" cm="1">
        <f t="array" ref="B753">IF(ISBLANK(INDEX(SampleList[NMR],ROW()-1)),"Not Requested",INDEX(SampleList[Experiment ID],ROW()-1))</f>
        <v>Not Requested</v>
      </c>
      <c r="C753">
        <f>SampleList[[#This Row],[Duration (Days)]]</f>
        <v>0</v>
      </c>
      <c r="D753">
        <f>SampleList[[#This Row],[Sample Description]]</f>
        <v>0</v>
      </c>
      <c r="E753">
        <v>10</v>
      </c>
      <c r="F753">
        <v>100</v>
      </c>
      <c r="G753">
        <v>24</v>
      </c>
      <c r="H753">
        <v>50</v>
      </c>
      <c r="I753">
        <v>30</v>
      </c>
      <c r="J753">
        <v>375</v>
      </c>
      <c r="K753">
        <v>68</v>
      </c>
      <c r="N753">
        <f>SUM(NMRPrep[[#This Row],[d-DMSO (uL) ]:[ NH4Cl (uL)]])</f>
        <v>647</v>
      </c>
      <c r="O753">
        <f>647</f>
        <v>647</v>
      </c>
      <c r="P753">
        <f>NMRPrep[[#This Row],[Total (uL) ]]-NMRPrep[[#This Row],[Target (uL)]]</f>
        <v>0</v>
      </c>
      <c r="R753">
        <f>(NMRPrep[[#This Row],[NH4Cl Stock Concentration (mM)]]*NMRPrep[[#This Row],[ NH4Cl (uL)]])/SUM(NMRPrep[[#This Row],[DI (uL) ]:[ NH4Cl (uL)]])</f>
        <v>0</v>
      </c>
    </row>
    <row r="754" spans="1:18" x14ac:dyDescent="0.25">
      <c r="A754" s="1">
        <f>SampleList[[#This Row],[Date Sampled]]</f>
        <v>0</v>
      </c>
      <c r="B754" t="str" cm="1">
        <f t="array" ref="B754">IF(ISBLANK(INDEX(SampleList[NMR],ROW()-1)),"Not Requested",INDEX(SampleList[Experiment ID],ROW()-1))</f>
        <v>Not Requested</v>
      </c>
      <c r="C754">
        <f>SampleList[[#This Row],[Duration (Days)]]</f>
        <v>0</v>
      </c>
      <c r="D754">
        <f>SampleList[[#This Row],[Sample Description]]</f>
        <v>0</v>
      </c>
      <c r="E754">
        <v>11</v>
      </c>
      <c r="F754">
        <v>100</v>
      </c>
      <c r="G754">
        <v>24</v>
      </c>
      <c r="H754">
        <v>50</v>
      </c>
      <c r="I754">
        <v>30</v>
      </c>
      <c r="J754">
        <v>293</v>
      </c>
      <c r="L754">
        <v>150</v>
      </c>
      <c r="M754">
        <v>1</v>
      </c>
      <c r="N754">
        <f>SUM(NMRPrep[[#This Row],[d-DMSO (uL) ]:[ NH4Cl (uL)]])</f>
        <v>647</v>
      </c>
      <c r="O754">
        <f>647</f>
        <v>647</v>
      </c>
      <c r="P754">
        <f>NMRPrep[[#This Row],[Total (uL) ]]-NMRPrep[[#This Row],[Target (uL)]]</f>
        <v>0</v>
      </c>
      <c r="R754">
        <f>(NMRPrep[[#This Row],[NH4Cl Stock Concentration (mM)]]*NMRPrep[[#This Row],[ NH4Cl (uL)]])/SUM(NMRPrep[[#This Row],[DI (uL) ]:[ NH4Cl (uL)]])</f>
        <v>0.33860045146726864</v>
      </c>
    </row>
    <row r="755" spans="1:18" x14ac:dyDescent="0.25">
      <c r="A755" s="1">
        <f>SampleList[[#This Row],[Date Sampled]]</f>
        <v>0</v>
      </c>
      <c r="B755" t="str" cm="1">
        <f t="array" ref="B755">IF(ISBLANK(INDEX(SampleList[NMR],ROW()-1)),"Not Requested",INDEX(SampleList[Experiment ID],ROW()-1))</f>
        <v>Not Requested</v>
      </c>
      <c r="C755">
        <f>SampleList[[#This Row],[Duration (Days)]]</f>
        <v>0</v>
      </c>
      <c r="D755">
        <f>SampleList[[#This Row],[Sample Description]]</f>
        <v>0</v>
      </c>
      <c r="E755">
        <v>12</v>
      </c>
      <c r="F755">
        <v>100</v>
      </c>
      <c r="G755">
        <v>24</v>
      </c>
      <c r="H755">
        <v>50</v>
      </c>
      <c r="I755">
        <v>30</v>
      </c>
      <c r="J755">
        <v>375</v>
      </c>
      <c r="K755">
        <v>68</v>
      </c>
      <c r="N755">
        <f>SUM(NMRPrep[[#This Row],[d-DMSO (uL) ]:[ NH4Cl (uL)]])</f>
        <v>647</v>
      </c>
      <c r="O755">
        <f>647</f>
        <v>647</v>
      </c>
      <c r="P755">
        <f>NMRPrep[[#This Row],[Total (uL) ]]-NMRPrep[[#This Row],[Target (uL)]]</f>
        <v>0</v>
      </c>
      <c r="R755">
        <f>(NMRPrep[[#This Row],[NH4Cl Stock Concentration (mM)]]*NMRPrep[[#This Row],[ NH4Cl (uL)]])/SUM(NMRPrep[[#This Row],[DI (uL) ]:[ NH4Cl (uL)]])</f>
        <v>0</v>
      </c>
    </row>
    <row r="756" spans="1:18" x14ac:dyDescent="0.25">
      <c r="A756" s="1">
        <f>SampleList[[#This Row],[Date Sampled]]</f>
        <v>0</v>
      </c>
      <c r="B756" t="str" cm="1">
        <f t="array" ref="B756">IF(ISBLANK(INDEX(SampleList[NMR],ROW()-1)),"Not Requested",INDEX(SampleList[Experiment ID],ROW()-1))</f>
        <v>Not Requested</v>
      </c>
      <c r="C756">
        <f>SampleList[[#This Row],[Duration (Days)]]</f>
        <v>0</v>
      </c>
      <c r="D756">
        <f>SampleList[[#This Row],[Sample Description]]</f>
        <v>0</v>
      </c>
      <c r="N756">
        <f>SUM(NMRPrep[[#This Row],[d-DMSO (uL) ]:[ NH4Cl (uL)]])</f>
        <v>0</v>
      </c>
      <c r="O756">
        <f>647</f>
        <v>647</v>
      </c>
      <c r="P756">
        <f>NMRPrep[[#This Row],[Total (uL) ]]-NMRPrep[[#This Row],[Target (uL)]]</f>
        <v>-647</v>
      </c>
      <c r="R756" t="e">
        <f>(NMRPrep[[#This Row],[NH4Cl Stock Concentration (mM)]]*NMRPrep[[#This Row],[ NH4Cl (uL)]])/SUM(NMRPrep[[#This Row],[DI (uL) ]:[ NH4Cl (uL)]])</f>
        <v>#DIV/0!</v>
      </c>
    </row>
    <row r="757" spans="1:18" x14ac:dyDescent="0.25">
      <c r="A757" s="1">
        <f>SampleList[[#This Row],[Date Sampled]]</f>
        <v>0</v>
      </c>
      <c r="B757" t="str" cm="1">
        <f t="array" ref="B757">IF(ISBLANK(INDEX(SampleList[NMR],ROW()-1)),"Not Requested",INDEX(SampleList[Experiment ID],ROW()-1))</f>
        <v>Not Requested</v>
      </c>
      <c r="C757">
        <f>SampleList[[#This Row],[Duration (Days)]]</f>
        <v>0</v>
      </c>
      <c r="D757">
        <f>SampleList[[#This Row],[Sample Description]]</f>
        <v>0</v>
      </c>
      <c r="N757">
        <f>SUM(NMRPrep[[#This Row],[d-DMSO (uL) ]:[ NH4Cl (uL)]])</f>
        <v>0</v>
      </c>
      <c r="O757">
        <f>647</f>
        <v>647</v>
      </c>
      <c r="P757">
        <f>NMRPrep[[#This Row],[Total (uL) ]]-NMRPrep[[#This Row],[Target (uL)]]</f>
        <v>-647</v>
      </c>
      <c r="R757" t="e">
        <f>(NMRPrep[[#This Row],[NH4Cl Stock Concentration (mM)]]*NMRPrep[[#This Row],[ NH4Cl (uL)]])/SUM(NMRPrep[[#This Row],[DI (uL) ]:[ NH4Cl (uL)]])</f>
        <v>#DIV/0!</v>
      </c>
    </row>
    <row r="758" spans="1:18" x14ac:dyDescent="0.25">
      <c r="A758" s="1">
        <f>SampleList[[#This Row],[Date Sampled]]</f>
        <v>0</v>
      </c>
      <c r="B758" t="str" cm="1">
        <f t="array" ref="B758">IF(ISBLANK(INDEX(SampleList[NMR],ROW()-1)),"Not Requested",INDEX(SampleList[Experiment ID],ROW()-1))</f>
        <v>Not Requested</v>
      </c>
      <c r="C758">
        <f>SampleList[[#This Row],[Duration (Days)]]</f>
        <v>0</v>
      </c>
      <c r="D758">
        <f>SampleList[[#This Row],[Sample Description]]</f>
        <v>0</v>
      </c>
      <c r="N758">
        <f>SUM(NMRPrep[[#This Row],[d-DMSO (uL) ]:[ NH4Cl (uL)]])</f>
        <v>0</v>
      </c>
      <c r="O758">
        <f>647</f>
        <v>647</v>
      </c>
      <c r="P758">
        <f>NMRPrep[[#This Row],[Total (uL) ]]-NMRPrep[[#This Row],[Target (uL)]]</f>
        <v>-647</v>
      </c>
      <c r="R758" t="e">
        <f>(NMRPrep[[#This Row],[NH4Cl Stock Concentration (mM)]]*NMRPrep[[#This Row],[ NH4Cl (uL)]])/SUM(NMRPrep[[#This Row],[DI (uL) ]:[ NH4Cl (uL)]])</f>
        <v>#DIV/0!</v>
      </c>
    </row>
    <row r="759" spans="1:18" x14ac:dyDescent="0.25">
      <c r="A759" s="1">
        <f>SampleList[[#This Row],[Date Sampled]]</f>
        <v>0</v>
      </c>
      <c r="B759" t="str" cm="1">
        <f t="array" ref="B759">IF(ISBLANK(INDEX(SampleList[NMR],ROW()-1)),"Not Requested",INDEX(SampleList[Experiment ID],ROW()-1))</f>
        <v>Not Requested</v>
      </c>
      <c r="C759">
        <f>SampleList[[#This Row],[Duration (Days)]]</f>
        <v>0</v>
      </c>
      <c r="D759">
        <f>SampleList[[#This Row],[Sample Description]]</f>
        <v>0</v>
      </c>
      <c r="N759">
        <f>SUM(NMRPrep[[#This Row],[d-DMSO (uL) ]:[ NH4Cl (uL)]])</f>
        <v>0</v>
      </c>
      <c r="O759">
        <f>647</f>
        <v>647</v>
      </c>
      <c r="P759">
        <f>NMRPrep[[#This Row],[Total (uL) ]]-NMRPrep[[#This Row],[Target (uL)]]</f>
        <v>-647</v>
      </c>
      <c r="R759" t="e">
        <f>(NMRPrep[[#This Row],[NH4Cl Stock Concentration (mM)]]*NMRPrep[[#This Row],[ NH4Cl (uL)]])/SUM(NMRPrep[[#This Row],[DI (uL) ]:[ NH4Cl (uL)]])</f>
        <v>#DIV/0!</v>
      </c>
    </row>
    <row r="760" spans="1:18" x14ac:dyDescent="0.25">
      <c r="A760" s="1">
        <f>SampleList[[#This Row],[Date Sampled]]</f>
        <v>0</v>
      </c>
      <c r="B760" t="str" cm="1">
        <f t="array" ref="B760">IF(ISBLANK(INDEX(SampleList[NMR],ROW()-1)),"Not Requested",INDEX(SampleList[Experiment ID],ROW()-1))</f>
        <v>Not Requested</v>
      </c>
      <c r="C760">
        <f>SampleList[[#This Row],[Duration (Days)]]</f>
        <v>0</v>
      </c>
      <c r="D760">
        <f>SampleList[[#This Row],[Sample Description]]</f>
        <v>0</v>
      </c>
      <c r="N760">
        <f>SUM(NMRPrep[[#This Row],[d-DMSO (uL) ]:[ NH4Cl (uL)]])</f>
        <v>0</v>
      </c>
      <c r="O760">
        <f>647</f>
        <v>647</v>
      </c>
      <c r="P760">
        <f>NMRPrep[[#This Row],[Total (uL) ]]-NMRPrep[[#This Row],[Target (uL)]]</f>
        <v>-647</v>
      </c>
      <c r="R760" t="e">
        <f>(NMRPrep[[#This Row],[NH4Cl Stock Concentration (mM)]]*NMRPrep[[#This Row],[ NH4Cl (uL)]])/SUM(NMRPrep[[#This Row],[DI (uL) ]:[ NH4Cl (uL)]])</f>
        <v>#DIV/0!</v>
      </c>
    </row>
    <row r="761" spans="1:18" x14ac:dyDescent="0.25">
      <c r="A761" s="1">
        <f>SampleList[[#This Row],[Date Sampled]]</f>
        <v>0</v>
      </c>
      <c r="B761" t="str" cm="1">
        <f t="array" ref="B761">IF(ISBLANK(INDEX(SampleList[NMR],ROW()-1)),"Not Requested",INDEX(SampleList[Experiment ID],ROW()-1))</f>
        <v>Not Requested</v>
      </c>
      <c r="C761">
        <f>SampleList[[#This Row],[Duration (Days)]]</f>
        <v>0</v>
      </c>
      <c r="D761">
        <f>SampleList[[#This Row],[Sample Description]]</f>
        <v>0</v>
      </c>
      <c r="N761">
        <f>SUM(NMRPrep[[#This Row],[d-DMSO (uL) ]:[ NH4Cl (uL)]])</f>
        <v>0</v>
      </c>
      <c r="O761">
        <f>647</f>
        <v>647</v>
      </c>
      <c r="P761">
        <f>NMRPrep[[#This Row],[Total (uL) ]]-NMRPrep[[#This Row],[Target (uL)]]</f>
        <v>-647</v>
      </c>
      <c r="R761" t="e">
        <f>(NMRPrep[[#This Row],[NH4Cl Stock Concentration (mM)]]*NMRPrep[[#This Row],[ NH4Cl (uL)]])/SUM(NMRPrep[[#This Row],[DI (uL) ]:[ NH4Cl (uL)]])</f>
        <v>#DIV/0!</v>
      </c>
    </row>
    <row r="762" spans="1:18" x14ac:dyDescent="0.25">
      <c r="A762" s="1">
        <f>SampleList[[#This Row],[Date Sampled]]</f>
        <v>0</v>
      </c>
      <c r="B762" t="str" cm="1">
        <f t="array" ref="B762">IF(ISBLANK(INDEX(SampleList[NMR],ROW()-1)),"Not Requested",INDEX(SampleList[Experiment ID],ROW()-1))</f>
        <v>Not Requested</v>
      </c>
      <c r="C762">
        <f>SampleList[[#This Row],[Duration (Days)]]</f>
        <v>0</v>
      </c>
      <c r="D762">
        <f>SampleList[[#This Row],[Sample Description]]</f>
        <v>0</v>
      </c>
      <c r="N762">
        <f>SUM(NMRPrep[[#This Row],[d-DMSO (uL) ]:[ NH4Cl (uL)]])</f>
        <v>0</v>
      </c>
      <c r="O762">
        <f>647</f>
        <v>647</v>
      </c>
      <c r="P762">
        <f>NMRPrep[[#This Row],[Total (uL) ]]-NMRPrep[[#This Row],[Target (uL)]]</f>
        <v>-647</v>
      </c>
      <c r="R762" t="e">
        <f>(NMRPrep[[#This Row],[NH4Cl Stock Concentration (mM)]]*NMRPrep[[#This Row],[ NH4Cl (uL)]])/SUM(NMRPrep[[#This Row],[DI (uL) ]:[ NH4Cl (uL)]])</f>
        <v>#DIV/0!</v>
      </c>
    </row>
    <row r="763" spans="1:18" x14ac:dyDescent="0.25">
      <c r="A763" s="1">
        <f>SampleList[[#This Row],[Date Sampled]]</f>
        <v>0</v>
      </c>
      <c r="B763" t="str" cm="1">
        <f t="array" ref="B763">IF(ISBLANK(INDEX(SampleList[NMR],ROW()-1)),"Not Requested",INDEX(SampleList[Experiment ID],ROW()-1))</f>
        <v>Not Requested</v>
      </c>
      <c r="C763">
        <f>SampleList[[#This Row],[Duration (Days)]]</f>
        <v>0</v>
      </c>
      <c r="D763">
        <f>SampleList[[#This Row],[Sample Description]]</f>
        <v>0</v>
      </c>
      <c r="N763">
        <f>SUM(NMRPrep[[#This Row],[d-DMSO (uL) ]:[ NH4Cl (uL)]])</f>
        <v>0</v>
      </c>
      <c r="O763">
        <f>647</f>
        <v>647</v>
      </c>
      <c r="P763">
        <f>NMRPrep[[#This Row],[Total (uL) ]]-NMRPrep[[#This Row],[Target (uL)]]</f>
        <v>-647</v>
      </c>
      <c r="R763" t="e">
        <f>(NMRPrep[[#This Row],[NH4Cl Stock Concentration (mM)]]*NMRPrep[[#This Row],[ NH4Cl (uL)]])/SUM(NMRPrep[[#This Row],[DI (uL) ]:[ NH4Cl (uL)]])</f>
        <v>#DIV/0!</v>
      </c>
    </row>
    <row r="764" spans="1:18" x14ac:dyDescent="0.25">
      <c r="A764" s="1">
        <f>SampleList[[#This Row],[Date Sampled]]</f>
        <v>0</v>
      </c>
      <c r="B764" t="str" cm="1">
        <f t="array" ref="B764">IF(ISBLANK(INDEX(SampleList[NMR],ROW()-1)),"Not Requested",INDEX(SampleList[Experiment ID],ROW()-1))</f>
        <v>Not Requested</v>
      </c>
      <c r="C764">
        <f>SampleList[[#This Row],[Duration (Days)]]</f>
        <v>0</v>
      </c>
      <c r="D764">
        <f>SampleList[[#This Row],[Sample Description]]</f>
        <v>0</v>
      </c>
      <c r="N764">
        <f>SUM(NMRPrep[[#This Row],[d-DMSO (uL) ]:[ NH4Cl (uL)]])</f>
        <v>0</v>
      </c>
      <c r="O764">
        <f>647</f>
        <v>647</v>
      </c>
      <c r="P764">
        <f>NMRPrep[[#This Row],[Total (uL) ]]-NMRPrep[[#This Row],[Target (uL)]]</f>
        <v>-647</v>
      </c>
      <c r="R764" t="e">
        <f>(NMRPrep[[#This Row],[NH4Cl Stock Concentration (mM)]]*NMRPrep[[#This Row],[ NH4Cl (uL)]])/SUM(NMRPrep[[#This Row],[DI (uL) ]:[ NH4Cl (uL)]])</f>
        <v>#DIV/0!</v>
      </c>
    </row>
    <row r="765" spans="1:18" x14ac:dyDescent="0.25">
      <c r="A765" s="1">
        <f>SampleList[[#This Row],[Date Sampled]]</f>
        <v>0</v>
      </c>
      <c r="B765" t="str" cm="1">
        <f t="array" ref="B765">IF(ISBLANK(INDEX(SampleList[NMR],ROW()-1)),"Not Requested",INDEX(SampleList[Experiment ID],ROW()-1))</f>
        <v>Not Requested</v>
      </c>
      <c r="C765">
        <f>SampleList[[#This Row],[Duration (Days)]]</f>
        <v>0</v>
      </c>
      <c r="D765">
        <f>SampleList[[#This Row],[Sample Description]]</f>
        <v>0</v>
      </c>
      <c r="N765">
        <f>SUM(NMRPrep[[#This Row],[d-DMSO (uL) ]:[ NH4Cl (uL)]])</f>
        <v>0</v>
      </c>
      <c r="O765">
        <f>647</f>
        <v>647</v>
      </c>
      <c r="P765">
        <f>NMRPrep[[#This Row],[Total (uL) ]]-NMRPrep[[#This Row],[Target (uL)]]</f>
        <v>-647</v>
      </c>
      <c r="R765" t="e">
        <f>(NMRPrep[[#This Row],[NH4Cl Stock Concentration (mM)]]*NMRPrep[[#This Row],[ NH4Cl (uL)]])/SUM(NMRPrep[[#This Row],[DI (uL) ]:[ NH4Cl (uL)]])</f>
        <v>#DIV/0!</v>
      </c>
    </row>
    <row r="766" spans="1:18" x14ac:dyDescent="0.25">
      <c r="A766" s="1">
        <f>SampleList[[#This Row],[Date Sampled]]</f>
        <v>0</v>
      </c>
      <c r="B766" t="str" cm="1">
        <f t="array" ref="B766">IF(ISBLANK(INDEX(SampleList[NMR],ROW()-1)),"Not Requested",INDEX(SampleList[Experiment ID],ROW()-1))</f>
        <v>Not Requested</v>
      </c>
      <c r="C766">
        <f>SampleList[[#This Row],[Duration (Days)]]</f>
        <v>0</v>
      </c>
      <c r="D766">
        <f>SampleList[[#This Row],[Sample Description]]</f>
        <v>0</v>
      </c>
      <c r="N766">
        <f>SUM(NMRPrep[[#This Row],[d-DMSO (uL) ]:[ NH4Cl (uL)]])</f>
        <v>0</v>
      </c>
      <c r="O766">
        <f>647</f>
        <v>647</v>
      </c>
      <c r="P766">
        <f>NMRPrep[[#This Row],[Total (uL) ]]-NMRPrep[[#This Row],[Target (uL)]]</f>
        <v>-647</v>
      </c>
      <c r="R766" t="e">
        <f>(NMRPrep[[#This Row],[NH4Cl Stock Concentration (mM)]]*NMRPrep[[#This Row],[ NH4Cl (uL)]])/SUM(NMRPrep[[#This Row],[DI (uL) ]:[ NH4Cl (uL)]])</f>
        <v>#DIV/0!</v>
      </c>
    </row>
    <row r="767" spans="1:18" x14ac:dyDescent="0.25">
      <c r="A767" s="1">
        <f>SampleList[[#This Row],[Date Sampled]]</f>
        <v>0</v>
      </c>
      <c r="B767" t="str" cm="1">
        <f t="array" ref="B767">IF(ISBLANK(INDEX(SampleList[NMR],ROW()-1)),"Not Requested",INDEX(SampleList[Experiment ID],ROW()-1))</f>
        <v>Not Requested</v>
      </c>
      <c r="C767">
        <f>SampleList[[#This Row],[Duration (Days)]]</f>
        <v>0</v>
      </c>
      <c r="D767">
        <f>SampleList[[#This Row],[Sample Description]]</f>
        <v>0</v>
      </c>
      <c r="N767">
        <f>SUM(NMRPrep[[#This Row],[d-DMSO (uL) ]:[ NH4Cl (uL)]])</f>
        <v>0</v>
      </c>
      <c r="O767">
        <f>647</f>
        <v>647</v>
      </c>
      <c r="P767">
        <f>NMRPrep[[#This Row],[Total (uL) ]]-NMRPrep[[#This Row],[Target (uL)]]</f>
        <v>-647</v>
      </c>
      <c r="R767" t="e">
        <f>(NMRPrep[[#This Row],[NH4Cl Stock Concentration (mM)]]*NMRPrep[[#This Row],[ NH4Cl (uL)]])/SUM(NMRPrep[[#This Row],[DI (uL) ]:[ NH4Cl (uL)]])</f>
        <v>#DIV/0!</v>
      </c>
    </row>
    <row r="768" spans="1:18" x14ac:dyDescent="0.25">
      <c r="A768" s="1">
        <f>SampleList[[#This Row],[Date Sampled]]</f>
        <v>0</v>
      </c>
      <c r="B768" t="str" cm="1">
        <f t="array" ref="B768">IF(ISBLANK(INDEX(SampleList[NMR],ROW()-1)),"Not Requested",INDEX(SampleList[Experiment ID],ROW()-1))</f>
        <v>Not Requested</v>
      </c>
      <c r="C768">
        <f>SampleList[[#This Row],[Duration (Days)]]</f>
        <v>0</v>
      </c>
      <c r="D768">
        <f>SampleList[[#This Row],[Sample Description]]</f>
        <v>0</v>
      </c>
      <c r="N768">
        <f>SUM(NMRPrep[[#This Row],[d-DMSO (uL) ]:[ NH4Cl (uL)]])</f>
        <v>0</v>
      </c>
      <c r="O768">
        <f>647</f>
        <v>647</v>
      </c>
      <c r="P768">
        <f>NMRPrep[[#This Row],[Total (uL) ]]-NMRPrep[[#This Row],[Target (uL)]]</f>
        <v>-647</v>
      </c>
      <c r="R768" t="e">
        <f>(NMRPrep[[#This Row],[NH4Cl Stock Concentration (mM)]]*NMRPrep[[#This Row],[ NH4Cl (uL)]])/SUM(NMRPrep[[#This Row],[DI (uL) ]:[ NH4Cl (uL)]])</f>
        <v>#DIV/0!</v>
      </c>
    </row>
    <row r="769" spans="1:18" x14ac:dyDescent="0.25">
      <c r="A769" s="1">
        <f>SampleList[[#This Row],[Date Sampled]]</f>
        <v>0</v>
      </c>
      <c r="B769" t="str" cm="1">
        <f t="array" ref="B769">IF(ISBLANK(INDEX(SampleList[NMR],ROW()-1)),"Not Requested",INDEX(SampleList[Experiment ID],ROW()-1))</f>
        <v>Not Requested</v>
      </c>
      <c r="C769">
        <f>SampleList[[#This Row],[Duration (Days)]]</f>
        <v>0</v>
      </c>
      <c r="D769">
        <f>SampleList[[#This Row],[Sample Description]]</f>
        <v>0</v>
      </c>
      <c r="N769">
        <f>SUM(NMRPrep[[#This Row],[d-DMSO (uL) ]:[ NH4Cl (uL)]])</f>
        <v>0</v>
      </c>
      <c r="O769">
        <f>647</f>
        <v>647</v>
      </c>
      <c r="P769">
        <f>NMRPrep[[#This Row],[Total (uL) ]]-NMRPrep[[#This Row],[Target (uL)]]</f>
        <v>-647</v>
      </c>
      <c r="R769" t="e">
        <f>(NMRPrep[[#This Row],[NH4Cl Stock Concentration (mM)]]*NMRPrep[[#This Row],[ NH4Cl (uL)]])/SUM(NMRPrep[[#This Row],[DI (uL) ]:[ NH4Cl (uL)]])</f>
        <v>#DIV/0!</v>
      </c>
    </row>
    <row r="770" spans="1:18" x14ac:dyDescent="0.25">
      <c r="A770" s="1">
        <f>SampleList[[#This Row],[Date Sampled]]</f>
        <v>0</v>
      </c>
      <c r="B770" t="str" cm="1">
        <f t="array" ref="B770">IF(ISBLANK(INDEX(SampleList[NMR],ROW()-1)),"Not Requested",INDEX(SampleList[Experiment ID],ROW()-1))</f>
        <v>Not Requested</v>
      </c>
      <c r="C770">
        <f>SampleList[[#This Row],[Duration (Days)]]</f>
        <v>0</v>
      </c>
      <c r="D770">
        <f>SampleList[[#This Row],[Sample Description]]</f>
        <v>0</v>
      </c>
      <c r="N770">
        <f>SUM(NMRPrep[[#This Row],[d-DMSO (uL) ]:[ NH4Cl (uL)]])</f>
        <v>0</v>
      </c>
      <c r="O770">
        <f>647</f>
        <v>647</v>
      </c>
      <c r="P770">
        <f>NMRPrep[[#This Row],[Total (uL) ]]-NMRPrep[[#This Row],[Target (uL)]]</f>
        <v>-647</v>
      </c>
      <c r="R770" t="e">
        <f>(NMRPrep[[#This Row],[NH4Cl Stock Concentration (mM)]]*NMRPrep[[#This Row],[ NH4Cl (uL)]])/SUM(NMRPrep[[#This Row],[DI (uL) ]:[ NH4Cl (uL)]])</f>
        <v>#DIV/0!</v>
      </c>
    </row>
    <row r="771" spans="1:18" x14ac:dyDescent="0.25">
      <c r="A771" s="1">
        <f>SampleList[[#This Row],[Date Sampled]]</f>
        <v>0</v>
      </c>
      <c r="B771" t="str" cm="1">
        <f t="array" ref="B771">IF(ISBLANK(INDEX(SampleList[NMR],ROW()-1)),"Not Requested",INDEX(SampleList[Experiment ID],ROW()-1))</f>
        <v>Not Requested</v>
      </c>
      <c r="C771">
        <f>SampleList[[#This Row],[Duration (Days)]]</f>
        <v>0</v>
      </c>
      <c r="D771">
        <f>SampleList[[#This Row],[Sample Description]]</f>
        <v>0</v>
      </c>
      <c r="N771">
        <f>SUM(NMRPrep[[#This Row],[d-DMSO (uL) ]:[ NH4Cl (uL)]])</f>
        <v>0</v>
      </c>
      <c r="O771">
        <f>647</f>
        <v>647</v>
      </c>
      <c r="P771">
        <f>NMRPrep[[#This Row],[Total (uL) ]]-NMRPrep[[#This Row],[Target (uL)]]</f>
        <v>-647</v>
      </c>
      <c r="R771" t="e">
        <f>(NMRPrep[[#This Row],[NH4Cl Stock Concentration (mM)]]*NMRPrep[[#This Row],[ NH4Cl (uL)]])/SUM(NMRPrep[[#This Row],[DI (uL) ]:[ NH4Cl (uL)]])</f>
        <v>#DIV/0!</v>
      </c>
    </row>
    <row r="772" spans="1:18" x14ac:dyDescent="0.25">
      <c r="A772" s="1">
        <f>SampleList[[#This Row],[Date Sampled]]</f>
        <v>0</v>
      </c>
      <c r="B772" t="str" cm="1">
        <f t="array" ref="B772">IF(ISBLANK(INDEX(SampleList[NMR],ROW()-1)),"Not Requested",INDEX(SampleList[Experiment ID],ROW()-1))</f>
        <v>Not Requested</v>
      </c>
      <c r="C772">
        <f>SampleList[[#This Row],[Duration (Days)]]</f>
        <v>0</v>
      </c>
      <c r="D772">
        <f>SampleList[[#This Row],[Sample Description]]</f>
        <v>0</v>
      </c>
      <c r="N772">
        <f>SUM(NMRPrep[[#This Row],[d-DMSO (uL) ]:[ NH4Cl (uL)]])</f>
        <v>0</v>
      </c>
      <c r="O772">
        <f>647</f>
        <v>647</v>
      </c>
      <c r="P772">
        <f>NMRPrep[[#This Row],[Total (uL) ]]-NMRPrep[[#This Row],[Target (uL)]]</f>
        <v>-647</v>
      </c>
      <c r="R772" t="e">
        <f>(NMRPrep[[#This Row],[NH4Cl Stock Concentration (mM)]]*NMRPrep[[#This Row],[ NH4Cl (uL)]])/SUM(NMRPrep[[#This Row],[DI (uL) ]:[ NH4Cl (uL)]])</f>
        <v>#DIV/0!</v>
      </c>
    </row>
    <row r="773" spans="1:18" x14ac:dyDescent="0.25">
      <c r="A773" s="1">
        <f>SampleList[[#This Row],[Date Sampled]]</f>
        <v>0</v>
      </c>
      <c r="B773" t="str" cm="1">
        <f t="array" ref="B773">IF(ISBLANK(INDEX(SampleList[NMR],ROW()-1)),"Not Requested",INDEX(SampleList[Experiment ID],ROW()-1))</f>
        <v>Not Requested</v>
      </c>
      <c r="C773">
        <f>SampleList[[#This Row],[Duration (Days)]]</f>
        <v>0</v>
      </c>
      <c r="D773">
        <f>SampleList[[#This Row],[Sample Description]]</f>
        <v>0</v>
      </c>
      <c r="N773">
        <f>SUM(NMRPrep[[#This Row],[d-DMSO (uL) ]:[ NH4Cl (uL)]])</f>
        <v>0</v>
      </c>
      <c r="O773">
        <f>647</f>
        <v>647</v>
      </c>
      <c r="P773">
        <f>NMRPrep[[#This Row],[Total (uL) ]]-NMRPrep[[#This Row],[Target (uL)]]</f>
        <v>-647</v>
      </c>
      <c r="R773" t="e">
        <f>(NMRPrep[[#This Row],[NH4Cl Stock Concentration (mM)]]*NMRPrep[[#This Row],[ NH4Cl (uL)]])/SUM(NMRPrep[[#This Row],[DI (uL) ]:[ NH4Cl (uL)]])</f>
        <v>#DIV/0!</v>
      </c>
    </row>
    <row r="774" spans="1:18" x14ac:dyDescent="0.25">
      <c r="A774" s="1">
        <f>SampleList[[#This Row],[Date Sampled]]</f>
        <v>0</v>
      </c>
      <c r="B774" t="str" cm="1">
        <f t="array" ref="B774">IF(ISBLANK(INDEX(SampleList[NMR],ROW()-1)),"Not Requested",INDEX(SampleList[Experiment ID],ROW()-1))</f>
        <v>Not Requested</v>
      </c>
      <c r="C774">
        <f>SampleList[[#This Row],[Duration (Days)]]</f>
        <v>0</v>
      </c>
      <c r="D774">
        <f>SampleList[[#This Row],[Sample Description]]</f>
        <v>0</v>
      </c>
      <c r="N774">
        <f>SUM(NMRPrep[[#This Row],[d-DMSO (uL) ]:[ NH4Cl (uL)]])</f>
        <v>0</v>
      </c>
      <c r="O774">
        <f>647</f>
        <v>647</v>
      </c>
      <c r="P774">
        <f>NMRPrep[[#This Row],[Total (uL) ]]-NMRPrep[[#This Row],[Target (uL)]]</f>
        <v>-647</v>
      </c>
      <c r="R774" t="e">
        <f>(NMRPrep[[#This Row],[NH4Cl Stock Concentration (mM)]]*NMRPrep[[#This Row],[ NH4Cl (uL)]])/SUM(NMRPrep[[#This Row],[DI (uL) ]:[ NH4Cl (uL)]])</f>
        <v>#DIV/0!</v>
      </c>
    </row>
    <row r="775" spans="1:18" x14ac:dyDescent="0.25">
      <c r="A775" s="1">
        <f>SampleList[[#This Row],[Date Sampled]]</f>
        <v>0</v>
      </c>
      <c r="B775" t="str" cm="1">
        <f t="array" ref="B775">IF(ISBLANK(INDEX(SampleList[NMR],ROW()-1)),"Not Requested",INDEX(SampleList[Experiment ID],ROW()-1))</f>
        <v>Not Requested</v>
      </c>
      <c r="C775">
        <f>SampleList[[#This Row],[Duration (Days)]]</f>
        <v>0</v>
      </c>
      <c r="D775">
        <f>SampleList[[#This Row],[Sample Description]]</f>
        <v>0</v>
      </c>
      <c r="N775">
        <f>SUM(NMRPrep[[#This Row],[d-DMSO (uL) ]:[ NH4Cl (uL)]])</f>
        <v>0</v>
      </c>
      <c r="O775">
        <f>647</f>
        <v>647</v>
      </c>
      <c r="P775">
        <f>NMRPrep[[#This Row],[Total (uL) ]]-NMRPrep[[#This Row],[Target (uL)]]</f>
        <v>-647</v>
      </c>
      <c r="R775" t="e">
        <f>(NMRPrep[[#This Row],[NH4Cl Stock Concentration (mM)]]*NMRPrep[[#This Row],[ NH4Cl (uL)]])/SUM(NMRPrep[[#This Row],[DI (uL) ]:[ NH4Cl (uL)]])</f>
        <v>#DIV/0!</v>
      </c>
    </row>
    <row r="776" spans="1:18" x14ac:dyDescent="0.25">
      <c r="A776" s="1">
        <f>SampleList[[#This Row],[Date Sampled]]</f>
        <v>0</v>
      </c>
      <c r="B776" t="str" cm="1">
        <f t="array" ref="B776">IF(ISBLANK(INDEX(SampleList[NMR],ROW()-1)),"Not Requested",INDEX(SampleList[Experiment ID],ROW()-1))</f>
        <v>Not Requested</v>
      </c>
      <c r="C776">
        <f>SampleList[[#This Row],[Duration (Days)]]</f>
        <v>0</v>
      </c>
      <c r="D776">
        <f>SampleList[[#This Row],[Sample Description]]</f>
        <v>0</v>
      </c>
      <c r="N776">
        <f>SUM(NMRPrep[[#This Row],[d-DMSO (uL) ]:[ NH4Cl (uL)]])</f>
        <v>0</v>
      </c>
      <c r="O776">
        <f>647</f>
        <v>647</v>
      </c>
      <c r="P776">
        <f>NMRPrep[[#This Row],[Total (uL) ]]-NMRPrep[[#This Row],[Target (uL)]]</f>
        <v>-647</v>
      </c>
      <c r="R776" t="e">
        <f>(NMRPrep[[#This Row],[NH4Cl Stock Concentration (mM)]]*NMRPrep[[#This Row],[ NH4Cl (uL)]])/SUM(NMRPrep[[#This Row],[DI (uL) ]:[ NH4Cl (uL)]])</f>
        <v>#DIV/0!</v>
      </c>
    </row>
    <row r="777" spans="1:18" x14ac:dyDescent="0.25">
      <c r="A777" s="1">
        <f>SampleList[[#This Row],[Date Sampled]]</f>
        <v>0</v>
      </c>
      <c r="B777" t="str" cm="1">
        <f t="array" ref="B777">IF(ISBLANK(INDEX(SampleList[NMR],ROW()-1)),"Not Requested",INDEX(SampleList[Experiment ID],ROW()-1))</f>
        <v>Not Requested</v>
      </c>
      <c r="C777">
        <f>SampleList[[#This Row],[Duration (Days)]]</f>
        <v>0</v>
      </c>
      <c r="D777">
        <f>SampleList[[#This Row],[Sample Description]]</f>
        <v>0</v>
      </c>
      <c r="N777">
        <f>SUM(NMRPrep[[#This Row],[d-DMSO (uL) ]:[ NH4Cl (uL)]])</f>
        <v>0</v>
      </c>
      <c r="O777">
        <f>647</f>
        <v>647</v>
      </c>
      <c r="P777">
        <f>NMRPrep[[#This Row],[Total (uL) ]]-NMRPrep[[#This Row],[Target (uL)]]</f>
        <v>-647</v>
      </c>
      <c r="R777" t="e">
        <f>(NMRPrep[[#This Row],[NH4Cl Stock Concentration (mM)]]*NMRPrep[[#This Row],[ NH4Cl (uL)]])/SUM(NMRPrep[[#This Row],[DI (uL) ]:[ NH4Cl (uL)]])</f>
        <v>#DIV/0!</v>
      </c>
    </row>
    <row r="778" spans="1:18" x14ac:dyDescent="0.25">
      <c r="A778" s="1">
        <f>SampleList[[#This Row],[Date Sampled]]</f>
        <v>0</v>
      </c>
      <c r="B778" t="str" cm="1">
        <f t="array" ref="B778">IF(ISBLANK(INDEX(SampleList[NMR],ROW()-1)),"Not Requested",INDEX(SampleList[Experiment ID],ROW()-1))</f>
        <v>Not Requested</v>
      </c>
      <c r="C778">
        <f>SampleList[[#This Row],[Duration (Days)]]</f>
        <v>0</v>
      </c>
      <c r="D778">
        <f>SampleList[[#This Row],[Sample Description]]</f>
        <v>0</v>
      </c>
      <c r="N778">
        <f>SUM(NMRPrep[[#This Row],[d-DMSO (uL) ]:[ NH4Cl (uL)]])</f>
        <v>0</v>
      </c>
      <c r="O778">
        <f>647</f>
        <v>647</v>
      </c>
      <c r="P778">
        <f>NMRPrep[[#This Row],[Total (uL) ]]-NMRPrep[[#This Row],[Target (uL)]]</f>
        <v>-647</v>
      </c>
      <c r="R778" t="e">
        <f>(NMRPrep[[#This Row],[NH4Cl Stock Concentration (mM)]]*NMRPrep[[#This Row],[ NH4Cl (uL)]])/SUM(NMRPrep[[#This Row],[DI (uL) ]:[ NH4Cl (uL)]])</f>
        <v>#DIV/0!</v>
      </c>
    </row>
    <row r="779" spans="1:18" x14ac:dyDescent="0.25">
      <c r="A779" s="1">
        <f>SampleList[[#This Row],[Date Sampled]]</f>
        <v>0</v>
      </c>
      <c r="B779" t="str" cm="1">
        <f t="array" ref="B779">IF(ISBLANK(INDEX(SampleList[NMR],ROW()-1)),"Not Requested",INDEX(SampleList[Experiment ID],ROW()-1))</f>
        <v>Not Requested</v>
      </c>
      <c r="C779">
        <f>SampleList[[#This Row],[Duration (Days)]]</f>
        <v>0</v>
      </c>
      <c r="D779">
        <f>SampleList[[#This Row],[Sample Description]]</f>
        <v>0</v>
      </c>
      <c r="N779">
        <f>SUM(NMRPrep[[#This Row],[d-DMSO (uL) ]:[ NH4Cl (uL)]])</f>
        <v>0</v>
      </c>
      <c r="O779">
        <f>647</f>
        <v>647</v>
      </c>
      <c r="P779">
        <f>NMRPrep[[#This Row],[Total (uL) ]]-NMRPrep[[#This Row],[Target (uL)]]</f>
        <v>-647</v>
      </c>
      <c r="R779" t="e">
        <f>(NMRPrep[[#This Row],[NH4Cl Stock Concentration (mM)]]*NMRPrep[[#This Row],[ NH4Cl (uL)]])/SUM(NMRPrep[[#This Row],[DI (uL) ]:[ NH4Cl (uL)]])</f>
        <v>#DIV/0!</v>
      </c>
    </row>
    <row r="780" spans="1:18" x14ac:dyDescent="0.25">
      <c r="A780" s="1">
        <f>SampleList[[#This Row],[Date Sampled]]</f>
        <v>0</v>
      </c>
      <c r="B780" t="str" cm="1">
        <f t="array" ref="B780">IF(ISBLANK(INDEX(SampleList[NMR],ROW()-1)),"Not Requested",INDEX(SampleList[Experiment ID],ROW()-1))</f>
        <v>Not Requested</v>
      </c>
      <c r="C780">
        <f>SampleList[[#This Row],[Duration (Days)]]</f>
        <v>0</v>
      </c>
      <c r="D780">
        <f>SampleList[[#This Row],[Sample Description]]</f>
        <v>0</v>
      </c>
      <c r="N780">
        <f>SUM(NMRPrep[[#This Row],[d-DMSO (uL) ]:[ NH4Cl (uL)]])</f>
        <v>0</v>
      </c>
      <c r="O780">
        <f>647</f>
        <v>647</v>
      </c>
      <c r="P780">
        <f>NMRPrep[[#This Row],[Total (uL) ]]-NMRPrep[[#This Row],[Target (uL)]]</f>
        <v>-647</v>
      </c>
      <c r="R780" t="e">
        <f>(NMRPrep[[#This Row],[NH4Cl Stock Concentration (mM)]]*NMRPrep[[#This Row],[ NH4Cl (uL)]])/SUM(NMRPrep[[#This Row],[DI (uL) ]:[ NH4Cl (uL)]])</f>
        <v>#DIV/0!</v>
      </c>
    </row>
    <row r="781" spans="1:18" x14ac:dyDescent="0.25">
      <c r="A781" s="1">
        <f>SampleList[[#This Row],[Date Sampled]]</f>
        <v>0</v>
      </c>
      <c r="B781" t="str" cm="1">
        <f t="array" ref="B781">IF(ISBLANK(INDEX(SampleList[NMR],ROW()-1)),"Not Requested",INDEX(SampleList[Experiment ID],ROW()-1))</f>
        <v>Not Requested</v>
      </c>
      <c r="C781">
        <f>SampleList[[#This Row],[Duration (Days)]]</f>
        <v>0</v>
      </c>
      <c r="D781">
        <f>SampleList[[#This Row],[Sample Description]]</f>
        <v>0</v>
      </c>
      <c r="N781">
        <f>SUM(NMRPrep[[#This Row],[d-DMSO (uL) ]:[ NH4Cl (uL)]])</f>
        <v>0</v>
      </c>
      <c r="O781">
        <f>647</f>
        <v>647</v>
      </c>
      <c r="P781">
        <f>NMRPrep[[#This Row],[Total (uL) ]]-NMRPrep[[#This Row],[Target (uL)]]</f>
        <v>-647</v>
      </c>
      <c r="R781" t="e">
        <f>(NMRPrep[[#This Row],[NH4Cl Stock Concentration (mM)]]*NMRPrep[[#This Row],[ NH4Cl (uL)]])/SUM(NMRPrep[[#This Row],[DI (uL) ]:[ NH4Cl (uL)]])</f>
        <v>#DIV/0!</v>
      </c>
    </row>
    <row r="782" spans="1:18" x14ac:dyDescent="0.25">
      <c r="A782" s="1">
        <f>SampleList[[#This Row],[Date Sampled]]</f>
        <v>0</v>
      </c>
      <c r="B782" t="str" cm="1">
        <f t="array" ref="B782">IF(ISBLANK(INDEX(SampleList[NMR],ROW()-1)),"Not Requested",INDEX(SampleList[Experiment ID],ROW()-1))</f>
        <v>Not Requested</v>
      </c>
      <c r="C782">
        <f>SampleList[[#This Row],[Duration (Days)]]</f>
        <v>0</v>
      </c>
      <c r="D782">
        <f>SampleList[[#This Row],[Sample Description]]</f>
        <v>0</v>
      </c>
      <c r="N782">
        <f>SUM(NMRPrep[[#This Row],[d-DMSO (uL) ]:[ NH4Cl (uL)]])</f>
        <v>0</v>
      </c>
      <c r="O782">
        <f>647</f>
        <v>647</v>
      </c>
      <c r="P782">
        <f>NMRPrep[[#This Row],[Total (uL) ]]-NMRPrep[[#This Row],[Target (uL)]]</f>
        <v>-647</v>
      </c>
      <c r="R782" t="e">
        <f>(NMRPrep[[#This Row],[NH4Cl Stock Concentration (mM)]]*NMRPrep[[#This Row],[ NH4Cl (uL)]])/SUM(NMRPrep[[#This Row],[DI (uL) ]:[ NH4Cl (uL)]])</f>
        <v>#DIV/0!</v>
      </c>
    </row>
    <row r="783" spans="1:18" x14ac:dyDescent="0.25">
      <c r="A783" s="1">
        <f>SampleList[[#This Row],[Date Sampled]]</f>
        <v>0</v>
      </c>
      <c r="B783" t="str" cm="1">
        <f t="array" ref="B783">IF(ISBLANK(INDEX(SampleList[NMR],ROW()-1)),"Not Requested",INDEX(SampleList[Experiment ID],ROW()-1))</f>
        <v>Not Requested</v>
      </c>
      <c r="C783">
        <f>SampleList[[#This Row],[Duration (Days)]]</f>
        <v>0</v>
      </c>
      <c r="D783">
        <f>SampleList[[#This Row],[Sample Description]]</f>
        <v>0</v>
      </c>
      <c r="N783">
        <f>SUM(NMRPrep[[#This Row],[d-DMSO (uL) ]:[ NH4Cl (uL)]])</f>
        <v>0</v>
      </c>
      <c r="O783">
        <f>647</f>
        <v>647</v>
      </c>
      <c r="P783">
        <f>NMRPrep[[#This Row],[Total (uL) ]]-NMRPrep[[#This Row],[Target (uL)]]</f>
        <v>-647</v>
      </c>
      <c r="R783" t="e">
        <f>(NMRPrep[[#This Row],[NH4Cl Stock Concentration (mM)]]*NMRPrep[[#This Row],[ NH4Cl (uL)]])/SUM(NMRPrep[[#This Row],[DI (uL) ]:[ NH4Cl (uL)]])</f>
        <v>#DIV/0!</v>
      </c>
    </row>
    <row r="784" spans="1:18" x14ac:dyDescent="0.25">
      <c r="A784" s="1">
        <f>SampleList[[#This Row],[Date Sampled]]</f>
        <v>0</v>
      </c>
      <c r="B784" t="str" cm="1">
        <f t="array" ref="B784">IF(ISBLANK(INDEX(SampleList[NMR],ROW()-1)),"Not Requested",INDEX(SampleList[Experiment ID],ROW()-1))</f>
        <v>Not Requested</v>
      </c>
      <c r="C784">
        <f>SampleList[[#This Row],[Duration (Days)]]</f>
        <v>0</v>
      </c>
      <c r="D784">
        <f>SampleList[[#This Row],[Sample Description]]</f>
        <v>0</v>
      </c>
      <c r="N784">
        <f>SUM(NMRPrep[[#This Row],[d-DMSO (uL) ]:[ NH4Cl (uL)]])</f>
        <v>0</v>
      </c>
      <c r="O784">
        <f>647</f>
        <v>647</v>
      </c>
      <c r="P784">
        <f>NMRPrep[[#This Row],[Total (uL) ]]-NMRPrep[[#This Row],[Target (uL)]]</f>
        <v>-647</v>
      </c>
      <c r="R784" t="e">
        <f>(NMRPrep[[#This Row],[NH4Cl Stock Concentration (mM)]]*NMRPrep[[#This Row],[ NH4Cl (uL)]])/SUM(NMRPrep[[#This Row],[DI (uL) ]:[ NH4Cl (uL)]])</f>
        <v>#DIV/0!</v>
      </c>
    </row>
    <row r="785" spans="1:18" x14ac:dyDescent="0.25">
      <c r="A785" s="1">
        <f>SampleList[[#This Row],[Date Sampled]]</f>
        <v>0</v>
      </c>
      <c r="B785" t="str" cm="1">
        <f t="array" ref="B785">IF(ISBLANK(INDEX(SampleList[NMR],ROW()-1)),"Not Requested",INDEX(SampleList[Experiment ID],ROW()-1))</f>
        <v>Not Requested</v>
      </c>
      <c r="C785">
        <f>SampleList[[#This Row],[Duration (Days)]]</f>
        <v>0</v>
      </c>
      <c r="D785">
        <f>SampleList[[#This Row],[Sample Description]]</f>
        <v>0</v>
      </c>
      <c r="N785">
        <f>SUM(NMRPrep[[#This Row],[d-DMSO (uL) ]:[ NH4Cl (uL)]])</f>
        <v>0</v>
      </c>
      <c r="O785">
        <f>647</f>
        <v>647</v>
      </c>
      <c r="P785">
        <f>NMRPrep[[#This Row],[Total (uL) ]]-NMRPrep[[#This Row],[Target (uL)]]</f>
        <v>-647</v>
      </c>
      <c r="R785" t="e">
        <f>(NMRPrep[[#This Row],[NH4Cl Stock Concentration (mM)]]*NMRPrep[[#This Row],[ NH4Cl (uL)]])/SUM(NMRPrep[[#This Row],[DI (uL) ]:[ NH4Cl (uL)]])</f>
        <v>#DIV/0!</v>
      </c>
    </row>
    <row r="786" spans="1:18" x14ac:dyDescent="0.25">
      <c r="A786" s="1">
        <f>SampleList[[#This Row],[Date Sampled]]</f>
        <v>0</v>
      </c>
      <c r="B786" t="str" cm="1">
        <f t="array" ref="B786">IF(ISBLANK(INDEX(SampleList[NMR],ROW()-1)),"Not Requested",INDEX(SampleList[Experiment ID],ROW()-1))</f>
        <v>Not Requested</v>
      </c>
      <c r="C786">
        <f>SampleList[[#This Row],[Duration (Days)]]</f>
        <v>0</v>
      </c>
      <c r="D786">
        <f>SampleList[[#This Row],[Sample Description]]</f>
        <v>0</v>
      </c>
      <c r="N786">
        <f>SUM(NMRPrep[[#This Row],[d-DMSO (uL) ]:[ NH4Cl (uL)]])</f>
        <v>0</v>
      </c>
      <c r="O786">
        <f>647</f>
        <v>647</v>
      </c>
      <c r="P786">
        <f>NMRPrep[[#This Row],[Total (uL) ]]-NMRPrep[[#This Row],[Target (uL)]]</f>
        <v>-647</v>
      </c>
      <c r="R786" t="e">
        <f>(NMRPrep[[#This Row],[NH4Cl Stock Concentration (mM)]]*NMRPrep[[#This Row],[ NH4Cl (uL)]])/SUM(NMRPrep[[#This Row],[DI (uL) ]:[ NH4Cl (uL)]])</f>
        <v>#DIV/0!</v>
      </c>
    </row>
    <row r="787" spans="1:18" x14ac:dyDescent="0.25">
      <c r="A787" s="1">
        <f>SampleList[[#This Row],[Date Sampled]]</f>
        <v>0</v>
      </c>
      <c r="B787" t="str" cm="1">
        <f t="array" ref="B787">IF(ISBLANK(INDEX(SampleList[NMR],ROW()-1)),"Not Requested",INDEX(SampleList[Experiment ID],ROW()-1))</f>
        <v>Not Requested</v>
      </c>
      <c r="C787">
        <f>SampleList[[#This Row],[Duration (Days)]]</f>
        <v>0</v>
      </c>
      <c r="D787">
        <f>SampleList[[#This Row],[Sample Description]]</f>
        <v>0</v>
      </c>
      <c r="N787">
        <f>SUM(NMRPrep[[#This Row],[d-DMSO (uL) ]:[ NH4Cl (uL)]])</f>
        <v>0</v>
      </c>
      <c r="O787">
        <f>647</f>
        <v>647</v>
      </c>
      <c r="P787">
        <f>NMRPrep[[#This Row],[Total (uL) ]]-NMRPrep[[#This Row],[Target (uL)]]</f>
        <v>-647</v>
      </c>
      <c r="R787" t="e">
        <f>(NMRPrep[[#This Row],[NH4Cl Stock Concentration (mM)]]*NMRPrep[[#This Row],[ NH4Cl (uL)]])/SUM(NMRPrep[[#This Row],[DI (uL) ]:[ NH4Cl (uL)]])</f>
        <v>#DIV/0!</v>
      </c>
    </row>
    <row r="788" spans="1:18" x14ac:dyDescent="0.25">
      <c r="A788" s="1">
        <f>SampleList[[#This Row],[Date Sampled]]</f>
        <v>0</v>
      </c>
      <c r="B788" t="str" cm="1">
        <f t="array" ref="B788">IF(ISBLANK(INDEX(SampleList[NMR],ROW()-1)),"Not Requested",INDEX(SampleList[Experiment ID],ROW()-1))</f>
        <v>Not Requested</v>
      </c>
      <c r="C788">
        <f>SampleList[[#This Row],[Duration (Days)]]</f>
        <v>0</v>
      </c>
      <c r="D788">
        <f>SampleList[[#This Row],[Sample Description]]</f>
        <v>0</v>
      </c>
      <c r="N788">
        <f>SUM(NMRPrep[[#This Row],[d-DMSO (uL) ]:[ NH4Cl (uL)]])</f>
        <v>0</v>
      </c>
      <c r="O788">
        <f>647</f>
        <v>647</v>
      </c>
      <c r="P788">
        <f>NMRPrep[[#This Row],[Total (uL) ]]-NMRPrep[[#This Row],[Target (uL)]]</f>
        <v>-647</v>
      </c>
      <c r="R788" t="e">
        <f>(NMRPrep[[#This Row],[NH4Cl Stock Concentration (mM)]]*NMRPrep[[#This Row],[ NH4Cl (uL)]])/SUM(NMRPrep[[#This Row],[DI (uL) ]:[ NH4Cl (uL)]])</f>
        <v>#DIV/0!</v>
      </c>
    </row>
    <row r="789" spans="1:18" x14ac:dyDescent="0.25">
      <c r="A789" s="1">
        <f>SampleList[[#This Row],[Date Sampled]]</f>
        <v>0</v>
      </c>
      <c r="B789" t="str" cm="1">
        <f t="array" ref="B789">IF(ISBLANK(INDEX(SampleList[NMR],ROW()-1)),"Not Requested",INDEX(SampleList[Experiment ID],ROW()-1))</f>
        <v>Not Requested</v>
      </c>
      <c r="C789">
        <f>SampleList[[#This Row],[Duration (Days)]]</f>
        <v>0</v>
      </c>
      <c r="D789">
        <f>SampleList[[#This Row],[Sample Description]]</f>
        <v>0</v>
      </c>
      <c r="N789">
        <f>SUM(NMRPrep[[#This Row],[d-DMSO (uL) ]:[ NH4Cl (uL)]])</f>
        <v>0</v>
      </c>
      <c r="O789">
        <f>647</f>
        <v>647</v>
      </c>
      <c r="P789">
        <f>NMRPrep[[#This Row],[Total (uL) ]]-NMRPrep[[#This Row],[Target (uL)]]</f>
        <v>-647</v>
      </c>
      <c r="R789" t="e">
        <f>(NMRPrep[[#This Row],[NH4Cl Stock Concentration (mM)]]*NMRPrep[[#This Row],[ NH4Cl (uL)]])/SUM(NMRPrep[[#This Row],[DI (uL) ]:[ NH4Cl (uL)]])</f>
        <v>#DIV/0!</v>
      </c>
    </row>
    <row r="790" spans="1:18" x14ac:dyDescent="0.25">
      <c r="A790" s="1">
        <f>SampleList[[#This Row],[Date Sampled]]</f>
        <v>0</v>
      </c>
      <c r="B790" t="str" cm="1">
        <f t="array" ref="B790">IF(ISBLANK(INDEX(SampleList[NMR],ROW()-1)),"Not Requested",INDEX(SampleList[Experiment ID],ROW()-1))</f>
        <v>Not Requested</v>
      </c>
      <c r="C790">
        <f>SampleList[[#This Row],[Duration (Days)]]</f>
        <v>0</v>
      </c>
      <c r="D790">
        <f>SampleList[[#This Row],[Sample Description]]</f>
        <v>0</v>
      </c>
      <c r="N790">
        <f>SUM(NMRPrep[[#This Row],[d-DMSO (uL) ]:[ NH4Cl (uL)]])</f>
        <v>0</v>
      </c>
      <c r="O790">
        <f>647</f>
        <v>647</v>
      </c>
      <c r="P790">
        <f>NMRPrep[[#This Row],[Total (uL) ]]-NMRPrep[[#This Row],[Target (uL)]]</f>
        <v>-647</v>
      </c>
      <c r="R790" t="e">
        <f>(NMRPrep[[#This Row],[NH4Cl Stock Concentration (mM)]]*NMRPrep[[#This Row],[ NH4Cl (uL)]])/SUM(NMRPrep[[#This Row],[DI (uL) ]:[ NH4Cl (uL)]])</f>
        <v>#DIV/0!</v>
      </c>
    </row>
    <row r="791" spans="1:18" x14ac:dyDescent="0.25">
      <c r="A791" s="1">
        <f>SampleList[[#This Row],[Date Sampled]]</f>
        <v>0</v>
      </c>
      <c r="B791" t="str" cm="1">
        <f t="array" ref="B791">IF(ISBLANK(INDEX(SampleList[NMR],ROW()-1)),"Not Requested",INDEX(SampleList[Experiment ID],ROW()-1))</f>
        <v>Not Requested</v>
      </c>
      <c r="C791">
        <f>SampleList[[#This Row],[Duration (Days)]]</f>
        <v>0</v>
      </c>
      <c r="D791">
        <f>SampleList[[#This Row],[Sample Description]]</f>
        <v>0</v>
      </c>
      <c r="N791">
        <f>SUM(NMRPrep[[#This Row],[d-DMSO (uL) ]:[ NH4Cl (uL)]])</f>
        <v>0</v>
      </c>
      <c r="O791">
        <f>647</f>
        <v>647</v>
      </c>
      <c r="P791">
        <f>NMRPrep[[#This Row],[Total (uL) ]]-NMRPrep[[#This Row],[Target (uL)]]</f>
        <v>-647</v>
      </c>
      <c r="R791" t="e">
        <f>(NMRPrep[[#This Row],[NH4Cl Stock Concentration (mM)]]*NMRPrep[[#This Row],[ NH4Cl (uL)]])/SUM(NMRPrep[[#This Row],[DI (uL) ]:[ NH4Cl (uL)]])</f>
        <v>#DIV/0!</v>
      </c>
    </row>
    <row r="792" spans="1:18" x14ac:dyDescent="0.25">
      <c r="A792" s="1">
        <f>SampleList[[#This Row],[Date Sampled]]</f>
        <v>0</v>
      </c>
      <c r="B792" t="str" cm="1">
        <f t="array" ref="B792">IF(ISBLANK(INDEX(SampleList[NMR],ROW()-1)),"Not Requested",INDEX(SampleList[Experiment ID],ROW()-1))</f>
        <v>Not Requested</v>
      </c>
      <c r="C792">
        <f>SampleList[[#This Row],[Duration (Days)]]</f>
        <v>0</v>
      </c>
      <c r="D792">
        <f>SampleList[[#This Row],[Sample Description]]</f>
        <v>0</v>
      </c>
      <c r="N792">
        <f>SUM(NMRPrep[[#This Row],[d-DMSO (uL) ]:[ NH4Cl (uL)]])</f>
        <v>0</v>
      </c>
      <c r="O792">
        <f>647</f>
        <v>647</v>
      </c>
      <c r="P792">
        <f>NMRPrep[[#This Row],[Total (uL) ]]-NMRPrep[[#This Row],[Target (uL)]]</f>
        <v>-647</v>
      </c>
      <c r="R792" t="e">
        <f>(NMRPrep[[#This Row],[NH4Cl Stock Concentration (mM)]]*NMRPrep[[#This Row],[ NH4Cl (uL)]])/SUM(NMRPrep[[#This Row],[DI (uL) ]:[ NH4Cl (uL)]])</f>
        <v>#DIV/0!</v>
      </c>
    </row>
    <row r="793" spans="1:18" x14ac:dyDescent="0.25">
      <c r="A793" s="1">
        <f>SampleList[[#This Row],[Date Sampled]]</f>
        <v>0</v>
      </c>
      <c r="B793" t="str" cm="1">
        <f t="array" ref="B793">IF(ISBLANK(INDEX(SampleList[NMR],ROW()-1)),"Not Requested",INDEX(SampleList[Experiment ID],ROW()-1))</f>
        <v>Not Requested</v>
      </c>
      <c r="C793">
        <f>SampleList[[#This Row],[Duration (Days)]]</f>
        <v>0</v>
      </c>
      <c r="D793">
        <f>SampleList[[#This Row],[Sample Description]]</f>
        <v>0</v>
      </c>
      <c r="N793">
        <f>SUM(NMRPrep[[#This Row],[d-DMSO (uL) ]:[ NH4Cl (uL)]])</f>
        <v>0</v>
      </c>
      <c r="O793">
        <f>647</f>
        <v>647</v>
      </c>
      <c r="P793">
        <f>NMRPrep[[#This Row],[Total (uL) ]]-NMRPrep[[#This Row],[Target (uL)]]</f>
        <v>-647</v>
      </c>
      <c r="R793" t="e">
        <f>(NMRPrep[[#This Row],[NH4Cl Stock Concentration (mM)]]*NMRPrep[[#This Row],[ NH4Cl (uL)]])/SUM(NMRPrep[[#This Row],[DI (uL) ]:[ NH4Cl (uL)]])</f>
        <v>#DIV/0!</v>
      </c>
    </row>
    <row r="794" spans="1:18" x14ac:dyDescent="0.25">
      <c r="A794" s="1">
        <f>SampleList[[#This Row],[Date Sampled]]</f>
        <v>0</v>
      </c>
      <c r="B794" t="str" cm="1">
        <f t="array" ref="B794">IF(ISBLANK(INDEX(SampleList[NMR],ROW()-1)),"Not Requested",INDEX(SampleList[Experiment ID],ROW()-1))</f>
        <v>Not Requested</v>
      </c>
      <c r="C794">
        <f>SampleList[[#This Row],[Duration (Days)]]</f>
        <v>0</v>
      </c>
      <c r="D794">
        <f>SampleList[[#This Row],[Sample Description]]</f>
        <v>0</v>
      </c>
      <c r="N794">
        <f>SUM(NMRPrep[[#This Row],[d-DMSO (uL) ]:[ NH4Cl (uL)]])</f>
        <v>0</v>
      </c>
      <c r="O794">
        <f>647</f>
        <v>647</v>
      </c>
      <c r="P794">
        <f>NMRPrep[[#This Row],[Total (uL) ]]-NMRPrep[[#This Row],[Target (uL)]]</f>
        <v>-647</v>
      </c>
      <c r="R794" t="e">
        <f>(NMRPrep[[#This Row],[NH4Cl Stock Concentration (mM)]]*NMRPrep[[#This Row],[ NH4Cl (uL)]])/SUM(NMRPrep[[#This Row],[DI (uL) ]:[ NH4Cl (uL)]])</f>
        <v>#DIV/0!</v>
      </c>
    </row>
    <row r="795" spans="1:18" x14ac:dyDescent="0.25">
      <c r="A795" s="1">
        <f>SampleList[[#This Row],[Date Sampled]]</f>
        <v>0</v>
      </c>
      <c r="B795" t="str" cm="1">
        <f t="array" ref="B795">IF(ISBLANK(INDEX(SampleList[NMR],ROW()-1)),"Not Requested",INDEX(SampleList[Experiment ID],ROW()-1))</f>
        <v>Not Requested</v>
      </c>
      <c r="C795">
        <f>SampleList[[#This Row],[Duration (Days)]]</f>
        <v>0</v>
      </c>
      <c r="D795">
        <f>SampleList[[#This Row],[Sample Description]]</f>
        <v>0</v>
      </c>
      <c r="N795">
        <f>SUM(NMRPrep[[#This Row],[d-DMSO (uL) ]:[ NH4Cl (uL)]])</f>
        <v>0</v>
      </c>
      <c r="O795">
        <f>647</f>
        <v>647</v>
      </c>
      <c r="P795">
        <f>NMRPrep[[#This Row],[Total (uL) ]]-NMRPrep[[#This Row],[Target (uL)]]</f>
        <v>-647</v>
      </c>
      <c r="R795" t="e">
        <f>(NMRPrep[[#This Row],[NH4Cl Stock Concentration (mM)]]*NMRPrep[[#This Row],[ NH4Cl (uL)]])/SUM(NMRPrep[[#This Row],[DI (uL) ]:[ NH4Cl (uL)]])</f>
        <v>#DIV/0!</v>
      </c>
    </row>
    <row r="796" spans="1:18" x14ac:dyDescent="0.25">
      <c r="A796" s="1">
        <f>SampleList[[#This Row],[Date Sampled]]</f>
        <v>0</v>
      </c>
      <c r="B796" t="str" cm="1">
        <f t="array" ref="B796">IF(ISBLANK(INDEX(SampleList[NMR],ROW()-1)),"Not Requested",INDEX(SampleList[Experiment ID],ROW()-1))</f>
        <v>Not Requested</v>
      </c>
      <c r="C796">
        <f>SampleList[[#This Row],[Duration (Days)]]</f>
        <v>0</v>
      </c>
      <c r="D796">
        <f>SampleList[[#This Row],[Sample Description]]</f>
        <v>0</v>
      </c>
      <c r="N796">
        <f>SUM(NMRPrep[[#This Row],[d-DMSO (uL) ]:[ NH4Cl (uL)]])</f>
        <v>0</v>
      </c>
      <c r="O796">
        <f>647</f>
        <v>647</v>
      </c>
      <c r="P796">
        <f>NMRPrep[[#This Row],[Total (uL) ]]-NMRPrep[[#This Row],[Target (uL)]]</f>
        <v>-647</v>
      </c>
      <c r="R796" t="e">
        <f>(NMRPrep[[#This Row],[NH4Cl Stock Concentration (mM)]]*NMRPrep[[#This Row],[ NH4Cl (uL)]])/SUM(NMRPrep[[#This Row],[DI (uL) ]:[ NH4Cl (uL)]])</f>
        <v>#DIV/0!</v>
      </c>
    </row>
    <row r="797" spans="1:18" x14ac:dyDescent="0.25">
      <c r="A797" s="1">
        <f>SampleList[[#This Row],[Date Sampled]]</f>
        <v>0</v>
      </c>
      <c r="B797" t="str" cm="1">
        <f t="array" ref="B797">IF(ISBLANK(INDEX(SampleList[NMR],ROW()-1)),"Not Requested",INDEX(SampleList[Experiment ID],ROW()-1))</f>
        <v>Not Requested</v>
      </c>
      <c r="C797">
        <f>SampleList[[#This Row],[Duration (Days)]]</f>
        <v>0</v>
      </c>
      <c r="D797">
        <f>SampleList[[#This Row],[Sample Description]]</f>
        <v>0</v>
      </c>
      <c r="N797">
        <f>SUM(NMRPrep[[#This Row],[d-DMSO (uL) ]:[ NH4Cl (uL)]])</f>
        <v>0</v>
      </c>
      <c r="O797">
        <f>647</f>
        <v>647</v>
      </c>
      <c r="P797">
        <f>NMRPrep[[#This Row],[Total (uL) ]]-NMRPrep[[#This Row],[Target (uL)]]</f>
        <v>-647</v>
      </c>
      <c r="R797" t="e">
        <f>(NMRPrep[[#This Row],[NH4Cl Stock Concentration (mM)]]*NMRPrep[[#This Row],[ NH4Cl (uL)]])/SUM(NMRPrep[[#This Row],[DI (uL) ]:[ NH4Cl (uL)]])</f>
        <v>#DIV/0!</v>
      </c>
    </row>
    <row r="798" spans="1:18" x14ac:dyDescent="0.25">
      <c r="A798" s="1">
        <f>SampleList[[#This Row],[Date Sampled]]</f>
        <v>0</v>
      </c>
      <c r="B798" t="str" cm="1">
        <f t="array" ref="B798">IF(ISBLANK(INDEX(SampleList[NMR],ROW()-1)),"Not Requested",INDEX(SampleList[Experiment ID],ROW()-1))</f>
        <v>Not Requested</v>
      </c>
      <c r="C798">
        <f>SampleList[[#This Row],[Duration (Days)]]</f>
        <v>0</v>
      </c>
      <c r="D798">
        <f>SampleList[[#This Row],[Sample Description]]</f>
        <v>0</v>
      </c>
      <c r="N798">
        <f>SUM(NMRPrep[[#This Row],[d-DMSO (uL) ]:[ NH4Cl (uL)]])</f>
        <v>0</v>
      </c>
      <c r="O798">
        <f>647</f>
        <v>647</v>
      </c>
      <c r="P798">
        <f>NMRPrep[[#This Row],[Total (uL) ]]-NMRPrep[[#This Row],[Target (uL)]]</f>
        <v>-647</v>
      </c>
      <c r="R798" t="e">
        <f>(NMRPrep[[#This Row],[NH4Cl Stock Concentration (mM)]]*NMRPrep[[#This Row],[ NH4Cl (uL)]])/SUM(NMRPrep[[#This Row],[DI (uL) ]:[ NH4Cl (uL)]])</f>
        <v>#DIV/0!</v>
      </c>
    </row>
    <row r="799" spans="1:18" x14ac:dyDescent="0.25">
      <c r="A799" s="1">
        <f>SampleList[[#This Row],[Date Sampled]]</f>
        <v>0</v>
      </c>
      <c r="B799" t="str" cm="1">
        <f t="array" ref="B799">IF(ISBLANK(INDEX(SampleList[NMR],ROW()-1)),"Not Requested",INDEX(SampleList[Experiment ID],ROW()-1))</f>
        <v>Not Requested</v>
      </c>
      <c r="C799">
        <f>SampleList[[#This Row],[Duration (Days)]]</f>
        <v>0</v>
      </c>
      <c r="D799">
        <f>SampleList[[#This Row],[Sample Description]]</f>
        <v>0</v>
      </c>
      <c r="N799">
        <f>SUM(NMRPrep[[#This Row],[d-DMSO (uL) ]:[ NH4Cl (uL)]])</f>
        <v>0</v>
      </c>
      <c r="O799">
        <f>647</f>
        <v>647</v>
      </c>
      <c r="P799">
        <f>NMRPrep[[#This Row],[Total (uL) ]]-NMRPrep[[#This Row],[Target (uL)]]</f>
        <v>-647</v>
      </c>
      <c r="R799" t="e">
        <f>(NMRPrep[[#This Row],[NH4Cl Stock Concentration (mM)]]*NMRPrep[[#This Row],[ NH4Cl (uL)]])/SUM(NMRPrep[[#This Row],[DI (uL) ]:[ NH4Cl (uL)]])</f>
        <v>#DIV/0!</v>
      </c>
    </row>
    <row r="800" spans="1:18" x14ac:dyDescent="0.25">
      <c r="A800" s="1">
        <f>SampleList[[#This Row],[Date Sampled]]</f>
        <v>0</v>
      </c>
      <c r="B800" t="str" cm="1">
        <f t="array" ref="B800">IF(ISBLANK(INDEX(SampleList[NMR],ROW()-1)),"Not Requested",INDEX(SampleList[Experiment ID],ROW()-1))</f>
        <v>Not Requested</v>
      </c>
      <c r="C800">
        <f>SampleList[[#This Row],[Duration (Days)]]</f>
        <v>0</v>
      </c>
      <c r="D800">
        <f>SampleList[[#This Row],[Sample Description]]</f>
        <v>0</v>
      </c>
      <c r="N800">
        <f>SUM(NMRPrep[[#This Row],[d-DMSO (uL) ]:[ NH4Cl (uL)]])</f>
        <v>0</v>
      </c>
      <c r="O800">
        <f>647</f>
        <v>647</v>
      </c>
      <c r="P800">
        <f>NMRPrep[[#This Row],[Total (uL) ]]-NMRPrep[[#This Row],[Target (uL)]]</f>
        <v>-647</v>
      </c>
      <c r="R800" t="e">
        <f>(NMRPrep[[#This Row],[NH4Cl Stock Concentration (mM)]]*NMRPrep[[#This Row],[ NH4Cl (uL)]])/SUM(NMRPrep[[#This Row],[DI (uL) ]:[ NH4Cl (uL)]])</f>
        <v>#DIV/0!</v>
      </c>
    </row>
    <row r="801" spans="1:18" x14ac:dyDescent="0.25">
      <c r="A801" s="1">
        <f>SampleList[[#This Row],[Date Sampled]]</f>
        <v>0</v>
      </c>
      <c r="B801" t="str" cm="1">
        <f t="array" ref="B801">IF(ISBLANK(INDEX(SampleList[NMR],ROW()-1)),"Not Requested",INDEX(SampleList[Experiment ID],ROW()-1))</f>
        <v>Not Requested</v>
      </c>
      <c r="C801">
        <f>SampleList[[#This Row],[Duration (Days)]]</f>
        <v>0</v>
      </c>
      <c r="D801">
        <f>SampleList[[#This Row],[Sample Description]]</f>
        <v>0</v>
      </c>
      <c r="N801">
        <f>SUM(NMRPrep[[#This Row],[d-DMSO (uL) ]:[ NH4Cl (uL)]])</f>
        <v>0</v>
      </c>
      <c r="O801">
        <f>647</f>
        <v>647</v>
      </c>
      <c r="P801">
        <f>NMRPrep[[#This Row],[Total (uL) ]]-NMRPrep[[#This Row],[Target (uL)]]</f>
        <v>-647</v>
      </c>
      <c r="R801" t="e">
        <f>(NMRPrep[[#This Row],[NH4Cl Stock Concentration (mM)]]*NMRPrep[[#This Row],[ NH4Cl (uL)]])/SUM(NMRPrep[[#This Row],[DI (uL) ]:[ NH4Cl (uL)]])</f>
        <v>#DIV/0!</v>
      </c>
    </row>
    <row r="802" spans="1:18" x14ac:dyDescent="0.25">
      <c r="A802" s="1">
        <f>SampleList[[#This Row],[Date Sampled]]</f>
        <v>0</v>
      </c>
      <c r="B802" t="str" cm="1">
        <f t="array" ref="B802">IF(ISBLANK(INDEX(SampleList[NMR],ROW()-1)),"Not Requested",INDEX(SampleList[Experiment ID],ROW()-1))</f>
        <v>Not Requested</v>
      </c>
      <c r="C802">
        <f>SampleList[[#This Row],[Duration (Days)]]</f>
        <v>0</v>
      </c>
      <c r="D802">
        <f>SampleList[[#This Row],[Sample Description]]</f>
        <v>0</v>
      </c>
      <c r="N802">
        <f>SUM(NMRPrep[[#This Row],[d-DMSO (uL) ]:[ NH4Cl (uL)]])</f>
        <v>0</v>
      </c>
      <c r="O802">
        <f>647</f>
        <v>647</v>
      </c>
      <c r="P802">
        <f>NMRPrep[[#This Row],[Total (uL) ]]-NMRPrep[[#This Row],[Target (uL)]]</f>
        <v>-647</v>
      </c>
      <c r="R802" t="e">
        <f>(NMRPrep[[#This Row],[NH4Cl Stock Concentration (mM)]]*NMRPrep[[#This Row],[ NH4Cl (uL)]])/SUM(NMRPrep[[#This Row],[DI (uL) ]:[ NH4Cl (uL)]])</f>
        <v>#DIV/0!</v>
      </c>
    </row>
    <row r="803" spans="1:18" x14ac:dyDescent="0.25">
      <c r="A803" s="1">
        <f>SampleList[[#This Row],[Date Sampled]]</f>
        <v>0</v>
      </c>
      <c r="B803" t="str" cm="1">
        <f t="array" ref="B803">IF(ISBLANK(INDEX(SampleList[NMR],ROW()-1)),"Not Requested",INDEX(SampleList[Experiment ID],ROW()-1))</f>
        <v>Not Requested</v>
      </c>
      <c r="C803">
        <f>SampleList[[#This Row],[Duration (Days)]]</f>
        <v>0</v>
      </c>
      <c r="D803">
        <f>SampleList[[#This Row],[Sample Description]]</f>
        <v>0</v>
      </c>
      <c r="N803">
        <f>SUM(NMRPrep[[#This Row],[d-DMSO (uL) ]:[ NH4Cl (uL)]])</f>
        <v>0</v>
      </c>
      <c r="O803">
        <f>647</f>
        <v>647</v>
      </c>
      <c r="P803">
        <f>NMRPrep[[#This Row],[Total (uL) ]]-NMRPrep[[#This Row],[Target (uL)]]</f>
        <v>-647</v>
      </c>
      <c r="R803" t="e">
        <f>(NMRPrep[[#This Row],[NH4Cl Stock Concentration (mM)]]*NMRPrep[[#This Row],[ NH4Cl (uL)]])/SUM(NMRPrep[[#This Row],[DI (uL) ]:[ NH4Cl (uL)]])</f>
        <v>#DIV/0!</v>
      </c>
    </row>
    <row r="804" spans="1:18" x14ac:dyDescent="0.25">
      <c r="A804" s="1">
        <f>SampleList[[#This Row],[Date Sampled]]</f>
        <v>0</v>
      </c>
      <c r="B804" t="str" cm="1">
        <f t="array" ref="B804">IF(ISBLANK(INDEX(SampleList[NMR],ROW()-1)),"Not Requested",INDEX(SampleList[Experiment ID],ROW()-1))</f>
        <v>Not Requested</v>
      </c>
      <c r="C804">
        <f>SampleList[[#This Row],[Duration (Days)]]</f>
        <v>0</v>
      </c>
      <c r="D804">
        <f>SampleList[[#This Row],[Sample Description]]</f>
        <v>0</v>
      </c>
      <c r="N804">
        <f>SUM(NMRPrep[[#This Row],[d-DMSO (uL) ]:[ NH4Cl (uL)]])</f>
        <v>0</v>
      </c>
      <c r="O804">
        <f>647</f>
        <v>647</v>
      </c>
      <c r="P804">
        <f>NMRPrep[[#This Row],[Total (uL) ]]-NMRPrep[[#This Row],[Target (uL)]]</f>
        <v>-647</v>
      </c>
      <c r="R804" t="e">
        <f>(NMRPrep[[#This Row],[NH4Cl Stock Concentration (mM)]]*NMRPrep[[#This Row],[ NH4Cl (uL)]])/SUM(NMRPrep[[#This Row],[DI (uL) ]:[ NH4Cl (uL)]])</f>
        <v>#DIV/0!</v>
      </c>
    </row>
    <row r="805" spans="1:18" x14ac:dyDescent="0.25">
      <c r="A805" s="1">
        <f>SampleList[[#This Row],[Date Sampled]]</f>
        <v>0</v>
      </c>
      <c r="B805" t="str" cm="1">
        <f t="array" ref="B805">IF(ISBLANK(INDEX(SampleList[NMR],ROW()-1)),"Not Requested",INDEX(SampleList[Experiment ID],ROW()-1))</f>
        <v>Not Requested</v>
      </c>
      <c r="C805">
        <f>SampleList[[#This Row],[Duration (Days)]]</f>
        <v>0</v>
      </c>
      <c r="D805">
        <f>SampleList[[#This Row],[Sample Description]]</f>
        <v>0</v>
      </c>
      <c r="N805">
        <f>SUM(NMRPrep[[#This Row],[d-DMSO (uL) ]:[ NH4Cl (uL)]])</f>
        <v>0</v>
      </c>
      <c r="O805">
        <f>647</f>
        <v>647</v>
      </c>
      <c r="P805">
        <f>NMRPrep[[#This Row],[Total (uL) ]]-NMRPrep[[#This Row],[Target (uL)]]</f>
        <v>-647</v>
      </c>
      <c r="R805" t="e">
        <f>(NMRPrep[[#This Row],[NH4Cl Stock Concentration (mM)]]*NMRPrep[[#This Row],[ NH4Cl (uL)]])/SUM(NMRPrep[[#This Row],[DI (uL) ]:[ NH4Cl (uL)]])</f>
        <v>#DIV/0!</v>
      </c>
    </row>
    <row r="806" spans="1:18" x14ac:dyDescent="0.25">
      <c r="A806" s="1">
        <f>SampleList[[#This Row],[Date Sampled]]</f>
        <v>0</v>
      </c>
      <c r="B806" t="str" cm="1">
        <f t="array" ref="B806">IF(ISBLANK(INDEX(SampleList[NMR],ROW()-1)),"Not Requested",INDEX(SampleList[Experiment ID],ROW()-1))</f>
        <v>Not Requested</v>
      </c>
      <c r="C806">
        <f>SampleList[[#This Row],[Duration (Days)]]</f>
        <v>0</v>
      </c>
      <c r="D806">
        <f>SampleList[[#This Row],[Sample Description]]</f>
        <v>0</v>
      </c>
      <c r="N806">
        <f>SUM(NMRPrep[[#This Row],[d-DMSO (uL) ]:[ NH4Cl (uL)]])</f>
        <v>0</v>
      </c>
      <c r="O806">
        <f>647</f>
        <v>647</v>
      </c>
      <c r="P806">
        <f>NMRPrep[[#This Row],[Total (uL) ]]-NMRPrep[[#This Row],[Target (uL)]]</f>
        <v>-647</v>
      </c>
      <c r="R806" t="e">
        <f>(NMRPrep[[#This Row],[NH4Cl Stock Concentration (mM)]]*NMRPrep[[#This Row],[ NH4Cl (uL)]])/SUM(NMRPrep[[#This Row],[DI (uL) ]:[ NH4Cl (uL)]])</f>
        <v>#DIV/0!</v>
      </c>
    </row>
    <row r="807" spans="1:18" x14ac:dyDescent="0.25">
      <c r="A807" s="1">
        <f>SampleList[[#This Row],[Date Sampled]]</f>
        <v>0</v>
      </c>
      <c r="B807" t="str" cm="1">
        <f t="array" ref="B807">IF(ISBLANK(INDEX(SampleList[NMR],ROW()-1)),"Not Requested",INDEX(SampleList[Experiment ID],ROW()-1))</f>
        <v>Not Requested</v>
      </c>
      <c r="C807">
        <f>SampleList[[#This Row],[Duration (Days)]]</f>
        <v>0</v>
      </c>
      <c r="D807">
        <f>SampleList[[#This Row],[Sample Description]]</f>
        <v>0</v>
      </c>
      <c r="N807">
        <f>SUM(NMRPrep[[#This Row],[d-DMSO (uL) ]:[ NH4Cl (uL)]])</f>
        <v>0</v>
      </c>
      <c r="O807">
        <f>647</f>
        <v>647</v>
      </c>
      <c r="P807">
        <f>NMRPrep[[#This Row],[Total (uL) ]]-NMRPrep[[#This Row],[Target (uL)]]</f>
        <v>-647</v>
      </c>
      <c r="R807" t="e">
        <f>(NMRPrep[[#This Row],[NH4Cl Stock Concentration (mM)]]*NMRPrep[[#This Row],[ NH4Cl (uL)]])/SUM(NMRPrep[[#This Row],[DI (uL) ]:[ NH4Cl (uL)]])</f>
        <v>#DIV/0!</v>
      </c>
    </row>
    <row r="808" spans="1:18" x14ac:dyDescent="0.25">
      <c r="A808" s="1">
        <f>SampleList[[#This Row],[Date Sampled]]</f>
        <v>0</v>
      </c>
      <c r="B808" t="str" cm="1">
        <f t="array" ref="B808">IF(ISBLANK(INDEX(SampleList[NMR],ROW()-1)),"Not Requested",INDEX(SampleList[Experiment ID],ROW()-1))</f>
        <v>Not Requested</v>
      </c>
      <c r="C808">
        <f>SampleList[[#This Row],[Duration (Days)]]</f>
        <v>0</v>
      </c>
      <c r="D808">
        <f>SampleList[[#This Row],[Sample Description]]</f>
        <v>0</v>
      </c>
      <c r="N808">
        <f>SUM(NMRPrep[[#This Row],[d-DMSO (uL) ]:[ NH4Cl (uL)]])</f>
        <v>0</v>
      </c>
      <c r="O808">
        <f>647</f>
        <v>647</v>
      </c>
      <c r="P808">
        <f>NMRPrep[[#This Row],[Total (uL) ]]-NMRPrep[[#This Row],[Target (uL)]]</f>
        <v>-647</v>
      </c>
      <c r="R808" t="e">
        <f>(NMRPrep[[#This Row],[NH4Cl Stock Concentration (mM)]]*NMRPrep[[#This Row],[ NH4Cl (uL)]])/SUM(NMRPrep[[#This Row],[DI (uL) ]:[ NH4Cl (uL)]])</f>
        <v>#DIV/0!</v>
      </c>
    </row>
    <row r="809" spans="1:18" x14ac:dyDescent="0.25">
      <c r="A809" s="1">
        <f>SampleList[[#This Row],[Date Sampled]]</f>
        <v>0</v>
      </c>
      <c r="B809" t="str" cm="1">
        <f t="array" ref="B809">IF(ISBLANK(INDEX(SampleList[NMR],ROW()-1)),"Not Requested",INDEX(SampleList[Experiment ID],ROW()-1))</f>
        <v>Not Requested</v>
      </c>
      <c r="C809">
        <f>SampleList[[#This Row],[Duration (Days)]]</f>
        <v>0</v>
      </c>
      <c r="D809">
        <f>SampleList[[#This Row],[Sample Description]]</f>
        <v>0</v>
      </c>
      <c r="N809">
        <f>SUM(NMRPrep[[#This Row],[d-DMSO (uL) ]:[ NH4Cl (uL)]])</f>
        <v>0</v>
      </c>
      <c r="O809">
        <f>647</f>
        <v>647</v>
      </c>
      <c r="P809">
        <f>NMRPrep[[#This Row],[Total (uL) ]]-NMRPrep[[#This Row],[Target (uL)]]</f>
        <v>-647</v>
      </c>
      <c r="R809" t="e">
        <f>(NMRPrep[[#This Row],[NH4Cl Stock Concentration (mM)]]*NMRPrep[[#This Row],[ NH4Cl (uL)]])/SUM(NMRPrep[[#This Row],[DI (uL) ]:[ NH4Cl (uL)]])</f>
        <v>#DIV/0!</v>
      </c>
    </row>
    <row r="810" spans="1:18" x14ac:dyDescent="0.25">
      <c r="A810" s="1">
        <f>SampleList[[#This Row],[Date Sampled]]</f>
        <v>0</v>
      </c>
      <c r="B810" t="str" cm="1">
        <f t="array" ref="B810">IF(ISBLANK(INDEX(SampleList[NMR],ROW()-1)),"Not Requested",INDEX(SampleList[Experiment ID],ROW()-1))</f>
        <v>Not Requested</v>
      </c>
      <c r="C810">
        <f>SampleList[[#This Row],[Duration (Days)]]</f>
        <v>0</v>
      </c>
      <c r="D810">
        <f>SampleList[[#This Row],[Sample Description]]</f>
        <v>0</v>
      </c>
      <c r="N810">
        <f>SUM(NMRPrep[[#This Row],[d-DMSO (uL) ]:[ NH4Cl (uL)]])</f>
        <v>0</v>
      </c>
      <c r="O810">
        <f>647</f>
        <v>647</v>
      </c>
      <c r="P810">
        <f>NMRPrep[[#This Row],[Total (uL) ]]-NMRPrep[[#This Row],[Target (uL)]]</f>
        <v>-647</v>
      </c>
      <c r="R810" t="e">
        <f>(NMRPrep[[#This Row],[NH4Cl Stock Concentration (mM)]]*NMRPrep[[#This Row],[ NH4Cl (uL)]])/SUM(NMRPrep[[#This Row],[DI (uL) ]:[ NH4Cl (uL)]])</f>
        <v>#DIV/0!</v>
      </c>
    </row>
    <row r="811" spans="1:18" x14ac:dyDescent="0.25">
      <c r="A811" s="1">
        <f>SampleList[[#This Row],[Date Sampled]]</f>
        <v>0</v>
      </c>
      <c r="B811" t="str" cm="1">
        <f t="array" ref="B811">IF(ISBLANK(INDEX(SampleList[NMR],ROW()-1)),"Not Requested",INDEX(SampleList[Experiment ID],ROW()-1))</f>
        <v>Not Requested</v>
      </c>
      <c r="C811">
        <f>SampleList[[#This Row],[Duration (Days)]]</f>
        <v>0</v>
      </c>
      <c r="D811">
        <f>SampleList[[#This Row],[Sample Description]]</f>
        <v>0</v>
      </c>
      <c r="N811">
        <f>SUM(NMRPrep[[#This Row],[d-DMSO (uL) ]:[ NH4Cl (uL)]])</f>
        <v>0</v>
      </c>
      <c r="O811">
        <f>647</f>
        <v>647</v>
      </c>
      <c r="P811">
        <f>NMRPrep[[#This Row],[Total (uL) ]]-NMRPrep[[#This Row],[Target (uL)]]</f>
        <v>-647</v>
      </c>
      <c r="R811" t="e">
        <f>(NMRPrep[[#This Row],[NH4Cl Stock Concentration (mM)]]*NMRPrep[[#This Row],[ NH4Cl (uL)]])/SUM(NMRPrep[[#This Row],[DI (uL) ]:[ NH4Cl (uL)]])</f>
        <v>#DIV/0!</v>
      </c>
    </row>
    <row r="812" spans="1:18" x14ac:dyDescent="0.25">
      <c r="A812" s="1">
        <f>SampleList[[#This Row],[Date Sampled]]</f>
        <v>0</v>
      </c>
      <c r="B812" t="str" cm="1">
        <f t="array" ref="B812">IF(ISBLANK(INDEX(SampleList[NMR],ROW()-1)),"Not Requested",INDEX(SampleList[Experiment ID],ROW()-1))</f>
        <v>Not Requested</v>
      </c>
      <c r="C812">
        <f>SampleList[[#This Row],[Duration (Days)]]</f>
        <v>0</v>
      </c>
      <c r="D812">
        <f>SampleList[[#This Row],[Sample Description]]</f>
        <v>0</v>
      </c>
      <c r="N812">
        <f>SUM(NMRPrep[[#This Row],[d-DMSO (uL) ]:[ NH4Cl (uL)]])</f>
        <v>0</v>
      </c>
      <c r="O812">
        <f>647</f>
        <v>647</v>
      </c>
      <c r="P812">
        <f>NMRPrep[[#This Row],[Total (uL) ]]-NMRPrep[[#This Row],[Target (uL)]]</f>
        <v>-647</v>
      </c>
      <c r="R812" t="e">
        <f>(NMRPrep[[#This Row],[NH4Cl Stock Concentration (mM)]]*NMRPrep[[#This Row],[ NH4Cl (uL)]])/SUM(NMRPrep[[#This Row],[DI (uL) ]:[ NH4Cl (uL)]])</f>
        <v>#DIV/0!</v>
      </c>
    </row>
    <row r="813" spans="1:18" x14ac:dyDescent="0.25">
      <c r="A813" s="1">
        <f>SampleList[[#This Row],[Date Sampled]]</f>
        <v>0</v>
      </c>
      <c r="B813" t="str" cm="1">
        <f t="array" ref="B813">IF(ISBLANK(INDEX(SampleList[NMR],ROW()-1)),"Not Requested",INDEX(SampleList[Experiment ID],ROW()-1))</f>
        <v>Not Requested</v>
      </c>
      <c r="C813">
        <f>SampleList[[#This Row],[Duration (Days)]]</f>
        <v>0</v>
      </c>
      <c r="D813">
        <f>SampleList[[#This Row],[Sample Description]]</f>
        <v>0</v>
      </c>
      <c r="N813">
        <f>SUM(NMRPrep[[#This Row],[d-DMSO (uL) ]:[ NH4Cl (uL)]])</f>
        <v>0</v>
      </c>
      <c r="O813">
        <f>647</f>
        <v>647</v>
      </c>
      <c r="P813">
        <f>NMRPrep[[#This Row],[Total (uL) ]]-NMRPrep[[#This Row],[Target (uL)]]</f>
        <v>-647</v>
      </c>
      <c r="R813" t="e">
        <f>(NMRPrep[[#This Row],[NH4Cl Stock Concentration (mM)]]*NMRPrep[[#This Row],[ NH4Cl (uL)]])/SUM(NMRPrep[[#This Row],[DI (uL) ]:[ NH4Cl (uL)]])</f>
        <v>#DIV/0!</v>
      </c>
    </row>
    <row r="814" spans="1:18" x14ac:dyDescent="0.25">
      <c r="A814" s="1">
        <f>SampleList[[#This Row],[Date Sampled]]</f>
        <v>0</v>
      </c>
      <c r="B814" t="str" cm="1">
        <f t="array" ref="B814">IF(ISBLANK(INDEX(SampleList[NMR],ROW()-1)),"Not Requested",INDEX(SampleList[Experiment ID],ROW()-1))</f>
        <v>Not Requested</v>
      </c>
      <c r="C814">
        <f>SampleList[[#This Row],[Duration (Days)]]</f>
        <v>0</v>
      </c>
      <c r="D814">
        <f>SampleList[[#This Row],[Sample Description]]</f>
        <v>0</v>
      </c>
      <c r="N814">
        <f>SUM(NMRPrep[[#This Row],[d-DMSO (uL) ]:[ NH4Cl (uL)]])</f>
        <v>0</v>
      </c>
      <c r="O814">
        <f>647</f>
        <v>647</v>
      </c>
      <c r="P814">
        <f>NMRPrep[[#This Row],[Total (uL) ]]-NMRPrep[[#This Row],[Target (uL)]]</f>
        <v>-647</v>
      </c>
      <c r="R814" t="e">
        <f>(NMRPrep[[#This Row],[NH4Cl Stock Concentration (mM)]]*NMRPrep[[#This Row],[ NH4Cl (uL)]])/SUM(NMRPrep[[#This Row],[DI (uL) ]:[ NH4Cl (uL)]])</f>
        <v>#DIV/0!</v>
      </c>
    </row>
    <row r="815" spans="1:18" x14ac:dyDescent="0.25">
      <c r="A815" s="1">
        <f>SampleList[[#This Row],[Date Sampled]]</f>
        <v>0</v>
      </c>
      <c r="B815" t="str" cm="1">
        <f t="array" ref="B815">IF(ISBLANK(INDEX(SampleList[NMR],ROW()-1)),"Not Requested",INDEX(SampleList[Experiment ID],ROW()-1))</f>
        <v>Not Requested</v>
      </c>
      <c r="C815">
        <f>SampleList[[#This Row],[Duration (Days)]]</f>
        <v>0</v>
      </c>
      <c r="D815">
        <f>SampleList[[#This Row],[Sample Description]]</f>
        <v>0</v>
      </c>
      <c r="N815">
        <f>SUM(NMRPrep[[#This Row],[d-DMSO (uL) ]:[ NH4Cl (uL)]])</f>
        <v>0</v>
      </c>
      <c r="O815">
        <f>647</f>
        <v>647</v>
      </c>
      <c r="P815">
        <f>NMRPrep[[#This Row],[Total (uL) ]]-NMRPrep[[#This Row],[Target (uL)]]</f>
        <v>-647</v>
      </c>
      <c r="R815" t="e">
        <f>(NMRPrep[[#This Row],[NH4Cl Stock Concentration (mM)]]*NMRPrep[[#This Row],[ NH4Cl (uL)]])/SUM(NMRPrep[[#This Row],[DI (uL) ]:[ NH4Cl (uL)]])</f>
        <v>#DIV/0!</v>
      </c>
    </row>
    <row r="816" spans="1:18" x14ac:dyDescent="0.25">
      <c r="A816" s="1">
        <f>SampleList[[#This Row],[Date Sampled]]</f>
        <v>0</v>
      </c>
      <c r="B816" t="str" cm="1">
        <f t="array" ref="B816">IF(ISBLANK(INDEX(SampleList[NMR],ROW()-1)),"Not Requested",INDEX(SampleList[Experiment ID],ROW()-1))</f>
        <v>Not Requested</v>
      </c>
      <c r="C816">
        <f>SampleList[[#This Row],[Duration (Days)]]</f>
        <v>0</v>
      </c>
      <c r="D816">
        <f>SampleList[[#This Row],[Sample Description]]</f>
        <v>0</v>
      </c>
      <c r="N816">
        <f>SUM(NMRPrep[[#This Row],[d-DMSO (uL) ]:[ NH4Cl (uL)]])</f>
        <v>0</v>
      </c>
      <c r="O816">
        <f>647</f>
        <v>647</v>
      </c>
      <c r="P816">
        <f>NMRPrep[[#This Row],[Total (uL) ]]-NMRPrep[[#This Row],[Target (uL)]]</f>
        <v>-647</v>
      </c>
      <c r="R816" t="e">
        <f>(NMRPrep[[#This Row],[NH4Cl Stock Concentration (mM)]]*NMRPrep[[#This Row],[ NH4Cl (uL)]])/SUM(NMRPrep[[#This Row],[DI (uL) ]:[ NH4Cl (uL)]])</f>
        <v>#DIV/0!</v>
      </c>
    </row>
    <row r="817" spans="1:18" x14ac:dyDescent="0.25">
      <c r="A817" s="1">
        <f>SampleList[[#This Row],[Date Sampled]]</f>
        <v>0</v>
      </c>
      <c r="B817" t="str" cm="1">
        <f t="array" ref="B817">IF(ISBLANK(INDEX(SampleList[NMR],ROW()-1)),"Not Requested",INDEX(SampleList[Experiment ID],ROW()-1))</f>
        <v>Not Requested</v>
      </c>
      <c r="C817">
        <f>SampleList[[#This Row],[Duration (Days)]]</f>
        <v>0</v>
      </c>
      <c r="D817">
        <f>SampleList[[#This Row],[Sample Description]]</f>
        <v>0</v>
      </c>
      <c r="N817">
        <f>SUM(NMRPrep[[#This Row],[d-DMSO (uL) ]:[ NH4Cl (uL)]])</f>
        <v>0</v>
      </c>
      <c r="O817">
        <f>647</f>
        <v>647</v>
      </c>
      <c r="P817">
        <f>NMRPrep[[#This Row],[Total (uL) ]]-NMRPrep[[#This Row],[Target (uL)]]</f>
        <v>-647</v>
      </c>
      <c r="R817" t="e">
        <f>(NMRPrep[[#This Row],[NH4Cl Stock Concentration (mM)]]*NMRPrep[[#This Row],[ NH4Cl (uL)]])/SUM(NMRPrep[[#This Row],[DI (uL) ]:[ NH4Cl (uL)]])</f>
        <v>#DIV/0!</v>
      </c>
    </row>
    <row r="818" spans="1:18" x14ac:dyDescent="0.25">
      <c r="A818" s="1">
        <f>SampleList[[#This Row],[Date Sampled]]</f>
        <v>0</v>
      </c>
      <c r="B818" t="str" cm="1">
        <f t="array" ref="B818">IF(ISBLANK(INDEX(SampleList[NMR],ROW()-1)),"Not Requested",INDEX(SampleList[Experiment ID],ROW()-1))</f>
        <v>Not Requested</v>
      </c>
      <c r="C818">
        <f>SampleList[[#This Row],[Duration (Days)]]</f>
        <v>0</v>
      </c>
      <c r="D818">
        <f>SampleList[[#This Row],[Sample Description]]</f>
        <v>0</v>
      </c>
      <c r="N818">
        <f>SUM(NMRPrep[[#This Row],[d-DMSO (uL) ]:[ NH4Cl (uL)]])</f>
        <v>0</v>
      </c>
      <c r="O818">
        <f>647</f>
        <v>647</v>
      </c>
      <c r="P818">
        <f>NMRPrep[[#This Row],[Total (uL) ]]-NMRPrep[[#This Row],[Target (uL)]]</f>
        <v>-647</v>
      </c>
      <c r="R818" t="e">
        <f>(NMRPrep[[#This Row],[NH4Cl Stock Concentration (mM)]]*NMRPrep[[#This Row],[ NH4Cl (uL)]])/SUM(NMRPrep[[#This Row],[DI (uL) ]:[ NH4Cl (uL)]])</f>
        <v>#DIV/0!</v>
      </c>
    </row>
    <row r="819" spans="1:18" x14ac:dyDescent="0.25">
      <c r="A819" s="1">
        <f>SampleList[[#This Row],[Date Sampled]]</f>
        <v>0</v>
      </c>
      <c r="B819" t="str" cm="1">
        <f t="array" ref="B819">IF(ISBLANK(INDEX(SampleList[NMR],ROW()-1)),"Not Requested",INDEX(SampleList[Experiment ID],ROW()-1))</f>
        <v>Not Requested</v>
      </c>
      <c r="C819">
        <f>SampleList[[#This Row],[Duration (Days)]]</f>
        <v>0</v>
      </c>
      <c r="D819">
        <f>SampleList[[#This Row],[Sample Description]]</f>
        <v>0</v>
      </c>
      <c r="N819">
        <f>SUM(NMRPrep[[#This Row],[d-DMSO (uL) ]:[ NH4Cl (uL)]])</f>
        <v>0</v>
      </c>
      <c r="O819">
        <f>647</f>
        <v>647</v>
      </c>
      <c r="P819">
        <f>NMRPrep[[#This Row],[Total (uL) ]]-NMRPrep[[#This Row],[Target (uL)]]</f>
        <v>-647</v>
      </c>
      <c r="R819" t="e">
        <f>(NMRPrep[[#This Row],[NH4Cl Stock Concentration (mM)]]*NMRPrep[[#This Row],[ NH4Cl (uL)]])/SUM(NMRPrep[[#This Row],[DI (uL) ]:[ NH4Cl (uL)]])</f>
        <v>#DIV/0!</v>
      </c>
    </row>
    <row r="820" spans="1:18" x14ac:dyDescent="0.25">
      <c r="A820" s="1">
        <f>SampleList[[#This Row],[Date Sampled]]</f>
        <v>0</v>
      </c>
      <c r="B820" t="str" cm="1">
        <f t="array" ref="B820">IF(ISBLANK(INDEX(SampleList[NMR],ROW()-1)),"Not Requested",INDEX(SampleList[Experiment ID],ROW()-1))</f>
        <v>Not Requested</v>
      </c>
      <c r="C820">
        <f>SampleList[[#This Row],[Duration (Days)]]</f>
        <v>0</v>
      </c>
      <c r="D820">
        <f>SampleList[[#This Row],[Sample Description]]</f>
        <v>0</v>
      </c>
      <c r="N820">
        <f>SUM(NMRPrep[[#This Row],[d-DMSO (uL) ]:[ NH4Cl (uL)]])</f>
        <v>0</v>
      </c>
      <c r="O820">
        <f>647</f>
        <v>647</v>
      </c>
      <c r="P820">
        <f>NMRPrep[[#This Row],[Total (uL) ]]-NMRPrep[[#This Row],[Target (uL)]]</f>
        <v>-647</v>
      </c>
      <c r="R820" t="e">
        <f>(NMRPrep[[#This Row],[NH4Cl Stock Concentration (mM)]]*NMRPrep[[#This Row],[ NH4Cl (uL)]])/SUM(NMRPrep[[#This Row],[DI (uL) ]:[ NH4Cl (uL)]])</f>
        <v>#DIV/0!</v>
      </c>
    </row>
    <row r="821" spans="1:18" x14ac:dyDescent="0.25">
      <c r="A821" s="1">
        <f>SampleList[[#This Row],[Date Sampled]]</f>
        <v>0</v>
      </c>
      <c r="B821" t="str" cm="1">
        <f t="array" ref="B821">IF(ISBLANK(INDEX(SampleList[NMR],ROW()-1)),"Not Requested",INDEX(SampleList[Experiment ID],ROW()-1))</f>
        <v>Not Requested</v>
      </c>
      <c r="C821">
        <f>SampleList[[#This Row],[Duration (Days)]]</f>
        <v>0</v>
      </c>
      <c r="D821">
        <f>SampleList[[#This Row],[Sample Description]]</f>
        <v>0</v>
      </c>
      <c r="N821">
        <f>SUM(NMRPrep[[#This Row],[d-DMSO (uL) ]:[ NH4Cl (uL)]])</f>
        <v>0</v>
      </c>
      <c r="O821">
        <f>647</f>
        <v>647</v>
      </c>
      <c r="P821">
        <f>NMRPrep[[#This Row],[Total (uL) ]]-NMRPrep[[#This Row],[Target (uL)]]</f>
        <v>-647</v>
      </c>
      <c r="R821" t="e">
        <f>(NMRPrep[[#This Row],[NH4Cl Stock Concentration (mM)]]*NMRPrep[[#This Row],[ NH4Cl (uL)]])/SUM(NMRPrep[[#This Row],[DI (uL) ]:[ NH4Cl (uL)]])</f>
        <v>#DIV/0!</v>
      </c>
    </row>
    <row r="822" spans="1:18" x14ac:dyDescent="0.25">
      <c r="A822" s="1">
        <f>SampleList[[#This Row],[Date Sampled]]</f>
        <v>0</v>
      </c>
      <c r="B822" t="str" cm="1">
        <f t="array" ref="B822">IF(ISBLANK(INDEX(SampleList[NMR],ROW()-1)),"Not Requested",INDEX(SampleList[Experiment ID],ROW()-1))</f>
        <v>Not Requested</v>
      </c>
      <c r="C822">
        <f>SampleList[[#This Row],[Duration (Days)]]</f>
        <v>0</v>
      </c>
      <c r="D822">
        <f>SampleList[[#This Row],[Sample Description]]</f>
        <v>0</v>
      </c>
      <c r="N822">
        <f>SUM(NMRPrep[[#This Row],[d-DMSO (uL) ]:[ NH4Cl (uL)]])</f>
        <v>0</v>
      </c>
      <c r="O822">
        <f>647</f>
        <v>647</v>
      </c>
      <c r="P822">
        <f>NMRPrep[[#This Row],[Total (uL) ]]-NMRPrep[[#This Row],[Target (uL)]]</f>
        <v>-647</v>
      </c>
      <c r="R822" t="e">
        <f>(NMRPrep[[#This Row],[NH4Cl Stock Concentration (mM)]]*NMRPrep[[#This Row],[ NH4Cl (uL)]])/SUM(NMRPrep[[#This Row],[DI (uL) ]:[ NH4Cl (uL)]])</f>
        <v>#DIV/0!</v>
      </c>
    </row>
    <row r="823" spans="1:18" x14ac:dyDescent="0.25">
      <c r="A823" s="1">
        <f>SampleList[[#This Row],[Date Sampled]]</f>
        <v>0</v>
      </c>
      <c r="B823" t="str" cm="1">
        <f t="array" ref="B823">IF(ISBLANK(INDEX(SampleList[NMR],ROW()-1)),"Not Requested",INDEX(SampleList[Experiment ID],ROW()-1))</f>
        <v>Not Requested</v>
      </c>
      <c r="C823">
        <f>SampleList[[#This Row],[Duration (Days)]]</f>
        <v>0</v>
      </c>
      <c r="D823">
        <f>SampleList[[#This Row],[Sample Description]]</f>
        <v>0</v>
      </c>
      <c r="N823">
        <f>SUM(NMRPrep[[#This Row],[d-DMSO (uL) ]:[ NH4Cl (uL)]])</f>
        <v>0</v>
      </c>
      <c r="O823">
        <f>647</f>
        <v>647</v>
      </c>
      <c r="P823">
        <f>NMRPrep[[#This Row],[Total (uL) ]]-NMRPrep[[#This Row],[Target (uL)]]</f>
        <v>-647</v>
      </c>
      <c r="R823" t="e">
        <f>(NMRPrep[[#This Row],[NH4Cl Stock Concentration (mM)]]*NMRPrep[[#This Row],[ NH4Cl (uL)]])/SUM(NMRPrep[[#This Row],[DI (uL) ]:[ NH4Cl (uL)]])</f>
        <v>#DIV/0!</v>
      </c>
    </row>
    <row r="824" spans="1:18" x14ac:dyDescent="0.25">
      <c r="A824" s="1">
        <f>SampleList[[#This Row],[Date Sampled]]</f>
        <v>0</v>
      </c>
      <c r="B824" t="str" cm="1">
        <f t="array" ref="B824">IF(ISBLANK(INDEX(SampleList[NMR],ROW()-1)),"Not Requested",INDEX(SampleList[Experiment ID],ROW()-1))</f>
        <v>Not Requested</v>
      </c>
      <c r="C824">
        <f>SampleList[[#This Row],[Duration (Days)]]</f>
        <v>0</v>
      </c>
      <c r="D824">
        <f>SampleList[[#This Row],[Sample Description]]</f>
        <v>0</v>
      </c>
      <c r="N824">
        <f>SUM(NMRPrep[[#This Row],[d-DMSO (uL) ]:[ NH4Cl (uL)]])</f>
        <v>0</v>
      </c>
      <c r="O824">
        <f>647</f>
        <v>647</v>
      </c>
      <c r="P824">
        <f>NMRPrep[[#This Row],[Total (uL) ]]-NMRPrep[[#This Row],[Target (uL)]]</f>
        <v>-647</v>
      </c>
      <c r="R824" t="e">
        <f>(NMRPrep[[#This Row],[NH4Cl Stock Concentration (mM)]]*NMRPrep[[#This Row],[ NH4Cl (uL)]])/SUM(NMRPrep[[#This Row],[DI (uL) ]:[ NH4Cl (uL)]])</f>
        <v>#DIV/0!</v>
      </c>
    </row>
    <row r="825" spans="1:18" x14ac:dyDescent="0.25">
      <c r="A825" s="1">
        <f>SampleList[[#This Row],[Date Sampled]]</f>
        <v>0</v>
      </c>
      <c r="B825" t="str" cm="1">
        <f t="array" ref="B825">IF(ISBLANK(INDEX(SampleList[NMR],ROW()-1)),"Not Requested",INDEX(SampleList[Experiment ID],ROW()-1))</f>
        <v>Not Requested</v>
      </c>
      <c r="C825">
        <f>SampleList[[#This Row],[Duration (Days)]]</f>
        <v>0</v>
      </c>
      <c r="D825">
        <f>SampleList[[#This Row],[Sample Description]]</f>
        <v>0</v>
      </c>
      <c r="N825">
        <f>SUM(NMRPrep[[#This Row],[d-DMSO (uL) ]:[ NH4Cl (uL)]])</f>
        <v>0</v>
      </c>
      <c r="O825">
        <f>647</f>
        <v>647</v>
      </c>
      <c r="P825">
        <f>NMRPrep[[#This Row],[Total (uL) ]]-NMRPrep[[#This Row],[Target (uL)]]</f>
        <v>-647</v>
      </c>
      <c r="R825" t="e">
        <f>(NMRPrep[[#This Row],[NH4Cl Stock Concentration (mM)]]*NMRPrep[[#This Row],[ NH4Cl (uL)]])/SUM(NMRPrep[[#This Row],[DI (uL) ]:[ NH4Cl (uL)]])</f>
        <v>#DIV/0!</v>
      </c>
    </row>
    <row r="826" spans="1:18" x14ac:dyDescent="0.25">
      <c r="A826" s="1">
        <f>SampleList[[#This Row],[Date Sampled]]</f>
        <v>0</v>
      </c>
      <c r="B826" t="str" cm="1">
        <f t="array" ref="B826">IF(ISBLANK(INDEX(SampleList[NMR],ROW()-1)),"Not Requested",INDEX(SampleList[Experiment ID],ROW()-1))</f>
        <v>Not Requested</v>
      </c>
      <c r="C826">
        <f>SampleList[[#This Row],[Duration (Days)]]</f>
        <v>0</v>
      </c>
      <c r="D826">
        <f>SampleList[[#This Row],[Sample Description]]</f>
        <v>0</v>
      </c>
      <c r="N826">
        <f>SUM(NMRPrep[[#This Row],[d-DMSO (uL) ]:[ NH4Cl (uL)]])</f>
        <v>0</v>
      </c>
      <c r="O826">
        <f>647</f>
        <v>647</v>
      </c>
      <c r="P826">
        <f>NMRPrep[[#This Row],[Total (uL) ]]-NMRPrep[[#This Row],[Target (uL)]]</f>
        <v>-647</v>
      </c>
      <c r="R826" t="e">
        <f>(NMRPrep[[#This Row],[NH4Cl Stock Concentration (mM)]]*NMRPrep[[#This Row],[ NH4Cl (uL)]])/SUM(NMRPrep[[#This Row],[DI (uL) ]:[ NH4Cl (uL)]])</f>
        <v>#DIV/0!</v>
      </c>
    </row>
    <row r="827" spans="1:18" x14ac:dyDescent="0.25">
      <c r="A827" s="1">
        <f>SampleList[[#This Row],[Date Sampled]]</f>
        <v>0</v>
      </c>
      <c r="B827" t="str" cm="1">
        <f t="array" ref="B827">IF(ISBLANK(INDEX(SampleList[NMR],ROW()-1)),"Not Requested",INDEX(SampleList[Experiment ID],ROW()-1))</f>
        <v>Not Requested</v>
      </c>
      <c r="C827">
        <f>SampleList[[#This Row],[Duration (Days)]]</f>
        <v>0</v>
      </c>
      <c r="D827">
        <f>SampleList[[#This Row],[Sample Description]]</f>
        <v>0</v>
      </c>
      <c r="N827">
        <f>SUM(NMRPrep[[#This Row],[d-DMSO (uL) ]:[ NH4Cl (uL)]])</f>
        <v>0</v>
      </c>
      <c r="O827">
        <f>647</f>
        <v>647</v>
      </c>
      <c r="P827">
        <f>NMRPrep[[#This Row],[Total (uL) ]]-NMRPrep[[#This Row],[Target (uL)]]</f>
        <v>-647</v>
      </c>
      <c r="R827" t="e">
        <f>(NMRPrep[[#This Row],[NH4Cl Stock Concentration (mM)]]*NMRPrep[[#This Row],[ NH4Cl (uL)]])/SUM(NMRPrep[[#This Row],[DI (uL) ]:[ NH4Cl (uL)]])</f>
        <v>#DIV/0!</v>
      </c>
    </row>
    <row r="828" spans="1:18" x14ac:dyDescent="0.25">
      <c r="A828" s="1">
        <f>SampleList[[#This Row],[Date Sampled]]</f>
        <v>0</v>
      </c>
      <c r="B828" t="str" cm="1">
        <f t="array" ref="B828">IF(ISBLANK(INDEX(SampleList[NMR],ROW()-1)),"Not Requested",INDEX(SampleList[Experiment ID],ROW()-1))</f>
        <v>Not Requested</v>
      </c>
      <c r="C828">
        <f>SampleList[[#This Row],[Duration (Days)]]</f>
        <v>0</v>
      </c>
      <c r="D828">
        <f>SampleList[[#This Row],[Sample Description]]</f>
        <v>0</v>
      </c>
      <c r="N828">
        <f>SUM(NMRPrep[[#This Row],[d-DMSO (uL) ]:[ NH4Cl (uL)]])</f>
        <v>0</v>
      </c>
      <c r="O828">
        <f>647</f>
        <v>647</v>
      </c>
      <c r="P828">
        <f>NMRPrep[[#This Row],[Total (uL) ]]-NMRPrep[[#This Row],[Target (uL)]]</f>
        <v>-647</v>
      </c>
      <c r="R828" t="e">
        <f>(NMRPrep[[#This Row],[NH4Cl Stock Concentration (mM)]]*NMRPrep[[#This Row],[ NH4Cl (uL)]])/SUM(NMRPrep[[#This Row],[DI (uL) ]:[ NH4Cl (uL)]])</f>
        <v>#DIV/0!</v>
      </c>
    </row>
    <row r="829" spans="1:18" x14ac:dyDescent="0.25">
      <c r="A829" s="1">
        <f>SampleList[[#This Row],[Date Sampled]]</f>
        <v>0</v>
      </c>
      <c r="B829" t="str" cm="1">
        <f t="array" ref="B829">IF(ISBLANK(INDEX(SampleList[NMR],ROW()-1)),"Not Requested",INDEX(SampleList[Experiment ID],ROW()-1))</f>
        <v>Not Requested</v>
      </c>
      <c r="C829">
        <f>SampleList[[#This Row],[Duration (Days)]]</f>
        <v>0</v>
      </c>
      <c r="D829">
        <f>SampleList[[#This Row],[Sample Description]]</f>
        <v>0</v>
      </c>
      <c r="N829">
        <f>SUM(NMRPrep[[#This Row],[d-DMSO (uL) ]:[ NH4Cl (uL)]])</f>
        <v>0</v>
      </c>
      <c r="O829">
        <f>647</f>
        <v>647</v>
      </c>
      <c r="P829">
        <f>NMRPrep[[#This Row],[Total (uL) ]]-NMRPrep[[#This Row],[Target (uL)]]</f>
        <v>-647</v>
      </c>
      <c r="R829" t="e">
        <f>(NMRPrep[[#This Row],[NH4Cl Stock Concentration (mM)]]*NMRPrep[[#This Row],[ NH4Cl (uL)]])/SUM(NMRPrep[[#This Row],[DI (uL) ]:[ NH4Cl (uL)]])</f>
        <v>#DIV/0!</v>
      </c>
    </row>
    <row r="830" spans="1:18" x14ac:dyDescent="0.25">
      <c r="A830" s="1">
        <f>SampleList[[#This Row],[Date Sampled]]</f>
        <v>0</v>
      </c>
      <c r="B830" t="str" cm="1">
        <f t="array" ref="B830">IF(ISBLANK(INDEX(SampleList[NMR],ROW()-1)),"Not Requested",INDEX(SampleList[Experiment ID],ROW()-1))</f>
        <v>Not Requested</v>
      </c>
      <c r="C830">
        <f>SampleList[[#This Row],[Duration (Days)]]</f>
        <v>0</v>
      </c>
      <c r="D830">
        <f>SampleList[[#This Row],[Sample Description]]</f>
        <v>0</v>
      </c>
      <c r="N830">
        <f>SUM(NMRPrep[[#This Row],[d-DMSO (uL) ]:[ NH4Cl (uL)]])</f>
        <v>0</v>
      </c>
      <c r="O830">
        <f>647</f>
        <v>647</v>
      </c>
      <c r="P830">
        <f>NMRPrep[[#This Row],[Total (uL) ]]-NMRPrep[[#This Row],[Target (uL)]]</f>
        <v>-647</v>
      </c>
      <c r="R830" t="e">
        <f>(NMRPrep[[#This Row],[NH4Cl Stock Concentration (mM)]]*NMRPrep[[#This Row],[ NH4Cl (uL)]])/SUM(NMRPrep[[#This Row],[DI (uL) ]:[ NH4Cl (uL)]])</f>
        <v>#DIV/0!</v>
      </c>
    </row>
    <row r="831" spans="1:18" x14ac:dyDescent="0.25">
      <c r="A831" s="1">
        <f>SampleList[[#This Row],[Date Sampled]]</f>
        <v>0</v>
      </c>
      <c r="B831" t="str" cm="1">
        <f t="array" ref="B831">IF(ISBLANK(INDEX(SampleList[NMR],ROW()-1)),"Not Requested",INDEX(SampleList[Experiment ID],ROW()-1))</f>
        <v>Not Requested</v>
      </c>
      <c r="C831">
        <f>SampleList[[#This Row],[Duration (Days)]]</f>
        <v>0</v>
      </c>
      <c r="D831">
        <f>SampleList[[#This Row],[Sample Description]]</f>
        <v>0</v>
      </c>
      <c r="N831">
        <f>SUM(NMRPrep[[#This Row],[d-DMSO (uL) ]:[ NH4Cl (uL)]])</f>
        <v>0</v>
      </c>
      <c r="O831">
        <f>647</f>
        <v>647</v>
      </c>
      <c r="P831">
        <f>NMRPrep[[#This Row],[Total (uL) ]]-NMRPrep[[#This Row],[Target (uL)]]</f>
        <v>-647</v>
      </c>
      <c r="R831" t="e">
        <f>(NMRPrep[[#This Row],[NH4Cl Stock Concentration (mM)]]*NMRPrep[[#This Row],[ NH4Cl (uL)]])/SUM(NMRPrep[[#This Row],[DI (uL) ]:[ NH4Cl (uL)]])</f>
        <v>#DIV/0!</v>
      </c>
    </row>
    <row r="832" spans="1:18" x14ac:dyDescent="0.25">
      <c r="A832" s="1">
        <f>SampleList[[#This Row],[Date Sampled]]</f>
        <v>0</v>
      </c>
      <c r="B832" t="str" cm="1">
        <f t="array" ref="B832">IF(ISBLANK(INDEX(SampleList[NMR],ROW()-1)),"Not Requested",INDEX(SampleList[Experiment ID],ROW()-1))</f>
        <v>Not Requested</v>
      </c>
      <c r="C832">
        <f>SampleList[[#This Row],[Duration (Days)]]</f>
        <v>0</v>
      </c>
      <c r="D832">
        <f>SampleList[[#This Row],[Sample Description]]</f>
        <v>0</v>
      </c>
      <c r="N832">
        <f>SUM(NMRPrep[[#This Row],[d-DMSO (uL) ]:[ NH4Cl (uL)]])</f>
        <v>0</v>
      </c>
      <c r="O832">
        <f>647</f>
        <v>647</v>
      </c>
      <c r="P832">
        <f>NMRPrep[[#This Row],[Total (uL) ]]-NMRPrep[[#This Row],[Target (uL)]]</f>
        <v>-647</v>
      </c>
      <c r="R832" t="e">
        <f>(NMRPrep[[#This Row],[NH4Cl Stock Concentration (mM)]]*NMRPrep[[#This Row],[ NH4Cl (uL)]])/SUM(NMRPrep[[#This Row],[DI (uL) ]:[ NH4Cl (uL)]])</f>
        <v>#DIV/0!</v>
      </c>
    </row>
    <row r="833" spans="1:18" x14ac:dyDescent="0.25">
      <c r="A833" s="1">
        <f>SampleList[[#This Row],[Date Sampled]]</f>
        <v>0</v>
      </c>
      <c r="B833" t="str" cm="1">
        <f t="array" ref="B833">IF(ISBLANK(INDEX(SampleList[NMR],ROW()-1)),"Not Requested",INDEX(SampleList[Experiment ID],ROW()-1))</f>
        <v>Not Requested</v>
      </c>
      <c r="C833">
        <f>SampleList[[#This Row],[Duration (Days)]]</f>
        <v>0</v>
      </c>
      <c r="D833">
        <f>SampleList[[#This Row],[Sample Description]]</f>
        <v>0</v>
      </c>
      <c r="N833">
        <f>SUM(NMRPrep[[#This Row],[d-DMSO (uL) ]:[ NH4Cl (uL)]])</f>
        <v>0</v>
      </c>
      <c r="O833">
        <f>647</f>
        <v>647</v>
      </c>
      <c r="P833">
        <f>NMRPrep[[#This Row],[Total (uL) ]]-NMRPrep[[#This Row],[Target (uL)]]</f>
        <v>-647</v>
      </c>
      <c r="R833" t="e">
        <f>(NMRPrep[[#This Row],[NH4Cl Stock Concentration (mM)]]*NMRPrep[[#This Row],[ NH4Cl (uL)]])/SUM(NMRPrep[[#This Row],[DI (uL) ]:[ NH4Cl (uL)]])</f>
        <v>#DIV/0!</v>
      </c>
    </row>
    <row r="834" spans="1:18" x14ac:dyDescent="0.25">
      <c r="A834" s="1">
        <f>SampleList[[#This Row],[Date Sampled]]</f>
        <v>0</v>
      </c>
      <c r="B834" t="str" cm="1">
        <f t="array" ref="B834">IF(ISBLANK(INDEX(SampleList[NMR],ROW()-1)),"Not Requested",INDEX(SampleList[Experiment ID],ROW()-1))</f>
        <v>Not Requested</v>
      </c>
      <c r="C834">
        <f>SampleList[[#This Row],[Duration (Days)]]</f>
        <v>0</v>
      </c>
      <c r="D834">
        <f>SampleList[[#This Row],[Sample Description]]</f>
        <v>0</v>
      </c>
      <c r="N834">
        <f>SUM(NMRPrep[[#This Row],[d-DMSO (uL) ]:[ NH4Cl (uL)]])</f>
        <v>0</v>
      </c>
      <c r="O834">
        <f>647</f>
        <v>647</v>
      </c>
      <c r="P834">
        <f>NMRPrep[[#This Row],[Total (uL) ]]-NMRPrep[[#This Row],[Target (uL)]]</f>
        <v>-647</v>
      </c>
      <c r="R834" t="e">
        <f>(NMRPrep[[#This Row],[NH4Cl Stock Concentration (mM)]]*NMRPrep[[#This Row],[ NH4Cl (uL)]])/SUM(NMRPrep[[#This Row],[DI (uL) ]:[ NH4Cl (uL)]])</f>
        <v>#DIV/0!</v>
      </c>
    </row>
    <row r="835" spans="1:18" x14ac:dyDescent="0.25">
      <c r="A835" s="1">
        <f>SampleList[[#This Row],[Date Sampled]]</f>
        <v>0</v>
      </c>
      <c r="B835" t="str" cm="1">
        <f t="array" ref="B835">IF(ISBLANK(INDEX(SampleList[NMR],ROW()-1)),"Not Requested",INDEX(SampleList[Experiment ID],ROW()-1))</f>
        <v>Not Requested</v>
      </c>
      <c r="C835">
        <f>SampleList[[#This Row],[Duration (Days)]]</f>
        <v>0</v>
      </c>
      <c r="D835">
        <f>SampleList[[#This Row],[Sample Description]]</f>
        <v>0</v>
      </c>
      <c r="N835">
        <f>SUM(NMRPrep[[#This Row],[d-DMSO (uL) ]:[ NH4Cl (uL)]])</f>
        <v>0</v>
      </c>
      <c r="O835">
        <f>647</f>
        <v>647</v>
      </c>
      <c r="P835">
        <f>NMRPrep[[#This Row],[Total (uL) ]]-NMRPrep[[#This Row],[Target (uL)]]</f>
        <v>-647</v>
      </c>
      <c r="R835" t="e">
        <f>(NMRPrep[[#This Row],[NH4Cl Stock Concentration (mM)]]*NMRPrep[[#This Row],[ NH4Cl (uL)]])/SUM(NMRPrep[[#This Row],[DI (uL) ]:[ NH4Cl (uL)]])</f>
        <v>#DIV/0!</v>
      </c>
    </row>
    <row r="836" spans="1:18" x14ac:dyDescent="0.25">
      <c r="A836" s="1">
        <f>SampleList[[#This Row],[Date Sampled]]</f>
        <v>0</v>
      </c>
      <c r="B836" t="str" cm="1">
        <f t="array" ref="B836">IF(ISBLANK(INDEX(SampleList[NMR],ROW()-1)),"Not Requested",INDEX(SampleList[Experiment ID],ROW()-1))</f>
        <v>Not Requested</v>
      </c>
      <c r="C836">
        <f>SampleList[[#This Row],[Duration (Days)]]</f>
        <v>0</v>
      </c>
      <c r="D836">
        <f>SampleList[[#This Row],[Sample Description]]</f>
        <v>0</v>
      </c>
      <c r="N836">
        <f>SUM(NMRPrep[[#This Row],[d-DMSO (uL) ]:[ NH4Cl (uL)]])</f>
        <v>0</v>
      </c>
      <c r="O836">
        <f>647</f>
        <v>647</v>
      </c>
      <c r="P836">
        <f>NMRPrep[[#This Row],[Total (uL) ]]-NMRPrep[[#This Row],[Target (uL)]]</f>
        <v>-647</v>
      </c>
      <c r="R836" t="e">
        <f>(NMRPrep[[#This Row],[NH4Cl Stock Concentration (mM)]]*NMRPrep[[#This Row],[ NH4Cl (uL)]])/SUM(NMRPrep[[#This Row],[DI (uL) ]:[ NH4Cl (uL)]])</f>
        <v>#DIV/0!</v>
      </c>
    </row>
    <row r="837" spans="1:18" x14ac:dyDescent="0.25">
      <c r="A837" s="1">
        <f>SampleList[[#This Row],[Date Sampled]]</f>
        <v>0</v>
      </c>
      <c r="B837" t="str" cm="1">
        <f t="array" ref="B837">IF(ISBLANK(INDEX(SampleList[NMR],ROW()-1)),"Not Requested",INDEX(SampleList[Experiment ID],ROW()-1))</f>
        <v>Not Requested</v>
      </c>
      <c r="C837">
        <f>SampleList[[#This Row],[Duration (Days)]]</f>
        <v>0</v>
      </c>
      <c r="D837">
        <f>SampleList[[#This Row],[Sample Description]]</f>
        <v>0</v>
      </c>
      <c r="N837">
        <f>SUM(NMRPrep[[#This Row],[d-DMSO (uL) ]:[ NH4Cl (uL)]])</f>
        <v>0</v>
      </c>
      <c r="O837">
        <f>647</f>
        <v>647</v>
      </c>
      <c r="P837">
        <f>NMRPrep[[#This Row],[Total (uL) ]]-NMRPrep[[#This Row],[Target (uL)]]</f>
        <v>-647</v>
      </c>
      <c r="R837" t="e">
        <f>(NMRPrep[[#This Row],[NH4Cl Stock Concentration (mM)]]*NMRPrep[[#This Row],[ NH4Cl (uL)]])/SUM(NMRPrep[[#This Row],[DI (uL) ]:[ NH4Cl (uL)]])</f>
        <v>#DIV/0!</v>
      </c>
    </row>
    <row r="838" spans="1:18" x14ac:dyDescent="0.25">
      <c r="A838" s="1">
        <f>SampleList[[#This Row],[Date Sampled]]</f>
        <v>0</v>
      </c>
      <c r="B838" t="str" cm="1">
        <f t="array" ref="B838">IF(ISBLANK(INDEX(SampleList[NMR],ROW()-1)),"Not Requested",INDEX(SampleList[Experiment ID],ROW()-1))</f>
        <v>Not Requested</v>
      </c>
      <c r="C838">
        <f>SampleList[[#This Row],[Duration (Days)]]</f>
        <v>0</v>
      </c>
      <c r="D838">
        <f>SampleList[[#This Row],[Sample Description]]</f>
        <v>0</v>
      </c>
      <c r="N838">
        <f>SUM(NMRPrep[[#This Row],[d-DMSO (uL) ]:[ NH4Cl (uL)]])</f>
        <v>0</v>
      </c>
      <c r="O838">
        <f>647</f>
        <v>647</v>
      </c>
      <c r="P838">
        <f>NMRPrep[[#This Row],[Total (uL) ]]-NMRPrep[[#This Row],[Target (uL)]]</f>
        <v>-647</v>
      </c>
      <c r="R838" t="e">
        <f>(NMRPrep[[#This Row],[NH4Cl Stock Concentration (mM)]]*NMRPrep[[#This Row],[ NH4Cl (uL)]])/SUM(NMRPrep[[#This Row],[DI (uL) ]:[ NH4Cl (uL)]])</f>
        <v>#DIV/0!</v>
      </c>
    </row>
    <row r="839" spans="1:18" x14ac:dyDescent="0.25">
      <c r="A839" s="1">
        <f>SampleList[[#This Row],[Date Sampled]]</f>
        <v>0</v>
      </c>
      <c r="B839" t="str" cm="1">
        <f t="array" ref="B839">IF(ISBLANK(INDEX(SampleList[NMR],ROW()-1)),"Not Requested",INDEX(SampleList[Experiment ID],ROW()-1))</f>
        <v>Not Requested</v>
      </c>
      <c r="C839">
        <f>SampleList[[#This Row],[Duration (Days)]]</f>
        <v>0</v>
      </c>
      <c r="D839">
        <f>SampleList[[#This Row],[Sample Description]]</f>
        <v>0</v>
      </c>
      <c r="N839">
        <f>SUM(NMRPrep[[#This Row],[d-DMSO (uL) ]:[ NH4Cl (uL)]])</f>
        <v>0</v>
      </c>
      <c r="O839">
        <f>647</f>
        <v>647</v>
      </c>
      <c r="P839">
        <f>NMRPrep[[#This Row],[Total (uL) ]]-NMRPrep[[#This Row],[Target (uL)]]</f>
        <v>-647</v>
      </c>
      <c r="R839" t="e">
        <f>(NMRPrep[[#This Row],[NH4Cl Stock Concentration (mM)]]*NMRPrep[[#This Row],[ NH4Cl (uL)]])/SUM(NMRPrep[[#This Row],[DI (uL) ]:[ NH4Cl (uL)]])</f>
        <v>#DIV/0!</v>
      </c>
    </row>
    <row r="840" spans="1:18" x14ac:dyDescent="0.25">
      <c r="A840" s="1">
        <f>SampleList[[#This Row],[Date Sampled]]</f>
        <v>0</v>
      </c>
      <c r="B840" t="str" cm="1">
        <f t="array" ref="B840">IF(ISBLANK(INDEX(SampleList[NMR],ROW()-1)),"Not Requested",INDEX(SampleList[Experiment ID],ROW()-1))</f>
        <v>Not Requested</v>
      </c>
      <c r="C840">
        <f>SampleList[[#This Row],[Duration (Days)]]</f>
        <v>0</v>
      </c>
      <c r="D840">
        <f>SampleList[[#This Row],[Sample Description]]</f>
        <v>0</v>
      </c>
      <c r="N840">
        <f>SUM(NMRPrep[[#This Row],[d-DMSO (uL) ]:[ NH4Cl (uL)]])</f>
        <v>0</v>
      </c>
      <c r="O840">
        <f>647</f>
        <v>647</v>
      </c>
      <c r="P840">
        <f>NMRPrep[[#This Row],[Total (uL) ]]-NMRPrep[[#This Row],[Target (uL)]]</f>
        <v>-647</v>
      </c>
      <c r="R840" t="e">
        <f>(NMRPrep[[#This Row],[NH4Cl Stock Concentration (mM)]]*NMRPrep[[#This Row],[ NH4Cl (uL)]])/SUM(NMRPrep[[#This Row],[DI (uL) ]:[ NH4Cl (uL)]])</f>
        <v>#DIV/0!</v>
      </c>
    </row>
    <row r="841" spans="1:18" x14ac:dyDescent="0.25">
      <c r="A841" s="1">
        <f>SampleList[[#This Row],[Date Sampled]]</f>
        <v>0</v>
      </c>
      <c r="B841" t="str" cm="1">
        <f t="array" ref="B841">IF(ISBLANK(INDEX(SampleList[NMR],ROW()-1)),"Not Requested",INDEX(SampleList[Experiment ID],ROW()-1))</f>
        <v>Not Requested</v>
      </c>
      <c r="C841">
        <f>SampleList[[#This Row],[Duration (Days)]]</f>
        <v>0</v>
      </c>
      <c r="D841">
        <f>SampleList[[#This Row],[Sample Description]]</f>
        <v>0</v>
      </c>
      <c r="N841">
        <f>SUM(NMRPrep[[#This Row],[d-DMSO (uL) ]:[ NH4Cl (uL)]])</f>
        <v>0</v>
      </c>
      <c r="O841">
        <f>647</f>
        <v>647</v>
      </c>
      <c r="P841">
        <f>NMRPrep[[#This Row],[Total (uL) ]]-NMRPrep[[#This Row],[Target (uL)]]</f>
        <v>-647</v>
      </c>
      <c r="R841" t="e">
        <f>(NMRPrep[[#This Row],[NH4Cl Stock Concentration (mM)]]*NMRPrep[[#This Row],[ NH4Cl (uL)]])/SUM(NMRPrep[[#This Row],[DI (uL) ]:[ NH4Cl (uL)]])</f>
        <v>#DIV/0!</v>
      </c>
    </row>
    <row r="842" spans="1:18" x14ac:dyDescent="0.25">
      <c r="A842" s="1">
        <f>SampleList[[#This Row],[Date Sampled]]</f>
        <v>0</v>
      </c>
      <c r="B842" t="str" cm="1">
        <f t="array" ref="B842">IF(ISBLANK(INDEX(SampleList[NMR],ROW()-1)),"Not Requested",INDEX(SampleList[Experiment ID],ROW()-1))</f>
        <v>Not Requested</v>
      </c>
      <c r="C842">
        <f>SampleList[[#This Row],[Duration (Days)]]</f>
        <v>0</v>
      </c>
      <c r="D842">
        <f>SampleList[[#This Row],[Sample Description]]</f>
        <v>0</v>
      </c>
      <c r="N842">
        <f>SUM(NMRPrep[[#This Row],[d-DMSO (uL) ]:[ NH4Cl (uL)]])</f>
        <v>0</v>
      </c>
      <c r="O842">
        <f>647</f>
        <v>647</v>
      </c>
      <c r="P842">
        <f>NMRPrep[[#This Row],[Total (uL) ]]-NMRPrep[[#This Row],[Target (uL)]]</f>
        <v>-647</v>
      </c>
      <c r="R842" t="e">
        <f>(NMRPrep[[#This Row],[NH4Cl Stock Concentration (mM)]]*NMRPrep[[#This Row],[ NH4Cl (uL)]])/SUM(NMRPrep[[#This Row],[DI (uL) ]:[ NH4Cl (uL)]])</f>
        <v>#DIV/0!</v>
      </c>
    </row>
    <row r="843" spans="1:18" x14ac:dyDescent="0.25">
      <c r="A843" s="1">
        <f>SampleList[[#This Row],[Date Sampled]]</f>
        <v>0</v>
      </c>
      <c r="B843" t="str" cm="1">
        <f t="array" ref="B843">IF(ISBLANK(INDEX(SampleList[NMR],ROW()-1)),"Not Requested",INDEX(SampleList[Experiment ID],ROW()-1))</f>
        <v>Not Requested</v>
      </c>
      <c r="C843">
        <f>SampleList[[#This Row],[Duration (Days)]]</f>
        <v>0</v>
      </c>
      <c r="D843">
        <f>SampleList[[#This Row],[Sample Description]]</f>
        <v>0</v>
      </c>
      <c r="N843">
        <f>SUM(NMRPrep[[#This Row],[d-DMSO (uL) ]:[ NH4Cl (uL)]])</f>
        <v>0</v>
      </c>
      <c r="O843">
        <f>647</f>
        <v>647</v>
      </c>
      <c r="P843">
        <f>NMRPrep[[#This Row],[Total (uL) ]]-NMRPrep[[#This Row],[Target (uL)]]</f>
        <v>-647</v>
      </c>
      <c r="R843" t="e">
        <f>(NMRPrep[[#This Row],[NH4Cl Stock Concentration (mM)]]*NMRPrep[[#This Row],[ NH4Cl (uL)]])/SUM(NMRPrep[[#This Row],[DI (uL) ]:[ NH4Cl (uL)]])</f>
        <v>#DIV/0!</v>
      </c>
    </row>
    <row r="844" spans="1:18" x14ac:dyDescent="0.25">
      <c r="A844" s="1">
        <f>SampleList[[#This Row],[Date Sampled]]</f>
        <v>0</v>
      </c>
      <c r="B844" t="str" cm="1">
        <f t="array" ref="B844">IF(ISBLANK(INDEX(SampleList[NMR],ROW()-1)),"Not Requested",INDEX(SampleList[Experiment ID],ROW()-1))</f>
        <v>Not Requested</v>
      </c>
      <c r="C844">
        <f>SampleList[[#This Row],[Duration (Days)]]</f>
        <v>0</v>
      </c>
      <c r="D844">
        <f>SampleList[[#This Row],[Sample Description]]</f>
        <v>0</v>
      </c>
      <c r="N844">
        <f>SUM(NMRPrep[[#This Row],[d-DMSO (uL) ]:[ NH4Cl (uL)]])</f>
        <v>0</v>
      </c>
      <c r="O844">
        <f>647</f>
        <v>647</v>
      </c>
      <c r="P844">
        <f>NMRPrep[[#This Row],[Total (uL) ]]-NMRPrep[[#This Row],[Target (uL)]]</f>
        <v>-647</v>
      </c>
      <c r="R844" t="e">
        <f>(NMRPrep[[#This Row],[NH4Cl Stock Concentration (mM)]]*NMRPrep[[#This Row],[ NH4Cl (uL)]])/SUM(NMRPrep[[#This Row],[DI (uL) ]:[ NH4Cl (uL)]])</f>
        <v>#DIV/0!</v>
      </c>
    </row>
    <row r="845" spans="1:18" x14ac:dyDescent="0.25">
      <c r="A845" s="1">
        <f>SampleList[[#This Row],[Date Sampled]]</f>
        <v>0</v>
      </c>
      <c r="B845" t="str" cm="1">
        <f t="array" ref="B845">IF(ISBLANK(INDEX(SampleList[NMR],ROW()-1)),"Not Requested",INDEX(SampleList[Experiment ID],ROW()-1))</f>
        <v>Not Requested</v>
      </c>
      <c r="C845">
        <f>SampleList[[#This Row],[Duration (Days)]]</f>
        <v>0</v>
      </c>
      <c r="D845">
        <f>SampleList[[#This Row],[Sample Description]]</f>
        <v>0</v>
      </c>
      <c r="N845">
        <f>SUM(NMRPrep[[#This Row],[d-DMSO (uL) ]:[ NH4Cl (uL)]])</f>
        <v>0</v>
      </c>
      <c r="O845">
        <f>647</f>
        <v>647</v>
      </c>
      <c r="P845">
        <f>NMRPrep[[#This Row],[Total (uL) ]]-NMRPrep[[#This Row],[Target (uL)]]</f>
        <v>-647</v>
      </c>
      <c r="R845" t="e">
        <f>(NMRPrep[[#This Row],[NH4Cl Stock Concentration (mM)]]*NMRPrep[[#This Row],[ NH4Cl (uL)]])/SUM(NMRPrep[[#This Row],[DI (uL) ]:[ NH4Cl (uL)]])</f>
        <v>#DIV/0!</v>
      </c>
    </row>
    <row r="846" spans="1:18" x14ac:dyDescent="0.25">
      <c r="A846" s="1">
        <f>SampleList[[#This Row],[Date Sampled]]</f>
        <v>0</v>
      </c>
      <c r="B846" t="str" cm="1">
        <f t="array" ref="B846">IF(ISBLANK(INDEX(SampleList[NMR],ROW()-1)),"Not Requested",INDEX(SampleList[Experiment ID],ROW()-1))</f>
        <v>Not Requested</v>
      </c>
      <c r="C846">
        <f>SampleList[[#This Row],[Duration (Days)]]</f>
        <v>0</v>
      </c>
      <c r="D846">
        <f>SampleList[[#This Row],[Sample Description]]</f>
        <v>0</v>
      </c>
      <c r="N846">
        <f>SUM(NMRPrep[[#This Row],[d-DMSO (uL) ]:[ NH4Cl (uL)]])</f>
        <v>0</v>
      </c>
      <c r="O846">
        <f>647</f>
        <v>647</v>
      </c>
      <c r="P846">
        <f>NMRPrep[[#This Row],[Total (uL) ]]-NMRPrep[[#This Row],[Target (uL)]]</f>
        <v>-647</v>
      </c>
      <c r="R846" t="e">
        <f>(NMRPrep[[#This Row],[NH4Cl Stock Concentration (mM)]]*NMRPrep[[#This Row],[ NH4Cl (uL)]])/SUM(NMRPrep[[#This Row],[DI (uL) ]:[ NH4Cl (uL)]])</f>
        <v>#DIV/0!</v>
      </c>
    </row>
    <row r="847" spans="1:18" x14ac:dyDescent="0.25">
      <c r="A847" s="1">
        <f>SampleList[[#This Row],[Date Sampled]]</f>
        <v>0</v>
      </c>
      <c r="B847" t="str" cm="1">
        <f t="array" ref="B847">IF(ISBLANK(INDEX(SampleList[NMR],ROW()-1)),"Not Requested",INDEX(SampleList[Experiment ID],ROW()-1))</f>
        <v>Not Requested</v>
      </c>
      <c r="C847">
        <f>SampleList[[#This Row],[Duration (Days)]]</f>
        <v>0</v>
      </c>
      <c r="D847">
        <f>SampleList[[#This Row],[Sample Description]]</f>
        <v>0</v>
      </c>
      <c r="N847">
        <f>SUM(NMRPrep[[#This Row],[d-DMSO (uL) ]:[ NH4Cl (uL)]])</f>
        <v>0</v>
      </c>
      <c r="O847">
        <f>647</f>
        <v>647</v>
      </c>
      <c r="P847">
        <f>NMRPrep[[#This Row],[Total (uL) ]]-NMRPrep[[#This Row],[Target (uL)]]</f>
        <v>-647</v>
      </c>
      <c r="R847" t="e">
        <f>(NMRPrep[[#This Row],[NH4Cl Stock Concentration (mM)]]*NMRPrep[[#This Row],[ NH4Cl (uL)]])/SUM(NMRPrep[[#This Row],[DI (uL) ]:[ NH4Cl (uL)]])</f>
        <v>#DIV/0!</v>
      </c>
    </row>
    <row r="848" spans="1:18" x14ac:dyDescent="0.25">
      <c r="A848" s="1">
        <f>SampleList[[#This Row],[Date Sampled]]</f>
        <v>0</v>
      </c>
      <c r="B848" t="str" cm="1">
        <f t="array" ref="B848">IF(ISBLANK(INDEX(SampleList[NMR],ROW()-1)),"Not Requested",INDEX(SampleList[Experiment ID],ROW()-1))</f>
        <v>Not Requested</v>
      </c>
      <c r="C848">
        <f>SampleList[[#This Row],[Duration (Days)]]</f>
        <v>0</v>
      </c>
      <c r="D848">
        <f>SampleList[[#This Row],[Sample Description]]</f>
        <v>0</v>
      </c>
      <c r="N848">
        <f>SUM(NMRPrep[[#This Row],[d-DMSO (uL) ]:[ NH4Cl (uL)]])</f>
        <v>0</v>
      </c>
      <c r="O848">
        <f>647</f>
        <v>647</v>
      </c>
      <c r="P848">
        <f>NMRPrep[[#This Row],[Total (uL) ]]-NMRPrep[[#This Row],[Target (uL)]]</f>
        <v>-647</v>
      </c>
      <c r="R848" t="e">
        <f>(NMRPrep[[#This Row],[NH4Cl Stock Concentration (mM)]]*NMRPrep[[#This Row],[ NH4Cl (uL)]])/SUM(NMRPrep[[#This Row],[DI (uL) ]:[ NH4Cl (uL)]])</f>
        <v>#DIV/0!</v>
      </c>
    </row>
    <row r="849" spans="1:18" x14ac:dyDescent="0.25">
      <c r="A849" s="1">
        <f>SampleList[[#This Row],[Date Sampled]]</f>
        <v>0</v>
      </c>
      <c r="B849" t="str" cm="1">
        <f t="array" ref="B849">IF(ISBLANK(INDEX(SampleList[NMR],ROW()-1)),"Not Requested",INDEX(SampleList[Experiment ID],ROW()-1))</f>
        <v>Not Requested</v>
      </c>
      <c r="C849">
        <f>SampleList[[#This Row],[Duration (Days)]]</f>
        <v>0</v>
      </c>
      <c r="D849">
        <f>SampleList[[#This Row],[Sample Description]]</f>
        <v>0</v>
      </c>
      <c r="N849">
        <f>SUM(NMRPrep[[#This Row],[d-DMSO (uL) ]:[ NH4Cl (uL)]])</f>
        <v>0</v>
      </c>
      <c r="O849">
        <f>647</f>
        <v>647</v>
      </c>
      <c r="P849">
        <f>NMRPrep[[#This Row],[Total (uL) ]]-NMRPrep[[#This Row],[Target (uL)]]</f>
        <v>-647</v>
      </c>
      <c r="R849" t="e">
        <f>(NMRPrep[[#This Row],[NH4Cl Stock Concentration (mM)]]*NMRPrep[[#This Row],[ NH4Cl (uL)]])/SUM(NMRPrep[[#This Row],[DI (uL) ]:[ NH4Cl (uL)]])</f>
        <v>#DIV/0!</v>
      </c>
    </row>
    <row r="850" spans="1:18" x14ac:dyDescent="0.25">
      <c r="A850" s="1">
        <f>SampleList[[#This Row],[Date Sampled]]</f>
        <v>0</v>
      </c>
      <c r="B850" t="str" cm="1">
        <f t="array" ref="B850">IF(ISBLANK(INDEX(SampleList[NMR],ROW()-1)),"Not Requested",INDEX(SampleList[Experiment ID],ROW()-1))</f>
        <v>Not Requested</v>
      </c>
      <c r="C850">
        <f>SampleList[[#This Row],[Duration (Days)]]</f>
        <v>0</v>
      </c>
      <c r="D850">
        <f>SampleList[[#This Row],[Sample Description]]</f>
        <v>0</v>
      </c>
      <c r="N850">
        <f>SUM(NMRPrep[[#This Row],[d-DMSO (uL) ]:[ NH4Cl (uL)]])</f>
        <v>0</v>
      </c>
      <c r="O850">
        <f>647</f>
        <v>647</v>
      </c>
      <c r="P850">
        <f>NMRPrep[[#This Row],[Total (uL) ]]-NMRPrep[[#This Row],[Target (uL)]]</f>
        <v>-647</v>
      </c>
      <c r="R850" t="e">
        <f>(NMRPrep[[#This Row],[NH4Cl Stock Concentration (mM)]]*NMRPrep[[#This Row],[ NH4Cl (uL)]])/SUM(NMRPrep[[#This Row],[DI (uL) ]:[ NH4Cl (uL)]])</f>
        <v>#DIV/0!</v>
      </c>
    </row>
    <row r="851" spans="1:18" x14ac:dyDescent="0.25">
      <c r="A851" s="1">
        <f>SampleList[[#This Row],[Date Sampled]]</f>
        <v>0</v>
      </c>
      <c r="B851" t="str" cm="1">
        <f t="array" ref="B851">IF(ISBLANK(INDEX(SampleList[NMR],ROW()-1)),"Not Requested",INDEX(SampleList[Experiment ID],ROW()-1))</f>
        <v>Not Requested</v>
      </c>
      <c r="C851">
        <f>SampleList[[#This Row],[Duration (Days)]]</f>
        <v>0</v>
      </c>
      <c r="D851">
        <f>SampleList[[#This Row],[Sample Description]]</f>
        <v>0</v>
      </c>
      <c r="N851">
        <f>SUM(NMRPrep[[#This Row],[d-DMSO (uL) ]:[ NH4Cl (uL)]])</f>
        <v>0</v>
      </c>
      <c r="O851">
        <f>647</f>
        <v>647</v>
      </c>
      <c r="P851">
        <f>NMRPrep[[#This Row],[Total (uL) ]]-NMRPrep[[#This Row],[Target (uL)]]</f>
        <v>-647</v>
      </c>
      <c r="R851" t="e">
        <f>(NMRPrep[[#This Row],[NH4Cl Stock Concentration (mM)]]*NMRPrep[[#This Row],[ NH4Cl (uL)]])/SUM(NMRPrep[[#This Row],[DI (uL) ]:[ NH4Cl (uL)]])</f>
        <v>#DIV/0!</v>
      </c>
    </row>
    <row r="852" spans="1:18" x14ac:dyDescent="0.25">
      <c r="A852" s="1">
        <f>SampleList[[#This Row],[Date Sampled]]</f>
        <v>0</v>
      </c>
      <c r="B852" t="str" cm="1">
        <f t="array" ref="B852">IF(ISBLANK(INDEX(SampleList[NMR],ROW()-1)),"Not Requested",INDEX(SampleList[Experiment ID],ROW()-1))</f>
        <v>Not Requested</v>
      </c>
      <c r="C852">
        <f>SampleList[[#This Row],[Duration (Days)]]</f>
        <v>0</v>
      </c>
      <c r="D852">
        <f>SampleList[[#This Row],[Sample Description]]</f>
        <v>0</v>
      </c>
      <c r="N852">
        <f>SUM(NMRPrep[[#This Row],[d-DMSO (uL) ]:[ NH4Cl (uL)]])</f>
        <v>0</v>
      </c>
      <c r="O852">
        <f>647</f>
        <v>647</v>
      </c>
      <c r="P852">
        <f>NMRPrep[[#This Row],[Total (uL) ]]-NMRPrep[[#This Row],[Target (uL)]]</f>
        <v>-647</v>
      </c>
      <c r="R852" t="e">
        <f>(NMRPrep[[#This Row],[NH4Cl Stock Concentration (mM)]]*NMRPrep[[#This Row],[ NH4Cl (uL)]])/SUM(NMRPrep[[#This Row],[DI (uL) ]:[ NH4Cl (uL)]])</f>
        <v>#DIV/0!</v>
      </c>
    </row>
    <row r="853" spans="1:18" x14ac:dyDescent="0.25">
      <c r="A853" s="1">
        <f>SampleList[[#This Row],[Date Sampled]]</f>
        <v>0</v>
      </c>
      <c r="B853" t="str" cm="1">
        <f t="array" ref="B853">IF(ISBLANK(INDEX(SampleList[NMR],ROW()-1)),"Not Requested",INDEX(SampleList[Experiment ID],ROW()-1))</f>
        <v>Not Requested</v>
      </c>
      <c r="C853">
        <f>SampleList[[#This Row],[Duration (Days)]]</f>
        <v>0</v>
      </c>
      <c r="D853">
        <f>SampleList[[#This Row],[Sample Description]]</f>
        <v>0</v>
      </c>
      <c r="N853">
        <f>SUM(NMRPrep[[#This Row],[d-DMSO (uL) ]:[ NH4Cl (uL)]])</f>
        <v>0</v>
      </c>
      <c r="O853">
        <f>647</f>
        <v>647</v>
      </c>
      <c r="P853">
        <f>NMRPrep[[#This Row],[Total (uL) ]]-NMRPrep[[#This Row],[Target (uL)]]</f>
        <v>-647</v>
      </c>
      <c r="R853" t="e">
        <f>(NMRPrep[[#This Row],[NH4Cl Stock Concentration (mM)]]*NMRPrep[[#This Row],[ NH4Cl (uL)]])/SUM(NMRPrep[[#This Row],[DI (uL) ]:[ NH4Cl (uL)]])</f>
        <v>#DIV/0!</v>
      </c>
    </row>
    <row r="854" spans="1:18" x14ac:dyDescent="0.25">
      <c r="A854" s="1">
        <f>SampleList[[#This Row],[Date Sampled]]</f>
        <v>0</v>
      </c>
      <c r="B854" t="str" cm="1">
        <f t="array" ref="B854">IF(ISBLANK(INDEX(SampleList[NMR],ROW()-1)),"Not Requested",INDEX(SampleList[Experiment ID],ROW()-1))</f>
        <v>Not Requested</v>
      </c>
      <c r="C854">
        <f>SampleList[[#This Row],[Duration (Days)]]</f>
        <v>0</v>
      </c>
      <c r="D854">
        <f>SampleList[[#This Row],[Sample Description]]</f>
        <v>0</v>
      </c>
      <c r="N854">
        <f>SUM(NMRPrep[[#This Row],[d-DMSO (uL) ]:[ NH4Cl (uL)]])</f>
        <v>0</v>
      </c>
      <c r="O854">
        <f>647</f>
        <v>647</v>
      </c>
      <c r="P854">
        <f>NMRPrep[[#This Row],[Total (uL) ]]-NMRPrep[[#This Row],[Target (uL)]]</f>
        <v>-647</v>
      </c>
      <c r="R854" t="e">
        <f>(NMRPrep[[#This Row],[NH4Cl Stock Concentration (mM)]]*NMRPrep[[#This Row],[ NH4Cl (uL)]])/SUM(NMRPrep[[#This Row],[DI (uL) ]:[ NH4Cl (uL)]])</f>
        <v>#DIV/0!</v>
      </c>
    </row>
    <row r="855" spans="1:18" x14ac:dyDescent="0.25">
      <c r="A855" s="1">
        <f>SampleList[[#This Row],[Date Sampled]]</f>
        <v>0</v>
      </c>
      <c r="B855" t="str" cm="1">
        <f t="array" ref="B855">IF(ISBLANK(INDEX(SampleList[NMR],ROW()-1)),"Not Requested",INDEX(SampleList[Experiment ID],ROW()-1))</f>
        <v>Not Requested</v>
      </c>
      <c r="C855">
        <f>SampleList[[#This Row],[Duration (Days)]]</f>
        <v>0</v>
      </c>
      <c r="D855">
        <f>SampleList[[#This Row],[Sample Description]]</f>
        <v>0</v>
      </c>
      <c r="N855">
        <f>SUM(NMRPrep[[#This Row],[d-DMSO (uL) ]:[ NH4Cl (uL)]])</f>
        <v>0</v>
      </c>
      <c r="O855">
        <f>647</f>
        <v>647</v>
      </c>
      <c r="P855">
        <f>NMRPrep[[#This Row],[Total (uL) ]]-NMRPrep[[#This Row],[Target (uL)]]</f>
        <v>-647</v>
      </c>
      <c r="R855" t="e">
        <f>(NMRPrep[[#This Row],[NH4Cl Stock Concentration (mM)]]*NMRPrep[[#This Row],[ NH4Cl (uL)]])/SUM(NMRPrep[[#This Row],[DI (uL) ]:[ NH4Cl (uL)]])</f>
        <v>#DIV/0!</v>
      </c>
    </row>
    <row r="856" spans="1:18" x14ac:dyDescent="0.25">
      <c r="A856" s="1">
        <f>SampleList[[#This Row],[Date Sampled]]</f>
        <v>0</v>
      </c>
      <c r="B856" t="str" cm="1">
        <f t="array" ref="B856">IF(ISBLANK(INDEX(SampleList[NMR],ROW()-1)),"Not Requested",INDEX(SampleList[Experiment ID],ROW()-1))</f>
        <v>Not Requested</v>
      </c>
      <c r="C856">
        <f>SampleList[[#This Row],[Duration (Days)]]</f>
        <v>0</v>
      </c>
      <c r="D856">
        <f>SampleList[[#This Row],[Sample Description]]</f>
        <v>0</v>
      </c>
      <c r="N856">
        <f>SUM(NMRPrep[[#This Row],[d-DMSO (uL) ]:[ NH4Cl (uL)]])</f>
        <v>0</v>
      </c>
      <c r="O856">
        <f>647</f>
        <v>647</v>
      </c>
      <c r="P856">
        <f>NMRPrep[[#This Row],[Total (uL) ]]-NMRPrep[[#This Row],[Target (uL)]]</f>
        <v>-647</v>
      </c>
      <c r="R856" t="e">
        <f>(NMRPrep[[#This Row],[NH4Cl Stock Concentration (mM)]]*NMRPrep[[#This Row],[ NH4Cl (uL)]])/SUM(NMRPrep[[#This Row],[DI (uL) ]:[ NH4Cl (uL)]])</f>
        <v>#DIV/0!</v>
      </c>
    </row>
    <row r="857" spans="1:18" x14ac:dyDescent="0.25">
      <c r="A857" s="1">
        <f>SampleList[[#This Row],[Date Sampled]]</f>
        <v>0</v>
      </c>
      <c r="B857" t="str" cm="1">
        <f t="array" ref="B857">IF(ISBLANK(INDEX(SampleList[NMR],ROW()-1)),"Not Requested",INDEX(SampleList[Experiment ID],ROW()-1))</f>
        <v>Not Requested</v>
      </c>
      <c r="C857">
        <f>SampleList[[#This Row],[Duration (Days)]]</f>
        <v>0</v>
      </c>
      <c r="D857">
        <f>SampleList[[#This Row],[Sample Description]]</f>
        <v>0</v>
      </c>
      <c r="N857">
        <f>SUM(NMRPrep[[#This Row],[d-DMSO (uL) ]:[ NH4Cl (uL)]])</f>
        <v>0</v>
      </c>
      <c r="O857">
        <f>647</f>
        <v>647</v>
      </c>
      <c r="P857">
        <f>NMRPrep[[#This Row],[Total (uL) ]]-NMRPrep[[#This Row],[Target (uL)]]</f>
        <v>-647</v>
      </c>
      <c r="R857" t="e">
        <f>(NMRPrep[[#This Row],[NH4Cl Stock Concentration (mM)]]*NMRPrep[[#This Row],[ NH4Cl (uL)]])/SUM(NMRPrep[[#This Row],[DI (uL) ]:[ NH4Cl (uL)]])</f>
        <v>#DIV/0!</v>
      </c>
    </row>
    <row r="858" spans="1:18" x14ac:dyDescent="0.25">
      <c r="A858" s="1">
        <f>SampleList[[#This Row],[Date Sampled]]</f>
        <v>0</v>
      </c>
      <c r="B858" t="str" cm="1">
        <f t="array" ref="B858">IF(ISBLANK(INDEX(SampleList[NMR],ROW()-1)),"Not Requested",INDEX(SampleList[Experiment ID],ROW()-1))</f>
        <v>Not Requested</v>
      </c>
      <c r="C858">
        <f>SampleList[[#This Row],[Duration (Days)]]</f>
        <v>0</v>
      </c>
      <c r="D858">
        <f>SampleList[[#This Row],[Sample Description]]</f>
        <v>0</v>
      </c>
      <c r="N858">
        <f>SUM(NMRPrep[[#This Row],[d-DMSO (uL) ]:[ NH4Cl (uL)]])</f>
        <v>0</v>
      </c>
      <c r="O858">
        <f>647</f>
        <v>647</v>
      </c>
      <c r="P858">
        <f>NMRPrep[[#This Row],[Total (uL) ]]-NMRPrep[[#This Row],[Target (uL)]]</f>
        <v>-647</v>
      </c>
      <c r="R858" t="e">
        <f>(NMRPrep[[#This Row],[NH4Cl Stock Concentration (mM)]]*NMRPrep[[#This Row],[ NH4Cl (uL)]])/SUM(NMRPrep[[#This Row],[DI (uL) ]:[ NH4Cl (uL)]])</f>
        <v>#DIV/0!</v>
      </c>
    </row>
    <row r="859" spans="1:18" x14ac:dyDescent="0.25">
      <c r="A859" s="1">
        <f>SampleList[[#This Row],[Date Sampled]]</f>
        <v>0</v>
      </c>
      <c r="B859" t="str" cm="1">
        <f t="array" ref="B859">IF(ISBLANK(INDEX(SampleList[NMR],ROW()-1)),"Not Requested",INDEX(SampleList[Experiment ID],ROW()-1))</f>
        <v>Not Requested</v>
      </c>
      <c r="C859">
        <f>SampleList[[#This Row],[Duration (Days)]]</f>
        <v>0</v>
      </c>
      <c r="D859">
        <f>SampleList[[#This Row],[Sample Description]]</f>
        <v>0</v>
      </c>
      <c r="E859">
        <v>1</v>
      </c>
      <c r="F859">
        <v>100</v>
      </c>
      <c r="G859">
        <v>24</v>
      </c>
      <c r="H859">
        <v>50</v>
      </c>
      <c r="I859">
        <v>30</v>
      </c>
      <c r="J859">
        <v>375</v>
      </c>
      <c r="K859">
        <v>68</v>
      </c>
      <c r="N859">
        <f>SUM(NMRPrep[[#This Row],[d-DMSO (uL) ]:[ NH4Cl (uL)]])</f>
        <v>647</v>
      </c>
      <c r="O859">
        <f>647</f>
        <v>647</v>
      </c>
      <c r="P859">
        <f>NMRPrep[[#This Row],[Total (uL) ]]-NMRPrep[[#This Row],[Target (uL)]]</f>
        <v>0</v>
      </c>
      <c r="R859">
        <f>(NMRPrep[[#This Row],[NH4Cl Stock Concentration (mM)]]*NMRPrep[[#This Row],[ NH4Cl (uL)]])/SUM(NMRPrep[[#This Row],[DI (uL) ]:[ NH4Cl (uL)]])</f>
        <v>0</v>
      </c>
    </row>
    <row r="860" spans="1:18" x14ac:dyDescent="0.25">
      <c r="A860" s="1">
        <f>SampleList[[#This Row],[Date Sampled]]</f>
        <v>0</v>
      </c>
      <c r="B860" t="str" cm="1">
        <f t="array" ref="B860">IF(ISBLANK(INDEX(SampleList[NMR],ROW()-1)),"Not Requested",INDEX(SampleList[Experiment ID],ROW()-1))</f>
        <v>Not Requested</v>
      </c>
      <c r="C860">
        <f>SampleList[[#This Row],[Duration (Days)]]</f>
        <v>0</v>
      </c>
      <c r="D860">
        <f>SampleList[[#This Row],[Sample Description]]</f>
        <v>0</v>
      </c>
      <c r="E860">
        <v>2</v>
      </c>
      <c r="F860">
        <v>100</v>
      </c>
      <c r="G860">
        <v>24</v>
      </c>
      <c r="H860">
        <v>50</v>
      </c>
      <c r="I860">
        <v>30</v>
      </c>
      <c r="J860">
        <v>375</v>
      </c>
      <c r="K860">
        <v>68</v>
      </c>
      <c r="N860">
        <f>SUM(NMRPrep[[#This Row],[d-DMSO (uL) ]:[ NH4Cl (uL)]])</f>
        <v>647</v>
      </c>
      <c r="O860">
        <f>647</f>
        <v>647</v>
      </c>
      <c r="P860">
        <f>NMRPrep[[#This Row],[Total (uL) ]]-NMRPrep[[#This Row],[Target (uL)]]</f>
        <v>0</v>
      </c>
      <c r="R860">
        <f>(NMRPrep[[#This Row],[NH4Cl Stock Concentration (mM)]]*NMRPrep[[#This Row],[ NH4Cl (uL)]])/SUM(NMRPrep[[#This Row],[DI (uL) ]:[ NH4Cl (uL)]])</f>
        <v>0</v>
      </c>
    </row>
    <row r="861" spans="1:18" x14ac:dyDescent="0.25">
      <c r="A861" s="1">
        <f>SampleList[[#This Row],[Date Sampled]]</f>
        <v>0</v>
      </c>
      <c r="B861" t="str" cm="1">
        <f t="array" ref="B861">IF(ISBLANK(INDEX(SampleList[NMR],ROW()-1)),"Not Requested",INDEX(SampleList[Experiment ID],ROW()-1))</f>
        <v>Not Requested</v>
      </c>
      <c r="C861">
        <f>SampleList[[#This Row],[Duration (Days)]]</f>
        <v>0</v>
      </c>
      <c r="D861">
        <f>SampleList[[#This Row],[Sample Description]]</f>
        <v>0</v>
      </c>
      <c r="E861">
        <v>3</v>
      </c>
      <c r="F861">
        <v>100</v>
      </c>
      <c r="G861">
        <v>24</v>
      </c>
      <c r="H861">
        <v>50</v>
      </c>
      <c r="I861">
        <v>30</v>
      </c>
      <c r="J861">
        <v>375</v>
      </c>
      <c r="K861">
        <v>68</v>
      </c>
      <c r="N861">
        <f>SUM(NMRPrep[[#This Row],[d-DMSO (uL) ]:[ NH4Cl (uL)]])</f>
        <v>647</v>
      </c>
      <c r="O861">
        <f>647</f>
        <v>647</v>
      </c>
      <c r="P861">
        <f>NMRPrep[[#This Row],[Total (uL) ]]-NMRPrep[[#This Row],[Target (uL)]]</f>
        <v>0</v>
      </c>
      <c r="R861">
        <f>(NMRPrep[[#This Row],[NH4Cl Stock Concentration (mM)]]*NMRPrep[[#This Row],[ NH4Cl (uL)]])/SUM(NMRPrep[[#This Row],[DI (uL) ]:[ NH4Cl (uL)]])</f>
        <v>0</v>
      </c>
    </row>
    <row r="862" spans="1:18" x14ac:dyDescent="0.25">
      <c r="A862" s="1">
        <f>SampleList[[#This Row],[Date Sampled]]</f>
        <v>0</v>
      </c>
      <c r="B862" t="str" cm="1">
        <f t="array" ref="B862">IF(ISBLANK(INDEX(SampleList[NMR],ROW()-1)),"Not Requested",INDEX(SampleList[Experiment ID],ROW()-1))</f>
        <v>Not Requested</v>
      </c>
      <c r="C862">
        <f>SampleList[[#This Row],[Duration (Days)]]</f>
        <v>0</v>
      </c>
      <c r="D862">
        <f>SampleList[[#This Row],[Sample Description]]</f>
        <v>0</v>
      </c>
      <c r="E862">
        <v>4</v>
      </c>
      <c r="F862">
        <v>100</v>
      </c>
      <c r="G862">
        <v>24</v>
      </c>
      <c r="H862">
        <v>50</v>
      </c>
      <c r="I862">
        <v>30</v>
      </c>
      <c r="J862">
        <v>375</v>
      </c>
      <c r="K862">
        <v>68</v>
      </c>
      <c r="N862">
        <f>SUM(NMRPrep[[#This Row],[d-DMSO (uL) ]:[ NH4Cl (uL)]])</f>
        <v>647</v>
      </c>
      <c r="O862">
        <f>647</f>
        <v>647</v>
      </c>
      <c r="P862">
        <f>NMRPrep[[#This Row],[Total (uL) ]]-NMRPrep[[#This Row],[Target (uL)]]</f>
        <v>0</v>
      </c>
      <c r="R862">
        <f>(NMRPrep[[#This Row],[NH4Cl Stock Concentration (mM)]]*NMRPrep[[#This Row],[ NH4Cl (uL)]])/SUM(NMRPrep[[#This Row],[DI (uL) ]:[ NH4Cl (uL)]])</f>
        <v>0</v>
      </c>
    </row>
    <row r="863" spans="1:18" x14ac:dyDescent="0.25">
      <c r="A863" s="1">
        <f>SampleList[[#This Row],[Date Sampled]]</f>
        <v>0</v>
      </c>
      <c r="B863" t="str" cm="1">
        <f t="array" ref="B863">IF(ISBLANK(INDEX(SampleList[NMR],ROW()-1)),"Not Requested",INDEX(SampleList[Experiment ID],ROW()-1))</f>
        <v>Not Requested</v>
      </c>
      <c r="C863">
        <f>SampleList[[#This Row],[Duration (Days)]]</f>
        <v>0</v>
      </c>
      <c r="D863">
        <f>SampleList[[#This Row],[Sample Description]]</f>
        <v>0</v>
      </c>
      <c r="E863">
        <v>6</v>
      </c>
      <c r="F863">
        <v>100</v>
      </c>
      <c r="G863">
        <v>24</v>
      </c>
      <c r="H863">
        <v>50</v>
      </c>
      <c r="I863">
        <v>30</v>
      </c>
      <c r="J863">
        <v>375</v>
      </c>
      <c r="K863">
        <v>68</v>
      </c>
      <c r="N863">
        <f>SUM(NMRPrep[[#This Row],[d-DMSO (uL) ]:[ NH4Cl (uL)]])</f>
        <v>647</v>
      </c>
      <c r="O863">
        <f>647</f>
        <v>647</v>
      </c>
      <c r="P863">
        <f>NMRPrep[[#This Row],[Total (uL) ]]-NMRPrep[[#This Row],[Target (uL)]]</f>
        <v>0</v>
      </c>
      <c r="R863">
        <f>(NMRPrep[[#This Row],[NH4Cl Stock Concentration (mM)]]*NMRPrep[[#This Row],[ NH4Cl (uL)]])/SUM(NMRPrep[[#This Row],[DI (uL) ]:[ NH4Cl (uL)]])</f>
        <v>0</v>
      </c>
    </row>
    <row r="864" spans="1:18" x14ac:dyDescent="0.25">
      <c r="A864" s="1">
        <f>SampleList[[#This Row],[Date Sampled]]</f>
        <v>0</v>
      </c>
      <c r="B864" t="str" cm="1">
        <f t="array" ref="B864">IF(ISBLANK(INDEX(SampleList[NMR],ROW()-1)),"Not Requested",INDEX(SampleList[Experiment ID],ROW()-1))</f>
        <v>Not Requested</v>
      </c>
      <c r="C864">
        <f>SampleList[[#This Row],[Duration (Days)]]</f>
        <v>0</v>
      </c>
      <c r="D864">
        <f>SampleList[[#This Row],[Sample Description]]</f>
        <v>0</v>
      </c>
      <c r="E864">
        <v>5</v>
      </c>
      <c r="F864">
        <v>100</v>
      </c>
      <c r="G864">
        <v>24</v>
      </c>
      <c r="H864">
        <v>50</v>
      </c>
      <c r="I864">
        <v>30</v>
      </c>
      <c r="J864">
        <v>375</v>
      </c>
      <c r="K864">
        <v>68</v>
      </c>
      <c r="N864">
        <f>SUM(NMRPrep[[#This Row],[d-DMSO (uL) ]:[ NH4Cl (uL)]])</f>
        <v>647</v>
      </c>
      <c r="O864">
        <f>647</f>
        <v>647</v>
      </c>
      <c r="P864">
        <f>NMRPrep[[#This Row],[Total (uL) ]]-NMRPrep[[#This Row],[Target (uL)]]</f>
        <v>0</v>
      </c>
      <c r="R864">
        <f>(NMRPrep[[#This Row],[NH4Cl Stock Concentration (mM)]]*NMRPrep[[#This Row],[ NH4Cl (uL)]])/SUM(NMRPrep[[#This Row],[DI (uL) ]:[ NH4Cl (uL)]])</f>
        <v>0</v>
      </c>
    </row>
    <row r="865" spans="1:18" x14ac:dyDescent="0.25">
      <c r="A865" s="1">
        <f>SampleList[[#This Row],[Date Sampled]]</f>
        <v>0</v>
      </c>
      <c r="B865" t="str" cm="1">
        <f t="array" ref="B865">IF(ISBLANK(INDEX(SampleList[NMR],ROW()-1)),"Not Requested",INDEX(SampleList[Experiment ID],ROW()-1))</f>
        <v>Not Requested</v>
      </c>
      <c r="C865">
        <f>SampleList[[#This Row],[Duration (Days)]]</f>
        <v>0</v>
      </c>
      <c r="D865">
        <f>SampleList[[#This Row],[Sample Description]]</f>
        <v>0</v>
      </c>
      <c r="E865">
        <v>7</v>
      </c>
      <c r="F865">
        <v>100</v>
      </c>
      <c r="G865">
        <v>24</v>
      </c>
      <c r="H865">
        <v>50</v>
      </c>
      <c r="I865">
        <v>30</v>
      </c>
      <c r="J865">
        <v>375</v>
      </c>
      <c r="K865">
        <v>68</v>
      </c>
      <c r="N865">
        <f>SUM(NMRPrep[[#This Row],[d-DMSO (uL) ]:[ NH4Cl (uL)]])</f>
        <v>647</v>
      </c>
      <c r="O865">
        <f>647</f>
        <v>647</v>
      </c>
      <c r="P865">
        <f>NMRPrep[[#This Row],[Total (uL) ]]-NMRPrep[[#This Row],[Target (uL)]]</f>
        <v>0</v>
      </c>
      <c r="R865">
        <f>(NMRPrep[[#This Row],[NH4Cl Stock Concentration (mM)]]*NMRPrep[[#This Row],[ NH4Cl (uL)]])/SUM(NMRPrep[[#This Row],[DI (uL) ]:[ NH4Cl (uL)]])</f>
        <v>0</v>
      </c>
    </row>
    <row r="866" spans="1:18" x14ac:dyDescent="0.25">
      <c r="A866" s="1">
        <f>SampleList[[#This Row],[Date Sampled]]</f>
        <v>0</v>
      </c>
      <c r="B866" t="str" cm="1">
        <f t="array" ref="B866">IF(ISBLANK(INDEX(SampleList[NMR],ROW()-1)),"Not Requested",INDEX(SampleList[Experiment ID],ROW()-1))</f>
        <v>Not Requested</v>
      </c>
      <c r="C866">
        <f>SampleList[[#This Row],[Duration (Days)]]</f>
        <v>0</v>
      </c>
      <c r="D866">
        <f>SampleList[[#This Row],[Sample Description]]</f>
        <v>0</v>
      </c>
      <c r="E866">
        <v>8</v>
      </c>
      <c r="F866">
        <v>100</v>
      </c>
      <c r="G866">
        <v>24</v>
      </c>
      <c r="H866">
        <v>50</v>
      </c>
      <c r="I866">
        <v>30</v>
      </c>
      <c r="J866">
        <v>375</v>
      </c>
      <c r="K866">
        <v>68</v>
      </c>
      <c r="N866">
        <f>SUM(NMRPrep[[#This Row],[d-DMSO (uL) ]:[ NH4Cl (uL)]])</f>
        <v>647</v>
      </c>
      <c r="O866">
        <f>647</f>
        <v>647</v>
      </c>
      <c r="P866">
        <f>NMRPrep[[#This Row],[Total (uL) ]]-NMRPrep[[#This Row],[Target (uL)]]</f>
        <v>0</v>
      </c>
      <c r="R866">
        <f>(NMRPrep[[#This Row],[NH4Cl Stock Concentration (mM)]]*NMRPrep[[#This Row],[ NH4Cl (uL)]])/SUM(NMRPrep[[#This Row],[DI (uL) ]:[ NH4Cl (uL)]])</f>
        <v>0</v>
      </c>
    </row>
    <row r="867" spans="1:18" x14ac:dyDescent="0.25">
      <c r="A867" s="1">
        <f>SampleList[[#This Row],[Date Sampled]]</f>
        <v>0</v>
      </c>
      <c r="B867" t="str" cm="1">
        <f t="array" ref="B867">IF(ISBLANK(INDEX(SampleList[NMR],ROW()-1)),"Not Requested",INDEX(SampleList[Experiment ID],ROW()-1))</f>
        <v>Not Requested</v>
      </c>
      <c r="C867">
        <f>SampleList[[#This Row],[Duration (Days)]]</f>
        <v>0</v>
      </c>
      <c r="D867">
        <f>SampleList[[#This Row],[Sample Description]]</f>
        <v>0</v>
      </c>
      <c r="E867">
        <v>9</v>
      </c>
      <c r="F867">
        <v>100</v>
      </c>
      <c r="G867">
        <v>24</v>
      </c>
      <c r="H867">
        <v>50</v>
      </c>
      <c r="I867">
        <v>30</v>
      </c>
      <c r="J867">
        <v>375</v>
      </c>
      <c r="K867">
        <v>68</v>
      </c>
      <c r="N867">
        <f>SUM(NMRPrep[[#This Row],[d-DMSO (uL) ]:[ NH4Cl (uL)]])</f>
        <v>647</v>
      </c>
      <c r="O867">
        <f>647</f>
        <v>647</v>
      </c>
      <c r="P867">
        <f>NMRPrep[[#This Row],[Total (uL) ]]-NMRPrep[[#This Row],[Target (uL)]]</f>
        <v>0</v>
      </c>
      <c r="R867">
        <f>(NMRPrep[[#This Row],[NH4Cl Stock Concentration (mM)]]*NMRPrep[[#This Row],[ NH4Cl (uL)]])/SUM(NMRPrep[[#This Row],[DI (uL) ]:[ NH4Cl (uL)]])</f>
        <v>0</v>
      </c>
    </row>
    <row r="868" spans="1:18" x14ac:dyDescent="0.25">
      <c r="A868" s="1">
        <f>SampleList[[#This Row],[Date Sampled]]</f>
        <v>0</v>
      </c>
      <c r="B868" t="str" cm="1">
        <f t="array" ref="B868">IF(ISBLANK(INDEX(SampleList[NMR],ROW()-1)),"Not Requested",INDEX(SampleList[Experiment ID],ROW()-1))</f>
        <v>Not Requested</v>
      </c>
      <c r="C868">
        <f>SampleList[[#This Row],[Duration (Days)]]</f>
        <v>0</v>
      </c>
      <c r="D868">
        <f>SampleList[[#This Row],[Sample Description]]</f>
        <v>0</v>
      </c>
      <c r="E868">
        <v>10</v>
      </c>
      <c r="F868">
        <v>100</v>
      </c>
      <c r="G868">
        <v>24</v>
      </c>
      <c r="H868">
        <v>50</v>
      </c>
      <c r="I868">
        <v>30</v>
      </c>
      <c r="J868">
        <v>375</v>
      </c>
      <c r="K868">
        <v>68</v>
      </c>
      <c r="N868">
        <f>SUM(NMRPrep[[#This Row],[d-DMSO (uL) ]:[ NH4Cl (uL)]])</f>
        <v>647</v>
      </c>
      <c r="O868">
        <f>647</f>
        <v>647</v>
      </c>
      <c r="P868">
        <f>NMRPrep[[#This Row],[Total (uL) ]]-NMRPrep[[#This Row],[Target (uL)]]</f>
        <v>0</v>
      </c>
      <c r="R868">
        <f>(NMRPrep[[#This Row],[NH4Cl Stock Concentration (mM)]]*NMRPrep[[#This Row],[ NH4Cl (uL)]])/SUM(NMRPrep[[#This Row],[DI (uL) ]:[ NH4Cl (uL)]])</f>
        <v>0</v>
      </c>
    </row>
    <row r="869" spans="1:18" x14ac:dyDescent="0.25">
      <c r="A869" s="1">
        <f>SampleList[[#This Row],[Date Sampled]]</f>
        <v>0</v>
      </c>
      <c r="B869" t="str" cm="1">
        <f t="array" ref="B869">IF(ISBLANK(INDEX(SampleList[NMR],ROW()-1)),"Not Requested",INDEX(SampleList[Experiment ID],ROW()-1))</f>
        <v>Not Requested</v>
      </c>
      <c r="C869">
        <f>SampleList[[#This Row],[Duration (Days)]]</f>
        <v>0</v>
      </c>
      <c r="D869">
        <f>SampleList[[#This Row],[Sample Description]]</f>
        <v>0</v>
      </c>
      <c r="E869">
        <v>11</v>
      </c>
      <c r="F869">
        <v>100</v>
      </c>
      <c r="G869">
        <v>24</v>
      </c>
      <c r="H869">
        <v>50</v>
      </c>
      <c r="I869">
        <v>30</v>
      </c>
      <c r="K869">
        <v>293</v>
      </c>
      <c r="L869">
        <v>150</v>
      </c>
      <c r="M869">
        <v>1</v>
      </c>
      <c r="N869">
        <f>SUM(NMRPrep[[#This Row],[d-DMSO (uL) ]:[ NH4Cl (uL)]])</f>
        <v>647</v>
      </c>
      <c r="O869">
        <f>647</f>
        <v>647</v>
      </c>
      <c r="P869">
        <f>NMRPrep[[#This Row],[Total (uL) ]]-NMRPrep[[#This Row],[Target (uL)]]</f>
        <v>0</v>
      </c>
      <c r="R869">
        <f>(NMRPrep[[#This Row],[NH4Cl Stock Concentration (mM)]]*NMRPrep[[#This Row],[ NH4Cl (uL)]])/SUM(NMRPrep[[#This Row],[DI (uL) ]:[ NH4Cl (uL)]])</f>
        <v>0.33860045146726864</v>
      </c>
    </row>
    <row r="870" spans="1:18" x14ac:dyDescent="0.25">
      <c r="A870" s="1">
        <f>SampleList[[#This Row],[Date Sampled]]</f>
        <v>0</v>
      </c>
      <c r="B870" t="str" cm="1">
        <f t="array" ref="B870">IF(ISBLANK(INDEX(SampleList[NMR],ROW()-1)),"Not Requested",INDEX(SampleList[Experiment ID],ROW()-1))</f>
        <v>Not Requested</v>
      </c>
      <c r="C870">
        <f>SampleList[[#This Row],[Duration (Days)]]</f>
        <v>0</v>
      </c>
      <c r="D870">
        <f>SampleList[[#This Row],[Sample Description]]</f>
        <v>0</v>
      </c>
      <c r="E870">
        <v>12</v>
      </c>
      <c r="F870">
        <v>100</v>
      </c>
      <c r="G870">
        <v>24</v>
      </c>
      <c r="H870">
        <v>50</v>
      </c>
      <c r="I870">
        <v>30</v>
      </c>
      <c r="J870">
        <v>375</v>
      </c>
      <c r="K870">
        <v>68</v>
      </c>
      <c r="N870">
        <f>SUM(NMRPrep[[#This Row],[d-DMSO (uL) ]:[ NH4Cl (uL)]])</f>
        <v>647</v>
      </c>
      <c r="O870">
        <f>647</f>
        <v>647</v>
      </c>
      <c r="P870">
        <f>NMRPrep[[#This Row],[Total (uL) ]]-NMRPrep[[#This Row],[Target (uL)]]</f>
        <v>0</v>
      </c>
      <c r="R870">
        <f>(NMRPrep[[#This Row],[NH4Cl Stock Concentration (mM)]]*NMRPrep[[#This Row],[ NH4Cl (uL)]])/SUM(NMRPrep[[#This Row],[DI (uL) ]:[ NH4Cl (uL)]])</f>
        <v>0</v>
      </c>
    </row>
    <row r="871" spans="1:18" x14ac:dyDescent="0.25">
      <c r="A871" s="1">
        <f>SampleList[[#This Row],[Date Sampled]]</f>
        <v>0</v>
      </c>
      <c r="B871" t="str" cm="1">
        <f t="array" ref="B871">IF(ISBLANK(INDEX(SampleList[NMR],ROW()-1)),"Not Requested",INDEX(SampleList[Experiment ID],ROW()-1))</f>
        <v>Not Requested</v>
      </c>
      <c r="C871">
        <f>SampleList[[#This Row],[Duration (Days)]]</f>
        <v>0</v>
      </c>
      <c r="D871">
        <f>SampleList[[#This Row],[Sample Description]]</f>
        <v>0</v>
      </c>
      <c r="N871">
        <f>SUM(NMRPrep[[#This Row],[d-DMSO (uL) ]:[ NH4Cl (uL)]])</f>
        <v>0</v>
      </c>
      <c r="O871">
        <f>647</f>
        <v>647</v>
      </c>
      <c r="P871">
        <f>NMRPrep[[#This Row],[Total (uL) ]]-NMRPrep[[#This Row],[Target (uL)]]</f>
        <v>-647</v>
      </c>
      <c r="R871" t="e">
        <f>(NMRPrep[[#This Row],[NH4Cl Stock Concentration (mM)]]*NMRPrep[[#This Row],[ NH4Cl (uL)]])/SUM(NMRPrep[[#This Row],[DI (uL) ]:[ NH4Cl (uL)]])</f>
        <v>#DIV/0!</v>
      </c>
    </row>
    <row r="872" spans="1:18" x14ac:dyDescent="0.25">
      <c r="A872" s="1">
        <f>SampleList[[#This Row],[Date Sampled]]</f>
        <v>0</v>
      </c>
      <c r="B872" t="str" cm="1">
        <f t="array" ref="B872">IF(ISBLANK(INDEX(SampleList[NMR],ROW()-1)),"Not Requested",INDEX(SampleList[Experiment ID],ROW()-1))</f>
        <v>Not Requested</v>
      </c>
      <c r="C872">
        <f>SampleList[[#This Row],[Duration (Days)]]</f>
        <v>0</v>
      </c>
      <c r="D872">
        <f>SampleList[[#This Row],[Sample Description]]</f>
        <v>0</v>
      </c>
      <c r="N872">
        <f>SUM(NMRPrep[[#This Row],[d-DMSO (uL) ]:[ NH4Cl (uL)]])</f>
        <v>0</v>
      </c>
      <c r="O872">
        <f>647</f>
        <v>647</v>
      </c>
      <c r="P872">
        <f>NMRPrep[[#This Row],[Total (uL) ]]-NMRPrep[[#This Row],[Target (uL)]]</f>
        <v>-647</v>
      </c>
      <c r="R872" t="e">
        <f>(NMRPrep[[#This Row],[NH4Cl Stock Concentration (mM)]]*NMRPrep[[#This Row],[ NH4Cl (uL)]])/SUM(NMRPrep[[#This Row],[DI (uL) ]:[ NH4Cl (uL)]])</f>
        <v>#DIV/0!</v>
      </c>
    </row>
    <row r="873" spans="1:18" x14ac:dyDescent="0.25">
      <c r="A873" s="1">
        <f>SampleList[[#This Row],[Date Sampled]]</f>
        <v>0</v>
      </c>
      <c r="B873" t="str" cm="1">
        <f t="array" ref="B873">IF(ISBLANK(INDEX(SampleList[NMR],ROW()-1)),"Not Requested",INDEX(SampleList[Experiment ID],ROW()-1))</f>
        <v>Not Requested</v>
      </c>
      <c r="C873">
        <f>SampleList[[#This Row],[Duration (Days)]]</f>
        <v>0</v>
      </c>
      <c r="D873">
        <f>SampleList[[#This Row],[Sample Description]]</f>
        <v>0</v>
      </c>
      <c r="N873">
        <f>SUM(NMRPrep[[#This Row],[d-DMSO (uL) ]:[ NH4Cl (uL)]])</f>
        <v>0</v>
      </c>
      <c r="O873">
        <f>647</f>
        <v>647</v>
      </c>
      <c r="P873">
        <f>NMRPrep[[#This Row],[Total (uL) ]]-NMRPrep[[#This Row],[Target (uL)]]</f>
        <v>-647</v>
      </c>
      <c r="R873" t="e">
        <f>(NMRPrep[[#This Row],[NH4Cl Stock Concentration (mM)]]*NMRPrep[[#This Row],[ NH4Cl (uL)]])/SUM(NMRPrep[[#This Row],[DI (uL) ]:[ NH4Cl (uL)]])</f>
        <v>#DIV/0!</v>
      </c>
    </row>
    <row r="874" spans="1:18" x14ac:dyDescent="0.25">
      <c r="A874" s="1">
        <f>SampleList[[#This Row],[Date Sampled]]</f>
        <v>0</v>
      </c>
      <c r="B874" t="str" cm="1">
        <f t="array" ref="B874">IF(ISBLANK(INDEX(SampleList[NMR],ROW()-1)),"Not Requested",INDEX(SampleList[Experiment ID],ROW()-1))</f>
        <v>Not Requested</v>
      </c>
      <c r="C874">
        <f>SampleList[[#This Row],[Duration (Days)]]</f>
        <v>0</v>
      </c>
      <c r="D874">
        <f>SampleList[[#This Row],[Sample Description]]</f>
        <v>0</v>
      </c>
      <c r="N874">
        <f>SUM(NMRPrep[[#This Row],[d-DMSO (uL) ]:[ NH4Cl (uL)]])</f>
        <v>0</v>
      </c>
      <c r="O874">
        <f>647</f>
        <v>647</v>
      </c>
      <c r="P874">
        <f>NMRPrep[[#This Row],[Total (uL) ]]-NMRPrep[[#This Row],[Target (uL)]]</f>
        <v>-647</v>
      </c>
      <c r="R874" t="e">
        <f>(NMRPrep[[#This Row],[NH4Cl Stock Concentration (mM)]]*NMRPrep[[#This Row],[ NH4Cl (uL)]])/SUM(NMRPrep[[#This Row],[DI (uL) ]:[ NH4Cl (uL)]])</f>
        <v>#DIV/0!</v>
      </c>
    </row>
    <row r="875" spans="1:18" x14ac:dyDescent="0.25">
      <c r="A875" s="1">
        <f>SampleList[[#This Row],[Date Sampled]]</f>
        <v>0</v>
      </c>
      <c r="B875" t="str" cm="1">
        <f t="array" ref="B875">IF(ISBLANK(INDEX(SampleList[NMR],ROW()-1)),"Not Requested",INDEX(SampleList[Experiment ID],ROW()-1))</f>
        <v>Not Requested</v>
      </c>
      <c r="C875">
        <f>SampleList[[#This Row],[Duration (Days)]]</f>
        <v>0</v>
      </c>
      <c r="D875">
        <f>SampleList[[#This Row],[Sample Description]]</f>
        <v>0</v>
      </c>
      <c r="N875">
        <f>SUM(NMRPrep[[#This Row],[d-DMSO (uL) ]:[ NH4Cl (uL)]])</f>
        <v>0</v>
      </c>
      <c r="O875">
        <f>647</f>
        <v>647</v>
      </c>
      <c r="P875">
        <f>NMRPrep[[#This Row],[Total (uL) ]]-NMRPrep[[#This Row],[Target (uL)]]</f>
        <v>-647</v>
      </c>
      <c r="R875" t="e">
        <f>(NMRPrep[[#This Row],[NH4Cl Stock Concentration (mM)]]*NMRPrep[[#This Row],[ NH4Cl (uL)]])/SUM(NMRPrep[[#This Row],[DI (uL) ]:[ NH4Cl (uL)]])</f>
        <v>#DIV/0!</v>
      </c>
    </row>
    <row r="876" spans="1:18" x14ac:dyDescent="0.25">
      <c r="A876" s="1">
        <f>SampleList[[#This Row],[Date Sampled]]</f>
        <v>0</v>
      </c>
      <c r="B876" t="str" cm="1">
        <f t="array" ref="B876">IF(ISBLANK(INDEX(SampleList[NMR],ROW()-1)),"Not Requested",INDEX(SampleList[Experiment ID],ROW()-1))</f>
        <v>Not Requested</v>
      </c>
      <c r="C876">
        <f>SampleList[[#This Row],[Duration (Days)]]</f>
        <v>0</v>
      </c>
      <c r="D876">
        <f>SampleList[[#This Row],[Sample Description]]</f>
        <v>0</v>
      </c>
      <c r="N876">
        <f>SUM(NMRPrep[[#This Row],[d-DMSO (uL) ]:[ NH4Cl (uL)]])</f>
        <v>0</v>
      </c>
      <c r="O876">
        <f>647</f>
        <v>647</v>
      </c>
      <c r="P876">
        <f>NMRPrep[[#This Row],[Total (uL) ]]-NMRPrep[[#This Row],[Target (uL)]]</f>
        <v>-647</v>
      </c>
      <c r="R876" t="e">
        <f>(NMRPrep[[#This Row],[NH4Cl Stock Concentration (mM)]]*NMRPrep[[#This Row],[ NH4Cl (uL)]])/SUM(NMRPrep[[#This Row],[DI (uL) ]:[ NH4Cl (uL)]])</f>
        <v>#DIV/0!</v>
      </c>
    </row>
    <row r="877" spans="1:18" x14ac:dyDescent="0.25">
      <c r="A877" s="1">
        <f>SampleList[[#This Row],[Date Sampled]]</f>
        <v>0</v>
      </c>
      <c r="B877" t="str" cm="1">
        <f t="array" ref="B877">IF(ISBLANK(INDEX(SampleList[NMR],ROW()-1)),"Not Requested",INDEX(SampleList[Experiment ID],ROW()-1))</f>
        <v>Not Requested</v>
      </c>
      <c r="C877">
        <f>SampleList[[#This Row],[Duration (Days)]]</f>
        <v>0</v>
      </c>
      <c r="D877">
        <f>SampleList[[#This Row],[Sample Description]]</f>
        <v>0</v>
      </c>
      <c r="N877">
        <f>SUM(NMRPrep[[#This Row],[d-DMSO (uL) ]:[ NH4Cl (uL)]])</f>
        <v>0</v>
      </c>
      <c r="O877">
        <f>647</f>
        <v>647</v>
      </c>
      <c r="P877">
        <f>NMRPrep[[#This Row],[Total (uL) ]]-NMRPrep[[#This Row],[Target (uL)]]</f>
        <v>-647</v>
      </c>
      <c r="R877" t="e">
        <f>(NMRPrep[[#This Row],[NH4Cl Stock Concentration (mM)]]*NMRPrep[[#This Row],[ NH4Cl (uL)]])/SUM(NMRPrep[[#This Row],[DI (uL) ]:[ NH4Cl (uL)]])</f>
        <v>#DIV/0!</v>
      </c>
    </row>
    <row r="878" spans="1:18" x14ac:dyDescent="0.25">
      <c r="A878" s="1">
        <f>SampleList[[#This Row],[Date Sampled]]</f>
        <v>0</v>
      </c>
      <c r="B878" t="str" cm="1">
        <f t="array" ref="B878">IF(ISBLANK(INDEX(SampleList[NMR],ROW()-1)),"Not Requested",INDEX(SampleList[Experiment ID],ROW()-1))</f>
        <v>Not Requested</v>
      </c>
      <c r="C878">
        <f>SampleList[[#This Row],[Duration (Days)]]</f>
        <v>0</v>
      </c>
      <c r="D878">
        <f>SampleList[[#This Row],[Sample Description]]</f>
        <v>0</v>
      </c>
      <c r="N878">
        <f>SUM(NMRPrep[[#This Row],[d-DMSO (uL) ]:[ NH4Cl (uL)]])</f>
        <v>0</v>
      </c>
      <c r="O878">
        <f>647</f>
        <v>647</v>
      </c>
      <c r="P878">
        <f>NMRPrep[[#This Row],[Total (uL) ]]-NMRPrep[[#This Row],[Target (uL)]]</f>
        <v>-647</v>
      </c>
      <c r="R878" t="e">
        <f>(NMRPrep[[#This Row],[NH4Cl Stock Concentration (mM)]]*NMRPrep[[#This Row],[ NH4Cl (uL)]])/SUM(NMRPrep[[#This Row],[DI (uL) ]:[ NH4Cl (uL)]])</f>
        <v>#DIV/0!</v>
      </c>
    </row>
    <row r="879" spans="1:18" x14ac:dyDescent="0.25">
      <c r="A879" s="1">
        <f>SampleList[[#This Row],[Date Sampled]]</f>
        <v>0</v>
      </c>
      <c r="B879" t="str" cm="1">
        <f t="array" ref="B879">IF(ISBLANK(INDEX(SampleList[NMR],ROW()-1)),"Not Requested",INDEX(SampleList[Experiment ID],ROW()-1))</f>
        <v>Not Requested</v>
      </c>
      <c r="C879">
        <f>SampleList[[#This Row],[Duration (Days)]]</f>
        <v>0</v>
      </c>
      <c r="D879">
        <f>SampleList[[#This Row],[Sample Description]]</f>
        <v>0</v>
      </c>
      <c r="N879">
        <f>SUM(NMRPrep[[#This Row],[d-DMSO (uL) ]:[ NH4Cl (uL)]])</f>
        <v>0</v>
      </c>
      <c r="O879">
        <f>647</f>
        <v>647</v>
      </c>
      <c r="P879">
        <f>NMRPrep[[#This Row],[Total (uL) ]]-NMRPrep[[#This Row],[Target (uL)]]</f>
        <v>-647</v>
      </c>
      <c r="R879" t="e">
        <f>(NMRPrep[[#This Row],[NH4Cl Stock Concentration (mM)]]*NMRPrep[[#This Row],[ NH4Cl (uL)]])/SUM(NMRPrep[[#This Row],[DI (uL) ]:[ NH4Cl (uL)]])</f>
        <v>#DIV/0!</v>
      </c>
    </row>
    <row r="880" spans="1:18" x14ac:dyDescent="0.25">
      <c r="A880" s="1">
        <f>SampleList[[#This Row],[Date Sampled]]</f>
        <v>0</v>
      </c>
      <c r="B880" t="str" cm="1">
        <f t="array" ref="B880">IF(ISBLANK(INDEX(SampleList[NMR],ROW()-1)),"Not Requested",INDEX(SampleList[Experiment ID],ROW()-1))</f>
        <v>Not Requested</v>
      </c>
      <c r="C880">
        <f>SampleList[[#This Row],[Duration (Days)]]</f>
        <v>0</v>
      </c>
      <c r="D880">
        <f>SampleList[[#This Row],[Sample Description]]</f>
        <v>0</v>
      </c>
      <c r="N880">
        <f>SUM(NMRPrep[[#This Row],[d-DMSO (uL) ]:[ NH4Cl (uL)]])</f>
        <v>0</v>
      </c>
      <c r="O880">
        <f>647</f>
        <v>647</v>
      </c>
      <c r="P880">
        <f>NMRPrep[[#This Row],[Total (uL) ]]-NMRPrep[[#This Row],[Target (uL)]]</f>
        <v>-647</v>
      </c>
      <c r="R880" t="e">
        <f>(NMRPrep[[#This Row],[NH4Cl Stock Concentration (mM)]]*NMRPrep[[#This Row],[ NH4Cl (uL)]])/SUM(NMRPrep[[#This Row],[DI (uL) ]:[ NH4Cl (uL)]])</f>
        <v>#DIV/0!</v>
      </c>
    </row>
    <row r="881" spans="1:18" x14ac:dyDescent="0.25">
      <c r="A881" s="1">
        <f>SampleList[[#This Row],[Date Sampled]]</f>
        <v>0</v>
      </c>
      <c r="B881" t="str" cm="1">
        <f t="array" ref="B881">IF(ISBLANK(INDEX(SampleList[NMR],ROW()-1)),"Not Requested",INDEX(SampleList[Experiment ID],ROW()-1))</f>
        <v>Not Requested</v>
      </c>
      <c r="C881">
        <f>SampleList[[#This Row],[Duration (Days)]]</f>
        <v>0</v>
      </c>
      <c r="D881">
        <f>SampleList[[#This Row],[Sample Description]]</f>
        <v>0</v>
      </c>
      <c r="N881">
        <f>SUM(NMRPrep[[#This Row],[d-DMSO (uL) ]:[ NH4Cl (uL)]])</f>
        <v>0</v>
      </c>
      <c r="O881">
        <f>647</f>
        <v>647</v>
      </c>
      <c r="P881">
        <f>NMRPrep[[#This Row],[Total (uL) ]]-NMRPrep[[#This Row],[Target (uL)]]</f>
        <v>-647</v>
      </c>
      <c r="R881" t="e">
        <f>(NMRPrep[[#This Row],[NH4Cl Stock Concentration (mM)]]*NMRPrep[[#This Row],[ NH4Cl (uL)]])/SUM(NMRPrep[[#This Row],[DI (uL) ]:[ NH4Cl (uL)]])</f>
        <v>#DIV/0!</v>
      </c>
    </row>
    <row r="882" spans="1:18" x14ac:dyDescent="0.25">
      <c r="A882" s="1">
        <f>SampleList[[#This Row],[Date Sampled]]</f>
        <v>0</v>
      </c>
      <c r="B882" t="str" cm="1">
        <f t="array" ref="B882">IF(ISBLANK(INDEX(SampleList[NMR],ROW()-1)),"Not Requested",INDEX(SampleList[Experiment ID],ROW()-1))</f>
        <v>Not Requested</v>
      </c>
      <c r="C882">
        <f>SampleList[[#This Row],[Duration (Days)]]</f>
        <v>0</v>
      </c>
      <c r="D882">
        <f>SampleList[[#This Row],[Sample Description]]</f>
        <v>0</v>
      </c>
      <c r="N882">
        <f>SUM(NMRPrep[[#This Row],[d-DMSO (uL) ]:[ NH4Cl (uL)]])</f>
        <v>0</v>
      </c>
      <c r="O882">
        <f>647</f>
        <v>647</v>
      </c>
      <c r="P882">
        <f>NMRPrep[[#This Row],[Total (uL) ]]-NMRPrep[[#This Row],[Target (uL)]]</f>
        <v>-647</v>
      </c>
      <c r="R882" t="e">
        <f>(NMRPrep[[#This Row],[NH4Cl Stock Concentration (mM)]]*NMRPrep[[#This Row],[ NH4Cl (uL)]])/SUM(NMRPrep[[#This Row],[DI (uL) ]:[ NH4Cl (uL)]])</f>
        <v>#DIV/0!</v>
      </c>
    </row>
    <row r="883" spans="1:18" x14ac:dyDescent="0.25">
      <c r="A883" s="1">
        <f>SampleList[[#This Row],[Date Sampled]]</f>
        <v>0</v>
      </c>
      <c r="B883" t="str" cm="1">
        <f t="array" ref="B883">IF(ISBLANK(INDEX(SampleList[NMR],ROW()-1)),"Not Requested",INDEX(SampleList[Experiment ID],ROW()-1))</f>
        <v>Not Requested</v>
      </c>
      <c r="C883">
        <f>SampleList[[#This Row],[Duration (Days)]]</f>
        <v>0</v>
      </c>
      <c r="D883">
        <f>SampleList[[#This Row],[Sample Description]]</f>
        <v>0</v>
      </c>
      <c r="N883">
        <f>SUM(NMRPrep[[#This Row],[d-DMSO (uL) ]:[ NH4Cl (uL)]])</f>
        <v>0</v>
      </c>
      <c r="O883">
        <f>647</f>
        <v>647</v>
      </c>
      <c r="P883">
        <f>NMRPrep[[#This Row],[Total (uL) ]]-NMRPrep[[#This Row],[Target (uL)]]</f>
        <v>-647</v>
      </c>
      <c r="R883" t="e">
        <f>(NMRPrep[[#This Row],[NH4Cl Stock Concentration (mM)]]*NMRPrep[[#This Row],[ NH4Cl (uL)]])/SUM(NMRPrep[[#This Row],[DI (uL) ]:[ NH4Cl (uL)]])</f>
        <v>#DIV/0!</v>
      </c>
    </row>
    <row r="884" spans="1:18" x14ac:dyDescent="0.25">
      <c r="A884" s="1">
        <f>SampleList[[#This Row],[Date Sampled]]</f>
        <v>0</v>
      </c>
      <c r="B884" t="str" cm="1">
        <f t="array" ref="B884">IF(ISBLANK(INDEX(SampleList[NMR],ROW()-1)),"Not Requested",INDEX(SampleList[Experiment ID],ROW()-1))</f>
        <v>Not Requested</v>
      </c>
      <c r="C884">
        <f>SampleList[[#This Row],[Duration (Days)]]</f>
        <v>0</v>
      </c>
      <c r="D884">
        <f>SampleList[[#This Row],[Sample Description]]</f>
        <v>0</v>
      </c>
      <c r="N884">
        <f>SUM(NMRPrep[[#This Row],[d-DMSO (uL) ]:[ NH4Cl (uL)]])</f>
        <v>0</v>
      </c>
      <c r="O884">
        <f>647</f>
        <v>647</v>
      </c>
      <c r="P884">
        <f>NMRPrep[[#This Row],[Total (uL) ]]-NMRPrep[[#This Row],[Target (uL)]]</f>
        <v>-647</v>
      </c>
      <c r="R884" t="e">
        <f>(NMRPrep[[#This Row],[NH4Cl Stock Concentration (mM)]]*NMRPrep[[#This Row],[ NH4Cl (uL)]])/SUM(NMRPrep[[#This Row],[DI (uL) ]:[ NH4Cl (uL)]])</f>
        <v>#DIV/0!</v>
      </c>
    </row>
    <row r="885" spans="1:18" x14ac:dyDescent="0.25">
      <c r="A885" s="1">
        <f>SampleList[[#This Row],[Date Sampled]]</f>
        <v>0</v>
      </c>
      <c r="B885" t="str" cm="1">
        <f t="array" ref="B885">IF(ISBLANK(INDEX(SampleList[NMR],ROW()-1)),"Not Requested",INDEX(SampleList[Experiment ID],ROW()-1))</f>
        <v>Not Requested</v>
      </c>
      <c r="C885">
        <f>SampleList[[#This Row],[Duration (Days)]]</f>
        <v>0</v>
      </c>
      <c r="D885">
        <f>SampleList[[#This Row],[Sample Description]]</f>
        <v>0</v>
      </c>
      <c r="N885">
        <f>SUM(NMRPrep[[#This Row],[d-DMSO (uL) ]:[ NH4Cl (uL)]])</f>
        <v>0</v>
      </c>
      <c r="O885">
        <f>647</f>
        <v>647</v>
      </c>
      <c r="P885">
        <f>NMRPrep[[#This Row],[Total (uL) ]]-NMRPrep[[#This Row],[Target (uL)]]</f>
        <v>-647</v>
      </c>
      <c r="R885" t="e">
        <f>(NMRPrep[[#This Row],[NH4Cl Stock Concentration (mM)]]*NMRPrep[[#This Row],[ NH4Cl (uL)]])/SUM(NMRPrep[[#This Row],[DI (uL) ]:[ NH4Cl (uL)]])</f>
        <v>#DIV/0!</v>
      </c>
    </row>
    <row r="886" spans="1:18" x14ac:dyDescent="0.25">
      <c r="A886" s="1">
        <f>SampleList[[#This Row],[Date Sampled]]</f>
        <v>0</v>
      </c>
      <c r="B886" t="str" cm="1">
        <f t="array" ref="B886">IF(ISBLANK(INDEX(SampleList[NMR],ROW()-1)),"Not Requested",INDEX(SampleList[Experiment ID],ROW()-1))</f>
        <v>Not Requested</v>
      </c>
      <c r="C886">
        <f>SampleList[[#This Row],[Duration (Days)]]</f>
        <v>0</v>
      </c>
      <c r="D886">
        <f>SampleList[[#This Row],[Sample Description]]</f>
        <v>0</v>
      </c>
      <c r="N886">
        <f>SUM(NMRPrep[[#This Row],[d-DMSO (uL) ]:[ NH4Cl (uL)]])</f>
        <v>0</v>
      </c>
      <c r="O886">
        <f>647</f>
        <v>647</v>
      </c>
      <c r="P886">
        <f>NMRPrep[[#This Row],[Total (uL) ]]-NMRPrep[[#This Row],[Target (uL)]]</f>
        <v>-647</v>
      </c>
      <c r="R886" t="e">
        <f>(NMRPrep[[#This Row],[NH4Cl Stock Concentration (mM)]]*NMRPrep[[#This Row],[ NH4Cl (uL)]])/SUM(NMRPrep[[#This Row],[DI (uL) ]:[ NH4Cl (uL)]])</f>
        <v>#DIV/0!</v>
      </c>
    </row>
    <row r="887" spans="1:18" x14ac:dyDescent="0.25">
      <c r="A887" s="1">
        <f>SampleList[[#This Row],[Date Sampled]]</f>
        <v>0</v>
      </c>
      <c r="B887" t="str" cm="1">
        <f t="array" ref="B887">IF(ISBLANK(INDEX(SampleList[NMR],ROW()-1)),"Not Requested",INDEX(SampleList[Experiment ID],ROW()-1))</f>
        <v>Not Requested</v>
      </c>
      <c r="C887">
        <f>SampleList[[#This Row],[Duration (Days)]]</f>
        <v>0</v>
      </c>
      <c r="D887">
        <f>SampleList[[#This Row],[Sample Description]]</f>
        <v>0</v>
      </c>
      <c r="N887">
        <f>SUM(NMRPrep[[#This Row],[d-DMSO (uL) ]:[ NH4Cl (uL)]])</f>
        <v>0</v>
      </c>
      <c r="O887">
        <f>647</f>
        <v>647</v>
      </c>
      <c r="P887">
        <f>NMRPrep[[#This Row],[Total (uL) ]]-NMRPrep[[#This Row],[Target (uL)]]</f>
        <v>-647</v>
      </c>
      <c r="R887" t="e">
        <f>(NMRPrep[[#This Row],[NH4Cl Stock Concentration (mM)]]*NMRPrep[[#This Row],[ NH4Cl (uL)]])/SUM(NMRPrep[[#This Row],[DI (uL) ]:[ NH4Cl (uL)]])</f>
        <v>#DIV/0!</v>
      </c>
    </row>
    <row r="888" spans="1:18" x14ac:dyDescent="0.25">
      <c r="A888" s="1">
        <f>SampleList[[#This Row],[Date Sampled]]</f>
        <v>0</v>
      </c>
      <c r="B888" t="str" cm="1">
        <f t="array" ref="B888">IF(ISBLANK(INDEX(SampleList[NMR],ROW()-1)),"Not Requested",INDEX(SampleList[Experiment ID],ROW()-1))</f>
        <v>Not Requested</v>
      </c>
      <c r="C888">
        <f>SampleList[[#This Row],[Duration (Days)]]</f>
        <v>0</v>
      </c>
      <c r="D888">
        <f>SampleList[[#This Row],[Sample Description]]</f>
        <v>0</v>
      </c>
      <c r="N888">
        <f>SUM(NMRPrep[[#This Row],[d-DMSO (uL) ]:[ NH4Cl (uL)]])</f>
        <v>0</v>
      </c>
      <c r="O888">
        <f>647</f>
        <v>647</v>
      </c>
      <c r="P888">
        <f>NMRPrep[[#This Row],[Total (uL) ]]-NMRPrep[[#This Row],[Target (uL)]]</f>
        <v>-647</v>
      </c>
      <c r="R888" t="e">
        <f>(NMRPrep[[#This Row],[NH4Cl Stock Concentration (mM)]]*NMRPrep[[#This Row],[ NH4Cl (uL)]])/SUM(NMRPrep[[#This Row],[DI (uL) ]:[ NH4Cl (uL)]])</f>
        <v>#DIV/0!</v>
      </c>
    </row>
    <row r="889" spans="1:18" x14ac:dyDescent="0.25">
      <c r="A889" s="1">
        <f>SampleList[[#This Row],[Date Sampled]]</f>
        <v>0</v>
      </c>
      <c r="B889" t="str" cm="1">
        <f t="array" ref="B889">IF(ISBLANK(INDEX(SampleList[NMR],ROW()-1)),"Not Requested",INDEX(SampleList[Experiment ID],ROW()-1))</f>
        <v>Not Requested</v>
      </c>
      <c r="C889">
        <f>SampleList[[#This Row],[Duration (Days)]]</f>
        <v>0</v>
      </c>
      <c r="D889">
        <f>SampleList[[#This Row],[Sample Description]]</f>
        <v>0</v>
      </c>
      <c r="N889">
        <f>SUM(NMRPrep[[#This Row],[d-DMSO (uL) ]:[ NH4Cl (uL)]])</f>
        <v>0</v>
      </c>
      <c r="O889">
        <f>647</f>
        <v>647</v>
      </c>
      <c r="P889">
        <f>NMRPrep[[#This Row],[Total (uL) ]]-NMRPrep[[#This Row],[Target (uL)]]</f>
        <v>-647</v>
      </c>
      <c r="R889" t="e">
        <f>(NMRPrep[[#This Row],[NH4Cl Stock Concentration (mM)]]*NMRPrep[[#This Row],[ NH4Cl (uL)]])/SUM(NMRPrep[[#This Row],[DI (uL) ]:[ NH4Cl (uL)]])</f>
        <v>#DIV/0!</v>
      </c>
    </row>
    <row r="890" spans="1:18" x14ac:dyDescent="0.25">
      <c r="A890" s="1">
        <f>SampleList[[#This Row],[Date Sampled]]</f>
        <v>0</v>
      </c>
      <c r="B890" t="str" cm="1">
        <f t="array" ref="B890">IF(ISBLANK(INDEX(SampleList[NMR],ROW()-1)),"Not Requested",INDEX(SampleList[Experiment ID],ROW()-1))</f>
        <v>Not Requested</v>
      </c>
      <c r="C890">
        <f>SampleList[[#This Row],[Duration (Days)]]</f>
        <v>0</v>
      </c>
      <c r="D890">
        <f>SampleList[[#This Row],[Sample Description]]</f>
        <v>0</v>
      </c>
      <c r="N890">
        <f>SUM(NMRPrep[[#This Row],[d-DMSO (uL) ]:[ NH4Cl (uL)]])</f>
        <v>0</v>
      </c>
      <c r="O890">
        <f>647</f>
        <v>647</v>
      </c>
      <c r="P890">
        <f>NMRPrep[[#This Row],[Total (uL) ]]-NMRPrep[[#This Row],[Target (uL)]]</f>
        <v>-647</v>
      </c>
      <c r="R890" t="e">
        <f>(NMRPrep[[#This Row],[NH4Cl Stock Concentration (mM)]]*NMRPrep[[#This Row],[ NH4Cl (uL)]])/SUM(NMRPrep[[#This Row],[DI (uL) ]:[ NH4Cl (uL)]])</f>
        <v>#DIV/0!</v>
      </c>
    </row>
    <row r="891" spans="1:18" x14ac:dyDescent="0.25">
      <c r="A891" s="1">
        <f>SampleList[[#This Row],[Date Sampled]]</f>
        <v>0</v>
      </c>
      <c r="B891" t="str" cm="1">
        <f t="array" ref="B891">IF(ISBLANK(INDEX(SampleList[NMR],ROW()-1)),"Not Requested",INDEX(SampleList[Experiment ID],ROW()-1))</f>
        <v>Not Requested</v>
      </c>
      <c r="C891">
        <f>SampleList[[#This Row],[Duration (Days)]]</f>
        <v>0</v>
      </c>
      <c r="D891">
        <f>SampleList[[#This Row],[Sample Description]]</f>
        <v>0</v>
      </c>
      <c r="E891">
        <v>6</v>
      </c>
      <c r="N891">
        <f>SUM(NMRPrep[[#This Row],[d-DMSO (uL) ]:[ NH4Cl (uL)]])</f>
        <v>0</v>
      </c>
      <c r="O891">
        <f>647</f>
        <v>647</v>
      </c>
      <c r="P891">
        <f>NMRPrep[[#This Row],[Total (uL) ]]-NMRPrep[[#This Row],[Target (uL)]]</f>
        <v>-647</v>
      </c>
      <c r="R891" t="e">
        <f>(NMRPrep[[#This Row],[NH4Cl Stock Concentration (mM)]]*NMRPrep[[#This Row],[ NH4Cl (uL)]])/SUM(NMRPrep[[#This Row],[DI (uL) ]:[ NH4Cl (uL)]])</f>
        <v>#DIV/0!</v>
      </c>
    </row>
    <row r="892" spans="1:18" x14ac:dyDescent="0.25">
      <c r="A892" s="1">
        <f>SampleList[[#This Row],[Date Sampled]]</f>
        <v>0</v>
      </c>
      <c r="B892" t="str" cm="1">
        <f t="array" ref="B892">IF(ISBLANK(INDEX(SampleList[NMR],ROW()-1)),"Not Requested",INDEX(SampleList[Experiment ID],ROW()-1))</f>
        <v>Not Requested</v>
      </c>
      <c r="C892">
        <f>SampleList[[#This Row],[Duration (Days)]]</f>
        <v>0</v>
      </c>
      <c r="D892">
        <f>SampleList[[#This Row],[Sample Description]]</f>
        <v>0</v>
      </c>
      <c r="E892">
        <v>1</v>
      </c>
      <c r="F892">
        <v>100</v>
      </c>
      <c r="G892">
        <v>24</v>
      </c>
      <c r="H892">
        <v>50</v>
      </c>
      <c r="I892">
        <v>30</v>
      </c>
      <c r="J892">
        <v>375</v>
      </c>
      <c r="K892">
        <v>68</v>
      </c>
      <c r="N892">
        <f>SUM(NMRPrep[[#This Row],[d-DMSO (uL) ]:[ NH4Cl (uL)]])</f>
        <v>647</v>
      </c>
      <c r="O892">
        <f>647</f>
        <v>647</v>
      </c>
      <c r="P892">
        <f>NMRPrep[[#This Row],[Total (uL) ]]-NMRPrep[[#This Row],[Target (uL)]]</f>
        <v>0</v>
      </c>
      <c r="R892">
        <f>(NMRPrep[[#This Row],[NH4Cl Stock Concentration (mM)]]*NMRPrep[[#This Row],[ NH4Cl (uL)]])/SUM(NMRPrep[[#This Row],[DI (uL) ]:[ NH4Cl (uL)]])</f>
        <v>0</v>
      </c>
    </row>
    <row r="893" spans="1:18" x14ac:dyDescent="0.25">
      <c r="A893" s="1">
        <f>SampleList[[#This Row],[Date Sampled]]</f>
        <v>0</v>
      </c>
      <c r="B893" t="str" cm="1">
        <f t="array" ref="B893">IF(ISBLANK(INDEX(SampleList[NMR],ROW()-1)),"Not Requested",INDEX(SampleList[Experiment ID],ROW()-1))</f>
        <v>Not Requested</v>
      </c>
      <c r="C893">
        <f>SampleList[[#This Row],[Duration (Days)]]</f>
        <v>0</v>
      </c>
      <c r="D893">
        <f>SampleList[[#This Row],[Sample Description]]</f>
        <v>0</v>
      </c>
      <c r="E893">
        <v>2</v>
      </c>
      <c r="F893">
        <v>100</v>
      </c>
      <c r="G893">
        <v>24</v>
      </c>
      <c r="H893">
        <v>50</v>
      </c>
      <c r="I893">
        <v>30</v>
      </c>
      <c r="J893">
        <v>375</v>
      </c>
      <c r="K893">
        <v>68</v>
      </c>
      <c r="N893">
        <f>SUM(NMRPrep[[#This Row],[d-DMSO (uL) ]:[ NH4Cl (uL)]])</f>
        <v>647</v>
      </c>
      <c r="O893">
        <f>647</f>
        <v>647</v>
      </c>
      <c r="P893">
        <f>NMRPrep[[#This Row],[Total (uL) ]]-NMRPrep[[#This Row],[Target (uL)]]</f>
        <v>0</v>
      </c>
      <c r="R893">
        <f>(NMRPrep[[#This Row],[NH4Cl Stock Concentration (mM)]]*NMRPrep[[#This Row],[ NH4Cl (uL)]])/SUM(NMRPrep[[#This Row],[DI (uL) ]:[ NH4Cl (uL)]])</f>
        <v>0</v>
      </c>
    </row>
    <row r="894" spans="1:18" x14ac:dyDescent="0.25">
      <c r="A894" s="1">
        <f>SampleList[[#This Row],[Date Sampled]]</f>
        <v>0</v>
      </c>
      <c r="B894" t="str" cm="1">
        <f t="array" ref="B894">IF(ISBLANK(INDEX(SampleList[NMR],ROW()-1)),"Not Requested",INDEX(SampleList[Experiment ID],ROW()-1))</f>
        <v>Not Requested</v>
      </c>
      <c r="C894">
        <f>SampleList[[#This Row],[Duration (Days)]]</f>
        <v>0</v>
      </c>
      <c r="D894">
        <f>SampleList[[#This Row],[Sample Description]]</f>
        <v>0</v>
      </c>
      <c r="E894">
        <v>5</v>
      </c>
      <c r="N894">
        <f>SUM(NMRPrep[[#This Row],[d-DMSO (uL) ]:[ NH4Cl (uL)]])</f>
        <v>0</v>
      </c>
      <c r="O894">
        <f>647</f>
        <v>647</v>
      </c>
      <c r="P894">
        <f>NMRPrep[[#This Row],[Total (uL) ]]-NMRPrep[[#This Row],[Target (uL)]]</f>
        <v>-647</v>
      </c>
      <c r="R894" t="e">
        <f>(NMRPrep[[#This Row],[NH4Cl Stock Concentration (mM)]]*NMRPrep[[#This Row],[ NH4Cl (uL)]])/SUM(NMRPrep[[#This Row],[DI (uL) ]:[ NH4Cl (uL)]])</f>
        <v>#DIV/0!</v>
      </c>
    </row>
    <row r="895" spans="1:18" x14ac:dyDescent="0.25">
      <c r="A895" s="1">
        <f>SampleList[[#This Row],[Date Sampled]]</f>
        <v>0</v>
      </c>
      <c r="B895" t="str" cm="1">
        <f t="array" ref="B895">IF(ISBLANK(INDEX(SampleList[NMR],ROW()-1)),"Not Requested",INDEX(SampleList[Experiment ID],ROW()-1))</f>
        <v>Not Requested</v>
      </c>
      <c r="C895">
        <f>SampleList[[#This Row],[Duration (Days)]]</f>
        <v>0</v>
      </c>
      <c r="D895">
        <f>SampleList[[#This Row],[Sample Description]]</f>
        <v>0</v>
      </c>
      <c r="E895">
        <v>7</v>
      </c>
      <c r="N895">
        <f>SUM(NMRPrep[[#This Row],[d-DMSO (uL) ]:[ NH4Cl (uL)]])</f>
        <v>0</v>
      </c>
      <c r="O895">
        <f>647</f>
        <v>647</v>
      </c>
      <c r="P895">
        <f>NMRPrep[[#This Row],[Total (uL) ]]-NMRPrep[[#This Row],[Target (uL)]]</f>
        <v>-647</v>
      </c>
      <c r="R895" t="e">
        <f>(NMRPrep[[#This Row],[NH4Cl Stock Concentration (mM)]]*NMRPrep[[#This Row],[ NH4Cl (uL)]])/SUM(NMRPrep[[#This Row],[DI (uL) ]:[ NH4Cl (uL)]])</f>
        <v>#DIV/0!</v>
      </c>
    </row>
    <row r="896" spans="1:18" x14ac:dyDescent="0.25">
      <c r="A896" s="1">
        <f>SampleList[[#This Row],[Date Sampled]]</f>
        <v>0</v>
      </c>
      <c r="B896" t="str" cm="1">
        <f t="array" ref="B896">IF(ISBLANK(INDEX(SampleList[NMR],ROW()-1)),"Not Requested",INDEX(SampleList[Experiment ID],ROW()-1))</f>
        <v>Not Requested</v>
      </c>
      <c r="C896">
        <f>SampleList[[#This Row],[Duration (Days)]]</f>
        <v>0</v>
      </c>
      <c r="D896">
        <f>SampleList[[#This Row],[Sample Description]]</f>
        <v>0</v>
      </c>
      <c r="N896">
        <f>SUM(NMRPrep[[#This Row],[d-DMSO (uL) ]:[ NH4Cl (uL)]])</f>
        <v>0</v>
      </c>
      <c r="O896">
        <f>647</f>
        <v>647</v>
      </c>
      <c r="P896">
        <f>NMRPrep[[#This Row],[Total (uL) ]]-NMRPrep[[#This Row],[Target (uL)]]</f>
        <v>-647</v>
      </c>
      <c r="R896" t="e">
        <f>(NMRPrep[[#This Row],[NH4Cl Stock Concentration (mM)]]*NMRPrep[[#This Row],[ NH4Cl (uL)]])/SUM(NMRPrep[[#This Row],[DI (uL) ]:[ NH4Cl (uL)]])</f>
        <v>#DIV/0!</v>
      </c>
    </row>
    <row r="897" spans="1:18" x14ac:dyDescent="0.25">
      <c r="A897" s="1">
        <f>SampleList[[#This Row],[Date Sampled]]</f>
        <v>0</v>
      </c>
      <c r="B897" t="str" cm="1">
        <f t="array" ref="B897">IF(ISBLANK(INDEX(SampleList[NMR],ROW()-1)),"Not Requested",INDEX(SampleList[Experiment ID],ROW()-1))</f>
        <v>Not Requested</v>
      </c>
      <c r="C897">
        <f>SampleList[[#This Row],[Duration (Days)]]</f>
        <v>0</v>
      </c>
      <c r="D897">
        <f>SampleList[[#This Row],[Sample Description]]</f>
        <v>0</v>
      </c>
      <c r="N897">
        <f>SUM(NMRPrep[[#This Row],[d-DMSO (uL) ]:[ NH4Cl (uL)]])</f>
        <v>0</v>
      </c>
      <c r="O897">
        <f>647</f>
        <v>647</v>
      </c>
      <c r="P897">
        <f>NMRPrep[[#This Row],[Total (uL) ]]-NMRPrep[[#This Row],[Target (uL)]]</f>
        <v>-647</v>
      </c>
      <c r="R897" t="e">
        <f>(NMRPrep[[#This Row],[NH4Cl Stock Concentration (mM)]]*NMRPrep[[#This Row],[ NH4Cl (uL)]])/SUM(NMRPrep[[#This Row],[DI (uL) ]:[ NH4Cl (uL)]])</f>
        <v>#DIV/0!</v>
      </c>
    </row>
    <row r="898" spans="1:18" x14ac:dyDescent="0.25">
      <c r="A898" s="1">
        <f>SampleList[[#This Row],[Date Sampled]]</f>
        <v>0</v>
      </c>
      <c r="B898" t="str" cm="1">
        <f t="array" ref="B898">IF(ISBLANK(INDEX(SampleList[NMR],ROW()-1)),"Not Requested",INDEX(SampleList[Experiment ID],ROW()-1))</f>
        <v>Not Requested</v>
      </c>
      <c r="C898">
        <f>SampleList[[#This Row],[Duration (Days)]]</f>
        <v>0</v>
      </c>
      <c r="D898">
        <f>SampleList[[#This Row],[Sample Description]]</f>
        <v>0</v>
      </c>
      <c r="E898">
        <v>1</v>
      </c>
      <c r="F898">
        <v>100</v>
      </c>
      <c r="G898">
        <v>24</v>
      </c>
      <c r="H898">
        <v>50</v>
      </c>
      <c r="I898">
        <v>30</v>
      </c>
      <c r="J898">
        <v>375</v>
      </c>
      <c r="K898">
        <v>68</v>
      </c>
      <c r="N898">
        <f>SUM(NMRPrep[[#This Row],[d-DMSO (uL) ]:[ NH4Cl (uL)]])</f>
        <v>647</v>
      </c>
      <c r="O898">
        <f>647</f>
        <v>647</v>
      </c>
      <c r="P898">
        <f>NMRPrep[[#This Row],[Total (uL) ]]-NMRPrep[[#This Row],[Target (uL)]]</f>
        <v>0</v>
      </c>
      <c r="R898">
        <f>(NMRPrep[[#This Row],[NH4Cl Stock Concentration (mM)]]*NMRPrep[[#This Row],[ NH4Cl (uL)]])/SUM(NMRPrep[[#This Row],[DI (uL) ]:[ NH4Cl (uL)]])</f>
        <v>0</v>
      </c>
    </row>
    <row r="899" spans="1:18" x14ac:dyDescent="0.25">
      <c r="A899" s="1">
        <f>SampleList[[#This Row],[Date Sampled]]</f>
        <v>0</v>
      </c>
      <c r="B899" t="str" cm="1">
        <f t="array" ref="B899">IF(ISBLANK(INDEX(SampleList[NMR],ROW()-1)),"Not Requested",INDEX(SampleList[Experiment ID],ROW()-1))</f>
        <v>Not Requested</v>
      </c>
      <c r="C899">
        <f>SampleList[[#This Row],[Duration (Days)]]</f>
        <v>0</v>
      </c>
      <c r="D899">
        <f>SampleList[[#This Row],[Sample Description]]</f>
        <v>0</v>
      </c>
      <c r="E899">
        <v>2</v>
      </c>
      <c r="F899">
        <v>100</v>
      </c>
      <c r="G899">
        <v>24</v>
      </c>
      <c r="H899">
        <v>50</v>
      </c>
      <c r="I899">
        <v>30</v>
      </c>
      <c r="J899">
        <v>375</v>
      </c>
      <c r="K899">
        <v>68</v>
      </c>
      <c r="N899">
        <f>SUM(NMRPrep[[#This Row],[d-DMSO (uL) ]:[ NH4Cl (uL)]])</f>
        <v>647</v>
      </c>
      <c r="O899">
        <f>647</f>
        <v>647</v>
      </c>
      <c r="P899">
        <f>NMRPrep[[#This Row],[Total (uL) ]]-NMRPrep[[#This Row],[Target (uL)]]</f>
        <v>0</v>
      </c>
      <c r="R899">
        <f>(NMRPrep[[#This Row],[NH4Cl Stock Concentration (mM)]]*NMRPrep[[#This Row],[ NH4Cl (uL)]])/SUM(NMRPrep[[#This Row],[DI (uL) ]:[ NH4Cl (uL)]])</f>
        <v>0</v>
      </c>
    </row>
    <row r="900" spans="1:18" x14ac:dyDescent="0.25">
      <c r="A900" s="1">
        <f>SampleList[[#This Row],[Date Sampled]]</f>
        <v>0</v>
      </c>
      <c r="B900" t="str" cm="1">
        <f t="array" ref="B900">IF(ISBLANK(INDEX(SampleList[NMR],ROW()-1)),"Not Requested",INDEX(SampleList[Experiment ID],ROW()-1))</f>
        <v>Not Requested</v>
      </c>
      <c r="C900">
        <f>SampleList[[#This Row],[Duration (Days)]]</f>
        <v>0</v>
      </c>
      <c r="D900">
        <f>SampleList[[#This Row],[Sample Description]]</f>
        <v>0</v>
      </c>
      <c r="E900">
        <v>3</v>
      </c>
      <c r="F900">
        <v>100</v>
      </c>
      <c r="G900">
        <v>24</v>
      </c>
      <c r="H900">
        <v>50</v>
      </c>
      <c r="I900">
        <v>30</v>
      </c>
      <c r="J900">
        <v>375</v>
      </c>
      <c r="K900">
        <v>68</v>
      </c>
      <c r="N900">
        <f>SUM(NMRPrep[[#This Row],[d-DMSO (uL) ]:[ NH4Cl (uL)]])</f>
        <v>647</v>
      </c>
      <c r="O900">
        <f>647</f>
        <v>647</v>
      </c>
      <c r="P900">
        <f>NMRPrep[[#This Row],[Total (uL) ]]-NMRPrep[[#This Row],[Target (uL)]]</f>
        <v>0</v>
      </c>
      <c r="R900">
        <f>(NMRPrep[[#This Row],[NH4Cl Stock Concentration (mM)]]*NMRPrep[[#This Row],[ NH4Cl (uL)]])/SUM(NMRPrep[[#This Row],[DI (uL) ]:[ NH4Cl (uL)]])</f>
        <v>0</v>
      </c>
    </row>
    <row r="901" spans="1:18" x14ac:dyDescent="0.25">
      <c r="A901" s="1">
        <f>SampleList[[#This Row],[Date Sampled]]</f>
        <v>0</v>
      </c>
      <c r="B901" t="str" cm="1">
        <f t="array" ref="B901">IF(ISBLANK(INDEX(SampleList[NMR],ROW()-1)),"Not Requested",INDEX(SampleList[Experiment ID],ROW()-1))</f>
        <v>Not Requested</v>
      </c>
      <c r="C901">
        <f>SampleList[[#This Row],[Duration (Days)]]</f>
        <v>0</v>
      </c>
      <c r="D901">
        <f>SampleList[[#This Row],[Sample Description]]</f>
        <v>0</v>
      </c>
      <c r="E901">
        <v>4</v>
      </c>
      <c r="F901">
        <v>100</v>
      </c>
      <c r="G901">
        <v>24</v>
      </c>
      <c r="H901">
        <v>50</v>
      </c>
      <c r="I901">
        <v>30</v>
      </c>
      <c r="J901">
        <v>375</v>
      </c>
      <c r="K901">
        <v>68</v>
      </c>
      <c r="N901">
        <f>SUM(NMRPrep[[#This Row],[d-DMSO (uL) ]:[ NH4Cl (uL)]])</f>
        <v>647</v>
      </c>
      <c r="O901">
        <f>647</f>
        <v>647</v>
      </c>
      <c r="P901">
        <f>NMRPrep[[#This Row],[Total (uL) ]]-NMRPrep[[#This Row],[Target (uL)]]</f>
        <v>0</v>
      </c>
      <c r="R901">
        <f>(NMRPrep[[#This Row],[NH4Cl Stock Concentration (mM)]]*NMRPrep[[#This Row],[ NH4Cl (uL)]])/SUM(NMRPrep[[#This Row],[DI (uL) ]:[ NH4Cl (uL)]])</f>
        <v>0</v>
      </c>
    </row>
    <row r="902" spans="1:18" x14ac:dyDescent="0.25">
      <c r="A902" s="1">
        <f>SampleList[[#This Row],[Date Sampled]]</f>
        <v>0</v>
      </c>
      <c r="B902" t="str" cm="1">
        <f t="array" ref="B902">IF(ISBLANK(INDEX(SampleList[NMR],ROW()-1)),"Not Requested",INDEX(SampleList[Experiment ID],ROW()-1))</f>
        <v>Not Requested</v>
      </c>
      <c r="C902">
        <f>SampleList[[#This Row],[Duration (Days)]]</f>
        <v>0</v>
      </c>
      <c r="D902">
        <f>SampleList[[#This Row],[Sample Description]]</f>
        <v>0</v>
      </c>
      <c r="E902">
        <v>6</v>
      </c>
      <c r="F902">
        <v>100</v>
      </c>
      <c r="G902">
        <v>24</v>
      </c>
      <c r="H902">
        <v>50</v>
      </c>
      <c r="I902">
        <v>30</v>
      </c>
      <c r="J902">
        <v>375</v>
      </c>
      <c r="K902">
        <v>68</v>
      </c>
      <c r="N902">
        <f>SUM(NMRPrep[[#This Row],[d-DMSO (uL) ]:[ NH4Cl (uL)]])</f>
        <v>647</v>
      </c>
      <c r="O902">
        <f>647</f>
        <v>647</v>
      </c>
      <c r="P902">
        <f>NMRPrep[[#This Row],[Total (uL) ]]-NMRPrep[[#This Row],[Target (uL)]]</f>
        <v>0</v>
      </c>
      <c r="R902">
        <f>(NMRPrep[[#This Row],[NH4Cl Stock Concentration (mM)]]*NMRPrep[[#This Row],[ NH4Cl (uL)]])/SUM(NMRPrep[[#This Row],[DI (uL) ]:[ NH4Cl (uL)]])</f>
        <v>0</v>
      </c>
    </row>
    <row r="903" spans="1:18" x14ac:dyDescent="0.25">
      <c r="A903" s="1">
        <f>SampleList[[#This Row],[Date Sampled]]</f>
        <v>0</v>
      </c>
      <c r="B903" t="str" cm="1">
        <f t="array" ref="B903">IF(ISBLANK(INDEX(SampleList[NMR],ROW()-1)),"Not Requested",INDEX(SampleList[Experiment ID],ROW()-1))</f>
        <v>Not Requested</v>
      </c>
      <c r="C903">
        <f>SampleList[[#This Row],[Duration (Days)]]</f>
        <v>0</v>
      </c>
      <c r="D903">
        <f>SampleList[[#This Row],[Sample Description]]</f>
        <v>0</v>
      </c>
      <c r="E903">
        <v>5</v>
      </c>
      <c r="F903">
        <v>100</v>
      </c>
      <c r="G903">
        <v>24</v>
      </c>
      <c r="H903">
        <v>50</v>
      </c>
      <c r="I903">
        <v>30</v>
      </c>
      <c r="J903">
        <v>375</v>
      </c>
      <c r="K903">
        <v>68</v>
      </c>
      <c r="N903">
        <f>SUM(NMRPrep[[#This Row],[d-DMSO (uL) ]:[ NH4Cl (uL)]])</f>
        <v>647</v>
      </c>
      <c r="O903">
        <f>647</f>
        <v>647</v>
      </c>
      <c r="P903">
        <f>NMRPrep[[#This Row],[Total (uL) ]]-NMRPrep[[#This Row],[Target (uL)]]</f>
        <v>0</v>
      </c>
      <c r="R903">
        <f>(NMRPrep[[#This Row],[NH4Cl Stock Concentration (mM)]]*NMRPrep[[#This Row],[ NH4Cl (uL)]])/SUM(NMRPrep[[#This Row],[DI (uL) ]:[ NH4Cl (uL)]])</f>
        <v>0</v>
      </c>
    </row>
    <row r="904" spans="1:18" x14ac:dyDescent="0.25">
      <c r="A904" s="1">
        <f>SampleList[[#This Row],[Date Sampled]]</f>
        <v>0</v>
      </c>
      <c r="B904" t="str" cm="1">
        <f t="array" ref="B904">IF(ISBLANK(INDEX(SampleList[NMR],ROW()-1)),"Not Requested",INDEX(SampleList[Experiment ID],ROW()-1))</f>
        <v>Not Requested</v>
      </c>
      <c r="C904">
        <f>SampleList[[#This Row],[Duration (Days)]]</f>
        <v>0</v>
      </c>
      <c r="D904">
        <f>SampleList[[#This Row],[Sample Description]]</f>
        <v>0</v>
      </c>
      <c r="E904">
        <v>7</v>
      </c>
      <c r="F904">
        <v>100</v>
      </c>
      <c r="G904">
        <v>24</v>
      </c>
      <c r="H904">
        <v>50</v>
      </c>
      <c r="I904">
        <v>30</v>
      </c>
      <c r="J904">
        <v>375</v>
      </c>
      <c r="K904">
        <v>68</v>
      </c>
      <c r="N904">
        <f>SUM(NMRPrep[[#This Row],[d-DMSO (uL) ]:[ NH4Cl (uL)]])</f>
        <v>647</v>
      </c>
      <c r="O904">
        <f>647</f>
        <v>647</v>
      </c>
      <c r="P904">
        <f>NMRPrep[[#This Row],[Total (uL) ]]-NMRPrep[[#This Row],[Target (uL)]]</f>
        <v>0</v>
      </c>
      <c r="R904">
        <f>(NMRPrep[[#This Row],[NH4Cl Stock Concentration (mM)]]*NMRPrep[[#This Row],[ NH4Cl (uL)]])/SUM(NMRPrep[[#This Row],[DI (uL) ]:[ NH4Cl (uL)]])</f>
        <v>0</v>
      </c>
    </row>
    <row r="905" spans="1:18" x14ac:dyDescent="0.25">
      <c r="A905" s="1">
        <f>SampleList[[#This Row],[Date Sampled]]</f>
        <v>0</v>
      </c>
      <c r="B905" t="str" cm="1">
        <f t="array" ref="B905">IF(ISBLANK(INDEX(SampleList[NMR],ROW()-1)),"Not Requested",INDEX(SampleList[Experiment ID],ROW()-1))</f>
        <v>Not Requested</v>
      </c>
      <c r="C905">
        <f>SampleList[[#This Row],[Duration (Days)]]</f>
        <v>0</v>
      </c>
      <c r="D905">
        <f>SampleList[[#This Row],[Sample Description]]</f>
        <v>0</v>
      </c>
      <c r="E905">
        <v>8</v>
      </c>
      <c r="F905">
        <v>100</v>
      </c>
      <c r="G905">
        <v>24</v>
      </c>
      <c r="H905">
        <v>50</v>
      </c>
      <c r="I905">
        <v>30</v>
      </c>
      <c r="J905">
        <v>375</v>
      </c>
      <c r="K905">
        <v>68</v>
      </c>
      <c r="N905">
        <f>SUM(NMRPrep[[#This Row],[d-DMSO (uL) ]:[ NH4Cl (uL)]])</f>
        <v>647</v>
      </c>
      <c r="O905">
        <f>647</f>
        <v>647</v>
      </c>
      <c r="P905">
        <f>NMRPrep[[#This Row],[Total (uL) ]]-NMRPrep[[#This Row],[Target (uL)]]</f>
        <v>0</v>
      </c>
      <c r="R905">
        <f>(NMRPrep[[#This Row],[NH4Cl Stock Concentration (mM)]]*NMRPrep[[#This Row],[ NH4Cl (uL)]])/SUM(NMRPrep[[#This Row],[DI (uL) ]:[ NH4Cl (uL)]])</f>
        <v>0</v>
      </c>
    </row>
    <row r="906" spans="1:18" x14ac:dyDescent="0.25">
      <c r="A906" s="1">
        <f>SampleList[[#This Row],[Date Sampled]]</f>
        <v>0</v>
      </c>
      <c r="B906" t="str" cm="1">
        <f t="array" ref="B906">IF(ISBLANK(INDEX(SampleList[NMR],ROW()-1)),"Not Requested",INDEX(SampleList[Experiment ID],ROW()-1))</f>
        <v>Not Requested</v>
      </c>
      <c r="C906">
        <f>SampleList[[#This Row],[Duration (Days)]]</f>
        <v>0</v>
      </c>
      <c r="D906">
        <f>SampleList[[#This Row],[Sample Description]]</f>
        <v>0</v>
      </c>
      <c r="E906">
        <v>9</v>
      </c>
      <c r="F906">
        <v>100</v>
      </c>
      <c r="G906">
        <v>24</v>
      </c>
      <c r="H906">
        <v>50</v>
      </c>
      <c r="I906">
        <v>30</v>
      </c>
      <c r="J906">
        <v>375</v>
      </c>
      <c r="K906">
        <v>68</v>
      </c>
      <c r="N906">
        <f>SUM(NMRPrep[[#This Row],[d-DMSO (uL) ]:[ NH4Cl (uL)]])</f>
        <v>647</v>
      </c>
      <c r="O906">
        <f>647</f>
        <v>647</v>
      </c>
      <c r="P906">
        <f>NMRPrep[[#This Row],[Total (uL) ]]-NMRPrep[[#This Row],[Target (uL)]]</f>
        <v>0</v>
      </c>
      <c r="R906">
        <f>(NMRPrep[[#This Row],[NH4Cl Stock Concentration (mM)]]*NMRPrep[[#This Row],[ NH4Cl (uL)]])/SUM(NMRPrep[[#This Row],[DI (uL) ]:[ NH4Cl (uL)]])</f>
        <v>0</v>
      </c>
    </row>
    <row r="907" spans="1:18" x14ac:dyDescent="0.25">
      <c r="A907" s="1">
        <f>SampleList[[#This Row],[Date Sampled]]</f>
        <v>0</v>
      </c>
      <c r="B907" t="str" cm="1">
        <f t="array" ref="B907">IF(ISBLANK(INDEX(SampleList[NMR],ROW()-1)),"Not Requested",INDEX(SampleList[Experiment ID],ROW()-1))</f>
        <v>Not Requested</v>
      </c>
      <c r="C907">
        <f>SampleList[[#This Row],[Duration (Days)]]</f>
        <v>0</v>
      </c>
      <c r="D907">
        <f>SampleList[[#This Row],[Sample Description]]</f>
        <v>0</v>
      </c>
      <c r="E907">
        <v>10</v>
      </c>
      <c r="F907">
        <v>100</v>
      </c>
      <c r="G907">
        <v>24</v>
      </c>
      <c r="H907">
        <v>50</v>
      </c>
      <c r="I907">
        <v>30</v>
      </c>
      <c r="J907">
        <v>375</v>
      </c>
      <c r="K907">
        <v>68</v>
      </c>
      <c r="N907">
        <f>SUM(NMRPrep[[#This Row],[d-DMSO (uL) ]:[ NH4Cl (uL)]])</f>
        <v>647</v>
      </c>
      <c r="O907">
        <f>647</f>
        <v>647</v>
      </c>
      <c r="P907">
        <f>NMRPrep[[#This Row],[Total (uL) ]]-NMRPrep[[#This Row],[Target (uL)]]</f>
        <v>0</v>
      </c>
      <c r="R907">
        <f>(NMRPrep[[#This Row],[NH4Cl Stock Concentration (mM)]]*NMRPrep[[#This Row],[ NH4Cl (uL)]])/SUM(NMRPrep[[#This Row],[DI (uL) ]:[ NH4Cl (uL)]])</f>
        <v>0</v>
      </c>
    </row>
    <row r="908" spans="1:18" x14ac:dyDescent="0.25">
      <c r="A908" s="1">
        <f>SampleList[[#This Row],[Date Sampled]]</f>
        <v>0</v>
      </c>
      <c r="B908" t="str" cm="1">
        <f t="array" ref="B908">IF(ISBLANK(INDEX(SampleList[NMR],ROW()-1)),"Not Requested",INDEX(SampleList[Experiment ID],ROW()-1))</f>
        <v>Not Requested</v>
      </c>
      <c r="C908">
        <f>SampleList[[#This Row],[Duration (Days)]]</f>
        <v>0</v>
      </c>
      <c r="D908">
        <f>SampleList[[#This Row],[Sample Description]]</f>
        <v>0</v>
      </c>
      <c r="E908">
        <v>11</v>
      </c>
      <c r="F908">
        <v>100</v>
      </c>
      <c r="G908">
        <v>24</v>
      </c>
      <c r="H908">
        <v>50</v>
      </c>
      <c r="I908">
        <v>30</v>
      </c>
      <c r="J908">
        <v>293</v>
      </c>
      <c r="L908">
        <v>150</v>
      </c>
      <c r="M908">
        <v>1</v>
      </c>
      <c r="N908">
        <f>SUM(NMRPrep[[#This Row],[d-DMSO (uL) ]:[ NH4Cl (uL)]])</f>
        <v>647</v>
      </c>
      <c r="O908">
        <f>647</f>
        <v>647</v>
      </c>
      <c r="P908">
        <f>NMRPrep[[#This Row],[Total (uL) ]]-NMRPrep[[#This Row],[Target (uL)]]</f>
        <v>0</v>
      </c>
      <c r="R908">
        <f>(NMRPrep[[#This Row],[NH4Cl Stock Concentration (mM)]]*NMRPrep[[#This Row],[ NH4Cl (uL)]])/SUM(NMRPrep[[#This Row],[DI (uL) ]:[ NH4Cl (uL)]])</f>
        <v>0.33860045146726864</v>
      </c>
    </row>
    <row r="909" spans="1:18" x14ac:dyDescent="0.25">
      <c r="A909" s="1">
        <f>SampleList[[#This Row],[Date Sampled]]</f>
        <v>0</v>
      </c>
      <c r="B909" t="str" cm="1">
        <f t="array" ref="B909">IF(ISBLANK(INDEX(SampleList[NMR],ROW()-1)),"Not Requested",INDEX(SampleList[Experiment ID],ROW()-1))</f>
        <v>Not Requested</v>
      </c>
      <c r="C909">
        <f>SampleList[[#This Row],[Duration (Days)]]</f>
        <v>0</v>
      </c>
      <c r="D909">
        <f>SampleList[[#This Row],[Sample Description]]</f>
        <v>0</v>
      </c>
      <c r="E909">
        <v>12</v>
      </c>
      <c r="F909">
        <v>100</v>
      </c>
      <c r="G909">
        <v>24</v>
      </c>
      <c r="H909">
        <v>50</v>
      </c>
      <c r="I909">
        <v>30</v>
      </c>
      <c r="J909">
        <v>375</v>
      </c>
      <c r="K909">
        <v>68</v>
      </c>
      <c r="N909">
        <f>SUM(NMRPrep[[#This Row],[d-DMSO (uL) ]:[ NH4Cl (uL)]])</f>
        <v>647</v>
      </c>
      <c r="O909">
        <f>647</f>
        <v>647</v>
      </c>
      <c r="P909">
        <f>NMRPrep[[#This Row],[Total (uL) ]]-NMRPrep[[#This Row],[Target (uL)]]</f>
        <v>0</v>
      </c>
      <c r="R909">
        <f>(NMRPrep[[#This Row],[NH4Cl Stock Concentration (mM)]]*NMRPrep[[#This Row],[ NH4Cl (uL)]])/SUM(NMRPrep[[#This Row],[DI (uL) ]:[ NH4Cl (uL)]])</f>
        <v>0</v>
      </c>
    </row>
    <row r="910" spans="1:18" x14ac:dyDescent="0.25">
      <c r="A910" s="1">
        <f>SampleList[[#This Row],[Date Sampled]]</f>
        <v>0</v>
      </c>
      <c r="B910" t="str" cm="1">
        <f t="array" ref="B910">IF(ISBLANK(INDEX(SampleList[NMR],ROW()-1)),"Not Requested",INDEX(SampleList[Experiment ID],ROW()-1))</f>
        <v>Not Requested</v>
      </c>
      <c r="C910">
        <f>SampleList[[#This Row],[Duration (Days)]]</f>
        <v>0</v>
      </c>
      <c r="D910">
        <f>SampleList[[#This Row],[Sample Description]]</f>
        <v>0</v>
      </c>
      <c r="E910">
        <v>1</v>
      </c>
      <c r="F910">
        <v>100</v>
      </c>
      <c r="G910">
        <v>24</v>
      </c>
      <c r="H910">
        <v>50</v>
      </c>
      <c r="I910">
        <v>30</v>
      </c>
      <c r="J910">
        <v>375</v>
      </c>
      <c r="K910">
        <v>68</v>
      </c>
      <c r="N910">
        <f>SUM(NMRPrep[[#This Row],[d-DMSO (uL) ]:[ NH4Cl (uL)]])</f>
        <v>647</v>
      </c>
      <c r="O910">
        <f>647</f>
        <v>647</v>
      </c>
      <c r="P910">
        <f>NMRPrep[[#This Row],[Total (uL) ]]-NMRPrep[[#This Row],[Target (uL)]]</f>
        <v>0</v>
      </c>
      <c r="R910">
        <f>(NMRPrep[[#This Row],[NH4Cl Stock Concentration (mM)]]*NMRPrep[[#This Row],[ NH4Cl (uL)]])/SUM(NMRPrep[[#This Row],[DI (uL) ]:[ NH4Cl (uL)]])</f>
        <v>0</v>
      </c>
    </row>
    <row r="911" spans="1:18" x14ac:dyDescent="0.25">
      <c r="A911" s="1">
        <f>SampleList[[#This Row],[Date Sampled]]</f>
        <v>0</v>
      </c>
      <c r="B911" t="str" cm="1">
        <f t="array" ref="B911">IF(ISBLANK(INDEX(SampleList[NMR],ROW()-1)),"Not Requested",INDEX(SampleList[Experiment ID],ROW()-1))</f>
        <v>Not Requested</v>
      </c>
      <c r="C911">
        <f>SampleList[[#This Row],[Duration (Days)]]</f>
        <v>0</v>
      </c>
      <c r="D911">
        <f>SampleList[[#This Row],[Sample Description]]</f>
        <v>0</v>
      </c>
      <c r="E911">
        <v>5</v>
      </c>
      <c r="F911">
        <v>100</v>
      </c>
      <c r="G911">
        <v>24</v>
      </c>
      <c r="H911">
        <v>50</v>
      </c>
      <c r="I911">
        <v>30</v>
      </c>
      <c r="J911">
        <v>375</v>
      </c>
      <c r="K911">
        <v>68</v>
      </c>
      <c r="N911">
        <f>SUM(NMRPrep[[#This Row],[d-DMSO (uL) ]:[ NH4Cl (uL)]])</f>
        <v>647</v>
      </c>
      <c r="O911">
        <f>647</f>
        <v>647</v>
      </c>
      <c r="P911">
        <f>NMRPrep[[#This Row],[Total (uL) ]]-NMRPrep[[#This Row],[Target (uL)]]</f>
        <v>0</v>
      </c>
      <c r="R911">
        <f>(NMRPrep[[#This Row],[NH4Cl Stock Concentration (mM)]]*NMRPrep[[#This Row],[ NH4Cl (uL)]])/SUM(NMRPrep[[#This Row],[DI (uL) ]:[ NH4Cl (uL)]])</f>
        <v>0</v>
      </c>
    </row>
    <row r="912" spans="1:18" x14ac:dyDescent="0.25">
      <c r="A912" s="1">
        <f>SampleList[[#This Row],[Date Sampled]]</f>
        <v>0</v>
      </c>
      <c r="B912" t="str" cm="1">
        <f t="array" ref="B912">IF(ISBLANK(INDEX(SampleList[NMR],ROW()-1)),"Not Requested",INDEX(SampleList[Experiment ID],ROW()-1))</f>
        <v>Not Requested</v>
      </c>
      <c r="C912">
        <f>SampleList[[#This Row],[Duration (Days)]]</f>
        <v>0</v>
      </c>
      <c r="D912">
        <f>SampleList[[#This Row],[Sample Description]]</f>
        <v>0</v>
      </c>
      <c r="E912">
        <v>2</v>
      </c>
      <c r="F912">
        <v>100</v>
      </c>
      <c r="G912">
        <v>24</v>
      </c>
      <c r="H912">
        <v>50</v>
      </c>
      <c r="I912">
        <v>30</v>
      </c>
      <c r="J912">
        <v>375</v>
      </c>
      <c r="K912">
        <v>68</v>
      </c>
      <c r="N912">
        <f>SUM(NMRPrep[[#This Row],[d-DMSO (uL) ]:[ NH4Cl (uL)]])</f>
        <v>647</v>
      </c>
      <c r="O912">
        <f>647</f>
        <v>647</v>
      </c>
      <c r="P912">
        <f>NMRPrep[[#This Row],[Total (uL) ]]-NMRPrep[[#This Row],[Target (uL)]]</f>
        <v>0</v>
      </c>
      <c r="R912">
        <f>(NMRPrep[[#This Row],[NH4Cl Stock Concentration (mM)]]*NMRPrep[[#This Row],[ NH4Cl (uL)]])/SUM(NMRPrep[[#This Row],[DI (uL) ]:[ NH4Cl (uL)]])</f>
        <v>0</v>
      </c>
    </row>
    <row r="913" spans="1:18" x14ac:dyDescent="0.25">
      <c r="A913" s="1">
        <f>SampleList[[#This Row],[Date Sampled]]</f>
        <v>0</v>
      </c>
      <c r="B913" t="str" cm="1">
        <f t="array" ref="B913">IF(ISBLANK(INDEX(SampleList[NMR],ROW()-1)),"Not Requested",INDEX(SampleList[Experiment ID],ROW()-1))</f>
        <v>Not Requested</v>
      </c>
      <c r="C913">
        <f>SampleList[[#This Row],[Duration (Days)]]</f>
        <v>0</v>
      </c>
      <c r="D913">
        <f>SampleList[[#This Row],[Sample Description]]</f>
        <v>0</v>
      </c>
      <c r="E913">
        <v>3</v>
      </c>
      <c r="F913">
        <v>100</v>
      </c>
      <c r="G913">
        <v>24</v>
      </c>
      <c r="H913">
        <v>50</v>
      </c>
      <c r="I913">
        <v>30</v>
      </c>
      <c r="J913">
        <v>375</v>
      </c>
      <c r="K913">
        <v>68</v>
      </c>
      <c r="N913">
        <f>SUM(NMRPrep[[#This Row],[d-DMSO (uL) ]:[ NH4Cl (uL)]])</f>
        <v>647</v>
      </c>
      <c r="O913">
        <f>647</f>
        <v>647</v>
      </c>
      <c r="P913">
        <f>NMRPrep[[#This Row],[Total (uL) ]]-NMRPrep[[#This Row],[Target (uL)]]</f>
        <v>0</v>
      </c>
      <c r="R913">
        <f>(NMRPrep[[#This Row],[NH4Cl Stock Concentration (mM)]]*NMRPrep[[#This Row],[ NH4Cl (uL)]])/SUM(NMRPrep[[#This Row],[DI (uL) ]:[ NH4Cl (uL)]])</f>
        <v>0</v>
      </c>
    </row>
    <row r="914" spans="1:18" x14ac:dyDescent="0.25">
      <c r="A914" s="1">
        <f>SampleList[[#This Row],[Date Sampled]]</f>
        <v>0</v>
      </c>
      <c r="B914" t="str" cm="1">
        <f t="array" ref="B914">IF(ISBLANK(INDEX(SampleList[NMR],ROW()-1)),"Not Requested",INDEX(SampleList[Experiment ID],ROW()-1))</f>
        <v>Not Requested</v>
      </c>
      <c r="C914">
        <f>SampleList[[#This Row],[Duration (Days)]]</f>
        <v>0</v>
      </c>
      <c r="D914">
        <f>SampleList[[#This Row],[Sample Description]]</f>
        <v>0</v>
      </c>
      <c r="E914">
        <v>4</v>
      </c>
      <c r="F914">
        <v>100</v>
      </c>
      <c r="G914">
        <v>24</v>
      </c>
      <c r="H914">
        <v>50</v>
      </c>
      <c r="I914">
        <v>30</v>
      </c>
      <c r="J914">
        <v>375</v>
      </c>
      <c r="K914">
        <v>68</v>
      </c>
      <c r="N914">
        <f>SUM(NMRPrep[[#This Row],[d-DMSO (uL) ]:[ NH4Cl (uL)]])</f>
        <v>647</v>
      </c>
      <c r="O914">
        <f>647</f>
        <v>647</v>
      </c>
      <c r="P914">
        <f>NMRPrep[[#This Row],[Total (uL) ]]-NMRPrep[[#This Row],[Target (uL)]]</f>
        <v>0</v>
      </c>
      <c r="R914">
        <f>(NMRPrep[[#This Row],[NH4Cl Stock Concentration (mM)]]*NMRPrep[[#This Row],[ NH4Cl (uL)]])/SUM(NMRPrep[[#This Row],[DI (uL) ]:[ NH4Cl (uL)]])</f>
        <v>0</v>
      </c>
    </row>
    <row r="915" spans="1:18" x14ac:dyDescent="0.25">
      <c r="A915" s="1">
        <f>SampleList[[#This Row],[Date Sampled]]</f>
        <v>0</v>
      </c>
      <c r="B915" t="str" cm="1">
        <f t="array" ref="B915">IF(ISBLANK(INDEX(SampleList[NMR],ROW()-1)),"Not Requested",INDEX(SampleList[Experiment ID],ROW()-1))</f>
        <v>Not Requested</v>
      </c>
      <c r="C915">
        <f>SampleList[[#This Row],[Duration (Days)]]</f>
        <v>0</v>
      </c>
      <c r="D915">
        <f>SampleList[[#This Row],[Sample Description]]</f>
        <v>0</v>
      </c>
      <c r="E915">
        <v>6</v>
      </c>
      <c r="F915">
        <v>100</v>
      </c>
      <c r="G915">
        <v>24</v>
      </c>
      <c r="H915">
        <v>50</v>
      </c>
      <c r="I915">
        <v>30</v>
      </c>
      <c r="J915">
        <v>293</v>
      </c>
      <c r="L915">
        <v>150</v>
      </c>
      <c r="M915">
        <v>1</v>
      </c>
      <c r="N915">
        <f>SUM(NMRPrep[[#This Row],[d-DMSO (uL) ]:[ NH4Cl (uL)]])</f>
        <v>647</v>
      </c>
      <c r="O915">
        <f>647</f>
        <v>647</v>
      </c>
      <c r="P915">
        <f>NMRPrep[[#This Row],[Total (uL) ]]-NMRPrep[[#This Row],[Target (uL)]]</f>
        <v>0</v>
      </c>
      <c r="R915">
        <f>(NMRPrep[[#This Row],[NH4Cl Stock Concentration (mM)]]*NMRPrep[[#This Row],[ NH4Cl (uL)]])/SUM(NMRPrep[[#This Row],[DI (uL) ]:[ NH4Cl (uL)]])</f>
        <v>0.33860045146726864</v>
      </c>
    </row>
    <row r="916" spans="1:18" x14ac:dyDescent="0.25">
      <c r="A916" s="1">
        <f>SampleList[[#This Row],[Date Sampled]]</f>
        <v>0</v>
      </c>
      <c r="B916" t="str" cm="1">
        <f t="array" ref="B916">IF(ISBLANK(INDEX(SampleList[NMR],ROW()-1)),"Not Requested",INDEX(SampleList[Experiment ID],ROW()-1))</f>
        <v>Not Requested</v>
      </c>
      <c r="C916">
        <f>SampleList[[#This Row],[Duration (Days)]]</f>
        <v>0</v>
      </c>
      <c r="D916">
        <f>SampleList[[#This Row],[Sample Description]]</f>
        <v>0</v>
      </c>
      <c r="E916">
        <v>7</v>
      </c>
      <c r="F916">
        <v>100</v>
      </c>
      <c r="G916">
        <v>24</v>
      </c>
      <c r="H916">
        <v>50</v>
      </c>
      <c r="I916">
        <v>30</v>
      </c>
      <c r="J916">
        <v>375</v>
      </c>
      <c r="K916">
        <v>68</v>
      </c>
      <c r="N916">
        <f>SUM(NMRPrep[[#This Row],[d-DMSO (uL) ]:[ NH4Cl (uL)]])</f>
        <v>647</v>
      </c>
      <c r="O916">
        <f>647</f>
        <v>647</v>
      </c>
      <c r="P916">
        <f>NMRPrep[[#This Row],[Total (uL) ]]-NMRPrep[[#This Row],[Target (uL)]]</f>
        <v>0</v>
      </c>
      <c r="R916">
        <f>(NMRPrep[[#This Row],[NH4Cl Stock Concentration (mM)]]*NMRPrep[[#This Row],[ NH4Cl (uL)]])/SUM(NMRPrep[[#This Row],[DI (uL) ]:[ NH4Cl (uL)]])</f>
        <v>0</v>
      </c>
    </row>
    <row r="917" spans="1:18" x14ac:dyDescent="0.25">
      <c r="A917" s="1">
        <f>SampleList[[#This Row],[Date Sampled]]</f>
        <v>0</v>
      </c>
      <c r="B917" t="str" cm="1">
        <f t="array" ref="B917">IF(ISBLANK(INDEX(SampleList[NMR],ROW()-1)),"Not Requested",INDEX(SampleList[Experiment ID],ROW()-1))</f>
        <v>Not Requested</v>
      </c>
      <c r="C917">
        <f>SampleList[[#This Row],[Duration (Days)]]</f>
        <v>0</v>
      </c>
      <c r="D917">
        <f>SampleList[[#This Row],[Sample Description]]</f>
        <v>0</v>
      </c>
      <c r="N917">
        <f>SUM(NMRPrep[[#This Row],[d-DMSO (uL) ]:[ NH4Cl (uL)]])</f>
        <v>0</v>
      </c>
      <c r="O917">
        <f>647</f>
        <v>647</v>
      </c>
      <c r="P917">
        <f>NMRPrep[[#This Row],[Total (uL) ]]-NMRPrep[[#This Row],[Target (uL)]]</f>
        <v>-647</v>
      </c>
      <c r="R917" t="e">
        <f>(NMRPrep[[#This Row],[NH4Cl Stock Concentration (mM)]]*NMRPrep[[#This Row],[ NH4Cl (uL)]])/SUM(NMRPrep[[#This Row],[DI (uL) ]:[ NH4Cl (uL)]])</f>
        <v>#DIV/0!</v>
      </c>
    </row>
    <row r="918" spans="1:18" x14ac:dyDescent="0.25">
      <c r="A918" s="1">
        <f>SampleList[[#This Row],[Date Sampled]]</f>
        <v>0</v>
      </c>
      <c r="B918" t="str" cm="1">
        <f t="array" ref="B918">IF(ISBLANK(INDEX(SampleList[NMR],ROW()-1)),"Not Requested",INDEX(SampleList[Experiment ID],ROW()-1))</f>
        <v>Not Requested</v>
      </c>
      <c r="C918">
        <f>SampleList[[#This Row],[Duration (Days)]]</f>
        <v>0</v>
      </c>
      <c r="D918">
        <f>SampleList[[#This Row],[Sample Description]]</f>
        <v>0</v>
      </c>
      <c r="N918">
        <f>SUM(NMRPrep[[#This Row],[d-DMSO (uL) ]:[ NH4Cl (uL)]])</f>
        <v>0</v>
      </c>
      <c r="O918">
        <f>647</f>
        <v>647</v>
      </c>
      <c r="P918">
        <f>NMRPrep[[#This Row],[Total (uL) ]]-NMRPrep[[#This Row],[Target (uL)]]</f>
        <v>-647</v>
      </c>
      <c r="R918" t="e">
        <f>(NMRPrep[[#This Row],[NH4Cl Stock Concentration (mM)]]*NMRPrep[[#This Row],[ NH4Cl (uL)]])/SUM(NMRPrep[[#This Row],[DI (uL) ]:[ NH4Cl (uL)]])</f>
        <v>#DIV/0!</v>
      </c>
    </row>
    <row r="919" spans="1:18" x14ac:dyDescent="0.25">
      <c r="A919" s="1">
        <f>SampleList[[#This Row],[Date Sampled]]</f>
        <v>0</v>
      </c>
      <c r="B919" t="str" cm="1">
        <f t="array" ref="B919">IF(ISBLANK(INDEX(SampleList[NMR],ROW()-1)),"Not Requested",INDEX(SampleList[Experiment ID],ROW()-1))</f>
        <v>Not Requested</v>
      </c>
      <c r="C919">
        <f>SampleList[[#This Row],[Duration (Days)]]</f>
        <v>0</v>
      </c>
      <c r="D919">
        <f>SampleList[[#This Row],[Sample Description]]</f>
        <v>0</v>
      </c>
      <c r="N919">
        <f>SUM(NMRPrep[[#This Row],[d-DMSO (uL) ]:[ NH4Cl (uL)]])</f>
        <v>0</v>
      </c>
      <c r="O919">
        <f>647</f>
        <v>647</v>
      </c>
      <c r="P919">
        <f>NMRPrep[[#This Row],[Total (uL) ]]-NMRPrep[[#This Row],[Target (uL)]]</f>
        <v>-647</v>
      </c>
      <c r="R919" t="e">
        <f>(NMRPrep[[#This Row],[NH4Cl Stock Concentration (mM)]]*NMRPrep[[#This Row],[ NH4Cl (uL)]])/SUM(NMRPrep[[#This Row],[DI (uL) ]:[ NH4Cl (uL)]])</f>
        <v>#DIV/0!</v>
      </c>
    </row>
    <row r="920" spans="1:18" x14ac:dyDescent="0.25">
      <c r="A920" s="1">
        <f>SampleList[[#This Row],[Date Sampled]]</f>
        <v>0</v>
      </c>
      <c r="B920" t="str" cm="1">
        <f t="array" ref="B920">IF(ISBLANK(INDEX(SampleList[NMR],ROW()-1)),"Not Requested",INDEX(SampleList[Experiment ID],ROW()-1))</f>
        <v>Not Requested</v>
      </c>
      <c r="C920">
        <f>SampleList[[#This Row],[Duration (Days)]]</f>
        <v>0</v>
      </c>
      <c r="D920">
        <f>SampleList[[#This Row],[Sample Description]]</f>
        <v>0</v>
      </c>
      <c r="N920">
        <f>SUM(NMRPrep[[#This Row],[d-DMSO (uL) ]:[ NH4Cl (uL)]])</f>
        <v>0</v>
      </c>
      <c r="O920">
        <f>647</f>
        <v>647</v>
      </c>
      <c r="P920">
        <f>NMRPrep[[#This Row],[Total (uL) ]]-NMRPrep[[#This Row],[Target (uL)]]</f>
        <v>-647</v>
      </c>
      <c r="R920" t="e">
        <f>(NMRPrep[[#This Row],[NH4Cl Stock Concentration (mM)]]*NMRPrep[[#This Row],[ NH4Cl (uL)]])/SUM(NMRPrep[[#This Row],[DI (uL) ]:[ NH4Cl (uL)]])</f>
        <v>#DIV/0!</v>
      </c>
    </row>
    <row r="921" spans="1:18" x14ac:dyDescent="0.25">
      <c r="A921" s="1">
        <f>SampleList[[#This Row],[Date Sampled]]</f>
        <v>0</v>
      </c>
      <c r="B921" t="str" cm="1">
        <f t="array" ref="B921">IF(ISBLANK(INDEX(SampleList[NMR],ROW()-1)),"Not Requested",INDEX(SampleList[Experiment ID],ROW()-1))</f>
        <v>Not Requested</v>
      </c>
      <c r="C921">
        <f>SampleList[[#This Row],[Duration (Days)]]</f>
        <v>0</v>
      </c>
      <c r="D921">
        <f>SampleList[[#This Row],[Sample Description]]</f>
        <v>0</v>
      </c>
      <c r="N921">
        <f>SUM(NMRPrep[[#This Row],[d-DMSO (uL) ]:[ NH4Cl (uL)]])</f>
        <v>0</v>
      </c>
      <c r="O921">
        <f>647</f>
        <v>647</v>
      </c>
      <c r="P921">
        <f>NMRPrep[[#This Row],[Total (uL) ]]-NMRPrep[[#This Row],[Target (uL)]]</f>
        <v>-647</v>
      </c>
      <c r="R921" t="e">
        <f>(NMRPrep[[#This Row],[NH4Cl Stock Concentration (mM)]]*NMRPrep[[#This Row],[ NH4Cl (uL)]])/SUM(NMRPrep[[#This Row],[DI (uL) ]:[ NH4Cl (uL)]])</f>
        <v>#DIV/0!</v>
      </c>
    </row>
    <row r="922" spans="1:18" x14ac:dyDescent="0.25">
      <c r="A922" s="1">
        <f>SampleList[[#This Row],[Date Sampled]]</f>
        <v>0</v>
      </c>
      <c r="B922" t="str" cm="1">
        <f t="array" ref="B922">IF(ISBLANK(INDEX(SampleList[NMR],ROW()-1)),"Not Requested",INDEX(SampleList[Experiment ID],ROW()-1))</f>
        <v>Not Requested</v>
      </c>
      <c r="C922">
        <f>SampleList[[#This Row],[Duration (Days)]]</f>
        <v>0</v>
      </c>
      <c r="D922">
        <f>SampleList[[#This Row],[Sample Description]]</f>
        <v>0</v>
      </c>
      <c r="N922">
        <f>SUM(NMRPrep[[#This Row],[d-DMSO (uL) ]:[ NH4Cl (uL)]])</f>
        <v>0</v>
      </c>
      <c r="O922">
        <f>647</f>
        <v>647</v>
      </c>
      <c r="P922">
        <f>NMRPrep[[#This Row],[Total (uL) ]]-NMRPrep[[#This Row],[Target (uL)]]</f>
        <v>-647</v>
      </c>
      <c r="R922" t="e">
        <f>(NMRPrep[[#This Row],[NH4Cl Stock Concentration (mM)]]*NMRPrep[[#This Row],[ NH4Cl (uL)]])/SUM(NMRPrep[[#This Row],[DI (uL) ]:[ NH4Cl (uL)]])</f>
        <v>#DIV/0!</v>
      </c>
    </row>
    <row r="923" spans="1:18" x14ac:dyDescent="0.25">
      <c r="A923" s="1">
        <f>SampleList[[#This Row],[Date Sampled]]</f>
        <v>0</v>
      </c>
      <c r="B923" t="str" cm="1">
        <f t="array" ref="B923">IF(ISBLANK(INDEX(SampleList[NMR],ROW()-1)),"Not Requested",INDEX(SampleList[Experiment ID],ROW()-1))</f>
        <v>Not Requested</v>
      </c>
      <c r="C923">
        <f>SampleList[[#This Row],[Duration (Days)]]</f>
        <v>0</v>
      </c>
      <c r="D923">
        <f>SampleList[[#This Row],[Sample Description]]</f>
        <v>0</v>
      </c>
      <c r="N923">
        <f>SUM(NMRPrep[[#This Row],[d-DMSO (uL) ]:[ NH4Cl (uL)]])</f>
        <v>0</v>
      </c>
      <c r="O923">
        <f>647</f>
        <v>647</v>
      </c>
      <c r="P923">
        <f>NMRPrep[[#This Row],[Total (uL) ]]-NMRPrep[[#This Row],[Target (uL)]]</f>
        <v>-647</v>
      </c>
      <c r="R923" t="e">
        <f>(NMRPrep[[#This Row],[NH4Cl Stock Concentration (mM)]]*NMRPrep[[#This Row],[ NH4Cl (uL)]])/SUM(NMRPrep[[#This Row],[DI (uL) ]:[ NH4Cl (uL)]])</f>
        <v>#DIV/0!</v>
      </c>
    </row>
    <row r="924" spans="1:18" x14ac:dyDescent="0.25">
      <c r="A924" s="1">
        <f>SampleList[[#This Row],[Date Sampled]]</f>
        <v>0</v>
      </c>
      <c r="B924" t="str" cm="1">
        <f t="array" ref="B924">IF(ISBLANK(INDEX(SampleList[NMR],ROW()-1)),"Not Requested",INDEX(SampleList[Experiment ID],ROW()-1))</f>
        <v>Not Requested</v>
      </c>
      <c r="C924">
        <f>SampleList[[#This Row],[Duration (Days)]]</f>
        <v>0</v>
      </c>
      <c r="D924">
        <f>SampleList[[#This Row],[Sample Description]]</f>
        <v>0</v>
      </c>
      <c r="N924">
        <f>SUM(NMRPrep[[#This Row],[d-DMSO (uL) ]:[ NH4Cl (uL)]])</f>
        <v>0</v>
      </c>
      <c r="O924">
        <f>647</f>
        <v>647</v>
      </c>
      <c r="P924">
        <f>NMRPrep[[#This Row],[Total (uL) ]]-NMRPrep[[#This Row],[Target (uL)]]</f>
        <v>-647</v>
      </c>
      <c r="R924" t="e">
        <f>(NMRPrep[[#This Row],[NH4Cl Stock Concentration (mM)]]*NMRPrep[[#This Row],[ NH4Cl (uL)]])/SUM(NMRPrep[[#This Row],[DI (uL) ]:[ NH4Cl (uL)]])</f>
        <v>#DIV/0!</v>
      </c>
    </row>
    <row r="925" spans="1:18" x14ac:dyDescent="0.25">
      <c r="A925" s="1">
        <f>SampleList[[#This Row],[Date Sampled]]</f>
        <v>0</v>
      </c>
      <c r="B925" t="str" cm="1">
        <f t="array" ref="B925">IF(ISBLANK(INDEX(SampleList[NMR],ROW()-1)),"Not Requested",INDEX(SampleList[Experiment ID],ROW()-1))</f>
        <v>Not Requested</v>
      </c>
      <c r="C925">
        <f>SampleList[[#This Row],[Duration (Days)]]</f>
        <v>0</v>
      </c>
      <c r="D925">
        <f>SampleList[[#This Row],[Sample Description]]</f>
        <v>0</v>
      </c>
      <c r="N925">
        <f>SUM(NMRPrep[[#This Row],[d-DMSO (uL) ]:[ NH4Cl (uL)]])</f>
        <v>0</v>
      </c>
      <c r="O925">
        <f>647</f>
        <v>647</v>
      </c>
      <c r="P925">
        <f>NMRPrep[[#This Row],[Total (uL) ]]-NMRPrep[[#This Row],[Target (uL)]]</f>
        <v>-647</v>
      </c>
      <c r="R925" t="e">
        <f>(NMRPrep[[#This Row],[NH4Cl Stock Concentration (mM)]]*NMRPrep[[#This Row],[ NH4Cl (uL)]])/SUM(NMRPrep[[#This Row],[DI (uL) ]:[ NH4Cl (uL)]])</f>
        <v>#DIV/0!</v>
      </c>
    </row>
    <row r="926" spans="1:18" x14ac:dyDescent="0.25">
      <c r="A926" s="1">
        <f>SampleList[[#This Row],[Date Sampled]]</f>
        <v>0</v>
      </c>
      <c r="B926" t="str" cm="1">
        <f t="array" ref="B926">IF(ISBLANK(INDEX(SampleList[NMR],ROW()-1)),"Not Requested",INDEX(SampleList[Experiment ID],ROW()-1))</f>
        <v>Not Requested</v>
      </c>
      <c r="C926">
        <f>SampleList[[#This Row],[Duration (Days)]]</f>
        <v>0</v>
      </c>
      <c r="D926">
        <f>SampleList[[#This Row],[Sample Description]]</f>
        <v>0</v>
      </c>
      <c r="N926">
        <f>SUM(NMRPrep[[#This Row],[d-DMSO (uL) ]:[ NH4Cl (uL)]])</f>
        <v>0</v>
      </c>
      <c r="O926">
        <f>647</f>
        <v>647</v>
      </c>
      <c r="P926">
        <f>NMRPrep[[#This Row],[Total (uL) ]]-NMRPrep[[#This Row],[Target (uL)]]</f>
        <v>-647</v>
      </c>
      <c r="R926" t="e">
        <f>(NMRPrep[[#This Row],[NH4Cl Stock Concentration (mM)]]*NMRPrep[[#This Row],[ NH4Cl (uL)]])/SUM(NMRPrep[[#This Row],[DI (uL) ]:[ NH4Cl (uL)]])</f>
        <v>#DIV/0!</v>
      </c>
    </row>
    <row r="927" spans="1:18" x14ac:dyDescent="0.25">
      <c r="A927" s="1">
        <f>SampleList[[#This Row],[Date Sampled]]</f>
        <v>0</v>
      </c>
      <c r="B927" t="str" cm="1">
        <f t="array" ref="B927">IF(ISBLANK(INDEX(SampleList[NMR],ROW()-1)),"Not Requested",INDEX(SampleList[Experiment ID],ROW()-1))</f>
        <v>Not Requested</v>
      </c>
      <c r="C927">
        <f>SampleList[[#This Row],[Duration (Days)]]</f>
        <v>0</v>
      </c>
      <c r="D927">
        <f>SampleList[[#This Row],[Sample Description]]</f>
        <v>0</v>
      </c>
      <c r="N927">
        <f>SUM(NMRPrep[[#This Row],[d-DMSO (uL) ]:[ NH4Cl (uL)]])</f>
        <v>0</v>
      </c>
      <c r="O927">
        <f>647</f>
        <v>647</v>
      </c>
      <c r="P927">
        <f>NMRPrep[[#This Row],[Total (uL) ]]-NMRPrep[[#This Row],[Target (uL)]]</f>
        <v>-647</v>
      </c>
      <c r="R927" t="e">
        <f>(NMRPrep[[#This Row],[NH4Cl Stock Concentration (mM)]]*NMRPrep[[#This Row],[ NH4Cl (uL)]])/SUM(NMRPrep[[#This Row],[DI (uL) ]:[ NH4Cl (uL)]])</f>
        <v>#DIV/0!</v>
      </c>
    </row>
    <row r="928" spans="1:18" x14ac:dyDescent="0.25">
      <c r="A928" s="1">
        <f>SampleList[[#This Row],[Date Sampled]]</f>
        <v>0</v>
      </c>
      <c r="B928" t="str" cm="1">
        <f t="array" ref="B928">IF(ISBLANK(INDEX(SampleList[NMR],ROW()-1)),"Not Requested",INDEX(SampleList[Experiment ID],ROW()-1))</f>
        <v>Not Requested</v>
      </c>
      <c r="C928">
        <f>SampleList[[#This Row],[Duration (Days)]]</f>
        <v>0</v>
      </c>
      <c r="D928">
        <f>SampleList[[#This Row],[Sample Description]]</f>
        <v>0</v>
      </c>
      <c r="N928">
        <f>SUM(NMRPrep[[#This Row],[d-DMSO (uL) ]:[ NH4Cl (uL)]])</f>
        <v>0</v>
      </c>
      <c r="O928">
        <f>647</f>
        <v>647</v>
      </c>
      <c r="P928">
        <f>NMRPrep[[#This Row],[Total (uL) ]]-NMRPrep[[#This Row],[Target (uL)]]</f>
        <v>-647</v>
      </c>
      <c r="R928" t="e">
        <f>(NMRPrep[[#This Row],[NH4Cl Stock Concentration (mM)]]*NMRPrep[[#This Row],[ NH4Cl (uL)]])/SUM(NMRPrep[[#This Row],[DI (uL) ]:[ NH4Cl (uL)]])</f>
        <v>#DIV/0!</v>
      </c>
    </row>
    <row r="929" spans="1:18" x14ac:dyDescent="0.25">
      <c r="A929" s="1">
        <f>SampleList[[#This Row],[Date Sampled]]</f>
        <v>0</v>
      </c>
      <c r="B929" t="str" cm="1">
        <f t="array" ref="B929">IF(ISBLANK(INDEX(SampleList[NMR],ROW()-1)),"Not Requested",INDEX(SampleList[Experiment ID],ROW()-1))</f>
        <v>Not Requested</v>
      </c>
      <c r="C929">
        <f>SampleList[[#This Row],[Duration (Days)]]</f>
        <v>0</v>
      </c>
      <c r="D929">
        <f>SampleList[[#This Row],[Sample Description]]</f>
        <v>0</v>
      </c>
      <c r="N929">
        <f>SUM(NMRPrep[[#This Row],[d-DMSO (uL) ]:[ NH4Cl (uL)]])</f>
        <v>0</v>
      </c>
      <c r="O929">
        <f>647</f>
        <v>647</v>
      </c>
      <c r="P929">
        <f>NMRPrep[[#This Row],[Total (uL) ]]-NMRPrep[[#This Row],[Target (uL)]]</f>
        <v>-647</v>
      </c>
      <c r="R929" t="e">
        <f>(NMRPrep[[#This Row],[NH4Cl Stock Concentration (mM)]]*NMRPrep[[#This Row],[ NH4Cl (uL)]])/SUM(NMRPrep[[#This Row],[DI (uL) ]:[ NH4Cl (uL)]])</f>
        <v>#DIV/0!</v>
      </c>
    </row>
    <row r="930" spans="1:18" x14ac:dyDescent="0.25">
      <c r="A930" s="1">
        <f>SampleList[[#This Row],[Date Sampled]]</f>
        <v>0</v>
      </c>
      <c r="B930" t="str" cm="1">
        <f t="array" ref="B930">IF(ISBLANK(INDEX(SampleList[NMR],ROW()-1)),"Not Requested",INDEX(SampleList[Experiment ID],ROW()-1))</f>
        <v>Not Requested</v>
      </c>
      <c r="C930">
        <f>SampleList[[#This Row],[Duration (Days)]]</f>
        <v>0</v>
      </c>
      <c r="D930">
        <f>SampleList[[#This Row],[Sample Description]]</f>
        <v>0</v>
      </c>
      <c r="N930">
        <f>SUM(NMRPrep[[#This Row],[d-DMSO (uL) ]:[ NH4Cl (uL)]])</f>
        <v>0</v>
      </c>
      <c r="O930">
        <f>647</f>
        <v>647</v>
      </c>
      <c r="P930">
        <f>NMRPrep[[#This Row],[Total (uL) ]]-NMRPrep[[#This Row],[Target (uL)]]</f>
        <v>-647</v>
      </c>
      <c r="R930" t="e">
        <f>(NMRPrep[[#This Row],[NH4Cl Stock Concentration (mM)]]*NMRPrep[[#This Row],[ NH4Cl (uL)]])/SUM(NMRPrep[[#This Row],[DI (uL) ]:[ NH4Cl (uL)]])</f>
        <v>#DIV/0!</v>
      </c>
    </row>
    <row r="931" spans="1:18" x14ac:dyDescent="0.25">
      <c r="A931" s="1">
        <f>SampleList[[#This Row],[Date Sampled]]</f>
        <v>0</v>
      </c>
      <c r="B931" t="str" cm="1">
        <f t="array" ref="B931">IF(ISBLANK(INDEX(SampleList[NMR],ROW()-1)),"Not Requested",INDEX(SampleList[Experiment ID],ROW()-1))</f>
        <v>Not Requested</v>
      </c>
      <c r="C931">
        <f>SampleList[[#This Row],[Duration (Days)]]</f>
        <v>0</v>
      </c>
      <c r="D931">
        <f>SampleList[[#This Row],[Sample Description]]</f>
        <v>0</v>
      </c>
      <c r="N931">
        <f>SUM(NMRPrep[[#This Row],[d-DMSO (uL) ]:[ NH4Cl (uL)]])</f>
        <v>0</v>
      </c>
      <c r="O931">
        <f>647</f>
        <v>647</v>
      </c>
      <c r="P931">
        <f>NMRPrep[[#This Row],[Total (uL) ]]-NMRPrep[[#This Row],[Target (uL)]]</f>
        <v>-647</v>
      </c>
      <c r="R931" t="e">
        <f>(NMRPrep[[#This Row],[NH4Cl Stock Concentration (mM)]]*NMRPrep[[#This Row],[ NH4Cl (uL)]])/SUM(NMRPrep[[#This Row],[DI (uL) ]:[ NH4Cl (uL)]])</f>
        <v>#DIV/0!</v>
      </c>
    </row>
    <row r="932" spans="1:18" x14ac:dyDescent="0.25">
      <c r="A932" s="1">
        <f>SampleList[[#This Row],[Date Sampled]]</f>
        <v>0</v>
      </c>
      <c r="B932" t="str" cm="1">
        <f t="array" ref="B932">IF(ISBLANK(INDEX(SampleList[NMR],ROW()-1)),"Not Requested",INDEX(SampleList[Experiment ID],ROW()-1))</f>
        <v>Not Requested</v>
      </c>
      <c r="C932">
        <f>SampleList[[#This Row],[Duration (Days)]]</f>
        <v>0</v>
      </c>
      <c r="D932">
        <f>SampleList[[#This Row],[Sample Description]]</f>
        <v>0</v>
      </c>
      <c r="N932">
        <f>SUM(NMRPrep[[#This Row],[d-DMSO (uL) ]:[ NH4Cl (uL)]])</f>
        <v>0</v>
      </c>
      <c r="O932">
        <f>647</f>
        <v>647</v>
      </c>
      <c r="P932">
        <f>NMRPrep[[#This Row],[Total (uL) ]]-NMRPrep[[#This Row],[Target (uL)]]</f>
        <v>-647</v>
      </c>
      <c r="R932" t="e">
        <f>(NMRPrep[[#This Row],[NH4Cl Stock Concentration (mM)]]*NMRPrep[[#This Row],[ NH4Cl (uL)]])/SUM(NMRPrep[[#This Row],[DI (uL) ]:[ NH4Cl (uL)]])</f>
        <v>#DIV/0!</v>
      </c>
    </row>
    <row r="933" spans="1:18" x14ac:dyDescent="0.25">
      <c r="A933" s="1">
        <f>SampleList[[#This Row],[Date Sampled]]</f>
        <v>0</v>
      </c>
      <c r="B933" t="str" cm="1">
        <f t="array" ref="B933">IF(ISBLANK(INDEX(SampleList[NMR],ROW()-1)),"Not Requested",INDEX(SampleList[Experiment ID],ROW()-1))</f>
        <v>Not Requested</v>
      </c>
      <c r="C933">
        <f>SampleList[[#This Row],[Duration (Days)]]</f>
        <v>0</v>
      </c>
      <c r="D933">
        <f>SampleList[[#This Row],[Sample Description]]</f>
        <v>0</v>
      </c>
      <c r="N933">
        <f>SUM(NMRPrep[[#This Row],[d-DMSO (uL) ]:[ NH4Cl (uL)]])</f>
        <v>0</v>
      </c>
      <c r="O933">
        <f>647</f>
        <v>647</v>
      </c>
      <c r="P933">
        <f>NMRPrep[[#This Row],[Total (uL) ]]-NMRPrep[[#This Row],[Target (uL)]]</f>
        <v>-647</v>
      </c>
      <c r="R933" t="e">
        <f>(NMRPrep[[#This Row],[NH4Cl Stock Concentration (mM)]]*NMRPrep[[#This Row],[ NH4Cl (uL)]])/SUM(NMRPrep[[#This Row],[DI (uL) ]:[ NH4Cl (uL)]])</f>
        <v>#DIV/0!</v>
      </c>
    </row>
    <row r="934" spans="1:18" x14ac:dyDescent="0.25">
      <c r="A934" s="1">
        <f>SampleList[[#This Row],[Date Sampled]]</f>
        <v>0</v>
      </c>
      <c r="B934" t="str" cm="1">
        <f t="array" ref="B934">IF(ISBLANK(INDEX(SampleList[NMR],ROW()-1)),"Not Requested",INDEX(SampleList[Experiment ID],ROW()-1))</f>
        <v>Not Requested</v>
      </c>
      <c r="C934">
        <f>SampleList[[#This Row],[Duration (Days)]]</f>
        <v>0</v>
      </c>
      <c r="D934">
        <f>SampleList[[#This Row],[Sample Description]]</f>
        <v>0</v>
      </c>
      <c r="N934">
        <f>SUM(NMRPrep[[#This Row],[d-DMSO (uL) ]:[ NH4Cl (uL)]])</f>
        <v>0</v>
      </c>
      <c r="O934">
        <f>647</f>
        <v>647</v>
      </c>
      <c r="P934">
        <f>NMRPrep[[#This Row],[Total (uL) ]]-NMRPrep[[#This Row],[Target (uL)]]</f>
        <v>-647</v>
      </c>
      <c r="R934" t="e">
        <f>(NMRPrep[[#This Row],[NH4Cl Stock Concentration (mM)]]*NMRPrep[[#This Row],[ NH4Cl (uL)]])/SUM(NMRPrep[[#This Row],[DI (uL) ]:[ NH4Cl (uL)]])</f>
        <v>#DIV/0!</v>
      </c>
    </row>
    <row r="935" spans="1:18" x14ac:dyDescent="0.25">
      <c r="A935" s="1">
        <f>SampleList[[#This Row],[Date Sampled]]</f>
        <v>0</v>
      </c>
      <c r="B935" t="str" cm="1">
        <f t="array" ref="B935">IF(ISBLANK(INDEX(SampleList[NMR],ROW()-1)),"Not Requested",INDEX(SampleList[Experiment ID],ROW()-1))</f>
        <v>Not Requested</v>
      </c>
      <c r="C935">
        <f>SampleList[[#This Row],[Duration (Days)]]</f>
        <v>0</v>
      </c>
      <c r="D935">
        <f>SampleList[[#This Row],[Sample Description]]</f>
        <v>0</v>
      </c>
      <c r="N935">
        <f>SUM(NMRPrep[[#This Row],[d-DMSO (uL) ]:[ NH4Cl (uL)]])</f>
        <v>0</v>
      </c>
      <c r="O935">
        <f>647</f>
        <v>647</v>
      </c>
      <c r="P935">
        <f>NMRPrep[[#This Row],[Total (uL) ]]-NMRPrep[[#This Row],[Target (uL)]]</f>
        <v>-647</v>
      </c>
      <c r="R935" t="e">
        <f>(NMRPrep[[#This Row],[NH4Cl Stock Concentration (mM)]]*NMRPrep[[#This Row],[ NH4Cl (uL)]])/SUM(NMRPrep[[#This Row],[DI (uL) ]:[ NH4Cl (uL)]])</f>
        <v>#DIV/0!</v>
      </c>
    </row>
    <row r="936" spans="1:18" x14ac:dyDescent="0.25">
      <c r="A936" s="1">
        <f>SampleList[[#This Row],[Date Sampled]]</f>
        <v>0</v>
      </c>
      <c r="B936" t="str" cm="1">
        <f t="array" ref="B936">IF(ISBLANK(INDEX(SampleList[NMR],ROW()-1)),"Not Requested",INDEX(SampleList[Experiment ID],ROW()-1))</f>
        <v>Not Requested</v>
      </c>
      <c r="C936">
        <f>SampleList[[#This Row],[Duration (Days)]]</f>
        <v>0</v>
      </c>
      <c r="D936">
        <f>SampleList[[#This Row],[Sample Description]]</f>
        <v>0</v>
      </c>
      <c r="N936">
        <f>SUM(NMRPrep[[#This Row],[d-DMSO (uL) ]:[ NH4Cl (uL)]])</f>
        <v>0</v>
      </c>
      <c r="O936">
        <f>647</f>
        <v>647</v>
      </c>
      <c r="P936">
        <f>NMRPrep[[#This Row],[Total (uL) ]]-NMRPrep[[#This Row],[Target (uL)]]</f>
        <v>-647</v>
      </c>
      <c r="R936" t="e">
        <f>(NMRPrep[[#This Row],[NH4Cl Stock Concentration (mM)]]*NMRPrep[[#This Row],[ NH4Cl (uL)]])/SUM(NMRPrep[[#This Row],[DI (uL) ]:[ NH4Cl (uL)]])</f>
        <v>#DIV/0!</v>
      </c>
    </row>
    <row r="937" spans="1:18" x14ac:dyDescent="0.25">
      <c r="A937" s="1">
        <f>SampleList[[#This Row],[Date Sampled]]</f>
        <v>0</v>
      </c>
      <c r="B937" t="str" cm="1">
        <f t="array" ref="B937">IF(ISBLANK(INDEX(SampleList[NMR],ROW()-1)),"Not Requested",INDEX(SampleList[Experiment ID],ROW()-1))</f>
        <v>Not Requested</v>
      </c>
      <c r="C937">
        <f>SampleList[[#This Row],[Duration (Days)]]</f>
        <v>0</v>
      </c>
      <c r="D937">
        <f>SampleList[[#This Row],[Sample Description]]</f>
        <v>0</v>
      </c>
      <c r="N937">
        <f>SUM(NMRPrep[[#This Row],[d-DMSO (uL) ]:[ NH4Cl (uL)]])</f>
        <v>0</v>
      </c>
      <c r="O937">
        <f>647</f>
        <v>647</v>
      </c>
      <c r="P937">
        <f>NMRPrep[[#This Row],[Total (uL) ]]-NMRPrep[[#This Row],[Target (uL)]]</f>
        <v>-647</v>
      </c>
      <c r="R937" t="e">
        <f>(NMRPrep[[#This Row],[NH4Cl Stock Concentration (mM)]]*NMRPrep[[#This Row],[ NH4Cl (uL)]])/SUM(NMRPrep[[#This Row],[DI (uL) ]:[ NH4Cl (uL)]])</f>
        <v>#DIV/0!</v>
      </c>
    </row>
    <row r="938" spans="1:18" x14ac:dyDescent="0.25">
      <c r="A938" s="1">
        <f>SampleList[[#This Row],[Date Sampled]]</f>
        <v>0</v>
      </c>
      <c r="B938" t="str" cm="1">
        <f t="array" ref="B938">IF(ISBLANK(INDEX(SampleList[NMR],ROW()-1)),"Not Requested",INDEX(SampleList[Experiment ID],ROW()-1))</f>
        <v>Not Requested</v>
      </c>
      <c r="C938">
        <f>SampleList[[#This Row],[Duration (Days)]]</f>
        <v>0</v>
      </c>
      <c r="D938">
        <f>SampleList[[#This Row],[Sample Description]]</f>
        <v>0</v>
      </c>
      <c r="N938">
        <f>SUM(NMRPrep[[#This Row],[d-DMSO (uL) ]:[ NH4Cl (uL)]])</f>
        <v>0</v>
      </c>
      <c r="O938">
        <f>647</f>
        <v>647</v>
      </c>
      <c r="P938">
        <f>NMRPrep[[#This Row],[Total (uL) ]]-NMRPrep[[#This Row],[Target (uL)]]</f>
        <v>-647</v>
      </c>
      <c r="R938" t="e">
        <f>(NMRPrep[[#This Row],[NH4Cl Stock Concentration (mM)]]*NMRPrep[[#This Row],[ NH4Cl (uL)]])/SUM(NMRPrep[[#This Row],[DI (uL) ]:[ NH4Cl (uL)]])</f>
        <v>#DIV/0!</v>
      </c>
    </row>
    <row r="939" spans="1:18" x14ac:dyDescent="0.25">
      <c r="A939" s="1">
        <f>SampleList[[#This Row],[Date Sampled]]</f>
        <v>0</v>
      </c>
      <c r="B939" t="str" cm="1">
        <f t="array" ref="B939">IF(ISBLANK(INDEX(SampleList[NMR],ROW()-1)),"Not Requested",INDEX(SampleList[Experiment ID],ROW()-1))</f>
        <v>Not Requested</v>
      </c>
      <c r="C939">
        <f>SampleList[[#This Row],[Duration (Days)]]</f>
        <v>0</v>
      </c>
      <c r="D939">
        <f>SampleList[[#This Row],[Sample Description]]</f>
        <v>0</v>
      </c>
      <c r="N939">
        <f>SUM(NMRPrep[[#This Row],[d-DMSO (uL) ]:[ NH4Cl (uL)]])</f>
        <v>0</v>
      </c>
      <c r="O939">
        <f>647</f>
        <v>647</v>
      </c>
      <c r="P939">
        <f>NMRPrep[[#This Row],[Total (uL) ]]-NMRPrep[[#This Row],[Target (uL)]]</f>
        <v>-647</v>
      </c>
      <c r="R939" t="e">
        <f>(NMRPrep[[#This Row],[NH4Cl Stock Concentration (mM)]]*NMRPrep[[#This Row],[ NH4Cl (uL)]])/SUM(NMRPrep[[#This Row],[DI (uL) ]:[ NH4Cl (uL)]])</f>
        <v>#DIV/0!</v>
      </c>
    </row>
    <row r="940" spans="1:18" x14ac:dyDescent="0.25">
      <c r="A940" s="1">
        <f>SampleList[[#This Row],[Date Sampled]]</f>
        <v>0</v>
      </c>
      <c r="B940" t="str" cm="1">
        <f t="array" ref="B940">IF(ISBLANK(INDEX(SampleList[NMR],ROW()-1)),"Not Requested",INDEX(SampleList[Experiment ID],ROW()-1))</f>
        <v>Not Requested</v>
      </c>
      <c r="C940">
        <f>SampleList[[#This Row],[Duration (Days)]]</f>
        <v>0</v>
      </c>
      <c r="D940">
        <f>SampleList[[#This Row],[Sample Description]]</f>
        <v>0</v>
      </c>
      <c r="N940">
        <f>SUM(NMRPrep[[#This Row],[d-DMSO (uL) ]:[ NH4Cl (uL)]])</f>
        <v>0</v>
      </c>
      <c r="O940">
        <f>647</f>
        <v>647</v>
      </c>
      <c r="P940">
        <f>NMRPrep[[#This Row],[Total (uL) ]]-NMRPrep[[#This Row],[Target (uL)]]</f>
        <v>-647</v>
      </c>
      <c r="R940" t="e">
        <f>(NMRPrep[[#This Row],[NH4Cl Stock Concentration (mM)]]*NMRPrep[[#This Row],[ NH4Cl (uL)]])/SUM(NMRPrep[[#This Row],[DI (uL) ]:[ NH4Cl (uL)]])</f>
        <v>#DIV/0!</v>
      </c>
    </row>
    <row r="941" spans="1:18" x14ac:dyDescent="0.25">
      <c r="A941" s="1">
        <f>SampleList[[#This Row],[Date Sampled]]</f>
        <v>0</v>
      </c>
      <c r="B941" t="str" cm="1">
        <f t="array" ref="B941">IF(ISBLANK(INDEX(SampleList[NMR],ROW()-1)),"Not Requested",INDEX(SampleList[Experiment ID],ROW()-1))</f>
        <v>Not Requested</v>
      </c>
      <c r="C941">
        <f>SampleList[[#This Row],[Duration (Days)]]</f>
        <v>0</v>
      </c>
      <c r="D941">
        <f>SampleList[[#This Row],[Sample Description]]</f>
        <v>0</v>
      </c>
      <c r="N941">
        <f>SUM(NMRPrep[[#This Row],[d-DMSO (uL) ]:[ NH4Cl (uL)]])</f>
        <v>0</v>
      </c>
      <c r="O941">
        <f>647</f>
        <v>647</v>
      </c>
      <c r="P941">
        <f>NMRPrep[[#This Row],[Total (uL) ]]-NMRPrep[[#This Row],[Target (uL)]]</f>
        <v>-647</v>
      </c>
      <c r="R941" t="e">
        <f>(NMRPrep[[#This Row],[NH4Cl Stock Concentration (mM)]]*NMRPrep[[#This Row],[ NH4Cl (uL)]])/SUM(NMRPrep[[#This Row],[DI (uL) ]:[ NH4Cl (uL)]])</f>
        <v>#DIV/0!</v>
      </c>
    </row>
    <row r="942" spans="1:18" x14ac:dyDescent="0.25">
      <c r="A942" s="1">
        <f>SampleList[[#This Row],[Date Sampled]]</f>
        <v>0</v>
      </c>
      <c r="B942" t="str" cm="1">
        <f t="array" ref="B942">IF(ISBLANK(INDEX(SampleList[NMR],ROW()-1)),"Not Requested",INDEX(SampleList[Experiment ID],ROW()-1))</f>
        <v>Not Requested</v>
      </c>
      <c r="C942">
        <f>SampleList[[#This Row],[Duration (Days)]]</f>
        <v>0</v>
      </c>
      <c r="D942">
        <f>SampleList[[#This Row],[Sample Description]]</f>
        <v>0</v>
      </c>
      <c r="N942">
        <f>SUM(NMRPrep[[#This Row],[d-DMSO (uL) ]:[ NH4Cl (uL)]])</f>
        <v>0</v>
      </c>
      <c r="O942">
        <f>647</f>
        <v>647</v>
      </c>
      <c r="P942">
        <f>NMRPrep[[#This Row],[Total (uL) ]]-NMRPrep[[#This Row],[Target (uL)]]</f>
        <v>-647</v>
      </c>
      <c r="R942" t="e">
        <f>(NMRPrep[[#This Row],[NH4Cl Stock Concentration (mM)]]*NMRPrep[[#This Row],[ NH4Cl (uL)]])/SUM(NMRPrep[[#This Row],[DI (uL) ]:[ NH4Cl (uL)]])</f>
        <v>#DIV/0!</v>
      </c>
    </row>
    <row r="943" spans="1:18" x14ac:dyDescent="0.25">
      <c r="A943" s="1">
        <f>SampleList[[#This Row],[Date Sampled]]</f>
        <v>0</v>
      </c>
      <c r="B943" t="str" cm="1">
        <f t="array" ref="B943">IF(ISBLANK(INDEX(SampleList[NMR],ROW()-1)),"Not Requested",INDEX(SampleList[Experiment ID],ROW()-1))</f>
        <v>Not Requested</v>
      </c>
      <c r="C943">
        <f>SampleList[[#This Row],[Duration (Days)]]</f>
        <v>0</v>
      </c>
      <c r="D943">
        <f>SampleList[[#This Row],[Sample Description]]</f>
        <v>0</v>
      </c>
      <c r="N943">
        <f>SUM(NMRPrep[[#This Row],[d-DMSO (uL) ]:[ NH4Cl (uL)]])</f>
        <v>0</v>
      </c>
      <c r="O943">
        <f>647</f>
        <v>647</v>
      </c>
      <c r="P943">
        <f>NMRPrep[[#This Row],[Total (uL) ]]-NMRPrep[[#This Row],[Target (uL)]]</f>
        <v>-647</v>
      </c>
      <c r="R943" t="e">
        <f>(NMRPrep[[#This Row],[NH4Cl Stock Concentration (mM)]]*NMRPrep[[#This Row],[ NH4Cl (uL)]])/SUM(NMRPrep[[#This Row],[DI (uL) ]:[ NH4Cl (uL)]])</f>
        <v>#DIV/0!</v>
      </c>
    </row>
    <row r="944" spans="1:18" x14ac:dyDescent="0.25">
      <c r="A944" s="1">
        <f>SampleList[[#This Row],[Date Sampled]]</f>
        <v>0</v>
      </c>
      <c r="B944" t="str" cm="1">
        <f t="array" ref="B944">IF(ISBLANK(INDEX(SampleList[NMR],ROW()-1)),"Not Requested",INDEX(SampleList[Experiment ID],ROW()-1))</f>
        <v>Not Requested</v>
      </c>
      <c r="C944">
        <f>SampleList[[#This Row],[Duration (Days)]]</f>
        <v>0</v>
      </c>
      <c r="D944">
        <f>SampleList[[#This Row],[Sample Description]]</f>
        <v>0</v>
      </c>
      <c r="N944">
        <f>SUM(NMRPrep[[#This Row],[d-DMSO (uL) ]:[ NH4Cl (uL)]])</f>
        <v>0</v>
      </c>
      <c r="O944">
        <f>647</f>
        <v>647</v>
      </c>
      <c r="P944">
        <f>NMRPrep[[#This Row],[Total (uL) ]]-NMRPrep[[#This Row],[Target (uL)]]</f>
        <v>-647</v>
      </c>
      <c r="R944" t="e">
        <f>(NMRPrep[[#This Row],[NH4Cl Stock Concentration (mM)]]*NMRPrep[[#This Row],[ NH4Cl (uL)]])/SUM(NMRPrep[[#This Row],[DI (uL) ]:[ NH4Cl (uL)]])</f>
        <v>#DIV/0!</v>
      </c>
    </row>
    <row r="945" spans="1:18" x14ac:dyDescent="0.25">
      <c r="A945" s="1">
        <f>SampleList[[#This Row],[Date Sampled]]</f>
        <v>0</v>
      </c>
      <c r="B945" t="str" cm="1">
        <f t="array" ref="B945">IF(ISBLANK(INDEX(SampleList[NMR],ROW()-1)),"Not Requested",INDEX(SampleList[Experiment ID],ROW()-1))</f>
        <v>Not Requested</v>
      </c>
      <c r="C945">
        <f>SampleList[[#This Row],[Duration (Days)]]</f>
        <v>0</v>
      </c>
      <c r="D945">
        <f>SampleList[[#This Row],[Sample Description]]</f>
        <v>0</v>
      </c>
      <c r="N945">
        <f>SUM(NMRPrep[[#This Row],[d-DMSO (uL) ]:[ NH4Cl (uL)]])</f>
        <v>0</v>
      </c>
      <c r="O945">
        <f>647</f>
        <v>647</v>
      </c>
      <c r="P945">
        <f>NMRPrep[[#This Row],[Total (uL) ]]-NMRPrep[[#This Row],[Target (uL)]]</f>
        <v>-647</v>
      </c>
      <c r="R945" t="e">
        <f>(NMRPrep[[#This Row],[NH4Cl Stock Concentration (mM)]]*NMRPrep[[#This Row],[ NH4Cl (uL)]])/SUM(NMRPrep[[#This Row],[DI (uL) ]:[ NH4Cl (uL)]])</f>
        <v>#DIV/0!</v>
      </c>
    </row>
    <row r="946" spans="1:18" x14ac:dyDescent="0.25">
      <c r="A946" s="1">
        <f>SampleList[[#This Row],[Date Sampled]]</f>
        <v>0</v>
      </c>
      <c r="B946" t="str" cm="1">
        <f t="array" ref="B946">IF(ISBLANK(INDEX(SampleList[NMR],ROW()-1)),"Not Requested",INDEX(SampleList[Experiment ID],ROW()-1))</f>
        <v>Not Requested</v>
      </c>
      <c r="C946">
        <f>SampleList[[#This Row],[Duration (Days)]]</f>
        <v>0</v>
      </c>
      <c r="D946">
        <f>SampleList[[#This Row],[Sample Description]]</f>
        <v>0</v>
      </c>
      <c r="N946">
        <f>SUM(NMRPrep[[#This Row],[d-DMSO (uL) ]:[ NH4Cl (uL)]])</f>
        <v>0</v>
      </c>
      <c r="O946">
        <f>647</f>
        <v>647</v>
      </c>
      <c r="P946">
        <f>NMRPrep[[#This Row],[Total (uL) ]]-NMRPrep[[#This Row],[Target (uL)]]</f>
        <v>-647</v>
      </c>
      <c r="R946" t="e">
        <f>(NMRPrep[[#This Row],[NH4Cl Stock Concentration (mM)]]*NMRPrep[[#This Row],[ NH4Cl (uL)]])/SUM(NMRPrep[[#This Row],[DI (uL) ]:[ NH4Cl (uL)]])</f>
        <v>#DIV/0!</v>
      </c>
    </row>
    <row r="947" spans="1:18" x14ac:dyDescent="0.25">
      <c r="A947" s="1">
        <f>SampleList[[#This Row],[Date Sampled]]</f>
        <v>0</v>
      </c>
      <c r="B947" t="str" cm="1">
        <f t="array" ref="B947">IF(ISBLANK(INDEX(SampleList[NMR],ROW()-1)),"Not Requested",INDEX(SampleList[Experiment ID],ROW()-1))</f>
        <v>Not Requested</v>
      </c>
      <c r="C947">
        <f>SampleList[[#This Row],[Duration (Days)]]</f>
        <v>0</v>
      </c>
      <c r="D947">
        <f>SampleList[[#This Row],[Sample Description]]</f>
        <v>0</v>
      </c>
      <c r="N947">
        <f>SUM(NMRPrep[[#This Row],[d-DMSO (uL) ]:[ NH4Cl (uL)]])</f>
        <v>0</v>
      </c>
      <c r="O947">
        <f>647</f>
        <v>647</v>
      </c>
      <c r="P947">
        <f>NMRPrep[[#This Row],[Total (uL) ]]-NMRPrep[[#This Row],[Target (uL)]]</f>
        <v>-647</v>
      </c>
      <c r="R947" t="e">
        <f>(NMRPrep[[#This Row],[NH4Cl Stock Concentration (mM)]]*NMRPrep[[#This Row],[ NH4Cl (uL)]])/SUM(NMRPrep[[#This Row],[DI (uL) ]:[ NH4Cl (uL)]])</f>
        <v>#DIV/0!</v>
      </c>
    </row>
    <row r="948" spans="1:18" x14ac:dyDescent="0.25">
      <c r="A948" s="1">
        <f>SampleList[[#This Row],[Date Sampled]]</f>
        <v>0</v>
      </c>
      <c r="B948" t="str" cm="1">
        <f t="array" ref="B948">IF(ISBLANK(INDEX(SampleList[NMR],ROW()-1)),"Not Requested",INDEX(SampleList[Experiment ID],ROW()-1))</f>
        <v>Not Requested</v>
      </c>
      <c r="C948">
        <f>SampleList[[#This Row],[Duration (Days)]]</f>
        <v>0</v>
      </c>
      <c r="D948">
        <f>SampleList[[#This Row],[Sample Description]]</f>
        <v>0</v>
      </c>
      <c r="N948">
        <f>SUM(NMRPrep[[#This Row],[d-DMSO (uL) ]:[ NH4Cl (uL)]])</f>
        <v>0</v>
      </c>
      <c r="O948">
        <f>647</f>
        <v>647</v>
      </c>
      <c r="P948">
        <f>NMRPrep[[#This Row],[Total (uL) ]]-NMRPrep[[#This Row],[Target (uL)]]</f>
        <v>-647</v>
      </c>
      <c r="R948" t="e">
        <f>(NMRPrep[[#This Row],[NH4Cl Stock Concentration (mM)]]*NMRPrep[[#This Row],[ NH4Cl (uL)]])/SUM(NMRPrep[[#This Row],[DI (uL) ]:[ NH4Cl (uL)]])</f>
        <v>#DIV/0!</v>
      </c>
    </row>
    <row r="949" spans="1:18" x14ac:dyDescent="0.25">
      <c r="A949" s="1">
        <f>SampleList[[#This Row],[Date Sampled]]</f>
        <v>0</v>
      </c>
      <c r="B949" t="str" cm="1">
        <f t="array" ref="B949">IF(ISBLANK(INDEX(SampleList[NMR],ROW()-1)),"Not Requested",INDEX(SampleList[Experiment ID],ROW()-1))</f>
        <v>Not Requested</v>
      </c>
      <c r="C949">
        <f>SampleList[[#This Row],[Duration (Days)]]</f>
        <v>0</v>
      </c>
      <c r="D949">
        <f>SampleList[[#This Row],[Sample Description]]</f>
        <v>0</v>
      </c>
      <c r="N949">
        <f>SUM(NMRPrep[[#This Row],[d-DMSO (uL) ]:[ NH4Cl (uL)]])</f>
        <v>0</v>
      </c>
      <c r="O949">
        <f>647</f>
        <v>647</v>
      </c>
      <c r="P949">
        <f>NMRPrep[[#This Row],[Total (uL) ]]-NMRPrep[[#This Row],[Target (uL)]]</f>
        <v>-647</v>
      </c>
      <c r="R949" t="e">
        <f>(NMRPrep[[#This Row],[NH4Cl Stock Concentration (mM)]]*NMRPrep[[#This Row],[ NH4Cl (uL)]])/SUM(NMRPrep[[#This Row],[DI (uL) ]:[ NH4Cl (uL)]])</f>
        <v>#DIV/0!</v>
      </c>
    </row>
    <row r="950" spans="1:18" x14ac:dyDescent="0.25">
      <c r="A950" s="1">
        <f>SampleList[[#This Row],[Date Sampled]]</f>
        <v>0</v>
      </c>
      <c r="B950" t="str" cm="1">
        <f t="array" ref="B950">IF(ISBLANK(INDEX(SampleList[NMR],ROW()-1)),"Not Requested",INDEX(SampleList[Experiment ID],ROW()-1))</f>
        <v>Not Requested</v>
      </c>
      <c r="C950">
        <f>SampleList[[#This Row],[Duration (Days)]]</f>
        <v>0</v>
      </c>
      <c r="D950">
        <f>SampleList[[#This Row],[Sample Description]]</f>
        <v>0</v>
      </c>
      <c r="N950">
        <f>SUM(NMRPrep[[#This Row],[d-DMSO (uL) ]:[ NH4Cl (uL)]])</f>
        <v>0</v>
      </c>
      <c r="O950">
        <f>647</f>
        <v>647</v>
      </c>
      <c r="P950">
        <f>NMRPrep[[#This Row],[Total (uL) ]]-NMRPrep[[#This Row],[Target (uL)]]</f>
        <v>-647</v>
      </c>
      <c r="R950" t="e">
        <f>(NMRPrep[[#This Row],[NH4Cl Stock Concentration (mM)]]*NMRPrep[[#This Row],[ NH4Cl (uL)]])/SUM(NMRPrep[[#This Row],[DI (uL) ]:[ NH4Cl (uL)]])</f>
        <v>#DIV/0!</v>
      </c>
    </row>
    <row r="951" spans="1:18" x14ac:dyDescent="0.25">
      <c r="A951" s="1">
        <f>SampleList[[#This Row],[Date Sampled]]</f>
        <v>0</v>
      </c>
      <c r="B951" t="str" cm="1">
        <f t="array" ref="B951">IF(ISBLANK(INDEX(SampleList[NMR],ROW()-1)),"Not Requested",INDEX(SampleList[Experiment ID],ROW()-1))</f>
        <v>Not Requested</v>
      </c>
      <c r="C951">
        <f>SampleList[[#This Row],[Duration (Days)]]</f>
        <v>0</v>
      </c>
      <c r="D951">
        <f>SampleList[[#This Row],[Sample Description]]</f>
        <v>0</v>
      </c>
      <c r="N951">
        <f>SUM(NMRPrep[[#This Row],[d-DMSO (uL) ]:[ NH4Cl (uL)]])</f>
        <v>0</v>
      </c>
      <c r="O951">
        <f>647</f>
        <v>647</v>
      </c>
      <c r="P951">
        <f>NMRPrep[[#This Row],[Total (uL) ]]-NMRPrep[[#This Row],[Target (uL)]]</f>
        <v>-647</v>
      </c>
      <c r="R951" t="e">
        <f>(NMRPrep[[#This Row],[NH4Cl Stock Concentration (mM)]]*NMRPrep[[#This Row],[ NH4Cl (uL)]])/SUM(NMRPrep[[#This Row],[DI (uL) ]:[ NH4Cl (uL)]])</f>
        <v>#DIV/0!</v>
      </c>
    </row>
    <row r="952" spans="1:18" x14ac:dyDescent="0.25">
      <c r="A952" s="1">
        <f>SampleList[[#This Row],[Date Sampled]]</f>
        <v>0</v>
      </c>
      <c r="B952" t="str" cm="1">
        <f t="array" ref="B952">IF(ISBLANK(INDEX(SampleList[NMR],ROW()-1)),"Not Requested",INDEX(SampleList[Experiment ID],ROW()-1))</f>
        <v>Not Requested</v>
      </c>
      <c r="C952">
        <f>SampleList[[#This Row],[Duration (Days)]]</f>
        <v>0</v>
      </c>
      <c r="D952">
        <f>SampleList[[#This Row],[Sample Description]]</f>
        <v>0</v>
      </c>
      <c r="N952">
        <f>SUM(NMRPrep[[#This Row],[d-DMSO (uL) ]:[ NH4Cl (uL)]])</f>
        <v>0</v>
      </c>
      <c r="O952">
        <f>647</f>
        <v>647</v>
      </c>
      <c r="P952">
        <f>NMRPrep[[#This Row],[Total (uL) ]]-NMRPrep[[#This Row],[Target (uL)]]</f>
        <v>-647</v>
      </c>
      <c r="R952" t="e">
        <f>(NMRPrep[[#This Row],[NH4Cl Stock Concentration (mM)]]*NMRPrep[[#This Row],[ NH4Cl (uL)]])/SUM(NMRPrep[[#This Row],[DI (uL) ]:[ NH4Cl (uL)]])</f>
        <v>#DIV/0!</v>
      </c>
    </row>
    <row r="953" spans="1:18" x14ac:dyDescent="0.25">
      <c r="A953" s="1">
        <f>SampleList[[#This Row],[Date Sampled]]</f>
        <v>0</v>
      </c>
      <c r="B953" t="str" cm="1">
        <f t="array" ref="B953">IF(ISBLANK(INDEX(SampleList[NMR],ROW()-1)),"Not Requested",INDEX(SampleList[Experiment ID],ROW()-1))</f>
        <v>Not Requested</v>
      </c>
      <c r="C953">
        <f>SampleList[[#This Row],[Duration (Days)]]</f>
        <v>0</v>
      </c>
      <c r="D953">
        <f>SampleList[[#This Row],[Sample Description]]</f>
        <v>0</v>
      </c>
      <c r="N953">
        <f>SUM(NMRPrep[[#This Row],[d-DMSO (uL) ]:[ NH4Cl (uL)]])</f>
        <v>0</v>
      </c>
      <c r="O953">
        <f>647</f>
        <v>647</v>
      </c>
      <c r="P953">
        <f>NMRPrep[[#This Row],[Total (uL) ]]-NMRPrep[[#This Row],[Target (uL)]]</f>
        <v>-647</v>
      </c>
      <c r="R953" t="e">
        <f>(NMRPrep[[#This Row],[NH4Cl Stock Concentration (mM)]]*NMRPrep[[#This Row],[ NH4Cl (uL)]])/SUM(NMRPrep[[#This Row],[DI (uL) ]:[ NH4Cl (uL)]])</f>
        <v>#DIV/0!</v>
      </c>
    </row>
    <row r="954" spans="1:18" x14ac:dyDescent="0.25">
      <c r="A954" s="1">
        <f>SampleList[[#This Row],[Date Sampled]]</f>
        <v>0</v>
      </c>
      <c r="B954" t="str" cm="1">
        <f t="array" ref="B954">IF(ISBLANK(INDEX(SampleList[NMR],ROW()-1)),"Not Requested",INDEX(SampleList[Experiment ID],ROW()-1))</f>
        <v>Not Requested</v>
      </c>
      <c r="C954">
        <f>SampleList[[#This Row],[Duration (Days)]]</f>
        <v>0</v>
      </c>
      <c r="D954">
        <f>SampleList[[#This Row],[Sample Description]]</f>
        <v>0</v>
      </c>
      <c r="N954">
        <f>SUM(NMRPrep[[#This Row],[d-DMSO (uL) ]:[ NH4Cl (uL)]])</f>
        <v>0</v>
      </c>
      <c r="O954">
        <f>647</f>
        <v>647</v>
      </c>
      <c r="P954">
        <f>NMRPrep[[#This Row],[Total (uL) ]]-NMRPrep[[#This Row],[Target (uL)]]</f>
        <v>-647</v>
      </c>
      <c r="R954" t="e">
        <f>(NMRPrep[[#This Row],[NH4Cl Stock Concentration (mM)]]*NMRPrep[[#This Row],[ NH4Cl (uL)]])/SUM(NMRPrep[[#This Row],[DI (uL) ]:[ NH4Cl (uL)]])</f>
        <v>#DIV/0!</v>
      </c>
    </row>
    <row r="955" spans="1:18" x14ac:dyDescent="0.25">
      <c r="A955" s="1">
        <f>SampleList[[#This Row],[Date Sampled]]</f>
        <v>0</v>
      </c>
      <c r="B955" t="str" cm="1">
        <f t="array" ref="B955">IF(ISBLANK(INDEX(SampleList[NMR],ROW()-1)),"Not Requested",INDEX(SampleList[Experiment ID],ROW()-1))</f>
        <v>Not Requested</v>
      </c>
      <c r="C955">
        <f>SampleList[[#This Row],[Duration (Days)]]</f>
        <v>0</v>
      </c>
      <c r="D955">
        <f>SampleList[[#This Row],[Sample Description]]</f>
        <v>0</v>
      </c>
      <c r="N955">
        <f>SUM(NMRPrep[[#This Row],[d-DMSO (uL) ]:[ NH4Cl (uL)]])</f>
        <v>0</v>
      </c>
      <c r="O955">
        <f>647</f>
        <v>647</v>
      </c>
      <c r="P955">
        <f>NMRPrep[[#This Row],[Total (uL) ]]-NMRPrep[[#This Row],[Target (uL)]]</f>
        <v>-647</v>
      </c>
      <c r="R955" t="e">
        <f>(NMRPrep[[#This Row],[NH4Cl Stock Concentration (mM)]]*NMRPrep[[#This Row],[ NH4Cl (uL)]])/SUM(NMRPrep[[#This Row],[DI (uL) ]:[ NH4Cl (uL)]])</f>
        <v>#DIV/0!</v>
      </c>
    </row>
    <row r="956" spans="1:18" x14ac:dyDescent="0.25">
      <c r="A956" s="1">
        <f>SampleList[[#This Row],[Date Sampled]]</f>
        <v>0</v>
      </c>
      <c r="B956" t="str" cm="1">
        <f t="array" ref="B956">IF(ISBLANK(INDEX(SampleList[NMR],ROW()-1)),"Not Requested",INDEX(SampleList[Experiment ID],ROW()-1))</f>
        <v>Not Requested</v>
      </c>
      <c r="C956">
        <f>SampleList[[#This Row],[Duration (Days)]]</f>
        <v>0</v>
      </c>
      <c r="D956">
        <f>SampleList[[#This Row],[Sample Description]]</f>
        <v>0</v>
      </c>
      <c r="N956">
        <f>SUM(NMRPrep[[#This Row],[d-DMSO (uL) ]:[ NH4Cl (uL)]])</f>
        <v>0</v>
      </c>
      <c r="O956">
        <f>647</f>
        <v>647</v>
      </c>
      <c r="P956">
        <f>NMRPrep[[#This Row],[Total (uL) ]]-NMRPrep[[#This Row],[Target (uL)]]</f>
        <v>-647</v>
      </c>
      <c r="R956" t="e">
        <f>(NMRPrep[[#This Row],[NH4Cl Stock Concentration (mM)]]*NMRPrep[[#This Row],[ NH4Cl (uL)]])/SUM(NMRPrep[[#This Row],[DI (uL) ]:[ NH4Cl (uL)]])</f>
        <v>#DIV/0!</v>
      </c>
    </row>
    <row r="957" spans="1:18" x14ac:dyDescent="0.25">
      <c r="A957" s="1">
        <f>SampleList[[#This Row],[Date Sampled]]</f>
        <v>0</v>
      </c>
      <c r="B957" t="str" cm="1">
        <f t="array" ref="B957">IF(ISBLANK(INDEX(SampleList[NMR],ROW()-1)),"Not Requested",INDEX(SampleList[Experiment ID],ROW()-1))</f>
        <v>Not Requested</v>
      </c>
      <c r="C957">
        <f>SampleList[[#This Row],[Duration (Days)]]</f>
        <v>0</v>
      </c>
      <c r="D957">
        <f>SampleList[[#This Row],[Sample Description]]</f>
        <v>0</v>
      </c>
      <c r="N957">
        <f>SUM(NMRPrep[[#This Row],[d-DMSO (uL) ]:[ NH4Cl (uL)]])</f>
        <v>0</v>
      </c>
      <c r="O957">
        <f>647</f>
        <v>647</v>
      </c>
      <c r="P957">
        <f>NMRPrep[[#This Row],[Total (uL) ]]-NMRPrep[[#This Row],[Target (uL)]]</f>
        <v>-647</v>
      </c>
      <c r="R957" t="e">
        <f>(NMRPrep[[#This Row],[NH4Cl Stock Concentration (mM)]]*NMRPrep[[#This Row],[ NH4Cl (uL)]])/SUM(NMRPrep[[#This Row],[DI (uL) ]:[ NH4Cl (uL)]])</f>
        <v>#DIV/0!</v>
      </c>
    </row>
    <row r="958" spans="1:18" x14ac:dyDescent="0.25">
      <c r="A958" s="1">
        <f>SampleList[[#This Row],[Date Sampled]]</f>
        <v>0</v>
      </c>
      <c r="B958" t="str" cm="1">
        <f t="array" ref="B958">IF(ISBLANK(INDEX(SampleList[NMR],ROW()-1)),"Not Requested",INDEX(SampleList[Experiment ID],ROW()-1))</f>
        <v>Not Requested</v>
      </c>
      <c r="C958">
        <f>SampleList[[#This Row],[Duration (Days)]]</f>
        <v>0</v>
      </c>
      <c r="D958">
        <f>SampleList[[#This Row],[Sample Description]]</f>
        <v>0</v>
      </c>
      <c r="N958">
        <f>SUM(NMRPrep[[#This Row],[d-DMSO (uL) ]:[ NH4Cl (uL)]])</f>
        <v>0</v>
      </c>
      <c r="O958">
        <f>647</f>
        <v>647</v>
      </c>
      <c r="P958">
        <f>NMRPrep[[#This Row],[Total (uL) ]]-NMRPrep[[#This Row],[Target (uL)]]</f>
        <v>-647</v>
      </c>
      <c r="R958" t="e">
        <f>(NMRPrep[[#This Row],[NH4Cl Stock Concentration (mM)]]*NMRPrep[[#This Row],[ NH4Cl (uL)]])/SUM(NMRPrep[[#This Row],[DI (uL) ]:[ NH4Cl (uL)]])</f>
        <v>#DIV/0!</v>
      </c>
    </row>
    <row r="959" spans="1:18" x14ac:dyDescent="0.25">
      <c r="A959" s="1">
        <f>SampleList[[#This Row],[Date Sampled]]</f>
        <v>0</v>
      </c>
      <c r="B959" t="str" cm="1">
        <f t="array" ref="B959">IF(ISBLANK(INDEX(SampleList[NMR],ROW()-1)),"Not Requested",INDEX(SampleList[Experiment ID],ROW()-1))</f>
        <v>Not Requested</v>
      </c>
      <c r="C959">
        <f>SampleList[[#This Row],[Duration (Days)]]</f>
        <v>0</v>
      </c>
      <c r="D959">
        <f>SampleList[[#This Row],[Sample Description]]</f>
        <v>0</v>
      </c>
      <c r="N959">
        <f>SUM(NMRPrep[[#This Row],[d-DMSO (uL) ]:[ NH4Cl (uL)]])</f>
        <v>0</v>
      </c>
      <c r="O959">
        <f>647</f>
        <v>647</v>
      </c>
      <c r="P959">
        <f>NMRPrep[[#This Row],[Total (uL) ]]-NMRPrep[[#This Row],[Target (uL)]]</f>
        <v>-647</v>
      </c>
      <c r="R959" t="e">
        <f>(NMRPrep[[#This Row],[NH4Cl Stock Concentration (mM)]]*NMRPrep[[#This Row],[ NH4Cl (uL)]])/SUM(NMRPrep[[#This Row],[DI (uL) ]:[ NH4Cl (uL)]])</f>
        <v>#DIV/0!</v>
      </c>
    </row>
    <row r="960" spans="1:18" x14ac:dyDescent="0.25">
      <c r="A960" s="1">
        <f>SampleList[[#This Row],[Date Sampled]]</f>
        <v>0</v>
      </c>
      <c r="B960" t="str" cm="1">
        <f t="array" ref="B960">IF(ISBLANK(INDEX(SampleList[NMR],ROW()-1)),"Not Requested",INDEX(SampleList[Experiment ID],ROW()-1))</f>
        <v>Not Requested</v>
      </c>
      <c r="C960">
        <f>SampleList[[#This Row],[Duration (Days)]]</f>
        <v>0</v>
      </c>
      <c r="D960">
        <f>SampleList[[#This Row],[Sample Description]]</f>
        <v>0</v>
      </c>
      <c r="N960">
        <f>SUM(NMRPrep[[#This Row],[d-DMSO (uL) ]:[ NH4Cl (uL)]])</f>
        <v>0</v>
      </c>
      <c r="O960">
        <f>647</f>
        <v>647</v>
      </c>
      <c r="P960">
        <f>NMRPrep[[#This Row],[Total (uL) ]]-NMRPrep[[#This Row],[Target (uL)]]</f>
        <v>-647</v>
      </c>
      <c r="R960" t="e">
        <f>(NMRPrep[[#This Row],[NH4Cl Stock Concentration (mM)]]*NMRPrep[[#This Row],[ NH4Cl (uL)]])/SUM(NMRPrep[[#This Row],[DI (uL) ]:[ NH4Cl (uL)]])</f>
        <v>#DIV/0!</v>
      </c>
    </row>
    <row r="961" spans="1:18" x14ac:dyDescent="0.25">
      <c r="A961" s="1">
        <f>SampleList[[#This Row],[Date Sampled]]</f>
        <v>0</v>
      </c>
      <c r="B961" t="str" cm="1">
        <f t="array" ref="B961">IF(ISBLANK(INDEX(SampleList[NMR],ROW()-1)),"Not Requested",INDEX(SampleList[Experiment ID],ROW()-1))</f>
        <v>Not Requested</v>
      </c>
      <c r="C961">
        <f>SampleList[[#This Row],[Duration (Days)]]</f>
        <v>0</v>
      </c>
      <c r="D961">
        <f>SampleList[[#This Row],[Sample Description]]</f>
        <v>0</v>
      </c>
      <c r="N961">
        <f>SUM(NMRPrep[[#This Row],[d-DMSO (uL) ]:[ NH4Cl (uL)]])</f>
        <v>0</v>
      </c>
      <c r="O961">
        <f>647</f>
        <v>647</v>
      </c>
      <c r="P961">
        <f>NMRPrep[[#This Row],[Total (uL) ]]-NMRPrep[[#This Row],[Target (uL)]]</f>
        <v>-647</v>
      </c>
      <c r="R961" t="e">
        <f>(NMRPrep[[#This Row],[NH4Cl Stock Concentration (mM)]]*NMRPrep[[#This Row],[ NH4Cl (uL)]])/SUM(NMRPrep[[#This Row],[DI (uL) ]:[ NH4Cl (uL)]])</f>
        <v>#DIV/0!</v>
      </c>
    </row>
    <row r="962" spans="1:18" x14ac:dyDescent="0.25">
      <c r="A962" s="1">
        <f>SampleList[[#This Row],[Date Sampled]]</f>
        <v>0</v>
      </c>
      <c r="B962" t="str" cm="1">
        <f t="array" ref="B962">IF(ISBLANK(INDEX(SampleList[NMR],ROW()-1)),"Not Requested",INDEX(SampleList[Experiment ID],ROW()-1))</f>
        <v>Not Requested</v>
      </c>
      <c r="C962">
        <f>SampleList[[#This Row],[Duration (Days)]]</f>
        <v>0</v>
      </c>
      <c r="D962">
        <f>SampleList[[#This Row],[Sample Description]]</f>
        <v>0</v>
      </c>
      <c r="N962">
        <f>SUM(NMRPrep[[#This Row],[d-DMSO (uL) ]:[ NH4Cl (uL)]])</f>
        <v>0</v>
      </c>
      <c r="O962">
        <f>647</f>
        <v>647</v>
      </c>
      <c r="P962">
        <f>NMRPrep[[#This Row],[Total (uL) ]]-NMRPrep[[#This Row],[Target (uL)]]</f>
        <v>-647</v>
      </c>
      <c r="R962" t="e">
        <f>(NMRPrep[[#This Row],[NH4Cl Stock Concentration (mM)]]*NMRPrep[[#This Row],[ NH4Cl (uL)]])/SUM(NMRPrep[[#This Row],[DI (uL) ]:[ NH4Cl (uL)]])</f>
        <v>#DIV/0!</v>
      </c>
    </row>
    <row r="963" spans="1:18" x14ac:dyDescent="0.25">
      <c r="A963" s="1">
        <f>SampleList[[#This Row],[Date Sampled]]</f>
        <v>0</v>
      </c>
      <c r="B963" t="str" cm="1">
        <f t="array" ref="B963">IF(ISBLANK(INDEX(SampleList[NMR],ROW()-1)),"Not Requested",INDEX(SampleList[Experiment ID],ROW()-1))</f>
        <v>Not Requested</v>
      </c>
      <c r="C963">
        <f>SampleList[[#This Row],[Duration (Days)]]</f>
        <v>0</v>
      </c>
      <c r="D963">
        <f>SampleList[[#This Row],[Sample Description]]</f>
        <v>0</v>
      </c>
      <c r="N963">
        <f>SUM(NMRPrep[[#This Row],[d-DMSO (uL) ]:[ NH4Cl (uL)]])</f>
        <v>0</v>
      </c>
      <c r="O963">
        <f>647</f>
        <v>647</v>
      </c>
      <c r="P963">
        <f>NMRPrep[[#This Row],[Total (uL) ]]-NMRPrep[[#This Row],[Target (uL)]]</f>
        <v>-647</v>
      </c>
      <c r="R963" t="e">
        <f>(NMRPrep[[#This Row],[NH4Cl Stock Concentration (mM)]]*NMRPrep[[#This Row],[ NH4Cl (uL)]])/SUM(NMRPrep[[#This Row],[DI (uL) ]:[ NH4Cl (uL)]])</f>
        <v>#DIV/0!</v>
      </c>
    </row>
    <row r="964" spans="1:18" x14ac:dyDescent="0.25">
      <c r="A964" s="1">
        <f>SampleList[[#This Row],[Date Sampled]]</f>
        <v>0</v>
      </c>
      <c r="B964" t="str" cm="1">
        <f t="array" ref="B964">IF(ISBLANK(INDEX(SampleList[NMR],ROW()-1)),"Not Requested",INDEX(SampleList[Experiment ID],ROW()-1))</f>
        <v>Not Requested</v>
      </c>
      <c r="C964">
        <f>SampleList[[#This Row],[Duration (Days)]]</f>
        <v>0</v>
      </c>
      <c r="D964">
        <f>SampleList[[#This Row],[Sample Description]]</f>
        <v>0</v>
      </c>
      <c r="N964">
        <f>SUM(NMRPrep[[#This Row],[d-DMSO (uL) ]:[ NH4Cl (uL)]])</f>
        <v>0</v>
      </c>
      <c r="O964">
        <f>647</f>
        <v>647</v>
      </c>
      <c r="P964">
        <f>NMRPrep[[#This Row],[Total (uL) ]]-NMRPrep[[#This Row],[Target (uL)]]</f>
        <v>-647</v>
      </c>
      <c r="R964" t="e">
        <f>(NMRPrep[[#This Row],[NH4Cl Stock Concentration (mM)]]*NMRPrep[[#This Row],[ NH4Cl (uL)]])/SUM(NMRPrep[[#This Row],[DI (uL) ]:[ NH4Cl (uL)]])</f>
        <v>#DIV/0!</v>
      </c>
    </row>
    <row r="965" spans="1:18" x14ac:dyDescent="0.25">
      <c r="A965" s="1">
        <f>SampleList[[#This Row],[Date Sampled]]</f>
        <v>0</v>
      </c>
      <c r="B965" t="str" cm="1">
        <f t="array" ref="B965">IF(ISBLANK(INDEX(SampleList[NMR],ROW()-1)),"Not Requested",INDEX(SampleList[Experiment ID],ROW()-1))</f>
        <v>Not Requested</v>
      </c>
      <c r="C965">
        <f>SampleList[[#This Row],[Duration (Days)]]</f>
        <v>0</v>
      </c>
      <c r="D965">
        <f>SampleList[[#This Row],[Sample Description]]</f>
        <v>0</v>
      </c>
      <c r="N965">
        <f>SUM(NMRPrep[[#This Row],[d-DMSO (uL) ]:[ NH4Cl (uL)]])</f>
        <v>0</v>
      </c>
      <c r="O965">
        <f>647</f>
        <v>647</v>
      </c>
      <c r="P965">
        <f>NMRPrep[[#This Row],[Total (uL) ]]-NMRPrep[[#This Row],[Target (uL)]]</f>
        <v>-647</v>
      </c>
      <c r="R965" t="e">
        <f>(NMRPrep[[#This Row],[NH4Cl Stock Concentration (mM)]]*NMRPrep[[#This Row],[ NH4Cl (uL)]])/SUM(NMRPrep[[#This Row],[DI (uL) ]:[ NH4Cl (uL)]])</f>
        <v>#DIV/0!</v>
      </c>
    </row>
    <row r="966" spans="1:18" x14ac:dyDescent="0.25">
      <c r="A966" s="1">
        <f>SampleList[[#This Row],[Date Sampled]]</f>
        <v>0</v>
      </c>
      <c r="B966" t="str" cm="1">
        <f t="array" ref="B966">IF(ISBLANK(INDEX(SampleList[NMR],ROW()-1)),"Not Requested",INDEX(SampleList[Experiment ID],ROW()-1))</f>
        <v>Not Requested</v>
      </c>
      <c r="C966">
        <f>SampleList[[#This Row],[Duration (Days)]]</f>
        <v>0</v>
      </c>
      <c r="D966">
        <f>SampleList[[#This Row],[Sample Description]]</f>
        <v>0</v>
      </c>
      <c r="N966">
        <f>SUM(NMRPrep[[#This Row],[d-DMSO (uL) ]:[ NH4Cl (uL)]])</f>
        <v>0</v>
      </c>
      <c r="O966">
        <f>647</f>
        <v>647</v>
      </c>
      <c r="P966">
        <f>NMRPrep[[#This Row],[Total (uL) ]]-NMRPrep[[#This Row],[Target (uL)]]</f>
        <v>-647</v>
      </c>
      <c r="R966" t="e">
        <f>(NMRPrep[[#This Row],[NH4Cl Stock Concentration (mM)]]*NMRPrep[[#This Row],[ NH4Cl (uL)]])/SUM(NMRPrep[[#This Row],[DI (uL) ]:[ NH4Cl (uL)]])</f>
        <v>#DIV/0!</v>
      </c>
    </row>
    <row r="967" spans="1:18" x14ac:dyDescent="0.25">
      <c r="A967" s="1">
        <f>SampleList[[#This Row],[Date Sampled]]</f>
        <v>0</v>
      </c>
      <c r="B967" t="str" cm="1">
        <f t="array" ref="B967">IF(ISBLANK(INDEX(SampleList[NMR],ROW()-1)),"Not Requested",INDEX(SampleList[Experiment ID],ROW()-1))</f>
        <v>Not Requested</v>
      </c>
      <c r="C967">
        <f>SampleList[[#This Row],[Duration (Days)]]</f>
        <v>0</v>
      </c>
      <c r="D967">
        <f>SampleList[[#This Row],[Sample Description]]</f>
        <v>0</v>
      </c>
      <c r="N967">
        <f>SUM(NMRPrep[[#This Row],[d-DMSO (uL) ]:[ NH4Cl (uL)]])</f>
        <v>0</v>
      </c>
      <c r="O967">
        <f>647</f>
        <v>647</v>
      </c>
      <c r="P967">
        <f>NMRPrep[[#This Row],[Total (uL) ]]-NMRPrep[[#This Row],[Target (uL)]]</f>
        <v>-647</v>
      </c>
      <c r="R967" t="e">
        <f>(NMRPrep[[#This Row],[NH4Cl Stock Concentration (mM)]]*NMRPrep[[#This Row],[ NH4Cl (uL)]])/SUM(NMRPrep[[#This Row],[DI (uL) ]:[ NH4Cl (uL)]])</f>
        <v>#DIV/0!</v>
      </c>
    </row>
    <row r="968" spans="1:18" x14ac:dyDescent="0.25">
      <c r="A968" s="1">
        <f>SampleList[[#This Row],[Date Sampled]]</f>
        <v>0</v>
      </c>
      <c r="B968" t="str" cm="1">
        <f t="array" ref="B968">IF(ISBLANK(INDEX(SampleList[NMR],ROW()-1)),"Not Requested",INDEX(SampleList[Experiment ID],ROW()-1))</f>
        <v>Not Requested</v>
      </c>
      <c r="C968">
        <f>SampleList[[#This Row],[Duration (Days)]]</f>
        <v>0</v>
      </c>
      <c r="D968">
        <f>SampleList[[#This Row],[Sample Description]]</f>
        <v>0</v>
      </c>
      <c r="N968">
        <f>SUM(NMRPrep[[#This Row],[d-DMSO (uL) ]:[ NH4Cl (uL)]])</f>
        <v>0</v>
      </c>
      <c r="O968">
        <f>647</f>
        <v>647</v>
      </c>
      <c r="P968">
        <f>NMRPrep[[#This Row],[Total (uL) ]]-NMRPrep[[#This Row],[Target (uL)]]</f>
        <v>-647</v>
      </c>
      <c r="R968" t="e">
        <f>(NMRPrep[[#This Row],[NH4Cl Stock Concentration (mM)]]*NMRPrep[[#This Row],[ NH4Cl (uL)]])/SUM(NMRPrep[[#This Row],[DI (uL) ]:[ NH4Cl (uL)]])</f>
        <v>#DIV/0!</v>
      </c>
    </row>
    <row r="969" spans="1:18" x14ac:dyDescent="0.25">
      <c r="A969" s="1">
        <f>SampleList[[#This Row],[Date Sampled]]</f>
        <v>0</v>
      </c>
      <c r="B969" t="str" cm="1">
        <f t="array" ref="B969">IF(ISBLANK(INDEX(SampleList[NMR],ROW()-1)),"Not Requested",INDEX(SampleList[Experiment ID],ROW()-1))</f>
        <v>Not Requested</v>
      </c>
      <c r="C969">
        <f>SampleList[[#This Row],[Duration (Days)]]</f>
        <v>0</v>
      </c>
      <c r="D969">
        <f>SampleList[[#This Row],[Sample Description]]</f>
        <v>0</v>
      </c>
      <c r="N969">
        <f>SUM(NMRPrep[[#This Row],[d-DMSO (uL) ]:[ NH4Cl (uL)]])</f>
        <v>0</v>
      </c>
      <c r="O969">
        <f>647</f>
        <v>647</v>
      </c>
      <c r="P969">
        <f>NMRPrep[[#This Row],[Total (uL) ]]-NMRPrep[[#This Row],[Target (uL)]]</f>
        <v>-647</v>
      </c>
      <c r="R969" t="e">
        <f>(NMRPrep[[#This Row],[NH4Cl Stock Concentration (mM)]]*NMRPrep[[#This Row],[ NH4Cl (uL)]])/SUM(NMRPrep[[#This Row],[DI (uL) ]:[ NH4Cl (uL)]])</f>
        <v>#DIV/0!</v>
      </c>
    </row>
    <row r="970" spans="1:18" x14ac:dyDescent="0.25">
      <c r="A970" s="1">
        <f>SampleList[[#This Row],[Date Sampled]]</f>
        <v>0</v>
      </c>
      <c r="B970" t="str" cm="1">
        <f t="array" ref="B970">IF(ISBLANK(INDEX(SampleList[NMR],ROW()-1)),"Not Requested",INDEX(SampleList[Experiment ID],ROW()-1))</f>
        <v>Not Requested</v>
      </c>
      <c r="C970">
        <f>SampleList[[#This Row],[Duration (Days)]]</f>
        <v>0</v>
      </c>
      <c r="D970">
        <f>SampleList[[#This Row],[Sample Description]]</f>
        <v>0</v>
      </c>
      <c r="N970">
        <f>SUM(NMRPrep[[#This Row],[d-DMSO (uL) ]:[ NH4Cl (uL)]])</f>
        <v>0</v>
      </c>
      <c r="O970">
        <f>647</f>
        <v>647</v>
      </c>
      <c r="P970">
        <f>NMRPrep[[#This Row],[Total (uL) ]]-NMRPrep[[#This Row],[Target (uL)]]</f>
        <v>-647</v>
      </c>
      <c r="R970" t="e">
        <f>(NMRPrep[[#This Row],[NH4Cl Stock Concentration (mM)]]*NMRPrep[[#This Row],[ NH4Cl (uL)]])/SUM(NMRPrep[[#This Row],[DI (uL) ]:[ NH4Cl (uL)]])</f>
        <v>#DIV/0!</v>
      </c>
    </row>
    <row r="971" spans="1:18" x14ac:dyDescent="0.25">
      <c r="A971" s="1">
        <f>SampleList[[#This Row],[Date Sampled]]</f>
        <v>0</v>
      </c>
      <c r="B971" t="str" cm="1">
        <f t="array" ref="B971">IF(ISBLANK(INDEX(SampleList[NMR],ROW()-1)),"Not Requested",INDEX(SampleList[Experiment ID],ROW()-1))</f>
        <v>Not Requested</v>
      </c>
      <c r="C971">
        <f>SampleList[[#This Row],[Duration (Days)]]</f>
        <v>0</v>
      </c>
      <c r="D971">
        <f>SampleList[[#This Row],[Sample Description]]</f>
        <v>0</v>
      </c>
      <c r="N971">
        <f>SUM(NMRPrep[[#This Row],[d-DMSO (uL) ]:[ NH4Cl (uL)]])</f>
        <v>0</v>
      </c>
      <c r="O971">
        <f>647</f>
        <v>647</v>
      </c>
      <c r="P971">
        <f>NMRPrep[[#This Row],[Total (uL) ]]-NMRPrep[[#This Row],[Target (uL)]]</f>
        <v>-647</v>
      </c>
      <c r="R971" t="e">
        <f>(NMRPrep[[#This Row],[NH4Cl Stock Concentration (mM)]]*NMRPrep[[#This Row],[ NH4Cl (uL)]])/SUM(NMRPrep[[#This Row],[DI (uL) ]:[ NH4Cl (uL)]])</f>
        <v>#DIV/0!</v>
      </c>
    </row>
    <row r="972" spans="1:18" x14ac:dyDescent="0.25">
      <c r="A972" s="1">
        <f>SampleList[[#This Row],[Date Sampled]]</f>
        <v>0</v>
      </c>
      <c r="B972" t="str" cm="1">
        <f t="array" ref="B972">IF(ISBLANK(INDEX(SampleList[NMR],ROW()-1)),"Not Requested",INDEX(SampleList[Experiment ID],ROW()-1))</f>
        <v>Not Requested</v>
      </c>
      <c r="C972">
        <f>SampleList[[#This Row],[Duration (Days)]]</f>
        <v>0</v>
      </c>
      <c r="D972">
        <f>SampleList[[#This Row],[Sample Description]]</f>
        <v>0</v>
      </c>
      <c r="N972">
        <f>SUM(NMRPrep[[#This Row],[d-DMSO (uL) ]:[ NH4Cl (uL)]])</f>
        <v>0</v>
      </c>
      <c r="O972">
        <f>647</f>
        <v>647</v>
      </c>
      <c r="P972">
        <f>NMRPrep[[#This Row],[Total (uL) ]]-NMRPrep[[#This Row],[Target (uL)]]</f>
        <v>-647</v>
      </c>
      <c r="R972" t="e">
        <f>(NMRPrep[[#This Row],[NH4Cl Stock Concentration (mM)]]*NMRPrep[[#This Row],[ NH4Cl (uL)]])/SUM(NMRPrep[[#This Row],[DI (uL) ]:[ NH4Cl (uL)]])</f>
        <v>#DIV/0!</v>
      </c>
    </row>
    <row r="973" spans="1:18" x14ac:dyDescent="0.25">
      <c r="A973" s="1">
        <f>SampleList[[#This Row],[Date Sampled]]</f>
        <v>0</v>
      </c>
      <c r="B973" t="str" cm="1">
        <f t="array" ref="B973">IF(ISBLANK(INDEX(SampleList[NMR],ROW()-1)),"Not Requested",INDEX(SampleList[Experiment ID],ROW()-1))</f>
        <v>Not Requested</v>
      </c>
      <c r="C973">
        <f>SampleList[[#This Row],[Duration (Days)]]</f>
        <v>0</v>
      </c>
      <c r="D973">
        <f>SampleList[[#This Row],[Sample Description]]</f>
        <v>0</v>
      </c>
      <c r="N973">
        <f>SUM(NMRPrep[[#This Row],[d-DMSO (uL) ]:[ NH4Cl (uL)]])</f>
        <v>0</v>
      </c>
      <c r="O973">
        <f>647</f>
        <v>647</v>
      </c>
      <c r="P973">
        <f>NMRPrep[[#This Row],[Total (uL) ]]-NMRPrep[[#This Row],[Target (uL)]]</f>
        <v>-647</v>
      </c>
      <c r="R973" t="e">
        <f>(NMRPrep[[#This Row],[NH4Cl Stock Concentration (mM)]]*NMRPrep[[#This Row],[ NH4Cl (uL)]])/SUM(NMRPrep[[#This Row],[DI (uL) ]:[ NH4Cl (uL)]])</f>
        <v>#DIV/0!</v>
      </c>
    </row>
    <row r="974" spans="1:18" x14ac:dyDescent="0.25">
      <c r="A974" s="1">
        <f>SampleList[[#This Row],[Date Sampled]]</f>
        <v>0</v>
      </c>
      <c r="B974" t="str" cm="1">
        <f t="array" ref="B974">IF(ISBLANK(INDEX(SampleList[NMR],ROW()-1)),"Not Requested",INDEX(SampleList[Experiment ID],ROW()-1))</f>
        <v>Not Requested</v>
      </c>
      <c r="C974">
        <f>SampleList[[#This Row],[Duration (Days)]]</f>
        <v>0</v>
      </c>
      <c r="D974">
        <f>SampleList[[#This Row],[Sample Description]]</f>
        <v>0</v>
      </c>
      <c r="N974">
        <f>SUM(NMRPrep[[#This Row],[d-DMSO (uL) ]:[ NH4Cl (uL)]])</f>
        <v>0</v>
      </c>
      <c r="O974">
        <f>647</f>
        <v>647</v>
      </c>
      <c r="P974">
        <f>NMRPrep[[#This Row],[Total (uL) ]]-NMRPrep[[#This Row],[Target (uL)]]</f>
        <v>-647</v>
      </c>
      <c r="R974" t="e">
        <f>(NMRPrep[[#This Row],[NH4Cl Stock Concentration (mM)]]*NMRPrep[[#This Row],[ NH4Cl (uL)]])/SUM(NMRPrep[[#This Row],[DI (uL) ]:[ NH4Cl (uL)]])</f>
        <v>#DIV/0!</v>
      </c>
    </row>
    <row r="975" spans="1:18" x14ac:dyDescent="0.25">
      <c r="A975" s="1">
        <f>SampleList[[#This Row],[Date Sampled]]</f>
        <v>0</v>
      </c>
      <c r="B975" t="str" cm="1">
        <f t="array" ref="B975">IF(ISBLANK(INDEX(SampleList[NMR],ROW()-1)),"Not Requested",INDEX(SampleList[Experiment ID],ROW()-1))</f>
        <v>Not Requested</v>
      </c>
      <c r="C975">
        <f>SampleList[[#This Row],[Duration (Days)]]</f>
        <v>0</v>
      </c>
      <c r="D975">
        <f>SampleList[[#This Row],[Sample Description]]</f>
        <v>0</v>
      </c>
      <c r="N975">
        <f>SUM(NMRPrep[[#This Row],[d-DMSO (uL) ]:[ NH4Cl (uL)]])</f>
        <v>0</v>
      </c>
      <c r="O975">
        <f>647</f>
        <v>647</v>
      </c>
      <c r="P975">
        <f>NMRPrep[[#This Row],[Total (uL) ]]-NMRPrep[[#This Row],[Target (uL)]]</f>
        <v>-647</v>
      </c>
      <c r="R975" t="e">
        <f>(NMRPrep[[#This Row],[NH4Cl Stock Concentration (mM)]]*NMRPrep[[#This Row],[ NH4Cl (uL)]])/SUM(NMRPrep[[#This Row],[DI (uL) ]:[ NH4Cl (uL)]])</f>
        <v>#DIV/0!</v>
      </c>
    </row>
    <row r="976" spans="1:18" x14ac:dyDescent="0.25">
      <c r="A976" s="1">
        <f>SampleList[[#This Row],[Date Sampled]]</f>
        <v>0</v>
      </c>
      <c r="B976" t="str" cm="1">
        <f t="array" ref="B976">IF(ISBLANK(INDEX(SampleList[NMR],ROW()-1)),"Not Requested",INDEX(SampleList[Experiment ID],ROW()-1))</f>
        <v>Not Requested</v>
      </c>
      <c r="C976">
        <f>SampleList[[#This Row],[Duration (Days)]]</f>
        <v>0</v>
      </c>
      <c r="D976">
        <f>SampleList[[#This Row],[Sample Description]]</f>
        <v>0</v>
      </c>
      <c r="N976">
        <f>SUM(NMRPrep[[#This Row],[d-DMSO (uL) ]:[ NH4Cl (uL)]])</f>
        <v>0</v>
      </c>
      <c r="O976">
        <f>647</f>
        <v>647</v>
      </c>
      <c r="P976">
        <f>NMRPrep[[#This Row],[Total (uL) ]]-NMRPrep[[#This Row],[Target (uL)]]</f>
        <v>-647</v>
      </c>
      <c r="R976" t="e">
        <f>(NMRPrep[[#This Row],[NH4Cl Stock Concentration (mM)]]*NMRPrep[[#This Row],[ NH4Cl (uL)]])/SUM(NMRPrep[[#This Row],[DI (uL) ]:[ NH4Cl (uL)]])</f>
        <v>#DIV/0!</v>
      </c>
    </row>
    <row r="977" spans="1:18" x14ac:dyDescent="0.25">
      <c r="A977" s="1">
        <f>SampleList[[#This Row],[Date Sampled]]</f>
        <v>0</v>
      </c>
      <c r="B977" t="str" cm="1">
        <f t="array" ref="B977">IF(ISBLANK(INDEX(SampleList[NMR],ROW()-1)),"Not Requested",INDEX(SampleList[Experiment ID],ROW()-1))</f>
        <v>Not Requested</v>
      </c>
      <c r="C977">
        <f>SampleList[[#This Row],[Duration (Days)]]</f>
        <v>0</v>
      </c>
      <c r="D977">
        <f>SampleList[[#This Row],[Sample Description]]</f>
        <v>0</v>
      </c>
      <c r="N977">
        <f>SUM(NMRPrep[[#This Row],[d-DMSO (uL) ]:[ NH4Cl (uL)]])</f>
        <v>0</v>
      </c>
      <c r="O977">
        <f>647</f>
        <v>647</v>
      </c>
      <c r="P977">
        <f>NMRPrep[[#This Row],[Total (uL) ]]-NMRPrep[[#This Row],[Target (uL)]]</f>
        <v>-647</v>
      </c>
      <c r="R977" t="e">
        <f>(NMRPrep[[#This Row],[NH4Cl Stock Concentration (mM)]]*NMRPrep[[#This Row],[ NH4Cl (uL)]])/SUM(NMRPrep[[#This Row],[DI (uL) ]:[ NH4Cl (uL)]])</f>
        <v>#DIV/0!</v>
      </c>
    </row>
    <row r="978" spans="1:18" x14ac:dyDescent="0.25">
      <c r="A978" s="1">
        <f>SampleList[[#This Row],[Date Sampled]]</f>
        <v>0</v>
      </c>
      <c r="B978" t="str" cm="1">
        <f t="array" ref="B978">IF(ISBLANK(INDEX(SampleList[NMR],ROW()-1)),"Not Requested",INDEX(SampleList[Experiment ID],ROW()-1))</f>
        <v>Not Requested</v>
      </c>
      <c r="C978">
        <f>SampleList[[#This Row],[Duration (Days)]]</f>
        <v>0</v>
      </c>
      <c r="D978">
        <f>SampleList[[#This Row],[Sample Description]]</f>
        <v>0</v>
      </c>
      <c r="N978">
        <f>SUM(NMRPrep[[#This Row],[d-DMSO (uL) ]:[ NH4Cl (uL)]])</f>
        <v>0</v>
      </c>
      <c r="O978">
        <f>647</f>
        <v>647</v>
      </c>
      <c r="P978">
        <f>NMRPrep[[#This Row],[Total (uL) ]]-NMRPrep[[#This Row],[Target (uL)]]</f>
        <v>-647</v>
      </c>
      <c r="R978" t="e">
        <f>(NMRPrep[[#This Row],[NH4Cl Stock Concentration (mM)]]*NMRPrep[[#This Row],[ NH4Cl (uL)]])/SUM(NMRPrep[[#This Row],[DI (uL) ]:[ NH4Cl (uL)]])</f>
        <v>#DIV/0!</v>
      </c>
    </row>
    <row r="979" spans="1:18" x14ac:dyDescent="0.25">
      <c r="A979" s="1">
        <f>SampleList[[#This Row],[Date Sampled]]</f>
        <v>0</v>
      </c>
      <c r="B979" t="str" cm="1">
        <f t="array" ref="B979">IF(ISBLANK(INDEX(SampleList[NMR],ROW()-1)),"Not Requested",INDEX(SampleList[Experiment ID],ROW()-1))</f>
        <v>Not Requested</v>
      </c>
      <c r="C979">
        <f>SampleList[[#This Row],[Duration (Days)]]</f>
        <v>0</v>
      </c>
      <c r="D979">
        <f>SampleList[[#This Row],[Sample Description]]</f>
        <v>0</v>
      </c>
      <c r="N979">
        <f>SUM(NMRPrep[[#This Row],[d-DMSO (uL) ]:[ NH4Cl (uL)]])</f>
        <v>0</v>
      </c>
      <c r="O979">
        <f>647</f>
        <v>647</v>
      </c>
      <c r="P979">
        <f>NMRPrep[[#This Row],[Total (uL) ]]-NMRPrep[[#This Row],[Target (uL)]]</f>
        <v>-647</v>
      </c>
      <c r="R979" t="e">
        <f>(NMRPrep[[#This Row],[NH4Cl Stock Concentration (mM)]]*NMRPrep[[#This Row],[ NH4Cl (uL)]])/SUM(NMRPrep[[#This Row],[DI (uL) ]:[ NH4Cl (uL)]])</f>
        <v>#DIV/0!</v>
      </c>
    </row>
    <row r="980" spans="1:18" x14ac:dyDescent="0.25">
      <c r="A980" s="1">
        <f>SampleList[[#This Row],[Date Sampled]]</f>
        <v>0</v>
      </c>
      <c r="B980" t="str" cm="1">
        <f t="array" ref="B980">IF(ISBLANK(INDEX(SampleList[NMR],ROW()-1)),"Not Requested",INDEX(SampleList[Experiment ID],ROW()-1))</f>
        <v>Not Requested</v>
      </c>
      <c r="C980">
        <f>SampleList[[#This Row],[Duration (Days)]]</f>
        <v>0</v>
      </c>
      <c r="D980">
        <f>SampleList[[#This Row],[Sample Description]]</f>
        <v>0</v>
      </c>
      <c r="N980">
        <f>SUM(NMRPrep[[#This Row],[d-DMSO (uL) ]:[ NH4Cl (uL)]])</f>
        <v>0</v>
      </c>
      <c r="O980">
        <f>647</f>
        <v>647</v>
      </c>
      <c r="P980">
        <f>NMRPrep[[#This Row],[Total (uL) ]]-NMRPrep[[#This Row],[Target (uL)]]</f>
        <v>-647</v>
      </c>
      <c r="R980" t="e">
        <f>(NMRPrep[[#This Row],[NH4Cl Stock Concentration (mM)]]*NMRPrep[[#This Row],[ NH4Cl (uL)]])/SUM(NMRPrep[[#This Row],[DI (uL) ]:[ NH4Cl (uL)]])</f>
        <v>#DIV/0!</v>
      </c>
    </row>
    <row r="981" spans="1:18" x14ac:dyDescent="0.25">
      <c r="A981" s="1">
        <f>SampleList[[#This Row],[Date Sampled]]</f>
        <v>0</v>
      </c>
      <c r="B981" t="str" cm="1">
        <f t="array" ref="B981">IF(ISBLANK(INDEX(SampleList[NMR],ROW()-1)),"Not Requested",INDEX(SampleList[Experiment ID],ROW()-1))</f>
        <v>Not Requested</v>
      </c>
      <c r="C981">
        <f>SampleList[[#This Row],[Duration (Days)]]</f>
        <v>0</v>
      </c>
      <c r="D981">
        <f>SampleList[[#This Row],[Sample Description]]</f>
        <v>0</v>
      </c>
      <c r="N981">
        <f>SUM(NMRPrep[[#This Row],[d-DMSO (uL) ]:[ NH4Cl (uL)]])</f>
        <v>0</v>
      </c>
      <c r="O981">
        <f>647</f>
        <v>647</v>
      </c>
      <c r="P981">
        <f>NMRPrep[[#This Row],[Total (uL) ]]-NMRPrep[[#This Row],[Target (uL)]]</f>
        <v>-647</v>
      </c>
      <c r="R981" t="e">
        <f>(NMRPrep[[#This Row],[NH4Cl Stock Concentration (mM)]]*NMRPrep[[#This Row],[ NH4Cl (uL)]])/SUM(NMRPrep[[#This Row],[DI (uL) ]:[ NH4Cl (uL)]])</f>
        <v>#DIV/0!</v>
      </c>
    </row>
    <row r="982" spans="1:18" x14ac:dyDescent="0.25">
      <c r="A982" s="1">
        <f>SampleList[[#This Row],[Date Sampled]]</f>
        <v>0</v>
      </c>
      <c r="B982" t="str" cm="1">
        <f t="array" ref="B982">IF(ISBLANK(INDEX(SampleList[NMR],ROW()-1)),"Not Requested",INDEX(SampleList[Experiment ID],ROW()-1))</f>
        <v>Not Requested</v>
      </c>
      <c r="C982">
        <f>SampleList[[#This Row],[Duration (Days)]]</f>
        <v>0</v>
      </c>
      <c r="D982">
        <f>SampleList[[#This Row],[Sample Description]]</f>
        <v>0</v>
      </c>
      <c r="N982">
        <f>SUM(NMRPrep[[#This Row],[d-DMSO (uL) ]:[ NH4Cl (uL)]])</f>
        <v>0</v>
      </c>
      <c r="O982">
        <f>647</f>
        <v>647</v>
      </c>
      <c r="P982">
        <f>NMRPrep[[#This Row],[Total (uL) ]]-NMRPrep[[#This Row],[Target (uL)]]</f>
        <v>-647</v>
      </c>
      <c r="R982" t="e">
        <f>(NMRPrep[[#This Row],[NH4Cl Stock Concentration (mM)]]*NMRPrep[[#This Row],[ NH4Cl (uL)]])/SUM(NMRPrep[[#This Row],[DI (uL) ]:[ NH4Cl (uL)]])</f>
        <v>#DIV/0!</v>
      </c>
    </row>
    <row r="983" spans="1:18" x14ac:dyDescent="0.25">
      <c r="A983" s="1">
        <f>SampleList[[#This Row],[Date Sampled]]</f>
        <v>0</v>
      </c>
      <c r="B983" t="str" cm="1">
        <f t="array" ref="B983">IF(ISBLANK(INDEX(SampleList[NMR],ROW()-1)),"Not Requested",INDEX(SampleList[Experiment ID],ROW()-1))</f>
        <v>Not Requested</v>
      </c>
      <c r="C983">
        <f>SampleList[[#This Row],[Duration (Days)]]</f>
        <v>0</v>
      </c>
      <c r="D983">
        <f>SampleList[[#This Row],[Sample Description]]</f>
        <v>0</v>
      </c>
      <c r="N983">
        <f>SUM(NMRPrep[[#This Row],[d-DMSO (uL) ]:[ NH4Cl (uL)]])</f>
        <v>0</v>
      </c>
      <c r="O983">
        <f>647</f>
        <v>647</v>
      </c>
      <c r="P983">
        <f>NMRPrep[[#This Row],[Total (uL) ]]-NMRPrep[[#This Row],[Target (uL)]]</f>
        <v>-647</v>
      </c>
      <c r="R983" t="e">
        <f>(NMRPrep[[#This Row],[NH4Cl Stock Concentration (mM)]]*NMRPrep[[#This Row],[ NH4Cl (uL)]])/SUM(NMRPrep[[#This Row],[DI (uL) ]:[ NH4Cl (uL)]])</f>
        <v>#DIV/0!</v>
      </c>
    </row>
    <row r="984" spans="1:18" x14ac:dyDescent="0.25">
      <c r="A984" s="1">
        <f>SampleList[[#This Row],[Date Sampled]]</f>
        <v>0</v>
      </c>
      <c r="B984" t="str" cm="1">
        <f t="array" ref="B984">IF(ISBLANK(INDEX(SampleList[NMR],ROW()-1)),"Not Requested",INDEX(SampleList[Experiment ID],ROW()-1))</f>
        <v>Not Requested</v>
      </c>
      <c r="C984">
        <f>SampleList[[#This Row],[Duration (Days)]]</f>
        <v>0</v>
      </c>
      <c r="D984">
        <f>SampleList[[#This Row],[Sample Description]]</f>
        <v>0</v>
      </c>
      <c r="N984">
        <f>SUM(NMRPrep[[#This Row],[d-DMSO (uL) ]:[ NH4Cl (uL)]])</f>
        <v>0</v>
      </c>
      <c r="O984">
        <f>647</f>
        <v>647</v>
      </c>
      <c r="P984">
        <f>NMRPrep[[#This Row],[Total (uL) ]]-NMRPrep[[#This Row],[Target (uL)]]</f>
        <v>-647</v>
      </c>
      <c r="R984" t="e">
        <f>(NMRPrep[[#This Row],[NH4Cl Stock Concentration (mM)]]*NMRPrep[[#This Row],[ NH4Cl (uL)]])/SUM(NMRPrep[[#This Row],[DI (uL) ]:[ NH4Cl (uL)]])</f>
        <v>#DIV/0!</v>
      </c>
    </row>
    <row r="985" spans="1:18" x14ac:dyDescent="0.25">
      <c r="A985" s="1">
        <f>SampleList[[#This Row],[Date Sampled]]</f>
        <v>0</v>
      </c>
      <c r="B985" t="str" cm="1">
        <f t="array" ref="B985">IF(ISBLANK(INDEX(SampleList[NMR],ROW()-1)),"Not Requested",INDEX(SampleList[Experiment ID],ROW()-1))</f>
        <v>Not Requested</v>
      </c>
      <c r="C985">
        <f>SampleList[[#This Row],[Duration (Days)]]</f>
        <v>0</v>
      </c>
      <c r="D985">
        <f>SampleList[[#This Row],[Sample Description]]</f>
        <v>0</v>
      </c>
      <c r="N985">
        <f>SUM(NMRPrep[[#This Row],[d-DMSO (uL) ]:[ NH4Cl (uL)]])</f>
        <v>0</v>
      </c>
      <c r="O985">
        <f>647</f>
        <v>647</v>
      </c>
      <c r="P985">
        <f>NMRPrep[[#This Row],[Total (uL) ]]-NMRPrep[[#This Row],[Target (uL)]]</f>
        <v>-647</v>
      </c>
      <c r="R985" t="e">
        <f>(NMRPrep[[#This Row],[NH4Cl Stock Concentration (mM)]]*NMRPrep[[#This Row],[ NH4Cl (uL)]])/SUM(NMRPrep[[#This Row],[DI (uL) ]:[ NH4Cl (uL)]])</f>
        <v>#DIV/0!</v>
      </c>
    </row>
    <row r="986" spans="1:18" x14ac:dyDescent="0.25">
      <c r="A986" s="1">
        <f>SampleList[[#This Row],[Date Sampled]]</f>
        <v>0</v>
      </c>
      <c r="B986" t="str" cm="1">
        <f t="array" ref="B986">IF(ISBLANK(INDEX(SampleList[NMR],ROW()-1)),"Not Requested",INDEX(SampleList[Experiment ID],ROW()-1))</f>
        <v>Not Requested</v>
      </c>
      <c r="C986">
        <f>SampleList[[#This Row],[Duration (Days)]]</f>
        <v>0</v>
      </c>
      <c r="D986">
        <f>SampleList[[#This Row],[Sample Description]]</f>
        <v>0</v>
      </c>
      <c r="N986">
        <f>SUM(NMRPrep[[#This Row],[d-DMSO (uL) ]:[ NH4Cl (uL)]])</f>
        <v>0</v>
      </c>
      <c r="O986">
        <f>647</f>
        <v>647</v>
      </c>
      <c r="P986">
        <f>NMRPrep[[#This Row],[Total (uL) ]]-NMRPrep[[#This Row],[Target (uL)]]</f>
        <v>-647</v>
      </c>
      <c r="R986" t="e">
        <f>(NMRPrep[[#This Row],[NH4Cl Stock Concentration (mM)]]*NMRPrep[[#This Row],[ NH4Cl (uL)]])/SUM(NMRPrep[[#This Row],[DI (uL) ]:[ NH4Cl (uL)]])</f>
        <v>#DIV/0!</v>
      </c>
    </row>
    <row r="987" spans="1:18" x14ac:dyDescent="0.25">
      <c r="A987" s="1">
        <f>SampleList[[#This Row],[Date Sampled]]</f>
        <v>0</v>
      </c>
      <c r="B987" t="str" cm="1">
        <f t="array" ref="B987">IF(ISBLANK(INDEX(SampleList[NMR],ROW()-1)),"Not Requested",INDEX(SampleList[Experiment ID],ROW()-1))</f>
        <v>Not Requested</v>
      </c>
      <c r="C987">
        <f>SampleList[[#This Row],[Duration (Days)]]</f>
        <v>0</v>
      </c>
      <c r="D987">
        <f>SampleList[[#This Row],[Sample Description]]</f>
        <v>0</v>
      </c>
      <c r="N987">
        <f>SUM(NMRPrep[[#This Row],[d-DMSO (uL) ]:[ NH4Cl (uL)]])</f>
        <v>0</v>
      </c>
      <c r="O987">
        <f>647</f>
        <v>647</v>
      </c>
      <c r="P987">
        <f>NMRPrep[[#This Row],[Total (uL) ]]-NMRPrep[[#This Row],[Target (uL)]]</f>
        <v>-647</v>
      </c>
      <c r="R987" t="e">
        <f>(NMRPrep[[#This Row],[NH4Cl Stock Concentration (mM)]]*NMRPrep[[#This Row],[ NH4Cl (uL)]])/SUM(NMRPrep[[#This Row],[DI (uL) ]:[ NH4Cl (uL)]])</f>
        <v>#DIV/0!</v>
      </c>
    </row>
    <row r="988" spans="1:18" x14ac:dyDescent="0.25">
      <c r="A988" s="1">
        <f>SampleList[[#This Row],[Date Sampled]]</f>
        <v>0</v>
      </c>
      <c r="B988" t="str" cm="1">
        <f t="array" ref="B988">IF(ISBLANK(INDEX(SampleList[NMR],ROW()-1)),"Not Requested",INDEX(SampleList[Experiment ID],ROW()-1))</f>
        <v>Not Requested</v>
      </c>
      <c r="C988">
        <f>SampleList[[#This Row],[Duration (Days)]]</f>
        <v>0</v>
      </c>
      <c r="D988">
        <f>SampleList[[#This Row],[Sample Description]]</f>
        <v>0</v>
      </c>
      <c r="N988">
        <f>SUM(NMRPrep[[#This Row],[d-DMSO (uL) ]:[ NH4Cl (uL)]])</f>
        <v>0</v>
      </c>
      <c r="O988">
        <f>647</f>
        <v>647</v>
      </c>
      <c r="P988">
        <f>NMRPrep[[#This Row],[Total (uL) ]]-NMRPrep[[#This Row],[Target (uL)]]</f>
        <v>-647</v>
      </c>
      <c r="R988" t="e">
        <f>(NMRPrep[[#This Row],[NH4Cl Stock Concentration (mM)]]*NMRPrep[[#This Row],[ NH4Cl (uL)]])/SUM(NMRPrep[[#This Row],[DI (uL) ]:[ NH4Cl (uL)]])</f>
        <v>#DIV/0!</v>
      </c>
    </row>
    <row r="989" spans="1:18" x14ac:dyDescent="0.25">
      <c r="A989" s="1">
        <f>SampleList[[#This Row],[Date Sampled]]</f>
        <v>0</v>
      </c>
      <c r="B989" t="str" cm="1">
        <f t="array" ref="B989">IF(ISBLANK(INDEX(SampleList[NMR],ROW()-1)),"Not Requested",INDEX(SampleList[Experiment ID],ROW()-1))</f>
        <v>Not Requested</v>
      </c>
      <c r="C989">
        <f>SampleList[[#This Row],[Duration (Days)]]</f>
        <v>0</v>
      </c>
      <c r="D989">
        <f>SampleList[[#This Row],[Sample Description]]</f>
        <v>0</v>
      </c>
      <c r="N989">
        <f>SUM(NMRPrep[[#This Row],[d-DMSO (uL) ]:[ NH4Cl (uL)]])</f>
        <v>0</v>
      </c>
      <c r="O989">
        <f>647</f>
        <v>647</v>
      </c>
      <c r="P989">
        <f>NMRPrep[[#This Row],[Total (uL) ]]-NMRPrep[[#This Row],[Target (uL)]]</f>
        <v>-647</v>
      </c>
      <c r="R989" t="e">
        <f>(NMRPrep[[#This Row],[NH4Cl Stock Concentration (mM)]]*NMRPrep[[#This Row],[ NH4Cl (uL)]])/SUM(NMRPrep[[#This Row],[DI (uL) ]:[ NH4Cl (uL)]])</f>
        <v>#DIV/0!</v>
      </c>
    </row>
    <row r="990" spans="1:18" x14ac:dyDescent="0.25">
      <c r="A990" s="1">
        <f>SampleList[[#This Row],[Date Sampled]]</f>
        <v>0</v>
      </c>
      <c r="B990" t="str" cm="1">
        <f t="array" ref="B990">IF(ISBLANK(INDEX(SampleList[NMR],ROW()-1)),"Not Requested",INDEX(SampleList[Experiment ID],ROW()-1))</f>
        <v>Not Requested</v>
      </c>
      <c r="C990">
        <f>SampleList[[#This Row],[Duration (Days)]]</f>
        <v>0</v>
      </c>
      <c r="D990">
        <f>SampleList[[#This Row],[Sample Description]]</f>
        <v>0</v>
      </c>
      <c r="N990">
        <f>SUM(NMRPrep[[#This Row],[d-DMSO (uL) ]:[ NH4Cl (uL)]])</f>
        <v>0</v>
      </c>
      <c r="O990">
        <f>647</f>
        <v>647</v>
      </c>
      <c r="P990">
        <f>NMRPrep[[#This Row],[Total (uL) ]]-NMRPrep[[#This Row],[Target (uL)]]</f>
        <v>-647</v>
      </c>
      <c r="R990" t="e">
        <f>(NMRPrep[[#This Row],[NH4Cl Stock Concentration (mM)]]*NMRPrep[[#This Row],[ NH4Cl (uL)]])/SUM(NMRPrep[[#This Row],[DI (uL) ]:[ NH4Cl (uL)]])</f>
        <v>#DIV/0!</v>
      </c>
    </row>
    <row r="991" spans="1:18" x14ac:dyDescent="0.25">
      <c r="A991" s="1">
        <f>SampleList[[#This Row],[Date Sampled]]</f>
        <v>0</v>
      </c>
      <c r="B991" t="str" cm="1">
        <f t="array" ref="B991">IF(ISBLANK(INDEX(SampleList[NMR],ROW()-1)),"Not Requested",INDEX(SampleList[Experiment ID],ROW()-1))</f>
        <v>Not Requested</v>
      </c>
      <c r="C991">
        <f>SampleList[[#This Row],[Duration (Days)]]</f>
        <v>0</v>
      </c>
      <c r="D991">
        <f>SampleList[[#This Row],[Sample Description]]</f>
        <v>0</v>
      </c>
      <c r="N991">
        <f>SUM(NMRPrep[[#This Row],[d-DMSO (uL) ]:[ NH4Cl (uL)]])</f>
        <v>0</v>
      </c>
      <c r="O991">
        <f>647</f>
        <v>647</v>
      </c>
      <c r="P991">
        <f>NMRPrep[[#This Row],[Total (uL) ]]-NMRPrep[[#This Row],[Target (uL)]]</f>
        <v>-647</v>
      </c>
      <c r="R991" t="e">
        <f>(NMRPrep[[#This Row],[NH4Cl Stock Concentration (mM)]]*NMRPrep[[#This Row],[ NH4Cl (uL)]])/SUM(NMRPrep[[#This Row],[DI (uL) ]:[ NH4Cl (uL)]])</f>
        <v>#DIV/0!</v>
      </c>
    </row>
    <row r="992" spans="1:18" x14ac:dyDescent="0.25">
      <c r="A992" s="1">
        <f>SampleList[[#This Row],[Date Sampled]]</f>
        <v>0</v>
      </c>
      <c r="B992" t="str" cm="1">
        <f t="array" ref="B992">IF(ISBLANK(INDEX(SampleList[NMR],ROW()-1)),"Not Requested",INDEX(SampleList[Experiment ID],ROW()-1))</f>
        <v>Not Requested</v>
      </c>
      <c r="C992">
        <f>SampleList[[#This Row],[Duration (Days)]]</f>
        <v>0</v>
      </c>
      <c r="D992">
        <f>SampleList[[#This Row],[Sample Description]]</f>
        <v>0</v>
      </c>
      <c r="N992">
        <f>SUM(NMRPrep[[#This Row],[d-DMSO (uL) ]:[ NH4Cl (uL)]])</f>
        <v>0</v>
      </c>
      <c r="O992">
        <f>647</f>
        <v>647</v>
      </c>
      <c r="P992">
        <f>NMRPrep[[#This Row],[Total (uL) ]]-NMRPrep[[#This Row],[Target (uL)]]</f>
        <v>-647</v>
      </c>
      <c r="R992" t="e">
        <f>(NMRPrep[[#This Row],[NH4Cl Stock Concentration (mM)]]*NMRPrep[[#This Row],[ NH4Cl (uL)]])/SUM(NMRPrep[[#This Row],[DI (uL) ]:[ NH4Cl (uL)]])</f>
        <v>#DIV/0!</v>
      </c>
    </row>
    <row r="993" spans="1:18" x14ac:dyDescent="0.25">
      <c r="A993" s="1">
        <f>SampleList[[#This Row],[Date Sampled]]</f>
        <v>0</v>
      </c>
      <c r="B993" t="str" cm="1">
        <f t="array" ref="B993">IF(ISBLANK(INDEX(SampleList[NMR],ROW()-1)),"Not Requested",INDEX(SampleList[Experiment ID],ROW()-1))</f>
        <v>Not Requested</v>
      </c>
      <c r="C993">
        <f>SampleList[[#This Row],[Duration (Days)]]</f>
        <v>0</v>
      </c>
      <c r="D993">
        <f>SampleList[[#This Row],[Sample Description]]</f>
        <v>0</v>
      </c>
      <c r="N993">
        <f>SUM(NMRPrep[[#This Row],[d-DMSO (uL) ]:[ NH4Cl (uL)]])</f>
        <v>0</v>
      </c>
      <c r="O993">
        <f>647</f>
        <v>647</v>
      </c>
      <c r="P993">
        <f>NMRPrep[[#This Row],[Total (uL) ]]-NMRPrep[[#This Row],[Target (uL)]]</f>
        <v>-647</v>
      </c>
      <c r="R993" t="e">
        <f>(NMRPrep[[#This Row],[NH4Cl Stock Concentration (mM)]]*NMRPrep[[#This Row],[ NH4Cl (uL)]])/SUM(NMRPrep[[#This Row],[DI (uL) ]:[ NH4Cl (uL)]])</f>
        <v>#DIV/0!</v>
      </c>
    </row>
    <row r="994" spans="1:18" x14ac:dyDescent="0.25">
      <c r="A994" s="1">
        <f>SampleList[[#This Row],[Date Sampled]]</f>
        <v>0</v>
      </c>
      <c r="B994" t="str" cm="1">
        <f t="array" ref="B994">IF(ISBLANK(INDEX(SampleList[NMR],ROW()-1)),"Not Requested",INDEX(SampleList[Experiment ID],ROW()-1))</f>
        <v>Not Requested</v>
      </c>
      <c r="C994">
        <f>SampleList[[#This Row],[Duration (Days)]]</f>
        <v>0</v>
      </c>
      <c r="D994">
        <f>SampleList[[#This Row],[Sample Description]]</f>
        <v>0</v>
      </c>
      <c r="N994">
        <f>SUM(NMRPrep[[#This Row],[d-DMSO (uL) ]:[ NH4Cl (uL)]])</f>
        <v>0</v>
      </c>
      <c r="O994">
        <f>647</f>
        <v>647</v>
      </c>
      <c r="P994">
        <f>NMRPrep[[#This Row],[Total (uL) ]]-NMRPrep[[#This Row],[Target (uL)]]</f>
        <v>-647</v>
      </c>
      <c r="R994" t="e">
        <f>(NMRPrep[[#This Row],[NH4Cl Stock Concentration (mM)]]*NMRPrep[[#This Row],[ NH4Cl (uL)]])/SUM(NMRPrep[[#This Row],[DI (uL) ]:[ NH4Cl (uL)]])</f>
        <v>#DIV/0!</v>
      </c>
    </row>
    <row r="995" spans="1:18" x14ac:dyDescent="0.25">
      <c r="A995" s="1">
        <f>SampleList[[#This Row],[Date Sampled]]</f>
        <v>0</v>
      </c>
      <c r="B995" t="str" cm="1">
        <f t="array" ref="B995">IF(ISBLANK(INDEX(SampleList[NMR],ROW()-1)),"Not Requested",INDEX(SampleList[Experiment ID],ROW()-1))</f>
        <v>Not Requested</v>
      </c>
      <c r="C995">
        <f>SampleList[[#This Row],[Duration (Days)]]</f>
        <v>0</v>
      </c>
      <c r="D995">
        <f>SampleList[[#This Row],[Sample Description]]</f>
        <v>0</v>
      </c>
      <c r="N995">
        <f>SUM(NMRPrep[[#This Row],[d-DMSO (uL) ]:[ NH4Cl (uL)]])</f>
        <v>0</v>
      </c>
      <c r="O995">
        <f>647</f>
        <v>647</v>
      </c>
      <c r="P995">
        <f>NMRPrep[[#This Row],[Total (uL) ]]-NMRPrep[[#This Row],[Target (uL)]]</f>
        <v>-647</v>
      </c>
      <c r="R995" t="e">
        <f>(NMRPrep[[#This Row],[NH4Cl Stock Concentration (mM)]]*NMRPrep[[#This Row],[ NH4Cl (uL)]])/SUM(NMRPrep[[#This Row],[DI (uL) ]:[ NH4Cl (uL)]])</f>
        <v>#DIV/0!</v>
      </c>
    </row>
    <row r="996" spans="1:18" x14ac:dyDescent="0.25">
      <c r="A996" s="1">
        <f>SampleList[[#This Row],[Date Sampled]]</f>
        <v>0</v>
      </c>
      <c r="B996" t="str" cm="1">
        <f t="array" ref="B996">IF(ISBLANK(INDEX(SampleList[NMR],ROW()-1)),"Not Requested",INDEX(SampleList[Experiment ID],ROW()-1))</f>
        <v>Not Requested</v>
      </c>
      <c r="C996">
        <f>SampleList[[#This Row],[Duration (Days)]]</f>
        <v>0</v>
      </c>
      <c r="D996">
        <f>SampleList[[#This Row],[Sample Description]]</f>
        <v>0</v>
      </c>
      <c r="N996">
        <f>SUM(NMRPrep[[#This Row],[d-DMSO (uL) ]:[ NH4Cl (uL)]])</f>
        <v>0</v>
      </c>
      <c r="O996">
        <f>647</f>
        <v>647</v>
      </c>
      <c r="P996">
        <f>NMRPrep[[#This Row],[Total (uL) ]]-NMRPrep[[#This Row],[Target (uL)]]</f>
        <v>-647</v>
      </c>
      <c r="R996" t="e">
        <f>(NMRPrep[[#This Row],[NH4Cl Stock Concentration (mM)]]*NMRPrep[[#This Row],[ NH4Cl (uL)]])/SUM(NMRPrep[[#This Row],[DI (uL) ]:[ NH4Cl (uL)]])</f>
        <v>#DIV/0!</v>
      </c>
    </row>
    <row r="997" spans="1:18" x14ac:dyDescent="0.25">
      <c r="A997" s="1">
        <f>SampleList[[#This Row],[Date Sampled]]</f>
        <v>0</v>
      </c>
      <c r="B997" t="str" cm="1">
        <f t="array" ref="B997">IF(ISBLANK(INDEX(SampleList[NMR],ROW()-1)),"Not Requested",INDEX(SampleList[Experiment ID],ROW()-1))</f>
        <v>Not Requested</v>
      </c>
      <c r="C997">
        <f>SampleList[[#This Row],[Duration (Days)]]</f>
        <v>0</v>
      </c>
      <c r="D997">
        <f>SampleList[[#This Row],[Sample Description]]</f>
        <v>0</v>
      </c>
      <c r="N997">
        <f>SUM(NMRPrep[[#This Row],[d-DMSO (uL) ]:[ NH4Cl (uL)]])</f>
        <v>0</v>
      </c>
      <c r="O997">
        <f>647</f>
        <v>647</v>
      </c>
      <c r="P997">
        <f>NMRPrep[[#This Row],[Total (uL) ]]-NMRPrep[[#This Row],[Target (uL)]]</f>
        <v>-647</v>
      </c>
      <c r="R997" t="e">
        <f>(NMRPrep[[#This Row],[NH4Cl Stock Concentration (mM)]]*NMRPrep[[#This Row],[ NH4Cl (uL)]])/SUM(NMRPrep[[#This Row],[DI (uL) ]:[ NH4Cl (uL)]])</f>
        <v>#DIV/0!</v>
      </c>
    </row>
    <row r="998" spans="1:18" x14ac:dyDescent="0.25">
      <c r="A998" s="1">
        <f>SampleList[[#This Row],[Date Sampled]]</f>
        <v>0</v>
      </c>
      <c r="B998" t="str" cm="1">
        <f t="array" ref="B998">IF(ISBLANK(INDEX(SampleList[NMR],ROW()-1)),"Not Requested",INDEX(SampleList[Experiment ID],ROW()-1))</f>
        <v>Not Requested</v>
      </c>
      <c r="C998">
        <f>SampleList[[#This Row],[Duration (Days)]]</f>
        <v>0</v>
      </c>
      <c r="D998">
        <f>SampleList[[#This Row],[Sample Description]]</f>
        <v>0</v>
      </c>
      <c r="N998">
        <f>SUM(NMRPrep[[#This Row],[d-DMSO (uL) ]:[ NH4Cl (uL)]])</f>
        <v>0</v>
      </c>
      <c r="O998">
        <f>647</f>
        <v>647</v>
      </c>
      <c r="P998">
        <f>NMRPrep[[#This Row],[Total (uL) ]]-NMRPrep[[#This Row],[Target (uL)]]</f>
        <v>-647</v>
      </c>
      <c r="R998" t="e">
        <f>(NMRPrep[[#This Row],[NH4Cl Stock Concentration (mM)]]*NMRPrep[[#This Row],[ NH4Cl (uL)]])/SUM(NMRPrep[[#This Row],[DI (uL) ]:[ NH4Cl (uL)]])</f>
        <v>#DIV/0!</v>
      </c>
    </row>
    <row r="999" spans="1:18" x14ac:dyDescent="0.25">
      <c r="A999" s="1" t="e">
        <f>SampleList[[#This Row],[Date Sampled]]</f>
        <v>#VALUE!</v>
      </c>
      <c r="B999" t="e" cm="1">
        <f t="array" ref="B999">IF(ISBLANK(INDEX(SampleList[NMR],ROW()-1)),"Not Requested",INDEX(SampleList[Experiment ID],ROW()-1))</f>
        <v>#REF!</v>
      </c>
      <c r="C999" t="e">
        <f>SampleList[[#This Row],[Duration (Days)]]</f>
        <v>#VALUE!</v>
      </c>
      <c r="D999" t="e">
        <f>SampleList[[#This Row],[Sample Description]]</f>
        <v>#VALUE!</v>
      </c>
      <c r="N999">
        <f>SUM(NMRPrep[[#This Row],[d-DMSO (uL) ]:[ NH4Cl (uL)]])</f>
        <v>0</v>
      </c>
      <c r="O999">
        <f>647</f>
        <v>647</v>
      </c>
      <c r="P999">
        <f>NMRPrep[[#This Row],[Total (uL) ]]-NMRPrep[[#This Row],[Target (uL)]]</f>
        <v>-647</v>
      </c>
      <c r="R999" t="e">
        <f>(NMRPrep[[#This Row],[NH4Cl Stock Concentration (mM)]]*NMRPrep[[#This Row],[ NH4Cl (uL)]])/SUM(NMRPrep[[#This Row],[DI (uL) ]:[ NH4Cl (uL)]])</f>
        <v>#DIV/0!</v>
      </c>
    </row>
    <row r="1000" spans="1:18" x14ac:dyDescent="0.25">
      <c r="A1000" s="1" t="e">
        <f>SampleList[[#This Row],[Date Sampled]]</f>
        <v>#VALUE!</v>
      </c>
      <c r="B1000" t="e" cm="1">
        <f t="array" ref="B1000">IF(ISBLANK(INDEX(SampleList[NMR],ROW()-1)),"Not Requested",INDEX(SampleList[Experiment ID],ROW()-1))</f>
        <v>#REF!</v>
      </c>
      <c r="C1000" t="e">
        <f>SampleList[[#This Row],[Duration (Days)]]</f>
        <v>#VALUE!</v>
      </c>
      <c r="D1000" t="e">
        <f>SampleList[[#This Row],[Sample Description]]</f>
        <v>#VALUE!</v>
      </c>
      <c r="N1000">
        <f>SUM(NMRPrep[[#This Row],[d-DMSO (uL) ]:[ NH4Cl (uL)]])</f>
        <v>0</v>
      </c>
      <c r="O1000">
        <f>647</f>
        <v>647</v>
      </c>
      <c r="P1000">
        <f>NMRPrep[[#This Row],[Total (uL) ]]-NMRPrep[[#This Row],[Target (uL)]]</f>
        <v>-647</v>
      </c>
      <c r="R1000" t="e">
        <f>(NMRPrep[[#This Row],[NH4Cl Stock Concentration (mM)]]*NMRPrep[[#This Row],[ NH4Cl (uL)]])/SUM(NMRPrep[[#This Row],[DI (uL) ]:[ NH4Cl (uL)]])</f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0036-2CD9-46F4-942D-38C0F4FBA3AC}">
  <sheetPr>
    <tabColor theme="8" tint="-0.249977111117893"/>
  </sheetPr>
  <dimension ref="A1:K1000"/>
  <sheetViews>
    <sheetView topLeftCell="A10" workbookViewId="0">
      <selection activeCell="H42" sqref="H42"/>
    </sheetView>
  </sheetViews>
  <sheetFormatPr defaultRowHeight="15" x14ac:dyDescent="0.25"/>
  <cols>
    <col min="1" max="1" width="14.5703125" customWidth="1"/>
    <col min="2" max="2" width="19.7109375" bestFit="1" customWidth="1"/>
    <col min="3" max="3" width="14.7109375" customWidth="1"/>
    <col min="4" max="4" width="16" customWidth="1"/>
    <col min="5" max="5" width="10.42578125" customWidth="1"/>
    <col min="6" max="6" width="16.85546875" customWidth="1"/>
    <col min="7" max="7" width="18.28515625" customWidth="1"/>
    <col min="8" max="8" width="30.5703125" customWidth="1"/>
    <col min="9" max="9" width="19" customWidth="1"/>
    <col min="10" max="10" width="7.85546875" customWidth="1"/>
    <col min="11" max="11" width="8.7109375" customWidth="1"/>
    <col min="12" max="12" width="13.42578125" customWidth="1"/>
  </cols>
  <sheetData>
    <row r="1" spans="1:11" s="2" customFormat="1" ht="45" x14ac:dyDescent="0.25">
      <c r="A1" s="3" t="s">
        <v>2</v>
      </c>
      <c r="B1" s="3" t="s">
        <v>0</v>
      </c>
      <c r="C1" s="3" t="s">
        <v>3</v>
      </c>
      <c r="D1" s="3" t="s">
        <v>9</v>
      </c>
      <c r="E1" s="3" t="s">
        <v>31</v>
      </c>
      <c r="F1" s="3" t="s">
        <v>32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1" x14ac:dyDescent="0.25">
      <c r="A2" s="1">
        <f>Sampling!D2</f>
        <v>46094</v>
      </c>
      <c r="B2" t="str" cm="1">
        <f t="array" ref="B2">IF(ISBLANK(INDEX(SampleList[NMR],ROW()-1)),"Not Requested",INDEX(SampleList[Experiment ID],ROW()-1))</f>
        <v>HPHT_097</v>
      </c>
      <c r="C2">
        <f>SampleList[[#This Row],[Duration (Days)]]</f>
        <v>1</v>
      </c>
      <c r="D2">
        <f>NMRPrep[[#This Row],['#]]</f>
        <v>0</v>
      </c>
      <c r="E2" s="1">
        <v>46097</v>
      </c>
      <c r="F2">
        <v>2</v>
      </c>
      <c r="G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0.73529411764705888</v>
      </c>
      <c r="H2">
        <f>IF(ISBLANK(NMRPrep[[#This Row],[Total (uL) ]]), 0, NMRPrep[[#This Row],[1mM Maleic Acid (uL) ]]/NMRPrep[[#This Row],[Total (uL) ]])</f>
        <v>7.7279752704791344E-2</v>
      </c>
      <c r="I2">
        <f>2</f>
        <v>2</v>
      </c>
      <c r="J2">
        <f>4</f>
        <v>4</v>
      </c>
      <c r="K2">
        <f>1</f>
        <v>1</v>
      </c>
    </row>
    <row r="3" spans="1:11" x14ac:dyDescent="0.25">
      <c r="A3" s="1">
        <f>Sampling!D3</f>
        <v>46094</v>
      </c>
      <c r="B3" t="str" cm="1">
        <f t="array" ref="B3">IF(ISBLANK(INDEX(SampleList[NMR],ROW()-1)),"Not Requested",INDEX(SampleList[Experiment ID],ROW()-1))</f>
        <v>HPHT_070</v>
      </c>
      <c r="C3">
        <f>SampleList[[#This Row],[Duration (Days)]]</f>
        <v>60</v>
      </c>
      <c r="D3">
        <f>NMRPrep[[#This Row],['#]]</f>
        <v>0</v>
      </c>
      <c r="E3" s="1">
        <v>46097</v>
      </c>
      <c r="F3">
        <v>1.1200000000000001</v>
      </c>
      <c r="G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0.41176470588235303</v>
      </c>
      <c r="H3">
        <f>IF(ISBLANK(NMRPrep[[#This Row],[Total (uL) ]]), 0, NMRPrep[[#This Row],[1mM Maleic Acid (uL) ]]/NMRPrep[[#This Row],[Total (uL) ]])</f>
        <v>7.7279752704791344E-2</v>
      </c>
      <c r="I3">
        <f>2</f>
        <v>2</v>
      </c>
      <c r="J3">
        <f>4</f>
        <v>4</v>
      </c>
      <c r="K3">
        <f>1</f>
        <v>1</v>
      </c>
    </row>
    <row r="4" spans="1:11" x14ac:dyDescent="0.25">
      <c r="A4" s="1">
        <f>Sampling!D4</f>
        <v>46094</v>
      </c>
      <c r="B4" t="str" cm="1">
        <f t="array" ref="B4">IF(ISBLANK(INDEX(SampleList[NMR],ROW()-1)),"Not Requested",INDEX(SampleList[Experiment ID],ROW()-1))</f>
        <v>HPHT_089</v>
      </c>
      <c r="C4">
        <f>SampleList[[#This Row],[Duration (Days)]]</f>
        <v>0</v>
      </c>
      <c r="D4">
        <f>NMRPrep[[#This Row],['#]]</f>
        <v>0</v>
      </c>
      <c r="E4" s="1">
        <v>46097</v>
      </c>
      <c r="F4">
        <v>0.25</v>
      </c>
      <c r="G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9.1911764705882359E-2</v>
      </c>
      <c r="H4">
        <f>IF(ISBLANK(NMRPrep[[#This Row],[Total (uL) ]]), 0, NMRPrep[[#This Row],[1mM Maleic Acid (uL) ]]/NMRPrep[[#This Row],[Total (uL) ]])</f>
        <v>7.7279752704791344E-2</v>
      </c>
      <c r="I4">
        <f>2</f>
        <v>2</v>
      </c>
      <c r="J4">
        <f>4</f>
        <v>4</v>
      </c>
      <c r="K4">
        <f>1</f>
        <v>1</v>
      </c>
    </row>
    <row r="5" spans="1:11" x14ac:dyDescent="0.25">
      <c r="A5" s="1">
        <f>Sampling!D5</f>
        <v>46094</v>
      </c>
      <c r="B5" t="str" cm="1">
        <f t="array" ref="B5">IF(ISBLANK(INDEX(SampleList[NMR],ROW()-1)),"Not Requested",INDEX(SampleList[Experiment ID],ROW()-1))</f>
        <v>NH4-Teflon</v>
      </c>
      <c r="C5">
        <f>SampleList[[#This Row],[Duration (Days)]]</f>
        <v>0</v>
      </c>
      <c r="D5">
        <f>NMRPrep[[#This Row],['#]]</f>
        <v>0</v>
      </c>
      <c r="E5" s="1">
        <v>46097</v>
      </c>
      <c r="F5">
        <v>3.22</v>
      </c>
      <c r="G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1.1838235294117649</v>
      </c>
      <c r="H5">
        <f>IF(ISBLANK(NMRPrep[[#This Row],[Total (uL) ]]), 0, NMRPrep[[#This Row],[1mM Maleic Acid (uL) ]]/NMRPrep[[#This Row],[Total (uL) ]])</f>
        <v>7.7279752704791344E-2</v>
      </c>
      <c r="I5">
        <f>2</f>
        <v>2</v>
      </c>
      <c r="J5">
        <f>4</f>
        <v>4</v>
      </c>
      <c r="K5">
        <f>1</f>
        <v>1</v>
      </c>
    </row>
    <row r="6" spans="1:11" x14ac:dyDescent="0.25">
      <c r="A6" s="1">
        <f>Sampling!D6</f>
        <v>46097</v>
      </c>
      <c r="B6" t="str" cm="1">
        <f t="array" ref="B6">IF(ISBLANK(INDEX(SampleList[NMR],ROW()-1)),"Not Requested",INDEX(SampleList[Experiment ID],ROW()-1))</f>
        <v>NH4-Teflon</v>
      </c>
      <c r="C6">
        <f>SampleList[[#This Row],[Duration (Days)]]</f>
        <v>3</v>
      </c>
      <c r="D6">
        <f>NMRPrep[[#This Row],['#]]</f>
        <v>0</v>
      </c>
      <c r="E6" s="1">
        <v>46097</v>
      </c>
      <c r="F6">
        <v>3.05</v>
      </c>
      <c r="G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1.1213235294117647</v>
      </c>
      <c r="H6">
        <f>IF(ISBLANK(NMRPrep[[#This Row],[Total (uL) ]]), 0, NMRPrep[[#This Row],[1mM Maleic Acid (uL) ]]/NMRPrep[[#This Row],[Total (uL) ]])</f>
        <v>7.7279752704791344E-2</v>
      </c>
      <c r="I6">
        <f>2</f>
        <v>2</v>
      </c>
      <c r="J6">
        <f>4</f>
        <v>4</v>
      </c>
      <c r="K6">
        <f>1</f>
        <v>1</v>
      </c>
    </row>
    <row r="7" spans="1:11" x14ac:dyDescent="0.25">
      <c r="A7" s="1">
        <f>Sampling!D7</f>
        <v>46094</v>
      </c>
      <c r="B7" t="str" cm="1">
        <f t="array" ref="B7">IF(ISBLANK(INDEX(SampleList[NMR],ROW()-1)),"Not Requested",INDEX(SampleList[Experiment ID],ROW()-1))</f>
        <v>HPHT_070_Desorption</v>
      </c>
      <c r="C7">
        <f>SampleList[[#This Row],[Duration (Days)]]</f>
        <v>0</v>
      </c>
      <c r="D7">
        <f>NMRPrep[[#This Row],['#]]</f>
        <v>0</v>
      </c>
      <c r="E7" s="1">
        <v>46097</v>
      </c>
      <c r="F7">
        <v>0.13</v>
      </c>
      <c r="G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4.7794117647058827E-2</v>
      </c>
      <c r="H7">
        <f>IF(ISBLANK(NMRPrep[[#This Row],[Total (uL) ]]), 0, NMRPrep[[#This Row],[1mM Maleic Acid (uL) ]]/NMRPrep[[#This Row],[Total (uL) ]])</f>
        <v>7.7279752704791344E-2</v>
      </c>
      <c r="I7">
        <f>2</f>
        <v>2</v>
      </c>
      <c r="J7">
        <f>4</f>
        <v>4</v>
      </c>
      <c r="K7">
        <f>1</f>
        <v>1</v>
      </c>
    </row>
    <row r="8" spans="1:11" x14ac:dyDescent="0.25">
      <c r="A8" s="1">
        <f>Sampling!D8</f>
        <v>46097</v>
      </c>
      <c r="B8" t="str" cm="1">
        <f t="array" ref="B8">IF(ISBLANK(INDEX(SampleList[NMR],ROW()-1)),"Not Requested",INDEX(SampleList[Experiment ID],ROW()-1))</f>
        <v>HPHT_101</v>
      </c>
      <c r="C8">
        <f>SampleList[[#This Row],[Duration (Days)]]</f>
        <v>3</v>
      </c>
      <c r="D8">
        <f>NMRPrep[[#This Row],['#]]</f>
        <v>0</v>
      </c>
      <c r="E8" s="1">
        <v>46097</v>
      </c>
      <c r="F8">
        <v>0.15</v>
      </c>
      <c r="G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5.514705882352941E-2</v>
      </c>
      <c r="H8">
        <f>IF(ISBLANK(NMRPrep[[#This Row],[Total (uL) ]]), 0, NMRPrep[[#This Row],[1mM Maleic Acid (uL) ]]/NMRPrep[[#This Row],[Total (uL) ]])</f>
        <v>7.7279752704791344E-2</v>
      </c>
      <c r="I8">
        <f>2</f>
        <v>2</v>
      </c>
      <c r="J8">
        <f>4</f>
        <v>4</v>
      </c>
      <c r="K8">
        <f>1</f>
        <v>1</v>
      </c>
    </row>
    <row r="9" spans="1:11" x14ac:dyDescent="0.25">
      <c r="A9" s="1">
        <f>Sampling!D9</f>
        <v>46097</v>
      </c>
      <c r="B9" t="str" cm="1">
        <f t="array" ref="B9">IF(ISBLANK(INDEX(SampleList[NMR],ROW()-1)),"Not Requested",INDEX(SampleList[Experiment ID],ROW()-1))</f>
        <v>HPHT_102</v>
      </c>
      <c r="C9">
        <f>SampleList[[#This Row],[Duration (Days)]]</f>
        <v>3</v>
      </c>
      <c r="D9">
        <f>NMRPrep[[#This Row],['#]]</f>
        <v>0</v>
      </c>
      <c r="E9" s="1">
        <v>46097</v>
      </c>
      <c r="F9">
        <v>0.13</v>
      </c>
      <c r="G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4.7794117647058827E-2</v>
      </c>
      <c r="H9">
        <f>IF(ISBLANK(NMRPrep[[#This Row],[Total (uL) ]]), 0, NMRPrep[[#This Row],[1mM Maleic Acid (uL) ]]/NMRPrep[[#This Row],[Total (uL) ]])</f>
        <v>7.7279752704791344E-2</v>
      </c>
      <c r="I9">
        <f>2</f>
        <v>2</v>
      </c>
      <c r="J9">
        <f>4</f>
        <v>4</v>
      </c>
      <c r="K9">
        <f>1</f>
        <v>1</v>
      </c>
    </row>
    <row r="10" spans="1:11" x14ac:dyDescent="0.25">
      <c r="A10" s="1">
        <f>Sampling!D10</f>
        <v>46097</v>
      </c>
      <c r="B10" t="str" cm="1">
        <f t="array" ref="B10">IF(ISBLANK(INDEX(SampleList[NMR],ROW()-1)),"Not Requested",INDEX(SampleList[Experiment ID],ROW()-1))</f>
        <v>HPHT_095_Desorption</v>
      </c>
      <c r="C10">
        <f>SampleList[[#This Row],[Duration (Days)]]</f>
        <v>3</v>
      </c>
      <c r="D10">
        <f>NMRPrep[[#This Row],['#]]</f>
        <v>0</v>
      </c>
      <c r="E10" s="1">
        <v>46097</v>
      </c>
      <c r="F10">
        <v>0.23</v>
      </c>
      <c r="G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8.4558823529411783E-2</v>
      </c>
      <c r="H10">
        <f>IF(ISBLANK(NMRPrep[[#This Row],[Total (uL) ]]), 0, NMRPrep[[#This Row],[1mM Maleic Acid (uL) ]]/NMRPrep[[#This Row],[Total (uL) ]])</f>
        <v>7.7279752704791344E-2</v>
      </c>
      <c r="I10">
        <f>2</f>
        <v>2</v>
      </c>
      <c r="J10">
        <f>4</f>
        <v>4</v>
      </c>
      <c r="K10">
        <f>1</f>
        <v>1</v>
      </c>
    </row>
    <row r="11" spans="1:11" x14ac:dyDescent="0.25">
      <c r="A11" s="1">
        <f>Sampling!D11</f>
        <v>46097</v>
      </c>
      <c r="B11" t="str" cm="1">
        <f t="array" ref="B11">IF(ISBLANK(INDEX(SampleList[NMR],ROW()-1)),"Not Requested",INDEX(SampleList[Experiment ID],ROW()-1))</f>
        <v>HPHT_097</v>
      </c>
      <c r="C11">
        <f>SampleList[[#This Row],[Duration (Days)]]</f>
        <v>4</v>
      </c>
      <c r="D11">
        <f>NMRPrep[[#This Row],['#]]</f>
        <v>0</v>
      </c>
      <c r="E11" s="1">
        <v>46097</v>
      </c>
      <c r="F11">
        <v>2.41</v>
      </c>
      <c r="G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0.88602941176470607</v>
      </c>
      <c r="H11">
        <f>IF(ISBLANK(NMRPrep[[#This Row],[Total (uL) ]]), 0, NMRPrep[[#This Row],[1mM Maleic Acid (uL) ]]/NMRPrep[[#This Row],[Total (uL) ]])</f>
        <v>7.7279752704791344E-2</v>
      </c>
      <c r="I11">
        <f>2</f>
        <v>2</v>
      </c>
      <c r="J11">
        <f>4</f>
        <v>4</v>
      </c>
      <c r="K11">
        <f>1</f>
        <v>1</v>
      </c>
    </row>
    <row r="12" spans="1:11" x14ac:dyDescent="0.25">
      <c r="A12" s="1">
        <f>Sampling!D12</f>
        <v>46097</v>
      </c>
      <c r="B12" t="str" cm="1">
        <f t="array" ref="B12">IF(ISBLANK(INDEX(SampleList[NMR],ROW()-1)),"Not Requested",INDEX(SampleList[Experiment ID],ROW()-1))</f>
        <v xml:space="preserve">Standard </v>
      </c>
      <c r="C12">
        <f>SampleList[[#This Row],[Duration (Days)]]</f>
        <v>0</v>
      </c>
      <c r="D12">
        <f>NMRPrep[[#This Row],['#]]</f>
        <v>0</v>
      </c>
      <c r="E12" s="1">
        <v>46097</v>
      </c>
      <c r="F12">
        <v>6.76</v>
      </c>
      <c r="G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0.38148984198645602</v>
      </c>
      <c r="H12">
        <f>IF(ISBLANK(NMRPrep[[#This Row],[Total (uL) ]]), 0, NMRPrep[[#This Row],[1mM Maleic Acid (uL) ]]/NMRPrep[[#This Row],[Total (uL) ]])</f>
        <v>7.7279752704791344E-2</v>
      </c>
      <c r="I12">
        <f>2</f>
        <v>2</v>
      </c>
      <c r="J12">
        <f>4</f>
        <v>4</v>
      </c>
      <c r="K12">
        <f>1</f>
        <v>1</v>
      </c>
    </row>
    <row r="13" spans="1:11" x14ac:dyDescent="0.25">
      <c r="A13" s="1">
        <f>Sampling!D13</f>
        <v>46097</v>
      </c>
      <c r="B13" t="str" cm="1">
        <f t="array" ref="B13">IF(ISBLANK(INDEX(SampleList[NMR],ROW()-1)),"Not Requested",INDEX(SampleList[Experiment ID],ROW()-1))</f>
        <v>HPHT_096</v>
      </c>
      <c r="C13">
        <f>SampleList[[#This Row],[Duration (Days)]]</f>
        <v>10</v>
      </c>
      <c r="D13">
        <f>NMRPrep[[#This Row],['#]]</f>
        <v>0</v>
      </c>
      <c r="E13" s="1">
        <v>46097</v>
      </c>
      <c r="G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">
        <f>IF(ISBLANK(NMRPrep[[#This Row],[Total (uL) ]]), 0, NMRPrep[[#This Row],[1mM Maleic Acid (uL) ]]/NMRPrep[[#This Row],[Total (uL) ]])</f>
        <v>7.7279752704791344E-2</v>
      </c>
      <c r="I13">
        <f>2</f>
        <v>2</v>
      </c>
      <c r="J13">
        <f>4</f>
        <v>4</v>
      </c>
      <c r="K13">
        <f>1</f>
        <v>1</v>
      </c>
    </row>
    <row r="14" spans="1:11" x14ac:dyDescent="0.25">
      <c r="A14" s="1">
        <f>Sampling!D14</f>
        <v>46097</v>
      </c>
      <c r="B14" t="str" cm="1">
        <f t="array" ref="B14">IF(ISBLANK(INDEX(SampleList[NMR],ROW()-1)),"Not Requested",INDEX(SampleList[Experiment ID],ROW()-1))</f>
        <v>HPHT_079</v>
      </c>
      <c r="C14">
        <f>SampleList[[#This Row],[Duration (Days)]]</f>
        <v>39</v>
      </c>
      <c r="D14">
        <f>NMRPrep[[#This Row],['#]]</f>
        <v>0</v>
      </c>
      <c r="E14" s="1">
        <v>46099</v>
      </c>
      <c r="F14">
        <v>0.25</v>
      </c>
      <c r="G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9.1911764705882359E-2</v>
      </c>
      <c r="H14">
        <f>IF(ISBLANK(NMRPrep[[#This Row],[Total (uL) ]]), 0, NMRPrep[[#This Row],[1mM Maleic Acid (uL) ]]/NMRPrep[[#This Row],[Total (uL) ]])</f>
        <v>7.7279752704791344E-2</v>
      </c>
      <c r="I14">
        <f>2</f>
        <v>2</v>
      </c>
      <c r="J14">
        <f>4</f>
        <v>4</v>
      </c>
      <c r="K14">
        <f>1</f>
        <v>1</v>
      </c>
    </row>
    <row r="15" spans="1:11" x14ac:dyDescent="0.25">
      <c r="A15" s="1">
        <f>Sampling!D15</f>
        <v>46099</v>
      </c>
      <c r="B15" t="str" cm="1">
        <f t="array" ref="B15">IF(ISBLANK(INDEX(SampleList[NMR],ROW()-1)),"Not Requested",INDEX(SampleList[Experiment ID],ROW()-1))</f>
        <v>HPHT_097</v>
      </c>
      <c r="C15">
        <f>SampleList[[#This Row],[Duration (Days)]]</f>
        <v>6</v>
      </c>
      <c r="D15">
        <f>NMRPrep[[#This Row],['#]]</f>
        <v>0</v>
      </c>
      <c r="E15" s="1">
        <v>46099</v>
      </c>
      <c r="F15">
        <v>2.13</v>
      </c>
      <c r="G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0.78308823529411764</v>
      </c>
      <c r="H15">
        <f>IF(ISBLANK(NMRPrep[[#This Row],[Total (uL) ]]), 0, NMRPrep[[#This Row],[1mM Maleic Acid (uL) ]]/NMRPrep[[#This Row],[Total (uL) ]])</f>
        <v>7.7279752704791344E-2</v>
      </c>
      <c r="I15">
        <f>2</f>
        <v>2</v>
      </c>
      <c r="J15">
        <f>4</f>
        <v>4</v>
      </c>
      <c r="K15">
        <f>1</f>
        <v>1</v>
      </c>
    </row>
    <row r="16" spans="1:11" hidden="1" x14ac:dyDescent="0.25">
      <c r="A16" s="1">
        <f>Sampling!D16</f>
        <v>46080</v>
      </c>
      <c r="B16" t="str" cm="1">
        <f t="array" ref="B16">IF(ISBLANK(INDEX(SampleList[NMR],ROW()-1)),"Not Requested",INDEX(SampleList[Experiment ID],ROW()-1))</f>
        <v>Not Requested</v>
      </c>
      <c r="C16">
        <f>Sampling!E16</f>
        <v>6</v>
      </c>
      <c r="D16">
        <f>NMRPrep[[#This Row],['#]]</f>
        <v>0</v>
      </c>
      <c r="G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">
        <f>IF(ISBLANK(NMRPrep[[#This Row],[Total (uL) ]]), 0, NMRPrep[[#This Row],[1mM Maleic Acid (uL) ]]/NMRPrep[[#This Row],[Total (uL) ]])</f>
        <v>7.7279752704791344E-2</v>
      </c>
      <c r="I16">
        <f>2</f>
        <v>2</v>
      </c>
      <c r="J16">
        <f>4</f>
        <v>4</v>
      </c>
      <c r="K16">
        <f>1</f>
        <v>1</v>
      </c>
    </row>
    <row r="17" spans="1:11" hidden="1" x14ac:dyDescent="0.25">
      <c r="A17" s="1">
        <f>Sampling!D17</f>
        <v>46080</v>
      </c>
      <c r="B17" t="str" cm="1">
        <f t="array" ref="B17">IF(ISBLANK(INDEX(SampleList[NMR],ROW()-1)),"Not Requested",INDEX(SampleList[Experiment ID],ROW()-1))</f>
        <v>Not Requested</v>
      </c>
      <c r="C17">
        <f>Sampling!E17</f>
        <v>46</v>
      </c>
      <c r="D17">
        <f>NMRPrep[[#This Row],['#]]</f>
        <v>0</v>
      </c>
      <c r="G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">
        <f>IF(ISBLANK(NMRPrep[[#This Row],[Total (uL) ]]), 0, NMRPrep[[#This Row],[1mM Maleic Acid (uL) ]]/NMRPrep[[#This Row],[Total (uL) ]])</f>
        <v>7.7279752704791344E-2</v>
      </c>
      <c r="I17">
        <f>2</f>
        <v>2</v>
      </c>
      <c r="J17">
        <f>4</f>
        <v>4</v>
      </c>
      <c r="K17">
        <f>1</f>
        <v>1</v>
      </c>
    </row>
    <row r="18" spans="1:11" hidden="1" x14ac:dyDescent="0.25">
      <c r="A18" s="1">
        <f>Sampling!D18</f>
        <v>46080</v>
      </c>
      <c r="B18" t="str" cm="1">
        <f t="array" ref="B18">IF(ISBLANK(INDEX(SampleList[NMR],ROW()-1)),"Not Requested",INDEX(SampleList[Experiment ID],ROW()-1))</f>
        <v>Not Requested</v>
      </c>
      <c r="C18">
        <f>Sampling!E18</f>
        <v>18</v>
      </c>
      <c r="D18">
        <f>NMRPrep[[#This Row],['#]]</f>
        <v>0</v>
      </c>
      <c r="G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">
        <f>IF(ISBLANK(NMRPrep[[#This Row],[Total (uL) ]]), 0, NMRPrep[[#This Row],[1mM Maleic Acid (uL) ]]/NMRPrep[[#This Row],[Total (uL) ]])</f>
        <v>7.7279752704791344E-2</v>
      </c>
      <c r="I18">
        <f>2</f>
        <v>2</v>
      </c>
      <c r="J18">
        <f>4</f>
        <v>4</v>
      </c>
      <c r="K18">
        <f>1</f>
        <v>1</v>
      </c>
    </row>
    <row r="19" spans="1:11" hidden="1" x14ac:dyDescent="0.25">
      <c r="A19" s="1">
        <f>Sampling!D19</f>
        <v>46080</v>
      </c>
      <c r="B19" t="str" cm="1">
        <f t="array" ref="B19">IF(ISBLANK(INDEX(SampleList[NMR],ROW()-1)),"Not Requested",INDEX(SampleList[Experiment ID],ROW()-1))</f>
        <v>Not Requested</v>
      </c>
      <c r="C19">
        <f>Sampling!E19</f>
        <v>22</v>
      </c>
      <c r="D19">
        <f>NMRPrep[[#This Row],['#]]</f>
        <v>0</v>
      </c>
      <c r="G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">
        <f>IF(ISBLANK(NMRPrep[[#This Row],[Total (uL) ]]), 0, NMRPrep[[#This Row],[1mM Maleic Acid (uL) ]]/NMRPrep[[#This Row],[Total (uL) ]])</f>
        <v>7.7279752704791344E-2</v>
      </c>
      <c r="I19">
        <f>2</f>
        <v>2</v>
      </c>
      <c r="J19">
        <f>4</f>
        <v>4</v>
      </c>
      <c r="K19">
        <f>1</f>
        <v>1</v>
      </c>
    </row>
    <row r="20" spans="1:11" hidden="1" x14ac:dyDescent="0.25">
      <c r="A20" s="1">
        <f>Sampling!D20</f>
        <v>46083</v>
      </c>
      <c r="B20" t="str" cm="1">
        <f t="array" ref="B20">IF(ISBLANK(INDEX(SampleList[NMR],ROW()-1)),"Not Requested",INDEX(SampleList[Experiment ID],ROW()-1))</f>
        <v>Not Requested</v>
      </c>
      <c r="C20">
        <f>Sampling!E20</f>
        <v>20</v>
      </c>
      <c r="D20">
        <f>NMRPrep[[#This Row],['#]]</f>
        <v>0</v>
      </c>
      <c r="G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">
        <f>IF(ISBLANK(NMRPrep[[#This Row],[Total (uL) ]]), 0, NMRPrep[[#This Row],[1mM Maleic Acid (uL) ]]/NMRPrep[[#This Row],[Total (uL) ]])</f>
        <v>7.7279752704791344E-2</v>
      </c>
      <c r="I20">
        <f>2</f>
        <v>2</v>
      </c>
      <c r="J20">
        <f>4</f>
        <v>4</v>
      </c>
      <c r="K20">
        <f>1</f>
        <v>1</v>
      </c>
    </row>
    <row r="21" spans="1:11" hidden="1" x14ac:dyDescent="0.25">
      <c r="A21" s="1">
        <f>Sampling!D21</f>
        <v>46083</v>
      </c>
      <c r="B21" t="str" cm="1">
        <f t="array" ref="B21">IF(ISBLANK(INDEX(SampleList[NMR],ROW()-1)),"Not Requested",INDEX(SampleList[Experiment ID],ROW()-1))</f>
        <v>Not Requested</v>
      </c>
      <c r="C21">
        <f>Sampling!E21</f>
        <v>8</v>
      </c>
      <c r="D21">
        <f>NMRPrep[[#This Row],['#]]</f>
        <v>0</v>
      </c>
      <c r="G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">
        <f>IF(ISBLANK(NMRPrep[[#This Row],[Total (uL) ]]), 0, NMRPrep[[#This Row],[1mM Maleic Acid (uL) ]]/NMRPrep[[#This Row],[Total (uL) ]])</f>
        <v>7.7279752704791344E-2</v>
      </c>
      <c r="I21">
        <f>2</f>
        <v>2</v>
      </c>
      <c r="J21">
        <f>4</f>
        <v>4</v>
      </c>
      <c r="K21">
        <f>1</f>
        <v>1</v>
      </c>
    </row>
    <row r="22" spans="1:11" hidden="1" x14ac:dyDescent="0.25">
      <c r="A22" s="1">
        <f>Sampling!D22</f>
        <v>46083</v>
      </c>
      <c r="B22" t="str" cm="1">
        <f t="array" ref="B22">IF(ISBLANK(INDEX(SampleList[NMR],ROW()-1)),"Not Requested",INDEX(SampleList[Experiment ID],ROW()-1))</f>
        <v>Not Requested</v>
      </c>
      <c r="C22">
        <f>Sampling!E22</f>
        <v>10</v>
      </c>
      <c r="D22">
        <f>NMRPrep[[#This Row],['#]]</f>
        <v>0</v>
      </c>
      <c r="G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">
        <f>IF(ISBLANK(NMRPrep[[#This Row],[Total (uL) ]]), 0, NMRPrep[[#This Row],[1mM Maleic Acid (uL) ]]/NMRPrep[[#This Row],[Total (uL) ]])</f>
        <v>7.7279752704791344E-2</v>
      </c>
      <c r="I22">
        <f>2</f>
        <v>2</v>
      </c>
      <c r="J22">
        <f>4</f>
        <v>4</v>
      </c>
      <c r="K22">
        <f>1</f>
        <v>1</v>
      </c>
    </row>
    <row r="23" spans="1:11" hidden="1" x14ac:dyDescent="0.25">
      <c r="A23" s="1">
        <f>Sampling!D23</f>
        <v>46083</v>
      </c>
      <c r="B23" t="str" cm="1">
        <f t="array" ref="B23">IF(ISBLANK(INDEX(SampleList[NMR],ROW()-1)),"Not Requested",INDEX(SampleList[Experiment ID],ROW()-1))</f>
        <v>Not Requested</v>
      </c>
      <c r="C23">
        <f>Sampling!E23</f>
        <v>2</v>
      </c>
      <c r="D23">
        <f>NMRPrep[[#This Row],['#]]</f>
        <v>0</v>
      </c>
      <c r="G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">
        <f>IF(ISBLANK(NMRPrep[[#This Row],[Total (uL) ]]), 0, NMRPrep[[#This Row],[1mM Maleic Acid (uL) ]]/NMRPrep[[#This Row],[Total (uL) ]])</f>
        <v>7.7279752704791344E-2</v>
      </c>
      <c r="I23">
        <f>2</f>
        <v>2</v>
      </c>
      <c r="J23">
        <f>4</f>
        <v>4</v>
      </c>
      <c r="K23">
        <f>1</f>
        <v>1</v>
      </c>
    </row>
    <row r="24" spans="1:11" hidden="1" x14ac:dyDescent="0.25">
      <c r="A24" s="1">
        <f>Sampling!D24</f>
        <v>46086</v>
      </c>
      <c r="B24" t="str" cm="1">
        <f t="array" ref="B24">IF(ISBLANK(INDEX(SampleList[NMR],ROW()-1)),"Not Requested",INDEX(SampleList[Experiment ID],ROW()-1))</f>
        <v>Not Requested</v>
      </c>
      <c r="C24">
        <f>Sampling!E24</f>
        <v>52</v>
      </c>
      <c r="D24">
        <f>NMRPrep[[#This Row],['#]]</f>
        <v>0</v>
      </c>
      <c r="G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">
        <f>IF(ISBLANK(NMRPrep[[#This Row],[Total (uL) ]]), 0, NMRPrep[[#This Row],[1mM Maleic Acid (uL) ]]/NMRPrep[[#This Row],[Total (uL) ]])</f>
        <v>7.7279752704791344E-2</v>
      </c>
      <c r="I24">
        <f>2</f>
        <v>2</v>
      </c>
      <c r="J24">
        <f>4</f>
        <v>4</v>
      </c>
      <c r="K24">
        <f>1</f>
        <v>1</v>
      </c>
    </row>
    <row r="25" spans="1:11" hidden="1" x14ac:dyDescent="0.25">
      <c r="A25" s="1">
        <f>Sampling!D25</f>
        <v>46086</v>
      </c>
      <c r="B25" t="str" cm="1">
        <f t="array" ref="B25">IF(ISBLANK(INDEX(SampleList[NMR],ROW()-1)),"Not Requested",INDEX(SampleList[Experiment ID],ROW()-1))</f>
        <v>Not Requested</v>
      </c>
      <c r="C25">
        <f>Sampling!E25</f>
        <v>22</v>
      </c>
      <c r="D25">
        <f>NMRPrep[[#This Row],['#]]</f>
        <v>0</v>
      </c>
      <c r="G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">
        <f>IF(ISBLANK(NMRPrep[[#This Row],[Total (uL) ]]), 0, NMRPrep[[#This Row],[1mM Maleic Acid (uL) ]]/NMRPrep[[#This Row],[Total (uL) ]])</f>
        <v>7.7279752704791344E-2</v>
      </c>
      <c r="I25">
        <f>2</f>
        <v>2</v>
      </c>
      <c r="J25">
        <f>4</f>
        <v>4</v>
      </c>
      <c r="K25">
        <f>1</f>
        <v>1</v>
      </c>
    </row>
    <row r="26" spans="1:11" hidden="1" x14ac:dyDescent="0.25">
      <c r="A26" s="1">
        <f>Sampling!D26</f>
        <v>46086</v>
      </c>
      <c r="B26" t="str" cm="1">
        <f t="array" ref="B26">IF(ISBLANK(INDEX(SampleList[NMR],ROW()-1)),"Not Requested",INDEX(SampleList[Experiment ID],ROW()-1))</f>
        <v>Not Requested</v>
      </c>
      <c r="C26">
        <f>Sampling!E26</f>
        <v>28</v>
      </c>
      <c r="D26">
        <f>NMRPrep[[#This Row],['#]]</f>
        <v>0</v>
      </c>
      <c r="G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">
        <f>IF(ISBLANK(NMRPrep[[#This Row],[Total (uL) ]]), 0, NMRPrep[[#This Row],[1mM Maleic Acid (uL) ]]/NMRPrep[[#This Row],[Total (uL) ]])</f>
        <v>7.7279752704791344E-2</v>
      </c>
      <c r="I26">
        <f>2</f>
        <v>2</v>
      </c>
      <c r="J26">
        <f>4</f>
        <v>4</v>
      </c>
      <c r="K26">
        <f>1</f>
        <v>1</v>
      </c>
    </row>
    <row r="27" spans="1:11" hidden="1" x14ac:dyDescent="0.25">
      <c r="A27" s="1">
        <f>Sampling!D27</f>
        <v>46086</v>
      </c>
      <c r="B27" t="str" cm="1">
        <f t="array" ref="B27">IF(ISBLANK(INDEX(SampleList[NMR],ROW()-1)),"Not Requested",INDEX(SampleList[Experiment ID],ROW()-1))</f>
        <v>Not Requested</v>
      </c>
      <c r="C27">
        <f>Sampling!E27</f>
        <v>0</v>
      </c>
      <c r="D27">
        <f>NMRPrep[[#This Row],['#]]</f>
        <v>0</v>
      </c>
      <c r="G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">
        <f>IF(ISBLANK(NMRPrep[[#This Row],[Total (uL) ]]), 0, NMRPrep[[#This Row],[1mM Maleic Acid (uL) ]]/NMRPrep[[#This Row],[Total (uL) ]])</f>
        <v>7.7279752704791344E-2</v>
      </c>
      <c r="I27">
        <f>2</f>
        <v>2</v>
      </c>
      <c r="J27">
        <f>4</f>
        <v>4</v>
      </c>
      <c r="K27">
        <f>1</f>
        <v>1</v>
      </c>
    </row>
    <row r="28" spans="1:11" hidden="1" x14ac:dyDescent="0.25">
      <c r="A28" s="1">
        <f>Sampling!D28</f>
        <v>46086</v>
      </c>
      <c r="B28" t="str" cm="1">
        <f t="array" ref="B28">IF(ISBLANK(INDEX(SampleList[NMR],ROW()-1)),"Not Requested",INDEX(SampleList[Experiment ID],ROW()-1))</f>
        <v>Not Requested</v>
      </c>
      <c r="C28">
        <f>Sampling!E28</f>
        <v>10</v>
      </c>
      <c r="D28">
        <f>NMRPrep[[#This Row],['#]]</f>
        <v>0</v>
      </c>
      <c r="G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">
        <f>IF(ISBLANK(NMRPrep[[#This Row],[Total (uL) ]]), 0, NMRPrep[[#This Row],[1mM Maleic Acid (uL) ]]/NMRPrep[[#This Row],[Total (uL) ]])</f>
        <v>7.7279752704791344E-2</v>
      </c>
      <c r="I28">
        <f>2</f>
        <v>2</v>
      </c>
      <c r="J28">
        <f>4</f>
        <v>4</v>
      </c>
      <c r="K28">
        <f>1</f>
        <v>1</v>
      </c>
    </row>
    <row r="29" spans="1:11" hidden="1" x14ac:dyDescent="0.25">
      <c r="A29" s="1">
        <f>Sampling!D29</f>
        <v>46086</v>
      </c>
      <c r="B29" t="str" cm="1">
        <f t="array" ref="B29">IF(ISBLANK(INDEX(SampleList[NMR],ROW()-1)),"Not Requested",INDEX(SampleList[Experiment ID],ROW()-1))</f>
        <v>Not Requested</v>
      </c>
      <c r="C29">
        <f>Sampling!E29</f>
        <v>12</v>
      </c>
      <c r="D29">
        <f>NMRPrep[[#This Row],['#]]</f>
        <v>0</v>
      </c>
      <c r="G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">
        <f>IF(ISBLANK(NMRPrep[[#This Row],[Total (uL) ]]), 0, NMRPrep[[#This Row],[1mM Maleic Acid (uL) ]]/NMRPrep[[#This Row],[Total (uL) ]])</f>
        <v>7.7279752704791344E-2</v>
      </c>
      <c r="I29">
        <f>2</f>
        <v>2</v>
      </c>
      <c r="J29">
        <f>4</f>
        <v>4</v>
      </c>
      <c r="K29">
        <f>1</f>
        <v>1</v>
      </c>
    </row>
    <row r="30" spans="1:11" hidden="1" x14ac:dyDescent="0.25">
      <c r="A30" s="1">
        <f>Sampling!D30</f>
        <v>46086</v>
      </c>
      <c r="B30" t="str" cm="1">
        <f t="array" ref="B30">IF(ISBLANK(INDEX(SampleList[NMR],ROW()-1)),"Not Requested",INDEX(SampleList[Experiment ID],ROW()-1))</f>
        <v>Not Requested</v>
      </c>
      <c r="C30">
        <f>Sampling!E30</f>
        <v>0</v>
      </c>
      <c r="D30">
        <f>NMRPrep[[#This Row],['#]]</f>
        <v>0</v>
      </c>
      <c r="G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">
        <f>IF(ISBLANK(NMRPrep[[#This Row],[Total (uL) ]]), 0, NMRPrep[[#This Row],[1mM Maleic Acid (uL) ]]/NMRPrep[[#This Row],[Total (uL) ]])</f>
        <v>7.7279752704791344E-2</v>
      </c>
      <c r="I30">
        <f>2</f>
        <v>2</v>
      </c>
      <c r="J30">
        <f>4</f>
        <v>4</v>
      </c>
      <c r="K30">
        <f>1</f>
        <v>1</v>
      </c>
    </row>
    <row r="31" spans="1:11" hidden="1" x14ac:dyDescent="0.25">
      <c r="A31" s="1">
        <f>Sampling!D31</f>
        <v>46092</v>
      </c>
      <c r="B31" t="str" cm="1">
        <f t="array" ref="B31">IF(ISBLANK(INDEX(SampleList[NMR],ROW()-1)),"Not Requested",INDEX(SampleList[Experiment ID],ROW()-1))</f>
        <v>Not Requested</v>
      </c>
      <c r="C31">
        <f>Sampling!E31</f>
        <v>34</v>
      </c>
      <c r="D31">
        <f>NMRPrep[[#This Row],['#]]</f>
        <v>0</v>
      </c>
      <c r="G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">
        <f>IF(ISBLANK(NMRPrep[[#This Row],[Total (uL) ]]), 0, NMRPrep[[#This Row],[1mM Maleic Acid (uL) ]]/NMRPrep[[#This Row],[Total (uL) ]])</f>
        <v>7.7279752704791344E-2</v>
      </c>
      <c r="I31">
        <f>2</f>
        <v>2</v>
      </c>
      <c r="J31">
        <f>4</f>
        <v>4</v>
      </c>
      <c r="K31">
        <f>1</f>
        <v>1</v>
      </c>
    </row>
    <row r="32" spans="1:11" hidden="1" x14ac:dyDescent="0.25">
      <c r="A32" s="1">
        <f>Sampling!D32</f>
        <v>46092</v>
      </c>
      <c r="B32" t="str" cm="1">
        <f t="array" ref="B32">IF(ISBLANK(INDEX(SampleList[NMR],ROW()-1)),"Not Requested",INDEX(SampleList[Experiment ID],ROW()-1))</f>
        <v>Not Requested</v>
      </c>
      <c r="C32">
        <f>Sampling!E32</f>
        <v>9</v>
      </c>
      <c r="D32">
        <f>NMRPrep[[#This Row],['#]]</f>
        <v>0</v>
      </c>
      <c r="G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">
        <f>IF(ISBLANK(NMRPrep[[#This Row],[Total (uL) ]]), 0, NMRPrep[[#This Row],[1mM Maleic Acid (uL) ]]/NMRPrep[[#This Row],[Total (uL) ]])</f>
        <v>7.7279752704791344E-2</v>
      </c>
      <c r="I32">
        <f>2</f>
        <v>2</v>
      </c>
      <c r="J32">
        <f>4</f>
        <v>4</v>
      </c>
      <c r="K32">
        <f>1</f>
        <v>1</v>
      </c>
    </row>
    <row r="33" spans="1:11" hidden="1" x14ac:dyDescent="0.25">
      <c r="A33" s="1">
        <f>Sampling!D33</f>
        <v>46092</v>
      </c>
      <c r="B33" t="str" cm="1">
        <f t="array" ref="B33">IF(ISBLANK(INDEX(SampleList[NMR],ROW()-1)),"Not Requested",INDEX(SampleList[Experiment ID],ROW()-1))</f>
        <v>Not Requested</v>
      </c>
      <c r="C33">
        <f>Sampling!E33</f>
        <v>15</v>
      </c>
      <c r="D33">
        <f>NMRPrep[[#This Row],['#]]</f>
        <v>0</v>
      </c>
      <c r="G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">
        <f>IF(ISBLANK(NMRPrep[[#This Row],[Total (uL) ]]), 0, NMRPrep[[#This Row],[1mM Maleic Acid (uL) ]]/NMRPrep[[#This Row],[Total (uL) ]])</f>
        <v>7.7279752704791344E-2</v>
      </c>
      <c r="I33">
        <f>2</f>
        <v>2</v>
      </c>
      <c r="J33">
        <f>4</f>
        <v>4</v>
      </c>
      <c r="K33">
        <f>1</f>
        <v>1</v>
      </c>
    </row>
    <row r="34" spans="1:11" hidden="1" x14ac:dyDescent="0.25">
      <c r="A34" s="1">
        <f>Sampling!D34</f>
        <v>46087</v>
      </c>
      <c r="B34" t="str" cm="1">
        <f t="array" ref="B34">IF(ISBLANK(INDEX(SampleList[NMR],ROW()-1)),"Not Requested",INDEX(SampleList[Experiment ID],ROW()-1))</f>
        <v>Not Requested</v>
      </c>
      <c r="C34">
        <f>Sampling!E34</f>
        <v>0</v>
      </c>
      <c r="D34">
        <f>NMRPrep[[#This Row],['#]]</f>
        <v>0</v>
      </c>
      <c r="G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">
        <f>IF(ISBLANK(NMRPrep[[#This Row],[Total (uL) ]]), 0, NMRPrep[[#This Row],[1mM Maleic Acid (uL) ]]/NMRPrep[[#This Row],[Total (uL) ]])</f>
        <v>7.7279752704791344E-2</v>
      </c>
      <c r="I34">
        <f>2</f>
        <v>2</v>
      </c>
      <c r="J34">
        <f>4</f>
        <v>4</v>
      </c>
      <c r="K34">
        <f>1</f>
        <v>1</v>
      </c>
    </row>
    <row r="35" spans="1:11" hidden="1" x14ac:dyDescent="0.25">
      <c r="A35" s="1">
        <f>Sampling!D35</f>
        <v>46092</v>
      </c>
      <c r="B35" t="str" cm="1">
        <f t="array" ref="B35">IF(ISBLANK(INDEX(SampleList[NMR],ROW()-1)),"Not Requested",INDEX(SampleList[Experiment ID],ROW()-1))</f>
        <v>Not Requested</v>
      </c>
      <c r="C35">
        <f>Sampling!E35</f>
        <v>15</v>
      </c>
      <c r="D35">
        <f>NMRPrep[[#This Row],['#]]</f>
        <v>0</v>
      </c>
      <c r="G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">
        <f>IF(ISBLANK(NMRPrep[[#This Row],[Total (uL) ]]), 0, NMRPrep[[#This Row],[1mM Maleic Acid (uL) ]]/NMRPrep[[#This Row],[Total (uL) ]])</f>
        <v>7.7279752704791344E-2</v>
      </c>
      <c r="I35">
        <f>2</f>
        <v>2</v>
      </c>
      <c r="J35">
        <f>4</f>
        <v>4</v>
      </c>
      <c r="K35">
        <f>1</f>
        <v>1</v>
      </c>
    </row>
    <row r="36" spans="1:11" hidden="1" x14ac:dyDescent="0.25">
      <c r="A36" s="1">
        <f>Sampling!D36</f>
        <v>46092</v>
      </c>
      <c r="B36" t="str" cm="1">
        <f t="array" ref="B36">IF(ISBLANK(INDEX(SampleList[NMR],ROW()-1)),"Not Requested",INDEX(SampleList[Experiment ID],ROW()-1))</f>
        <v>Not Requested</v>
      </c>
      <c r="C36">
        <f>Sampling!E36</f>
        <v>5</v>
      </c>
      <c r="D36">
        <f>NMRPrep[[#This Row],['#]]</f>
        <v>0</v>
      </c>
      <c r="G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">
        <f>IF(ISBLANK(NMRPrep[[#This Row],[Total (uL) ]]), 0, NMRPrep[[#This Row],[1mM Maleic Acid (uL) ]]/NMRPrep[[#This Row],[Total (uL) ]])</f>
        <v>7.7279752704791344E-2</v>
      </c>
      <c r="I36">
        <f>2</f>
        <v>2</v>
      </c>
      <c r="J36">
        <f>4</f>
        <v>4</v>
      </c>
      <c r="K36">
        <f>1</f>
        <v>1</v>
      </c>
    </row>
    <row r="37" spans="1:11" hidden="1" x14ac:dyDescent="0.25">
      <c r="A37" s="1">
        <f>Sampling!D37</f>
        <v>46092</v>
      </c>
      <c r="B37" t="str" cm="1">
        <f t="array" ref="B37">IF(ISBLANK(INDEX(SampleList[NMR],ROW()-1)),"Not Requested",INDEX(SampleList[Experiment ID],ROW()-1))</f>
        <v>Not Requested</v>
      </c>
      <c r="C37">
        <f>Sampling!E37</f>
        <v>4</v>
      </c>
      <c r="D37">
        <f>NMRPrep[[#This Row],['#]]</f>
        <v>0</v>
      </c>
      <c r="G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">
        <f>IF(ISBLANK(NMRPrep[[#This Row],[Total (uL) ]]), 0, NMRPrep[[#This Row],[1mM Maleic Acid (uL) ]]/NMRPrep[[#This Row],[Total (uL) ]])</f>
        <v>7.7279752704791344E-2</v>
      </c>
      <c r="I37">
        <f>2</f>
        <v>2</v>
      </c>
      <c r="J37">
        <f>4</f>
        <v>4</v>
      </c>
      <c r="K37">
        <f>1</f>
        <v>1</v>
      </c>
    </row>
    <row r="38" spans="1:11" x14ac:dyDescent="0.25">
      <c r="A38" s="1">
        <f>Sampling!D38</f>
        <v>46099</v>
      </c>
      <c r="B38" t="str" cm="1">
        <f t="array" ref="B38">IF(ISBLANK(INDEX(SampleList[NMR],ROW()-1)),"Not Requested",INDEX(SampleList[Experiment ID],ROW()-1))</f>
        <v>HPHT_103</v>
      </c>
      <c r="C38">
        <f>SampleList[[#This Row],[Duration (Days)]]</f>
        <v>0</v>
      </c>
      <c r="D38">
        <f>NMRPrep[[#This Row],['#]]</f>
        <v>0</v>
      </c>
      <c r="E38" s="1">
        <v>46099</v>
      </c>
      <c r="F38">
        <v>0.01</v>
      </c>
      <c r="G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3.6764705882352945E-3</v>
      </c>
      <c r="H38">
        <f>IF(ISBLANK(NMRPrep[[#This Row],[Total (uL) ]]), 0, NMRPrep[[#This Row],[1mM Maleic Acid (uL) ]]/NMRPrep[[#This Row],[Total (uL) ]])</f>
        <v>7.7279752704791344E-2</v>
      </c>
      <c r="I38">
        <f>2</f>
        <v>2</v>
      </c>
      <c r="J38">
        <f>4</f>
        <v>4</v>
      </c>
      <c r="K38">
        <f>1</f>
        <v>1</v>
      </c>
    </row>
    <row r="39" spans="1:11" x14ac:dyDescent="0.25">
      <c r="A39" s="1">
        <f>Sampling!D39</f>
        <v>46099</v>
      </c>
      <c r="B39" t="str" cm="1">
        <f t="array" ref="B39">IF(ISBLANK(INDEX(SampleList[NMR],ROW()-1)),"Not Requested",INDEX(SampleList[Experiment ID],ROW()-1))</f>
        <v>HPHT_104</v>
      </c>
      <c r="C39">
        <f>SampleList[[#This Row],[Duration (Days)]]</f>
        <v>0</v>
      </c>
      <c r="D39">
        <f>NMRPrep[[#This Row],['#]]</f>
        <v>0</v>
      </c>
      <c r="E39" s="1">
        <v>46099</v>
      </c>
      <c r="F39">
        <v>0.03</v>
      </c>
      <c r="G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1.1029411764705883E-2</v>
      </c>
      <c r="H39">
        <f>IF(ISBLANK(NMRPrep[[#This Row],[Total (uL) ]]), 0, NMRPrep[[#This Row],[1mM Maleic Acid (uL) ]]/NMRPrep[[#This Row],[Total (uL) ]])</f>
        <v>7.7279752704791344E-2</v>
      </c>
      <c r="I39">
        <f>2</f>
        <v>2</v>
      </c>
      <c r="J39">
        <f>4</f>
        <v>4</v>
      </c>
      <c r="K39">
        <f>1</f>
        <v>1</v>
      </c>
    </row>
    <row r="40" spans="1:11" x14ac:dyDescent="0.25">
      <c r="A40" s="1">
        <f>Sampling!D40</f>
        <v>46097</v>
      </c>
      <c r="B40" t="str" cm="1">
        <f t="array" ref="B40">IF(ISBLANK(INDEX(SampleList[NMR],ROW()-1)),"Not Requested",INDEX(SampleList[Experiment ID],ROW()-1))</f>
        <v>HPHT_096</v>
      </c>
      <c r="C40">
        <f>SampleList[[#This Row],[Duration (Days)]]</f>
        <v>10</v>
      </c>
      <c r="D40">
        <f>NMRPrep[[#This Row],['#]]</f>
        <v>0</v>
      </c>
      <c r="E40" s="1">
        <v>46099</v>
      </c>
      <c r="F40">
        <v>2.57</v>
      </c>
      <c r="G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0.94485294117647056</v>
      </c>
      <c r="H40">
        <f>IF(ISBLANK(NMRPrep[[#This Row],[Total (uL) ]]), 0, NMRPrep[[#This Row],[1mM Maleic Acid (uL) ]]/NMRPrep[[#This Row],[Total (uL) ]])</f>
        <v>7.7279752704791344E-2</v>
      </c>
      <c r="I40">
        <f>2</f>
        <v>2</v>
      </c>
      <c r="J40">
        <f>4</f>
        <v>4</v>
      </c>
      <c r="K40">
        <f>1</f>
        <v>1</v>
      </c>
    </row>
    <row r="41" spans="1:11" x14ac:dyDescent="0.25">
      <c r="A41" s="1">
        <f>Sampling!D41</f>
        <v>46099</v>
      </c>
      <c r="B41" t="str" cm="1">
        <f t="array" ref="B41">IF(ISBLANK(INDEX(SampleList[NMR],ROW()-1)),"Not Requested",INDEX(SampleList[Experiment ID],ROW()-1))</f>
        <v>NMR Standard</v>
      </c>
      <c r="C41">
        <f>SampleList[[#This Row],[Duration (Days)]]</f>
        <v>0</v>
      </c>
      <c r="D41">
        <f>NMRPrep[[#This Row],['#]]</f>
        <v>0</v>
      </c>
      <c r="E41" s="1">
        <v>46099</v>
      </c>
      <c r="F41">
        <v>6.9</v>
      </c>
      <c r="G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0.38939051918735895</v>
      </c>
      <c r="H41">
        <f>IF(ISBLANK(NMRPrep[[#This Row],[Total (uL) ]]), 0, NMRPrep[[#This Row],[1mM Maleic Acid (uL) ]]/NMRPrep[[#This Row],[Total (uL) ]])</f>
        <v>7.7279752704791344E-2</v>
      </c>
      <c r="I41">
        <f>2</f>
        <v>2</v>
      </c>
      <c r="J41">
        <f>4</f>
        <v>4</v>
      </c>
      <c r="K41">
        <f>1</f>
        <v>1</v>
      </c>
    </row>
    <row r="42" spans="1:11" x14ac:dyDescent="0.25">
      <c r="A42" s="1">
        <f>Sampling!D42</f>
        <v>46099</v>
      </c>
      <c r="B42" t="str" cm="1">
        <f t="array" ref="B42">IF(ISBLANK(INDEX(SampleList[NMR],ROW()-1)),"Not Requested",INDEX(SampleList[Experiment ID],ROW()-1))</f>
        <v>HPHT_070_Desorption</v>
      </c>
      <c r="C42">
        <f>SampleList[[#This Row],[Duration (Days)]]</f>
        <v>5</v>
      </c>
      <c r="D42">
        <f>NMRPrep[[#This Row],['#]]</f>
        <v>0</v>
      </c>
      <c r="E42" s="1">
        <v>46099</v>
      </c>
      <c r="F42">
        <v>0.14000000000000001</v>
      </c>
      <c r="G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5.1470588235294129E-2</v>
      </c>
      <c r="H42">
        <f>IF(ISBLANK(NMRPrep[[#This Row],[Total (uL) ]]), 0, NMRPrep[[#This Row],[1mM Maleic Acid (uL) ]]/NMRPrep[[#This Row],[Total (uL) ]])</f>
        <v>7.7279752704791344E-2</v>
      </c>
      <c r="I42">
        <f>2</f>
        <v>2</v>
      </c>
      <c r="J42">
        <f>4</f>
        <v>4</v>
      </c>
      <c r="K42">
        <f>1</f>
        <v>1</v>
      </c>
    </row>
    <row r="43" spans="1:11" x14ac:dyDescent="0.25">
      <c r="A43" s="1">
        <f>Sampling!D43</f>
        <v>46100</v>
      </c>
      <c r="B43" t="str" cm="1">
        <f t="array" ref="B43">IF(ISBLANK(INDEX(SampleList[NMR],ROW()-1)),"Not Requested",INDEX(SampleList[Experiment ID],ROW()-1))</f>
        <v>HPHT_089</v>
      </c>
      <c r="C43">
        <f>SampleList[[#This Row],[Duration (Days)]]</f>
        <v>3</v>
      </c>
      <c r="D43">
        <f>NMRPrep[[#This Row],['#]]</f>
        <v>1</v>
      </c>
      <c r="E43" s="1">
        <v>46101</v>
      </c>
      <c r="F43">
        <v>1.98</v>
      </c>
      <c r="G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0.72794117647058831</v>
      </c>
      <c r="H43">
        <f>IF(ISBLANK(NMRPrep[[#This Row],[Total (uL) ]]), 0, NMRPrep[[#This Row],[1mM Maleic Acid (uL) ]]/NMRPrep[[#This Row],[Total (uL) ]])</f>
        <v>7.7279752704791344E-2</v>
      </c>
      <c r="I43">
        <f>2</f>
        <v>2</v>
      </c>
      <c r="J43">
        <f>4</f>
        <v>4</v>
      </c>
      <c r="K43">
        <f>1</f>
        <v>1</v>
      </c>
    </row>
    <row r="44" spans="1:11" x14ac:dyDescent="0.25">
      <c r="A44" s="1">
        <f>Sampling!D44</f>
        <v>46100</v>
      </c>
      <c r="B44" t="str" cm="1">
        <f t="array" ref="B44">IF(ISBLANK(INDEX(SampleList[NMR],ROW()-1)),"Not Requested",INDEX(SampleList[Experiment ID],ROW()-1))</f>
        <v>HPHT_096</v>
      </c>
      <c r="C44">
        <f>SampleList[[#This Row],[Duration (Days)]]</f>
        <v>13</v>
      </c>
      <c r="D44">
        <f>NMRPrep[[#This Row],['#]]</f>
        <v>2</v>
      </c>
      <c r="E44" s="1">
        <v>46101</v>
      </c>
      <c r="F44">
        <v>0.76</v>
      </c>
      <c r="G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0.27941176470588236</v>
      </c>
      <c r="H44">
        <f>IF(ISBLANK(NMRPrep[[#This Row],[Total (uL) ]]), 0, NMRPrep[[#This Row],[1mM Maleic Acid (uL) ]]/NMRPrep[[#This Row],[Total (uL) ]])</f>
        <v>7.7279752704791344E-2</v>
      </c>
      <c r="I44">
        <f>2</f>
        <v>2</v>
      </c>
      <c r="J44">
        <f>4</f>
        <v>4</v>
      </c>
      <c r="K44">
        <f>1</f>
        <v>1</v>
      </c>
    </row>
    <row r="45" spans="1:11" hidden="1" x14ac:dyDescent="0.25">
      <c r="A45" s="1">
        <f>Sampling!D45</f>
        <v>46100</v>
      </c>
      <c r="B45" t="str" cm="1">
        <f t="array" ref="B45">IF(ISBLANK(INDEX(SampleList[NMR],ROW()-1)),"Not Requested",INDEX(SampleList[Experiment ID],ROW()-1))</f>
        <v>Not Requested</v>
      </c>
      <c r="C45">
        <f>SampleList[[#This Row],[Duration (Days)]]</f>
        <v>42</v>
      </c>
      <c r="D45">
        <f>NMRPrep[[#This Row],['#]]</f>
        <v>0</v>
      </c>
      <c r="E45" s="1"/>
      <c r="G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" t="e">
        <f>IF(ISBLANK(NMRPrep[[#This Row],[Total (uL) ]]), 0, NMRPrep[[#This Row],[1mM Maleic Acid (uL) ]]/NMRPrep[[#This Row],[Total (uL) ]])</f>
        <v>#DIV/0!</v>
      </c>
      <c r="I45">
        <f>2</f>
        <v>2</v>
      </c>
      <c r="J45">
        <f>4</f>
        <v>4</v>
      </c>
      <c r="K45">
        <f>1</f>
        <v>1</v>
      </c>
    </row>
    <row r="46" spans="1:11" x14ac:dyDescent="0.25">
      <c r="A46" s="1">
        <f>Sampling!D46</f>
        <v>46101</v>
      </c>
      <c r="B46" t="str" cm="1">
        <f t="array" ref="B46">IF(ISBLANK(INDEX(SampleList[NMR],ROW()-1)),"Not Requested",INDEX(SampleList[Experiment ID],ROW()-1))</f>
        <v>HPHT_097</v>
      </c>
      <c r="C46">
        <f>SampleList[[#This Row],[Duration (Days)]]</f>
        <v>8</v>
      </c>
      <c r="D46">
        <f>NMRPrep[[#This Row],['#]]</f>
        <v>3</v>
      </c>
      <c r="E46" s="1">
        <v>46101</v>
      </c>
      <c r="F46">
        <v>2.29</v>
      </c>
      <c r="G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0.84191176470588236</v>
      </c>
      <c r="H46">
        <f>IF(ISBLANK(NMRPrep[[#This Row],[Total (uL) ]]), 0, NMRPrep[[#This Row],[1mM Maleic Acid (uL) ]]/NMRPrep[[#This Row],[Total (uL) ]])</f>
        <v>7.7279752704791344E-2</v>
      </c>
      <c r="I46">
        <f>2</f>
        <v>2</v>
      </c>
      <c r="J46">
        <f>4</f>
        <v>4</v>
      </c>
      <c r="K46">
        <f>1</f>
        <v>1</v>
      </c>
    </row>
    <row r="47" spans="1:11" x14ac:dyDescent="0.25">
      <c r="A47" s="1">
        <f>Sampling!D47</f>
        <v>46101</v>
      </c>
      <c r="B47" t="str" cm="1">
        <f t="array" ref="B47">IF(ISBLANK(INDEX(SampleList[NMR],ROW()-1)),"Not Requested",INDEX(SampleList[Experiment ID],ROW()-1))</f>
        <v>HPHT_105</v>
      </c>
      <c r="C47">
        <f>Sampling!E47</f>
        <v>3</v>
      </c>
      <c r="D47">
        <f>NMRPrep[[#This Row],['#]]</f>
        <v>4</v>
      </c>
      <c r="E47" s="1">
        <v>46101</v>
      </c>
      <c r="F47">
        <v>1.72</v>
      </c>
      <c r="G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0.63235294117647056</v>
      </c>
      <c r="H47">
        <f>IF(ISBLANK(NMRPrep[[#This Row],[Total (uL) ]]), 0, NMRPrep[[#This Row],[1mM Maleic Acid (uL) ]]/NMRPrep[[#This Row],[Total (uL) ]])</f>
        <v>7.7279752704791344E-2</v>
      </c>
      <c r="I47">
        <f>2</f>
        <v>2</v>
      </c>
      <c r="J47">
        <f>4</f>
        <v>4</v>
      </c>
      <c r="K47">
        <f>1</f>
        <v>1</v>
      </c>
    </row>
    <row r="48" spans="1:11" x14ac:dyDescent="0.25">
      <c r="A48" s="1">
        <f>Sampling!D48</f>
        <v>46101</v>
      </c>
      <c r="B48" t="str" cm="1">
        <f t="array" ref="B48">IF(ISBLANK(INDEX(SampleList[NMR],ROW()-1)),"Not Requested",INDEX(SampleList[Experiment ID],ROW()-1))</f>
        <v>150uL NMR Standard</v>
      </c>
      <c r="C48">
        <f>SampleList[[#This Row],[Duration (Days)]]</f>
        <v>0</v>
      </c>
      <c r="D48">
        <f>NMRPrep[[#This Row],['#]]</f>
        <v>5</v>
      </c>
      <c r="E48" s="1">
        <v>46101</v>
      </c>
      <c r="F48">
        <v>6.61</v>
      </c>
      <c r="G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0.37302483069977427</v>
      </c>
      <c r="H48">
        <f>IF(ISBLANK(NMRPrep[[#This Row],[Total (uL) ]]), 0, NMRPrep[[#This Row],[1mM Maleic Acid (uL) ]]/NMRPrep[[#This Row],[Total (uL) ]])</f>
        <v>7.7279752704791344E-2</v>
      </c>
      <c r="I48">
        <f>2</f>
        <v>2</v>
      </c>
      <c r="J48">
        <f>4</f>
        <v>4</v>
      </c>
      <c r="K48">
        <f>1</f>
        <v>1</v>
      </c>
    </row>
    <row r="49" spans="1:11" hidden="1" x14ac:dyDescent="0.25">
      <c r="A49" s="1">
        <f>Sampling!D49</f>
        <v>46104</v>
      </c>
      <c r="B49" t="str" cm="1">
        <f t="array" ref="B49">IF(ISBLANK(INDEX(SampleList[NMR],ROW()-1)),"Not Requested",INDEX(SampleList[Experiment ID],ROW()-1))</f>
        <v>HPHT_096</v>
      </c>
      <c r="C49">
        <f>Sampling!E49</f>
        <v>17</v>
      </c>
      <c r="D49">
        <f>NMRPrep[[#This Row],['#]]</f>
        <v>0</v>
      </c>
      <c r="G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" t="e">
        <f>IF(ISBLANK(NMRPrep[[#This Row],[Total (uL) ]]), 0, NMRPrep[[#This Row],[1mM Maleic Acid (uL) ]]/NMRPrep[[#This Row],[Total (uL) ]])</f>
        <v>#DIV/0!</v>
      </c>
      <c r="I49">
        <f>2</f>
        <v>2</v>
      </c>
      <c r="J49">
        <f>4</f>
        <v>4</v>
      </c>
      <c r="K49">
        <f>1</f>
        <v>1</v>
      </c>
    </row>
    <row r="50" spans="1:11" hidden="1" x14ac:dyDescent="0.25">
      <c r="A50" s="1">
        <f>Sampling!D50</f>
        <v>46104</v>
      </c>
      <c r="B50" t="str" cm="1">
        <f t="array" ref="B50">IF(ISBLANK(INDEX(SampleList[NMR],ROW()-1)),"Not Requested",INDEX(SampleList[Experiment ID],ROW()-1))</f>
        <v>HPHT_089</v>
      </c>
      <c r="C50">
        <f>Sampling!E50</f>
        <v>7</v>
      </c>
      <c r="D50">
        <f>NMRPrep[[#This Row],['#]]</f>
        <v>0</v>
      </c>
      <c r="G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" t="e">
        <f>IF(ISBLANK(NMRPrep[[#This Row],[Total (uL) ]]), 0, NMRPrep[[#This Row],[1mM Maleic Acid (uL) ]]/NMRPrep[[#This Row],[Total (uL) ]])</f>
        <v>#DIV/0!</v>
      </c>
      <c r="I50">
        <f>2</f>
        <v>2</v>
      </c>
      <c r="J50">
        <f>4</f>
        <v>4</v>
      </c>
      <c r="K50">
        <f>1</f>
        <v>1</v>
      </c>
    </row>
    <row r="51" spans="1:11" hidden="1" x14ac:dyDescent="0.25">
      <c r="A51" s="1">
        <f>Sampling!D51</f>
        <v>46104</v>
      </c>
      <c r="B51" t="str" cm="1">
        <f t="array" ref="B51">IF(ISBLANK(INDEX(SampleList[NMR],ROW()-1)),"Not Requested",INDEX(SampleList[Experiment ID],ROW()-1))</f>
        <v>Not Requested</v>
      </c>
      <c r="C51">
        <f>Sampling!E51</f>
        <v>46</v>
      </c>
      <c r="D51">
        <f>NMRPrep[[#This Row],['#]]</f>
        <v>0</v>
      </c>
      <c r="G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" t="e">
        <f>IF(ISBLANK(NMRPrep[[#This Row],[Total (uL) ]]), 0, NMRPrep[[#This Row],[1mM Maleic Acid (uL) ]]/NMRPrep[[#This Row],[Total (uL) ]])</f>
        <v>#DIV/0!</v>
      </c>
      <c r="I51">
        <f>2</f>
        <v>2</v>
      </c>
      <c r="J51">
        <f>4</f>
        <v>4</v>
      </c>
      <c r="K51">
        <f>1</f>
        <v>1</v>
      </c>
    </row>
    <row r="52" spans="1:11" hidden="1" x14ac:dyDescent="0.25">
      <c r="A52" s="1">
        <f>Sampling!D52</f>
        <v>46104</v>
      </c>
      <c r="B52" t="str" cm="1">
        <f t="array" ref="B52">IF(ISBLANK(INDEX(SampleList[NMR],ROW()-1)),"Not Requested",INDEX(SampleList[Experiment ID],ROW()-1))</f>
        <v>HPHT_097</v>
      </c>
      <c r="C52">
        <f>Sampling!E52</f>
        <v>11</v>
      </c>
      <c r="D52">
        <f>NMRPrep[[#This Row],['#]]</f>
        <v>0</v>
      </c>
      <c r="G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" t="e">
        <f>IF(ISBLANK(NMRPrep[[#This Row],[Total (uL) ]]), 0, NMRPrep[[#This Row],[1mM Maleic Acid (uL) ]]/NMRPrep[[#This Row],[Total (uL) ]])</f>
        <v>#DIV/0!</v>
      </c>
      <c r="I52">
        <f>2</f>
        <v>2</v>
      </c>
      <c r="J52">
        <f>4</f>
        <v>4</v>
      </c>
      <c r="K52">
        <f>1</f>
        <v>1</v>
      </c>
    </row>
    <row r="53" spans="1:11" hidden="1" x14ac:dyDescent="0.25">
      <c r="A53" s="1">
        <f>Sampling!D53</f>
        <v>46104</v>
      </c>
      <c r="B53" t="str" cm="1">
        <f t="array" ref="B53">IF(ISBLANK(INDEX(SampleList[NMR],ROW()-1)),"Not Requested",INDEX(SampleList[Experiment ID],ROW()-1))</f>
        <v>HPHT_103</v>
      </c>
      <c r="C53">
        <f>Sampling!E53</f>
        <v>3</v>
      </c>
      <c r="D53">
        <f>NMRPrep[[#This Row],['#]]</f>
        <v>0</v>
      </c>
      <c r="G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" t="e">
        <f>IF(ISBLANK(NMRPrep[[#This Row],[Total (uL) ]]), 0, NMRPrep[[#This Row],[1mM Maleic Acid (uL) ]]/NMRPrep[[#This Row],[Total (uL) ]])</f>
        <v>#DIV/0!</v>
      </c>
      <c r="I53">
        <f>2</f>
        <v>2</v>
      </c>
      <c r="J53">
        <f>4</f>
        <v>4</v>
      </c>
      <c r="K53">
        <f>1</f>
        <v>1</v>
      </c>
    </row>
    <row r="54" spans="1:11" hidden="1" x14ac:dyDescent="0.25">
      <c r="A54" s="1">
        <f>Sampling!D54</f>
        <v>46104</v>
      </c>
      <c r="B54" t="str" cm="1">
        <f t="array" ref="B54">IF(ISBLANK(INDEX(SampleList[NMR],ROW()-1)),"Not Requested",INDEX(SampleList[Experiment ID],ROW()-1))</f>
        <v>HPHT_104</v>
      </c>
      <c r="C54">
        <f>Sampling!E54</f>
        <v>3</v>
      </c>
      <c r="D54">
        <f>NMRPrep[[#This Row],['#]]</f>
        <v>0</v>
      </c>
      <c r="G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" t="e">
        <f>IF(ISBLANK(NMRPrep[[#This Row],[Total (uL) ]]), 0, NMRPrep[[#This Row],[1mM Maleic Acid (uL) ]]/NMRPrep[[#This Row],[Total (uL) ]])</f>
        <v>#DIV/0!</v>
      </c>
      <c r="I54">
        <f>2</f>
        <v>2</v>
      </c>
      <c r="J54">
        <f>4</f>
        <v>4</v>
      </c>
      <c r="K54">
        <f>1</f>
        <v>1</v>
      </c>
    </row>
    <row r="55" spans="1:11" hidden="1" x14ac:dyDescent="0.25">
      <c r="A55" s="1">
        <f>Sampling!D55</f>
        <v>46104</v>
      </c>
      <c r="B55" t="str" cm="1">
        <f t="array" ref="B55">IF(ISBLANK(INDEX(SampleList[NMR],ROW()-1)),"Not Requested",INDEX(SampleList[Experiment ID],ROW()-1))</f>
        <v>HPHT_107</v>
      </c>
      <c r="C55">
        <f>Sampling!E55</f>
        <v>3</v>
      </c>
      <c r="D55">
        <f>NMRPrep[[#This Row],['#]]</f>
        <v>0</v>
      </c>
      <c r="G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" t="e">
        <f>IF(ISBLANK(NMRPrep[[#This Row],[Total (uL) ]]), 0, NMRPrep[[#This Row],[1mM Maleic Acid (uL) ]]/NMRPrep[[#This Row],[Total (uL) ]])</f>
        <v>#DIV/0!</v>
      </c>
      <c r="I55">
        <f>2</f>
        <v>2</v>
      </c>
      <c r="J55">
        <f>4</f>
        <v>4</v>
      </c>
      <c r="K55">
        <f>1</f>
        <v>1</v>
      </c>
    </row>
    <row r="56" spans="1:11" hidden="1" x14ac:dyDescent="0.25">
      <c r="A56" s="1">
        <f>Sampling!D56</f>
        <v>0</v>
      </c>
      <c r="B56" t="str" cm="1">
        <f t="array" ref="B56">IF(ISBLANK(INDEX(SampleList[NMR],ROW()-1)),"Not Requested",INDEX(SampleList[Experiment ID],ROW()-1))</f>
        <v>Not Requested</v>
      </c>
      <c r="C56">
        <f>Sampling!E56</f>
        <v>0</v>
      </c>
      <c r="D56">
        <f>NMRPrep[[#This Row],['#]]</f>
        <v>0</v>
      </c>
      <c r="G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" t="e">
        <f>IF(ISBLANK(NMRPrep[[#This Row],[Total (uL) ]]), 0, NMRPrep[[#This Row],[1mM Maleic Acid (uL) ]]/NMRPrep[[#This Row],[Total (uL) ]])</f>
        <v>#DIV/0!</v>
      </c>
      <c r="I56">
        <f>2</f>
        <v>2</v>
      </c>
      <c r="J56">
        <f>4</f>
        <v>4</v>
      </c>
      <c r="K56">
        <f>1</f>
        <v>1</v>
      </c>
    </row>
    <row r="57" spans="1:11" hidden="1" x14ac:dyDescent="0.25">
      <c r="A57" s="1">
        <f>Sampling!D57</f>
        <v>0</v>
      </c>
      <c r="B57" t="str" cm="1">
        <f t="array" ref="B57">IF(ISBLANK(INDEX(SampleList[NMR],ROW()-1)),"Not Requested",INDEX(SampleList[Experiment ID],ROW()-1))</f>
        <v>Not Requested</v>
      </c>
      <c r="C57">
        <f>Sampling!E57</f>
        <v>0</v>
      </c>
      <c r="D57">
        <f>NMRPrep[[#This Row],['#]]</f>
        <v>0</v>
      </c>
      <c r="G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" t="e">
        <f>IF(ISBLANK(NMRPrep[[#This Row],[Total (uL) ]]), 0, NMRPrep[[#This Row],[1mM Maleic Acid (uL) ]]/NMRPrep[[#This Row],[Total (uL) ]])</f>
        <v>#DIV/0!</v>
      </c>
      <c r="I57">
        <f>2</f>
        <v>2</v>
      </c>
      <c r="J57">
        <f>4</f>
        <v>4</v>
      </c>
      <c r="K57">
        <f>1</f>
        <v>1</v>
      </c>
    </row>
    <row r="58" spans="1:11" hidden="1" x14ac:dyDescent="0.25">
      <c r="A58" s="1">
        <f>Sampling!D58</f>
        <v>0</v>
      </c>
      <c r="B58" t="str" cm="1">
        <f t="array" ref="B58">IF(ISBLANK(INDEX(SampleList[NMR],ROW()-1)),"Not Requested",INDEX(SampleList[Experiment ID],ROW()-1))</f>
        <v>Not Requested</v>
      </c>
      <c r="C58">
        <f>Sampling!E58</f>
        <v>0</v>
      </c>
      <c r="D58">
        <f>NMRPrep[[#This Row],['#]]</f>
        <v>0</v>
      </c>
      <c r="G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" t="e">
        <f>IF(ISBLANK(NMRPrep[[#This Row],[Total (uL) ]]), 0, NMRPrep[[#This Row],[1mM Maleic Acid (uL) ]]/NMRPrep[[#This Row],[Total (uL) ]])</f>
        <v>#DIV/0!</v>
      </c>
      <c r="I58">
        <f>2</f>
        <v>2</v>
      </c>
      <c r="J58">
        <f>4</f>
        <v>4</v>
      </c>
      <c r="K58">
        <f>1</f>
        <v>1</v>
      </c>
    </row>
    <row r="59" spans="1:11" hidden="1" x14ac:dyDescent="0.25">
      <c r="A59" s="1">
        <f>Sampling!D59</f>
        <v>0</v>
      </c>
      <c r="B59" t="str" cm="1">
        <f t="array" ref="B59">IF(ISBLANK(INDEX(SampleList[NMR],ROW()-1)),"Not Requested",INDEX(SampleList[Experiment ID],ROW()-1))</f>
        <v>Not Requested</v>
      </c>
      <c r="C59">
        <f>Sampling!E59</f>
        <v>0</v>
      </c>
      <c r="D59">
        <f>NMRPrep[[#This Row],['#]]</f>
        <v>0</v>
      </c>
      <c r="G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" t="e">
        <f>IF(ISBLANK(NMRPrep[[#This Row],[Total (uL) ]]), 0, NMRPrep[[#This Row],[1mM Maleic Acid (uL) ]]/NMRPrep[[#This Row],[Total (uL) ]])</f>
        <v>#DIV/0!</v>
      </c>
      <c r="I59">
        <f>2</f>
        <v>2</v>
      </c>
      <c r="J59">
        <f>4</f>
        <v>4</v>
      </c>
      <c r="K59">
        <f>1</f>
        <v>1</v>
      </c>
    </row>
    <row r="60" spans="1:11" hidden="1" x14ac:dyDescent="0.25">
      <c r="A60" s="1">
        <f>Sampling!D60</f>
        <v>0</v>
      </c>
      <c r="B60" t="str" cm="1">
        <f t="array" ref="B60">IF(ISBLANK(INDEX(SampleList[NMR],ROW()-1)),"Not Requested",INDEX(SampleList[Experiment ID],ROW()-1))</f>
        <v>Not Requested</v>
      </c>
      <c r="C60">
        <f>Sampling!E60</f>
        <v>0</v>
      </c>
      <c r="D60">
        <f>NMRPrep[[#This Row],['#]]</f>
        <v>0</v>
      </c>
      <c r="G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" t="e">
        <f>IF(ISBLANK(NMRPrep[[#This Row],[Total (uL) ]]), 0, NMRPrep[[#This Row],[1mM Maleic Acid (uL) ]]/NMRPrep[[#This Row],[Total (uL) ]])</f>
        <v>#DIV/0!</v>
      </c>
      <c r="I60">
        <f>2</f>
        <v>2</v>
      </c>
      <c r="J60">
        <f>4</f>
        <v>4</v>
      </c>
      <c r="K60">
        <f>1</f>
        <v>1</v>
      </c>
    </row>
    <row r="61" spans="1:11" hidden="1" x14ac:dyDescent="0.25">
      <c r="A61" s="1">
        <f>Sampling!D61</f>
        <v>0</v>
      </c>
      <c r="B61" t="str" cm="1">
        <f t="array" ref="B61">IF(ISBLANK(INDEX(SampleList[NMR],ROW()-1)),"Not Requested",INDEX(SampleList[Experiment ID],ROW()-1))</f>
        <v>Not Requested</v>
      </c>
      <c r="C61">
        <f>Sampling!E61</f>
        <v>0</v>
      </c>
      <c r="D61">
        <f>NMRPrep[[#This Row],['#]]</f>
        <v>0</v>
      </c>
      <c r="G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" t="e">
        <f>IF(ISBLANK(NMRPrep[[#This Row],[Total (uL) ]]), 0, NMRPrep[[#This Row],[1mM Maleic Acid (uL) ]]/NMRPrep[[#This Row],[Total (uL) ]])</f>
        <v>#DIV/0!</v>
      </c>
      <c r="I61">
        <f>2</f>
        <v>2</v>
      </c>
      <c r="J61">
        <f>4</f>
        <v>4</v>
      </c>
      <c r="K61">
        <f>1</f>
        <v>1</v>
      </c>
    </row>
    <row r="62" spans="1:11" hidden="1" x14ac:dyDescent="0.25">
      <c r="A62" s="1">
        <f>Sampling!D62</f>
        <v>0</v>
      </c>
      <c r="B62" t="str" cm="1">
        <f t="array" ref="B62">IF(ISBLANK(INDEX(SampleList[NMR],ROW()-1)),"Not Requested",INDEX(SampleList[Experiment ID],ROW()-1))</f>
        <v>Not Requested</v>
      </c>
      <c r="C62">
        <f>Sampling!E62</f>
        <v>0</v>
      </c>
      <c r="D62">
        <f>NMRPrep[[#This Row],['#]]</f>
        <v>0</v>
      </c>
      <c r="G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" t="e">
        <f>IF(ISBLANK(NMRPrep[[#This Row],[Total (uL) ]]), 0, NMRPrep[[#This Row],[1mM Maleic Acid (uL) ]]/NMRPrep[[#This Row],[Total (uL) ]])</f>
        <v>#DIV/0!</v>
      </c>
      <c r="I62">
        <f>2</f>
        <v>2</v>
      </c>
      <c r="J62">
        <f>4</f>
        <v>4</v>
      </c>
      <c r="K62">
        <f>1</f>
        <v>1</v>
      </c>
    </row>
    <row r="63" spans="1:11" hidden="1" x14ac:dyDescent="0.25">
      <c r="A63" s="1">
        <f>Sampling!D63</f>
        <v>0</v>
      </c>
      <c r="B63" t="str" cm="1">
        <f t="array" ref="B63">IF(ISBLANK(INDEX(SampleList[NMR],ROW()-1)),"Not Requested",INDEX(SampleList[Experiment ID],ROW()-1))</f>
        <v>Not Requested</v>
      </c>
      <c r="C63">
        <f>Sampling!E63</f>
        <v>0</v>
      </c>
      <c r="D63">
        <f>NMRPrep[[#This Row],['#]]</f>
        <v>0</v>
      </c>
      <c r="G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" t="e">
        <f>IF(ISBLANK(NMRPrep[[#This Row],[Total (uL) ]]), 0, NMRPrep[[#This Row],[1mM Maleic Acid (uL) ]]/NMRPrep[[#This Row],[Total (uL) ]])</f>
        <v>#DIV/0!</v>
      </c>
      <c r="I63">
        <f>2</f>
        <v>2</v>
      </c>
      <c r="J63">
        <f>4</f>
        <v>4</v>
      </c>
      <c r="K63">
        <f>1</f>
        <v>1</v>
      </c>
    </row>
    <row r="64" spans="1:11" hidden="1" x14ac:dyDescent="0.25">
      <c r="A64" s="1">
        <f>Sampling!D64</f>
        <v>0</v>
      </c>
      <c r="B64" t="str" cm="1">
        <f t="array" ref="B64">IF(ISBLANK(INDEX(SampleList[NMR],ROW()-1)),"Not Requested",INDEX(SampleList[Experiment ID],ROW()-1))</f>
        <v>Not Requested</v>
      </c>
      <c r="C64">
        <f>Sampling!E64</f>
        <v>0</v>
      </c>
      <c r="D64">
        <f>NMRPrep[[#This Row],['#]]</f>
        <v>0</v>
      </c>
      <c r="G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" t="e">
        <f>IF(ISBLANK(NMRPrep[[#This Row],[Total (uL) ]]), 0, NMRPrep[[#This Row],[1mM Maleic Acid (uL) ]]/NMRPrep[[#This Row],[Total (uL) ]])</f>
        <v>#DIV/0!</v>
      </c>
      <c r="I64">
        <f>2</f>
        <v>2</v>
      </c>
      <c r="J64">
        <f>4</f>
        <v>4</v>
      </c>
      <c r="K64">
        <f>1</f>
        <v>1</v>
      </c>
    </row>
    <row r="65" spans="1:11" hidden="1" x14ac:dyDescent="0.25">
      <c r="A65" s="1">
        <f>Sampling!D65</f>
        <v>0</v>
      </c>
      <c r="B65" t="str" cm="1">
        <f t="array" ref="B65">IF(ISBLANK(INDEX(SampleList[NMR],ROW()-1)),"Not Requested",INDEX(SampleList[Experiment ID],ROW()-1))</f>
        <v>Not Requested</v>
      </c>
      <c r="C65">
        <f>Sampling!E65</f>
        <v>0</v>
      </c>
      <c r="D65">
        <f>NMRPrep[[#This Row],['#]]</f>
        <v>0</v>
      </c>
      <c r="G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" t="e">
        <f>IF(ISBLANK(NMRPrep[[#This Row],[Total (uL) ]]), 0, NMRPrep[[#This Row],[1mM Maleic Acid (uL) ]]/NMRPrep[[#This Row],[Total (uL) ]])</f>
        <v>#DIV/0!</v>
      </c>
      <c r="I65">
        <f>2</f>
        <v>2</v>
      </c>
      <c r="J65">
        <f>4</f>
        <v>4</v>
      </c>
      <c r="K65">
        <f>1</f>
        <v>1</v>
      </c>
    </row>
    <row r="66" spans="1:11" hidden="1" x14ac:dyDescent="0.25">
      <c r="A66" s="1">
        <f>Sampling!D66</f>
        <v>0</v>
      </c>
      <c r="B66" t="str" cm="1">
        <f t="array" ref="B66">IF(ISBLANK(INDEX(SampleList[NMR],ROW()-1)),"Not Requested",INDEX(SampleList[Experiment ID],ROW()-1))</f>
        <v>Not Requested</v>
      </c>
      <c r="C66">
        <f>Sampling!E66</f>
        <v>0</v>
      </c>
      <c r="D66">
        <f>NMRPrep[[#This Row],['#]]</f>
        <v>0</v>
      </c>
      <c r="G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" t="e">
        <f>IF(ISBLANK(NMRPrep[[#This Row],[Total (uL) ]]), 0, NMRPrep[[#This Row],[1mM Maleic Acid (uL) ]]/NMRPrep[[#This Row],[Total (uL) ]])</f>
        <v>#DIV/0!</v>
      </c>
      <c r="I66">
        <f>2</f>
        <v>2</v>
      </c>
      <c r="J66">
        <f>4</f>
        <v>4</v>
      </c>
      <c r="K66">
        <f>1</f>
        <v>1</v>
      </c>
    </row>
    <row r="67" spans="1:11" hidden="1" x14ac:dyDescent="0.25">
      <c r="A67" s="1">
        <f>Sampling!D67</f>
        <v>0</v>
      </c>
      <c r="B67" t="str" cm="1">
        <f t="array" ref="B67">IF(ISBLANK(INDEX(SampleList[NMR],ROW()-1)),"Not Requested",INDEX(SampleList[Experiment ID],ROW()-1))</f>
        <v>Not Requested</v>
      </c>
      <c r="C67">
        <f>Sampling!E67</f>
        <v>0</v>
      </c>
      <c r="D67">
        <f>NMRPrep[[#This Row],['#]]</f>
        <v>0</v>
      </c>
      <c r="G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" t="e">
        <f>IF(ISBLANK(NMRPrep[[#This Row],[Total (uL) ]]), 0, NMRPrep[[#This Row],[1mM Maleic Acid (uL) ]]/NMRPrep[[#This Row],[Total (uL) ]])</f>
        <v>#DIV/0!</v>
      </c>
      <c r="I67">
        <f>2</f>
        <v>2</v>
      </c>
      <c r="J67">
        <f>4</f>
        <v>4</v>
      </c>
      <c r="K67">
        <f>1</f>
        <v>1</v>
      </c>
    </row>
    <row r="68" spans="1:11" hidden="1" x14ac:dyDescent="0.25">
      <c r="A68" s="1">
        <f>Sampling!D68</f>
        <v>0</v>
      </c>
      <c r="B68" t="str" cm="1">
        <f t="array" ref="B68">IF(ISBLANK(INDEX(SampleList[NMR],ROW()-1)),"Not Requested",INDEX(SampleList[Experiment ID],ROW()-1))</f>
        <v>Not Requested</v>
      </c>
      <c r="C68">
        <f>Sampling!E68</f>
        <v>0</v>
      </c>
      <c r="D68">
        <f>NMRPrep[[#This Row],['#]]</f>
        <v>0</v>
      </c>
      <c r="G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" t="e">
        <f>IF(ISBLANK(NMRPrep[[#This Row],[Total (uL) ]]), 0, NMRPrep[[#This Row],[1mM Maleic Acid (uL) ]]/NMRPrep[[#This Row],[Total (uL) ]])</f>
        <v>#DIV/0!</v>
      </c>
      <c r="I68">
        <f>2</f>
        <v>2</v>
      </c>
      <c r="J68">
        <f>4</f>
        <v>4</v>
      </c>
      <c r="K68">
        <f>1</f>
        <v>1</v>
      </c>
    </row>
    <row r="69" spans="1:11" hidden="1" x14ac:dyDescent="0.25">
      <c r="A69" s="1">
        <f>Sampling!D69</f>
        <v>0</v>
      </c>
      <c r="B69" t="str" cm="1">
        <f t="array" ref="B69">IF(ISBLANK(INDEX(SampleList[NMR],ROW()-1)),"Not Requested",INDEX(SampleList[Experiment ID],ROW()-1))</f>
        <v>Not Requested</v>
      </c>
      <c r="C69">
        <f>Sampling!E69</f>
        <v>0</v>
      </c>
      <c r="D69">
        <f>NMRPrep[[#This Row],['#]]</f>
        <v>0</v>
      </c>
      <c r="G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" t="e">
        <f>IF(ISBLANK(NMRPrep[[#This Row],[Total (uL) ]]), 0, NMRPrep[[#This Row],[1mM Maleic Acid (uL) ]]/NMRPrep[[#This Row],[Total (uL) ]])</f>
        <v>#DIV/0!</v>
      </c>
      <c r="I69">
        <f>2</f>
        <v>2</v>
      </c>
      <c r="J69">
        <f>4</f>
        <v>4</v>
      </c>
      <c r="K69">
        <f>1</f>
        <v>1</v>
      </c>
    </row>
    <row r="70" spans="1:11" hidden="1" x14ac:dyDescent="0.25">
      <c r="A70" s="1">
        <f>Sampling!D70</f>
        <v>0</v>
      </c>
      <c r="B70" t="str" cm="1">
        <f t="array" ref="B70">IF(ISBLANK(INDEX(SampleList[NMR],ROW()-1)),"Not Requested",INDEX(SampleList[Experiment ID],ROW()-1))</f>
        <v>Not Requested</v>
      </c>
      <c r="C70">
        <f>Sampling!E70</f>
        <v>0</v>
      </c>
      <c r="D70">
        <f>NMRPrep[[#This Row],['#]]</f>
        <v>0</v>
      </c>
      <c r="G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" t="e">
        <f>IF(ISBLANK(NMRPrep[[#This Row],[Total (uL) ]]), 0, NMRPrep[[#This Row],[1mM Maleic Acid (uL) ]]/NMRPrep[[#This Row],[Total (uL) ]])</f>
        <v>#DIV/0!</v>
      </c>
      <c r="I70">
        <f>2</f>
        <v>2</v>
      </c>
      <c r="J70">
        <f>4</f>
        <v>4</v>
      </c>
      <c r="K70">
        <f>1</f>
        <v>1</v>
      </c>
    </row>
    <row r="71" spans="1:11" hidden="1" x14ac:dyDescent="0.25">
      <c r="A71" s="1">
        <f>Sampling!D71</f>
        <v>0</v>
      </c>
      <c r="B71" t="str" cm="1">
        <f t="array" ref="B71">IF(ISBLANK(INDEX(SampleList[NMR],ROW()-1)),"Not Requested",INDEX(SampleList[Experiment ID],ROW()-1))</f>
        <v>Not Requested</v>
      </c>
      <c r="C71">
        <f>Sampling!E71</f>
        <v>0</v>
      </c>
      <c r="D71">
        <f>NMRPrep[[#This Row],['#]]</f>
        <v>0</v>
      </c>
      <c r="G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" t="e">
        <f>IF(ISBLANK(NMRPrep[[#This Row],[Total (uL) ]]), 0, NMRPrep[[#This Row],[1mM Maleic Acid (uL) ]]/NMRPrep[[#This Row],[Total (uL) ]])</f>
        <v>#DIV/0!</v>
      </c>
      <c r="I71">
        <f>2</f>
        <v>2</v>
      </c>
      <c r="J71">
        <f>4</f>
        <v>4</v>
      </c>
      <c r="K71">
        <f>1</f>
        <v>1</v>
      </c>
    </row>
    <row r="72" spans="1:11" hidden="1" x14ac:dyDescent="0.25">
      <c r="A72" s="1">
        <f>Sampling!D72</f>
        <v>0</v>
      </c>
      <c r="B72" t="str" cm="1">
        <f t="array" ref="B72">IF(ISBLANK(INDEX(SampleList[NMR],ROW()-1)),"Not Requested",INDEX(SampleList[Experiment ID],ROW()-1))</f>
        <v>Not Requested</v>
      </c>
      <c r="C72">
        <f>Sampling!E72</f>
        <v>0</v>
      </c>
      <c r="D72">
        <f>NMRPrep[[#This Row],['#]]</f>
        <v>0</v>
      </c>
      <c r="G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" t="e">
        <f>IF(ISBLANK(NMRPrep[[#This Row],[Total (uL) ]]), 0, NMRPrep[[#This Row],[1mM Maleic Acid (uL) ]]/NMRPrep[[#This Row],[Total (uL) ]])</f>
        <v>#DIV/0!</v>
      </c>
      <c r="I72">
        <f>2</f>
        <v>2</v>
      </c>
      <c r="J72">
        <f>4</f>
        <v>4</v>
      </c>
      <c r="K72">
        <f>1</f>
        <v>1</v>
      </c>
    </row>
    <row r="73" spans="1:11" hidden="1" x14ac:dyDescent="0.25">
      <c r="A73" s="1">
        <f>Sampling!D73</f>
        <v>0</v>
      </c>
      <c r="B73" t="str" cm="1">
        <f t="array" ref="B73">IF(ISBLANK(INDEX(SampleList[NMR],ROW()-1)),"Not Requested",INDEX(SampleList[Experiment ID],ROW()-1))</f>
        <v>Not Requested</v>
      </c>
      <c r="C73">
        <f>Sampling!E73</f>
        <v>0</v>
      </c>
      <c r="D73">
        <f>NMRPrep[[#This Row],['#]]</f>
        <v>0</v>
      </c>
      <c r="G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" t="e">
        <f>IF(ISBLANK(NMRPrep[[#This Row],[Total (uL) ]]), 0, NMRPrep[[#This Row],[1mM Maleic Acid (uL) ]]/NMRPrep[[#This Row],[Total (uL) ]])</f>
        <v>#DIV/0!</v>
      </c>
      <c r="I73">
        <f>2</f>
        <v>2</v>
      </c>
      <c r="J73">
        <f>4</f>
        <v>4</v>
      </c>
      <c r="K73">
        <f>1</f>
        <v>1</v>
      </c>
    </row>
    <row r="74" spans="1:11" hidden="1" x14ac:dyDescent="0.25">
      <c r="A74" s="1">
        <f>Sampling!D74</f>
        <v>0</v>
      </c>
      <c r="B74" t="str" cm="1">
        <f t="array" ref="B74">IF(ISBLANK(INDEX(SampleList[NMR],ROW()-1)),"Not Requested",INDEX(SampleList[Experiment ID],ROW()-1))</f>
        <v>Not Requested</v>
      </c>
      <c r="C74">
        <f>Sampling!E74</f>
        <v>0</v>
      </c>
      <c r="D74">
        <f>NMRPrep[[#This Row],['#]]</f>
        <v>0</v>
      </c>
      <c r="G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" t="e">
        <f>IF(ISBLANK(NMRPrep[[#This Row],[Total (uL) ]]), 0, NMRPrep[[#This Row],[1mM Maleic Acid (uL) ]]/NMRPrep[[#This Row],[Total (uL) ]])</f>
        <v>#DIV/0!</v>
      </c>
      <c r="I74">
        <f>2</f>
        <v>2</v>
      </c>
      <c r="J74">
        <f>4</f>
        <v>4</v>
      </c>
      <c r="K74">
        <f>1</f>
        <v>1</v>
      </c>
    </row>
    <row r="75" spans="1:11" hidden="1" x14ac:dyDescent="0.25">
      <c r="A75" s="1">
        <f>Sampling!D75</f>
        <v>0</v>
      </c>
      <c r="B75" t="str" cm="1">
        <f t="array" ref="B75">IF(ISBLANK(INDEX(SampleList[NMR],ROW()-1)),"Not Requested",INDEX(SampleList[Experiment ID],ROW()-1))</f>
        <v>Not Requested</v>
      </c>
      <c r="C75">
        <f>Sampling!E75</f>
        <v>0</v>
      </c>
      <c r="D75">
        <f>NMRPrep[[#This Row],['#]]</f>
        <v>0</v>
      </c>
      <c r="G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" t="e">
        <f>IF(ISBLANK(NMRPrep[[#This Row],[Total (uL) ]]), 0, NMRPrep[[#This Row],[1mM Maleic Acid (uL) ]]/NMRPrep[[#This Row],[Total (uL) ]])</f>
        <v>#DIV/0!</v>
      </c>
      <c r="I75">
        <f>2</f>
        <v>2</v>
      </c>
      <c r="J75">
        <f>4</f>
        <v>4</v>
      </c>
      <c r="K75">
        <f>1</f>
        <v>1</v>
      </c>
    </row>
    <row r="76" spans="1:11" hidden="1" x14ac:dyDescent="0.25">
      <c r="A76" s="1">
        <f>Sampling!D76</f>
        <v>0</v>
      </c>
      <c r="B76" t="str" cm="1">
        <f t="array" ref="B76">IF(ISBLANK(INDEX(SampleList[NMR],ROW()-1)),"Not Requested",INDEX(SampleList[Experiment ID],ROW()-1))</f>
        <v>Not Requested</v>
      </c>
      <c r="C76">
        <f>Sampling!E76</f>
        <v>0</v>
      </c>
      <c r="D76">
        <f>NMRPrep[[#This Row],['#]]</f>
        <v>0</v>
      </c>
      <c r="G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" t="e">
        <f>IF(ISBLANK(NMRPrep[[#This Row],[Total (uL) ]]), 0, NMRPrep[[#This Row],[1mM Maleic Acid (uL) ]]/NMRPrep[[#This Row],[Total (uL) ]])</f>
        <v>#DIV/0!</v>
      </c>
      <c r="I76">
        <f>2</f>
        <v>2</v>
      </c>
      <c r="J76">
        <f>4</f>
        <v>4</v>
      </c>
      <c r="K76">
        <f>1</f>
        <v>1</v>
      </c>
    </row>
    <row r="77" spans="1:11" hidden="1" x14ac:dyDescent="0.25">
      <c r="A77" s="1">
        <f>Sampling!D77</f>
        <v>0</v>
      </c>
      <c r="B77" t="str" cm="1">
        <f t="array" ref="B77">IF(ISBLANK(INDEX(SampleList[NMR],ROW()-1)),"Not Requested",INDEX(SampleList[Experiment ID],ROW()-1))</f>
        <v>Not Requested</v>
      </c>
      <c r="C77">
        <f>Sampling!E77</f>
        <v>0</v>
      </c>
      <c r="D77">
        <f>NMRPrep[[#This Row],['#]]</f>
        <v>0</v>
      </c>
      <c r="G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" t="e">
        <f>IF(ISBLANK(NMRPrep[[#This Row],[Total (uL) ]]), 0, NMRPrep[[#This Row],[1mM Maleic Acid (uL) ]]/NMRPrep[[#This Row],[Total (uL) ]])</f>
        <v>#DIV/0!</v>
      </c>
      <c r="I77">
        <f>2</f>
        <v>2</v>
      </c>
      <c r="J77">
        <f>4</f>
        <v>4</v>
      </c>
      <c r="K77">
        <f>1</f>
        <v>1</v>
      </c>
    </row>
    <row r="78" spans="1:11" hidden="1" x14ac:dyDescent="0.25">
      <c r="A78" s="1">
        <f>Sampling!D78</f>
        <v>0</v>
      </c>
      <c r="B78" t="str" cm="1">
        <f t="array" ref="B78">IF(ISBLANK(INDEX(SampleList[NMR],ROW()-1)),"Not Requested",INDEX(SampleList[Experiment ID],ROW()-1))</f>
        <v>Not Requested</v>
      </c>
      <c r="C78">
        <f>Sampling!E78</f>
        <v>0</v>
      </c>
      <c r="D78">
        <f>NMRPrep[[#This Row],['#]]</f>
        <v>0</v>
      </c>
      <c r="G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" t="e">
        <f>IF(ISBLANK(NMRPrep[[#This Row],[Total (uL) ]]), 0, NMRPrep[[#This Row],[1mM Maleic Acid (uL) ]]/NMRPrep[[#This Row],[Total (uL) ]])</f>
        <v>#DIV/0!</v>
      </c>
      <c r="I78">
        <f>2</f>
        <v>2</v>
      </c>
      <c r="J78">
        <f>4</f>
        <v>4</v>
      </c>
      <c r="K78">
        <f>1</f>
        <v>1</v>
      </c>
    </row>
    <row r="79" spans="1:11" hidden="1" x14ac:dyDescent="0.25">
      <c r="A79" s="1">
        <f>Sampling!D79</f>
        <v>0</v>
      </c>
      <c r="B79" t="str" cm="1">
        <f t="array" ref="B79">IF(ISBLANK(INDEX(SampleList[NMR],ROW()-1)),"Not Requested",INDEX(SampleList[Experiment ID],ROW()-1))</f>
        <v>Not Requested</v>
      </c>
      <c r="C79">
        <f>Sampling!E79</f>
        <v>0</v>
      </c>
      <c r="D79">
        <f>NMRPrep[[#This Row],['#]]</f>
        <v>0</v>
      </c>
      <c r="G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" t="e">
        <f>IF(ISBLANK(NMRPrep[[#This Row],[Total (uL) ]]), 0, NMRPrep[[#This Row],[1mM Maleic Acid (uL) ]]/NMRPrep[[#This Row],[Total (uL) ]])</f>
        <v>#DIV/0!</v>
      </c>
      <c r="I79">
        <f>2</f>
        <v>2</v>
      </c>
      <c r="J79">
        <f>4</f>
        <v>4</v>
      </c>
      <c r="K79">
        <f>1</f>
        <v>1</v>
      </c>
    </row>
    <row r="80" spans="1:11" hidden="1" x14ac:dyDescent="0.25">
      <c r="A80" s="1">
        <f>Sampling!D80</f>
        <v>0</v>
      </c>
      <c r="B80" t="str" cm="1">
        <f t="array" ref="B80">IF(ISBLANK(INDEX(SampleList[NMR],ROW()-1)),"Not Requested",INDEX(SampleList[Experiment ID],ROW()-1))</f>
        <v>Not Requested</v>
      </c>
      <c r="C80">
        <f>Sampling!E80</f>
        <v>0</v>
      </c>
      <c r="D80">
        <f>NMRPrep[[#This Row],['#]]</f>
        <v>0</v>
      </c>
      <c r="G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" t="e">
        <f>IF(ISBLANK(NMRPrep[[#This Row],[Total (uL) ]]), 0, NMRPrep[[#This Row],[1mM Maleic Acid (uL) ]]/NMRPrep[[#This Row],[Total (uL) ]])</f>
        <v>#DIV/0!</v>
      </c>
      <c r="I80">
        <f>2</f>
        <v>2</v>
      </c>
      <c r="J80">
        <f>4</f>
        <v>4</v>
      </c>
      <c r="K80">
        <f>1</f>
        <v>1</v>
      </c>
    </row>
    <row r="81" spans="1:11" hidden="1" x14ac:dyDescent="0.25">
      <c r="A81" s="1">
        <f>Sampling!D81</f>
        <v>0</v>
      </c>
      <c r="B81" t="str" cm="1">
        <f t="array" ref="B81">IF(ISBLANK(INDEX(SampleList[NMR],ROW()-1)),"Not Requested",INDEX(SampleList[Experiment ID],ROW()-1))</f>
        <v>Not Requested</v>
      </c>
      <c r="C81">
        <f>Sampling!E81</f>
        <v>0</v>
      </c>
      <c r="D81">
        <f>NMRPrep[[#This Row],['#]]</f>
        <v>0</v>
      </c>
      <c r="G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" t="e">
        <f>IF(ISBLANK(NMRPrep[[#This Row],[Total (uL) ]]), 0, NMRPrep[[#This Row],[1mM Maleic Acid (uL) ]]/NMRPrep[[#This Row],[Total (uL) ]])</f>
        <v>#DIV/0!</v>
      </c>
      <c r="I81">
        <f>2</f>
        <v>2</v>
      </c>
      <c r="J81">
        <f>4</f>
        <v>4</v>
      </c>
      <c r="K81">
        <f>1</f>
        <v>1</v>
      </c>
    </row>
    <row r="82" spans="1:11" hidden="1" x14ac:dyDescent="0.25">
      <c r="A82" s="1">
        <f>Sampling!D82</f>
        <v>0</v>
      </c>
      <c r="B82" t="str" cm="1">
        <f t="array" ref="B82">IF(ISBLANK(INDEX(SampleList[NMR],ROW()-1)),"Not Requested",INDEX(SampleList[Experiment ID],ROW()-1))</f>
        <v>Not Requested</v>
      </c>
      <c r="C82">
        <f>Sampling!E82</f>
        <v>0</v>
      </c>
      <c r="D82">
        <f>NMRPrep[[#This Row],['#]]</f>
        <v>0</v>
      </c>
      <c r="G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" t="e">
        <f>IF(ISBLANK(NMRPrep[[#This Row],[Total (uL) ]]), 0, NMRPrep[[#This Row],[1mM Maleic Acid (uL) ]]/NMRPrep[[#This Row],[Total (uL) ]])</f>
        <v>#DIV/0!</v>
      </c>
      <c r="I82">
        <f>2</f>
        <v>2</v>
      </c>
      <c r="J82">
        <f>4</f>
        <v>4</v>
      </c>
      <c r="K82">
        <f>1</f>
        <v>1</v>
      </c>
    </row>
    <row r="83" spans="1:11" hidden="1" x14ac:dyDescent="0.25">
      <c r="A83" s="1">
        <f>Sampling!D83</f>
        <v>0</v>
      </c>
      <c r="B83" t="str" cm="1">
        <f t="array" ref="B83">IF(ISBLANK(INDEX(SampleList[NMR],ROW()-1)),"Not Requested",INDEX(SampleList[Experiment ID],ROW()-1))</f>
        <v>Not Requested</v>
      </c>
      <c r="C83">
        <f>Sampling!E83</f>
        <v>0</v>
      </c>
      <c r="D83">
        <f>NMRPrep[[#This Row],['#]]</f>
        <v>0</v>
      </c>
      <c r="G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" t="e">
        <f>IF(ISBLANK(NMRPrep[[#This Row],[Total (uL) ]]), 0, NMRPrep[[#This Row],[1mM Maleic Acid (uL) ]]/NMRPrep[[#This Row],[Total (uL) ]])</f>
        <v>#DIV/0!</v>
      </c>
      <c r="I83">
        <f>2</f>
        <v>2</v>
      </c>
      <c r="J83">
        <f>4</f>
        <v>4</v>
      </c>
      <c r="K83">
        <f>1</f>
        <v>1</v>
      </c>
    </row>
    <row r="84" spans="1:11" hidden="1" x14ac:dyDescent="0.25">
      <c r="A84" s="1">
        <f>Sampling!D84</f>
        <v>0</v>
      </c>
      <c r="B84" t="str" cm="1">
        <f t="array" ref="B84">IF(ISBLANK(INDEX(SampleList[NMR],ROW()-1)),"Not Requested",INDEX(SampleList[Experiment ID],ROW()-1))</f>
        <v>Not Requested</v>
      </c>
      <c r="C84">
        <f>Sampling!E84</f>
        <v>0</v>
      </c>
      <c r="D84">
        <f>NMRPrep[[#This Row],['#]]</f>
        <v>0</v>
      </c>
      <c r="G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" t="e">
        <f>IF(ISBLANK(NMRPrep[[#This Row],[Total (uL) ]]), 0, NMRPrep[[#This Row],[1mM Maleic Acid (uL) ]]/NMRPrep[[#This Row],[Total (uL) ]])</f>
        <v>#DIV/0!</v>
      </c>
      <c r="I84">
        <f>2</f>
        <v>2</v>
      </c>
      <c r="J84">
        <f>4</f>
        <v>4</v>
      </c>
      <c r="K84">
        <f>1</f>
        <v>1</v>
      </c>
    </row>
    <row r="85" spans="1:11" hidden="1" x14ac:dyDescent="0.25">
      <c r="A85" s="1">
        <f>Sampling!D85</f>
        <v>0</v>
      </c>
      <c r="B85" t="str" cm="1">
        <f t="array" ref="B85">IF(ISBLANK(INDEX(SampleList[NMR],ROW()-1)),"Not Requested",INDEX(SampleList[Experiment ID],ROW()-1))</f>
        <v>Not Requested</v>
      </c>
      <c r="C85">
        <f>Sampling!E85</f>
        <v>0</v>
      </c>
      <c r="D85">
        <f>NMRPrep[[#This Row],['#]]</f>
        <v>0</v>
      </c>
      <c r="G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" t="e">
        <f>IF(ISBLANK(NMRPrep[[#This Row],[Total (uL) ]]), 0, NMRPrep[[#This Row],[1mM Maleic Acid (uL) ]]/NMRPrep[[#This Row],[Total (uL) ]])</f>
        <v>#DIV/0!</v>
      </c>
      <c r="I85">
        <f>2</f>
        <v>2</v>
      </c>
      <c r="J85">
        <f>4</f>
        <v>4</v>
      </c>
      <c r="K85">
        <f>1</f>
        <v>1</v>
      </c>
    </row>
    <row r="86" spans="1:11" hidden="1" x14ac:dyDescent="0.25">
      <c r="A86" s="1">
        <f>Sampling!D86</f>
        <v>0</v>
      </c>
      <c r="B86" t="str" cm="1">
        <f t="array" ref="B86">IF(ISBLANK(INDEX(SampleList[NMR],ROW()-1)),"Not Requested",INDEX(SampleList[Experiment ID],ROW()-1))</f>
        <v>Not Requested</v>
      </c>
      <c r="C86">
        <f>Sampling!E86</f>
        <v>0</v>
      </c>
      <c r="D86">
        <f>NMRPrep[[#This Row],['#]]</f>
        <v>0</v>
      </c>
      <c r="G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" t="e">
        <f>IF(ISBLANK(NMRPrep[[#This Row],[Total (uL) ]]), 0, NMRPrep[[#This Row],[1mM Maleic Acid (uL) ]]/NMRPrep[[#This Row],[Total (uL) ]])</f>
        <v>#DIV/0!</v>
      </c>
      <c r="I86">
        <f>2</f>
        <v>2</v>
      </c>
      <c r="J86">
        <f>4</f>
        <v>4</v>
      </c>
      <c r="K86">
        <f>1</f>
        <v>1</v>
      </c>
    </row>
    <row r="87" spans="1:11" hidden="1" x14ac:dyDescent="0.25">
      <c r="A87" s="1">
        <f>Sampling!D87</f>
        <v>0</v>
      </c>
      <c r="B87" t="str" cm="1">
        <f t="array" ref="B87">IF(ISBLANK(INDEX(SampleList[NMR],ROW()-1)),"Not Requested",INDEX(SampleList[Experiment ID],ROW()-1))</f>
        <v>Not Requested</v>
      </c>
      <c r="C87">
        <f>Sampling!E87</f>
        <v>0</v>
      </c>
      <c r="D87">
        <f>NMRPrep[[#This Row],['#]]</f>
        <v>0</v>
      </c>
      <c r="G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" t="e">
        <f>IF(ISBLANK(NMRPrep[[#This Row],[Total (uL) ]]), 0, NMRPrep[[#This Row],[1mM Maleic Acid (uL) ]]/NMRPrep[[#This Row],[Total (uL) ]])</f>
        <v>#DIV/0!</v>
      </c>
      <c r="I87">
        <f>2</f>
        <v>2</v>
      </c>
      <c r="J87">
        <f>4</f>
        <v>4</v>
      </c>
      <c r="K87">
        <f>1</f>
        <v>1</v>
      </c>
    </row>
    <row r="88" spans="1:11" hidden="1" x14ac:dyDescent="0.25">
      <c r="A88" s="1">
        <f>Sampling!D88</f>
        <v>0</v>
      </c>
      <c r="B88" t="str" cm="1">
        <f t="array" ref="B88">IF(ISBLANK(INDEX(SampleList[NMR],ROW()-1)),"Not Requested",INDEX(SampleList[Experiment ID],ROW()-1))</f>
        <v>Not Requested</v>
      </c>
      <c r="C88">
        <f>Sampling!E88</f>
        <v>0</v>
      </c>
      <c r="D88">
        <f>NMRPrep[[#This Row],['#]]</f>
        <v>0</v>
      </c>
      <c r="G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" t="e">
        <f>IF(ISBLANK(NMRPrep[[#This Row],[Total (uL) ]]), 0, NMRPrep[[#This Row],[1mM Maleic Acid (uL) ]]/NMRPrep[[#This Row],[Total (uL) ]])</f>
        <v>#DIV/0!</v>
      </c>
      <c r="I88">
        <f>2</f>
        <v>2</v>
      </c>
      <c r="J88">
        <f>4</f>
        <v>4</v>
      </c>
      <c r="K88">
        <f>1</f>
        <v>1</v>
      </c>
    </row>
    <row r="89" spans="1:11" hidden="1" x14ac:dyDescent="0.25">
      <c r="A89" s="1">
        <f>Sampling!D89</f>
        <v>0</v>
      </c>
      <c r="B89" t="str" cm="1">
        <f t="array" ref="B89">IF(ISBLANK(INDEX(SampleList[NMR],ROW()-1)),"Not Requested",INDEX(SampleList[Experiment ID],ROW()-1))</f>
        <v>Not Requested</v>
      </c>
      <c r="C89">
        <f>Sampling!E89</f>
        <v>0</v>
      </c>
      <c r="D89">
        <f>NMRPrep[[#This Row],['#]]</f>
        <v>0</v>
      </c>
      <c r="G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" t="e">
        <f>IF(ISBLANK(NMRPrep[[#This Row],[Total (uL) ]]), 0, NMRPrep[[#This Row],[1mM Maleic Acid (uL) ]]/NMRPrep[[#This Row],[Total (uL) ]])</f>
        <v>#DIV/0!</v>
      </c>
      <c r="I89">
        <f>2</f>
        <v>2</v>
      </c>
      <c r="J89">
        <f>4</f>
        <v>4</v>
      </c>
      <c r="K89">
        <f>1</f>
        <v>1</v>
      </c>
    </row>
    <row r="90" spans="1:11" hidden="1" x14ac:dyDescent="0.25">
      <c r="A90" s="1">
        <f>Sampling!D90</f>
        <v>0</v>
      </c>
      <c r="B90" t="str" cm="1">
        <f t="array" ref="B90">IF(ISBLANK(INDEX(SampleList[NMR],ROW()-1)),"Not Requested",INDEX(SampleList[Experiment ID],ROW()-1))</f>
        <v>Not Requested</v>
      </c>
      <c r="C90">
        <f>Sampling!E90</f>
        <v>0</v>
      </c>
      <c r="D90">
        <f>NMRPrep[[#This Row],['#]]</f>
        <v>0</v>
      </c>
      <c r="G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" t="e">
        <f>IF(ISBLANK(NMRPrep[[#This Row],[Total (uL) ]]), 0, NMRPrep[[#This Row],[1mM Maleic Acid (uL) ]]/NMRPrep[[#This Row],[Total (uL) ]])</f>
        <v>#DIV/0!</v>
      </c>
      <c r="I90">
        <f>2</f>
        <v>2</v>
      </c>
      <c r="J90">
        <f>4</f>
        <v>4</v>
      </c>
      <c r="K90">
        <f>1</f>
        <v>1</v>
      </c>
    </row>
    <row r="91" spans="1:11" hidden="1" x14ac:dyDescent="0.25">
      <c r="A91" s="1">
        <f>Sampling!D91</f>
        <v>0</v>
      </c>
      <c r="B91" t="str" cm="1">
        <f t="array" ref="B91">IF(ISBLANK(INDEX(SampleList[NMR],ROW()-1)),"Not Requested",INDEX(SampleList[Experiment ID],ROW()-1))</f>
        <v>Not Requested</v>
      </c>
      <c r="C91">
        <f>Sampling!E91</f>
        <v>0</v>
      </c>
      <c r="D91">
        <f>NMRPrep[[#This Row],['#]]</f>
        <v>0</v>
      </c>
      <c r="G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" t="e">
        <f>IF(ISBLANK(NMRPrep[[#This Row],[Total (uL) ]]), 0, NMRPrep[[#This Row],[1mM Maleic Acid (uL) ]]/NMRPrep[[#This Row],[Total (uL) ]])</f>
        <v>#DIV/0!</v>
      </c>
      <c r="I91">
        <f>2</f>
        <v>2</v>
      </c>
      <c r="J91">
        <f>4</f>
        <v>4</v>
      </c>
      <c r="K91">
        <f>1</f>
        <v>1</v>
      </c>
    </row>
    <row r="92" spans="1:11" hidden="1" x14ac:dyDescent="0.25">
      <c r="A92" s="1">
        <f>Sampling!D92</f>
        <v>0</v>
      </c>
      <c r="B92" t="str" cm="1">
        <f t="array" ref="B92">IF(ISBLANK(INDEX(SampleList[NMR],ROW()-1)),"Not Requested",INDEX(SampleList[Experiment ID],ROW()-1))</f>
        <v>Not Requested</v>
      </c>
      <c r="C92">
        <f>Sampling!E92</f>
        <v>0</v>
      </c>
      <c r="D92">
        <f>NMRPrep[[#This Row],['#]]</f>
        <v>0</v>
      </c>
      <c r="G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" t="e">
        <f>IF(ISBLANK(NMRPrep[[#This Row],[Total (uL) ]]), 0, NMRPrep[[#This Row],[1mM Maleic Acid (uL) ]]/NMRPrep[[#This Row],[Total (uL) ]])</f>
        <v>#DIV/0!</v>
      </c>
      <c r="I92">
        <f>2</f>
        <v>2</v>
      </c>
      <c r="J92">
        <f>4</f>
        <v>4</v>
      </c>
      <c r="K92">
        <f>1</f>
        <v>1</v>
      </c>
    </row>
    <row r="93" spans="1:11" hidden="1" x14ac:dyDescent="0.25">
      <c r="A93" s="1">
        <f>Sampling!D93</f>
        <v>0</v>
      </c>
      <c r="B93" t="str" cm="1">
        <f t="array" ref="B93">IF(ISBLANK(INDEX(SampleList[NMR],ROW()-1)),"Not Requested",INDEX(SampleList[Experiment ID],ROW()-1))</f>
        <v>Not Requested</v>
      </c>
      <c r="C93">
        <f>Sampling!E93</f>
        <v>0</v>
      </c>
      <c r="D93">
        <f>NMRPrep[[#This Row],['#]]</f>
        <v>0</v>
      </c>
      <c r="G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" t="e">
        <f>IF(ISBLANK(NMRPrep[[#This Row],[Total (uL) ]]), 0, NMRPrep[[#This Row],[1mM Maleic Acid (uL) ]]/NMRPrep[[#This Row],[Total (uL) ]])</f>
        <v>#DIV/0!</v>
      </c>
      <c r="I93">
        <f>2</f>
        <v>2</v>
      </c>
      <c r="J93">
        <f>4</f>
        <v>4</v>
      </c>
      <c r="K93">
        <f>1</f>
        <v>1</v>
      </c>
    </row>
    <row r="94" spans="1:11" hidden="1" x14ac:dyDescent="0.25">
      <c r="A94" s="1">
        <f>Sampling!D94</f>
        <v>0</v>
      </c>
      <c r="B94" t="str" cm="1">
        <f t="array" ref="B94">IF(ISBLANK(INDEX(SampleList[NMR],ROW()-1)),"Not Requested",INDEX(SampleList[Experiment ID],ROW()-1))</f>
        <v>Not Requested</v>
      </c>
      <c r="C94">
        <f>Sampling!E94</f>
        <v>0</v>
      </c>
      <c r="D94">
        <f>NMRPrep[[#This Row],['#]]</f>
        <v>0</v>
      </c>
      <c r="G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" t="e">
        <f>IF(ISBLANK(NMRPrep[[#This Row],[Total (uL) ]]), 0, NMRPrep[[#This Row],[1mM Maleic Acid (uL) ]]/NMRPrep[[#This Row],[Total (uL) ]])</f>
        <v>#DIV/0!</v>
      </c>
      <c r="I94">
        <f>2</f>
        <v>2</v>
      </c>
      <c r="J94">
        <f>4</f>
        <v>4</v>
      </c>
      <c r="K94">
        <f>1</f>
        <v>1</v>
      </c>
    </row>
    <row r="95" spans="1:11" hidden="1" x14ac:dyDescent="0.25">
      <c r="A95" s="1">
        <f>Sampling!D95</f>
        <v>0</v>
      </c>
      <c r="B95" t="str" cm="1">
        <f t="array" ref="B95">IF(ISBLANK(INDEX(SampleList[NMR],ROW()-1)),"Not Requested",INDEX(SampleList[Experiment ID],ROW()-1))</f>
        <v>Not Requested</v>
      </c>
      <c r="C95">
        <f>Sampling!E95</f>
        <v>0</v>
      </c>
      <c r="D95">
        <f>NMRPrep[[#This Row],['#]]</f>
        <v>0</v>
      </c>
      <c r="G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" t="e">
        <f>IF(ISBLANK(NMRPrep[[#This Row],[Total (uL) ]]), 0, NMRPrep[[#This Row],[1mM Maleic Acid (uL) ]]/NMRPrep[[#This Row],[Total (uL) ]])</f>
        <v>#DIV/0!</v>
      </c>
      <c r="I95">
        <f>2</f>
        <v>2</v>
      </c>
      <c r="J95">
        <f>4</f>
        <v>4</v>
      </c>
      <c r="K95">
        <f>1</f>
        <v>1</v>
      </c>
    </row>
    <row r="96" spans="1:11" hidden="1" x14ac:dyDescent="0.25">
      <c r="A96" s="1">
        <f>Sampling!D96</f>
        <v>0</v>
      </c>
      <c r="B96" t="str" cm="1">
        <f t="array" ref="B96">IF(ISBLANK(INDEX(SampleList[NMR],ROW()-1)),"Not Requested",INDEX(SampleList[Experiment ID],ROW()-1))</f>
        <v>Not Requested</v>
      </c>
      <c r="C96">
        <f>Sampling!E96</f>
        <v>0</v>
      </c>
      <c r="D96">
        <f>NMRPrep[[#This Row],['#]]</f>
        <v>0</v>
      </c>
      <c r="G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" t="e">
        <f>IF(ISBLANK(NMRPrep[[#This Row],[Total (uL) ]]), 0, NMRPrep[[#This Row],[1mM Maleic Acid (uL) ]]/NMRPrep[[#This Row],[Total (uL) ]])</f>
        <v>#DIV/0!</v>
      </c>
      <c r="I96">
        <f>2</f>
        <v>2</v>
      </c>
      <c r="J96">
        <f>4</f>
        <v>4</v>
      </c>
      <c r="K96">
        <f>1</f>
        <v>1</v>
      </c>
    </row>
    <row r="97" spans="1:11" hidden="1" x14ac:dyDescent="0.25">
      <c r="A97" s="1">
        <f>Sampling!D97</f>
        <v>0</v>
      </c>
      <c r="B97" t="str" cm="1">
        <f t="array" ref="B97">IF(ISBLANK(INDEX(SampleList[NMR],ROW()-1)),"Not Requested",INDEX(SampleList[Experiment ID],ROW()-1))</f>
        <v>Not Requested</v>
      </c>
      <c r="C97">
        <f>Sampling!E97</f>
        <v>0</v>
      </c>
      <c r="D97">
        <f>NMRPrep[[#This Row],['#]]</f>
        <v>0</v>
      </c>
      <c r="G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" t="e">
        <f>IF(ISBLANK(NMRPrep[[#This Row],[Total (uL) ]]), 0, NMRPrep[[#This Row],[1mM Maleic Acid (uL) ]]/NMRPrep[[#This Row],[Total (uL) ]])</f>
        <v>#DIV/0!</v>
      </c>
      <c r="I97">
        <f>2</f>
        <v>2</v>
      </c>
      <c r="J97">
        <f>4</f>
        <v>4</v>
      </c>
      <c r="K97">
        <f>1</f>
        <v>1</v>
      </c>
    </row>
    <row r="98" spans="1:11" hidden="1" x14ac:dyDescent="0.25">
      <c r="A98" s="1">
        <f>Sampling!D98</f>
        <v>0</v>
      </c>
      <c r="B98" t="str" cm="1">
        <f t="array" ref="B98">IF(ISBLANK(INDEX(SampleList[NMR],ROW()-1)),"Not Requested",INDEX(SampleList[Experiment ID],ROW()-1))</f>
        <v>Not Requested</v>
      </c>
      <c r="C98">
        <f>Sampling!E98</f>
        <v>0</v>
      </c>
      <c r="D98">
        <f>NMRPrep[[#This Row],['#]]</f>
        <v>0</v>
      </c>
      <c r="G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" t="e">
        <f>IF(ISBLANK(NMRPrep[[#This Row],[Total (uL) ]]), 0, NMRPrep[[#This Row],[1mM Maleic Acid (uL) ]]/NMRPrep[[#This Row],[Total (uL) ]])</f>
        <v>#DIV/0!</v>
      </c>
      <c r="I98">
        <f>2</f>
        <v>2</v>
      </c>
      <c r="J98">
        <f>4</f>
        <v>4</v>
      </c>
      <c r="K98">
        <f>1</f>
        <v>1</v>
      </c>
    </row>
    <row r="99" spans="1:11" hidden="1" x14ac:dyDescent="0.25">
      <c r="A99" s="1">
        <f>Sampling!D99</f>
        <v>0</v>
      </c>
      <c r="B99" t="str" cm="1">
        <f t="array" ref="B99">IF(ISBLANK(INDEX(SampleList[NMR],ROW()-1)),"Not Requested",INDEX(SampleList[Experiment ID],ROW()-1))</f>
        <v>Not Requested</v>
      </c>
      <c r="C99">
        <f>Sampling!E99</f>
        <v>0</v>
      </c>
      <c r="D99">
        <f>NMRPrep[[#This Row],['#]]</f>
        <v>0</v>
      </c>
      <c r="G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" t="e">
        <f>IF(ISBLANK(NMRPrep[[#This Row],[Total (uL) ]]), 0, NMRPrep[[#This Row],[1mM Maleic Acid (uL) ]]/NMRPrep[[#This Row],[Total (uL) ]])</f>
        <v>#DIV/0!</v>
      </c>
      <c r="I99">
        <f>2</f>
        <v>2</v>
      </c>
      <c r="J99">
        <f>4</f>
        <v>4</v>
      </c>
      <c r="K99">
        <f>1</f>
        <v>1</v>
      </c>
    </row>
    <row r="100" spans="1:11" hidden="1" x14ac:dyDescent="0.25">
      <c r="A100" s="1">
        <f>Sampling!D100</f>
        <v>0</v>
      </c>
      <c r="B100" t="str" cm="1">
        <f t="array" ref="B100">IF(ISBLANK(INDEX(SampleList[NMR],ROW()-1)),"Not Requested",INDEX(SampleList[Experiment ID],ROW()-1))</f>
        <v>Not Requested</v>
      </c>
      <c r="C100">
        <f>Sampling!E100</f>
        <v>0</v>
      </c>
      <c r="D100">
        <f>NMRPrep[[#This Row],['#]]</f>
        <v>0</v>
      </c>
      <c r="G1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0" t="e">
        <f>IF(ISBLANK(NMRPrep[[#This Row],[Total (uL) ]]), 0, NMRPrep[[#This Row],[1mM Maleic Acid (uL) ]]/NMRPrep[[#This Row],[Total (uL) ]])</f>
        <v>#DIV/0!</v>
      </c>
      <c r="I100">
        <f>2</f>
        <v>2</v>
      </c>
      <c r="J100">
        <f>4</f>
        <v>4</v>
      </c>
      <c r="K100">
        <f>1</f>
        <v>1</v>
      </c>
    </row>
    <row r="101" spans="1:11" hidden="1" x14ac:dyDescent="0.25">
      <c r="A101" s="1">
        <f>Sampling!D101</f>
        <v>0</v>
      </c>
      <c r="B101" t="str" cm="1">
        <f t="array" ref="B101">IF(ISBLANK(INDEX(SampleList[NMR],ROW()-1)),"Not Requested",INDEX(SampleList[Experiment ID],ROW()-1))</f>
        <v>Not Requested</v>
      </c>
      <c r="C101">
        <f>Sampling!E101</f>
        <v>0</v>
      </c>
      <c r="D101">
        <f>NMRPrep[[#This Row],['#]]</f>
        <v>0</v>
      </c>
      <c r="G1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1" t="e">
        <f>IF(ISBLANK(NMRPrep[[#This Row],[Total (uL) ]]), 0, NMRPrep[[#This Row],[1mM Maleic Acid (uL) ]]/NMRPrep[[#This Row],[Total (uL) ]])</f>
        <v>#DIV/0!</v>
      </c>
      <c r="I101">
        <f>2</f>
        <v>2</v>
      </c>
      <c r="J101">
        <f>4</f>
        <v>4</v>
      </c>
      <c r="K101">
        <f>1</f>
        <v>1</v>
      </c>
    </row>
    <row r="102" spans="1:11" hidden="1" x14ac:dyDescent="0.25">
      <c r="A102" s="1">
        <f>Sampling!D102</f>
        <v>0</v>
      </c>
      <c r="B102" t="str" cm="1">
        <f t="array" ref="B102">IF(ISBLANK(INDEX(SampleList[NMR],ROW()-1)),"Not Requested",INDEX(SampleList[Experiment ID],ROW()-1))</f>
        <v>Not Requested</v>
      </c>
      <c r="C102">
        <f>Sampling!E102</f>
        <v>0</v>
      </c>
      <c r="D102">
        <f>NMRPrep[[#This Row],['#]]</f>
        <v>0</v>
      </c>
      <c r="G1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2" t="e">
        <f>IF(ISBLANK(NMRPrep[[#This Row],[Total (uL) ]]), 0, NMRPrep[[#This Row],[1mM Maleic Acid (uL) ]]/NMRPrep[[#This Row],[Total (uL) ]])</f>
        <v>#DIV/0!</v>
      </c>
      <c r="I102">
        <f>2</f>
        <v>2</v>
      </c>
      <c r="J102">
        <f>4</f>
        <v>4</v>
      </c>
      <c r="K102">
        <f>1</f>
        <v>1</v>
      </c>
    </row>
    <row r="103" spans="1:11" hidden="1" x14ac:dyDescent="0.25">
      <c r="A103" s="1">
        <f>Sampling!D103</f>
        <v>0</v>
      </c>
      <c r="B103" t="str" cm="1">
        <f t="array" ref="B103">IF(ISBLANK(INDEX(SampleList[NMR],ROW()-1)),"Not Requested",INDEX(SampleList[Experiment ID],ROW()-1))</f>
        <v>Not Requested</v>
      </c>
      <c r="C103">
        <f>Sampling!E103</f>
        <v>0</v>
      </c>
      <c r="D103">
        <f>NMRPrep[[#This Row],['#]]</f>
        <v>0</v>
      </c>
      <c r="G1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3" t="e">
        <f>IF(ISBLANK(NMRPrep[[#This Row],[Total (uL) ]]), 0, NMRPrep[[#This Row],[1mM Maleic Acid (uL) ]]/NMRPrep[[#This Row],[Total (uL) ]])</f>
        <v>#DIV/0!</v>
      </c>
      <c r="I103">
        <f>2</f>
        <v>2</v>
      </c>
      <c r="J103">
        <f>4</f>
        <v>4</v>
      </c>
      <c r="K103">
        <f>1</f>
        <v>1</v>
      </c>
    </row>
    <row r="104" spans="1:11" hidden="1" x14ac:dyDescent="0.25">
      <c r="A104" s="1">
        <f>Sampling!D104</f>
        <v>0</v>
      </c>
      <c r="B104" t="str" cm="1">
        <f t="array" ref="B104">IF(ISBLANK(INDEX(SampleList[NMR],ROW()-1)),"Not Requested",INDEX(SampleList[Experiment ID],ROW()-1))</f>
        <v>Not Requested</v>
      </c>
      <c r="C104">
        <f>Sampling!E104</f>
        <v>0</v>
      </c>
      <c r="D104">
        <f>NMRPrep[[#This Row],['#]]</f>
        <v>0</v>
      </c>
      <c r="G1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4" t="e">
        <f>IF(ISBLANK(NMRPrep[[#This Row],[Total (uL) ]]), 0, NMRPrep[[#This Row],[1mM Maleic Acid (uL) ]]/NMRPrep[[#This Row],[Total (uL) ]])</f>
        <v>#DIV/0!</v>
      </c>
      <c r="I104">
        <f>2</f>
        <v>2</v>
      </c>
      <c r="J104">
        <f>4</f>
        <v>4</v>
      </c>
      <c r="K104">
        <f>1</f>
        <v>1</v>
      </c>
    </row>
    <row r="105" spans="1:11" hidden="1" x14ac:dyDescent="0.25">
      <c r="A105" s="1">
        <f>Sampling!D105</f>
        <v>0</v>
      </c>
      <c r="B105" t="str" cm="1">
        <f t="array" ref="B105">IF(ISBLANK(INDEX(SampleList[NMR],ROW()-1)),"Not Requested",INDEX(SampleList[Experiment ID],ROW()-1))</f>
        <v>Not Requested</v>
      </c>
      <c r="C105">
        <f>Sampling!E105</f>
        <v>0</v>
      </c>
      <c r="D105">
        <f>NMRPrep[[#This Row],['#]]</f>
        <v>0</v>
      </c>
      <c r="G1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5" t="e">
        <f>IF(ISBLANK(NMRPrep[[#This Row],[Total (uL) ]]), 0, NMRPrep[[#This Row],[1mM Maleic Acid (uL) ]]/NMRPrep[[#This Row],[Total (uL) ]])</f>
        <v>#DIV/0!</v>
      </c>
      <c r="I105">
        <f>2</f>
        <v>2</v>
      </c>
      <c r="J105">
        <f>4</f>
        <v>4</v>
      </c>
      <c r="K105">
        <f>1</f>
        <v>1</v>
      </c>
    </row>
    <row r="106" spans="1:11" hidden="1" x14ac:dyDescent="0.25">
      <c r="A106" s="1">
        <f>Sampling!D106</f>
        <v>0</v>
      </c>
      <c r="B106" t="str" cm="1">
        <f t="array" ref="B106">IF(ISBLANK(INDEX(SampleList[NMR],ROW()-1)),"Not Requested",INDEX(SampleList[Experiment ID],ROW()-1))</f>
        <v>Not Requested</v>
      </c>
      <c r="C106">
        <f>Sampling!E106</f>
        <v>0</v>
      </c>
      <c r="D106">
        <f>NMRPrep[[#This Row],['#]]</f>
        <v>0</v>
      </c>
      <c r="G1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6" t="e">
        <f>IF(ISBLANK(NMRPrep[[#This Row],[Total (uL) ]]), 0, NMRPrep[[#This Row],[1mM Maleic Acid (uL) ]]/NMRPrep[[#This Row],[Total (uL) ]])</f>
        <v>#DIV/0!</v>
      </c>
      <c r="I106">
        <f>2</f>
        <v>2</v>
      </c>
      <c r="J106">
        <f>4</f>
        <v>4</v>
      </c>
      <c r="K106">
        <f>1</f>
        <v>1</v>
      </c>
    </row>
    <row r="107" spans="1:11" hidden="1" x14ac:dyDescent="0.25">
      <c r="A107" s="1">
        <f>Sampling!D107</f>
        <v>0</v>
      </c>
      <c r="B107" t="str" cm="1">
        <f t="array" ref="B107">IF(ISBLANK(INDEX(SampleList[NMR],ROW()-1)),"Not Requested",INDEX(SampleList[Experiment ID],ROW()-1))</f>
        <v>Not Requested</v>
      </c>
      <c r="C107">
        <f>Sampling!E107</f>
        <v>0</v>
      </c>
      <c r="D107">
        <f>NMRPrep[[#This Row],['#]]</f>
        <v>0</v>
      </c>
      <c r="G1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7" t="e">
        <f>IF(ISBLANK(NMRPrep[[#This Row],[Total (uL) ]]), 0, NMRPrep[[#This Row],[1mM Maleic Acid (uL) ]]/NMRPrep[[#This Row],[Total (uL) ]])</f>
        <v>#DIV/0!</v>
      </c>
      <c r="I107">
        <f>2</f>
        <v>2</v>
      </c>
      <c r="J107">
        <f>4</f>
        <v>4</v>
      </c>
      <c r="K107">
        <f>1</f>
        <v>1</v>
      </c>
    </row>
    <row r="108" spans="1:11" hidden="1" x14ac:dyDescent="0.25">
      <c r="A108" s="1">
        <f>Sampling!D108</f>
        <v>0</v>
      </c>
      <c r="B108" t="str" cm="1">
        <f t="array" ref="B108">IF(ISBLANK(INDEX(SampleList[NMR],ROW()-1)),"Not Requested",INDEX(SampleList[Experiment ID],ROW()-1))</f>
        <v>Not Requested</v>
      </c>
      <c r="C108">
        <f>Sampling!E108</f>
        <v>0</v>
      </c>
      <c r="D108">
        <f>NMRPrep[[#This Row],['#]]</f>
        <v>0</v>
      </c>
      <c r="G1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8" t="e">
        <f>IF(ISBLANK(NMRPrep[[#This Row],[Total (uL) ]]), 0, NMRPrep[[#This Row],[1mM Maleic Acid (uL) ]]/NMRPrep[[#This Row],[Total (uL) ]])</f>
        <v>#DIV/0!</v>
      </c>
      <c r="I108">
        <f>2</f>
        <v>2</v>
      </c>
      <c r="J108">
        <f>4</f>
        <v>4</v>
      </c>
      <c r="K108">
        <f>1</f>
        <v>1</v>
      </c>
    </row>
    <row r="109" spans="1:11" hidden="1" x14ac:dyDescent="0.25">
      <c r="A109" s="1">
        <f>Sampling!D109</f>
        <v>0</v>
      </c>
      <c r="B109" t="str" cm="1">
        <f t="array" ref="B109">IF(ISBLANK(INDEX(SampleList[NMR],ROW()-1)),"Not Requested",INDEX(SampleList[Experiment ID],ROW()-1))</f>
        <v>Not Requested</v>
      </c>
      <c r="C109">
        <f>Sampling!E109</f>
        <v>0</v>
      </c>
      <c r="D109">
        <f>NMRPrep[[#This Row],['#]]</f>
        <v>0</v>
      </c>
      <c r="G1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9" t="e">
        <f>IF(ISBLANK(NMRPrep[[#This Row],[Total (uL) ]]), 0, NMRPrep[[#This Row],[1mM Maleic Acid (uL) ]]/NMRPrep[[#This Row],[Total (uL) ]])</f>
        <v>#DIV/0!</v>
      </c>
      <c r="I109">
        <f>2</f>
        <v>2</v>
      </c>
      <c r="J109">
        <f>4</f>
        <v>4</v>
      </c>
      <c r="K109">
        <f>1</f>
        <v>1</v>
      </c>
    </row>
    <row r="110" spans="1:11" hidden="1" x14ac:dyDescent="0.25">
      <c r="A110" s="1">
        <f>Sampling!D110</f>
        <v>0</v>
      </c>
      <c r="B110" t="str" cm="1">
        <f t="array" ref="B110">IF(ISBLANK(INDEX(SampleList[NMR],ROW()-1)),"Not Requested",INDEX(SampleList[Experiment ID],ROW()-1))</f>
        <v>Not Requested</v>
      </c>
      <c r="C110">
        <f>Sampling!E110</f>
        <v>0</v>
      </c>
      <c r="D110">
        <f>NMRPrep[[#This Row],['#]]</f>
        <v>0</v>
      </c>
      <c r="G1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0" t="e">
        <f>IF(ISBLANK(NMRPrep[[#This Row],[Total (uL) ]]), 0, NMRPrep[[#This Row],[1mM Maleic Acid (uL) ]]/NMRPrep[[#This Row],[Total (uL) ]])</f>
        <v>#DIV/0!</v>
      </c>
      <c r="I110">
        <f>2</f>
        <v>2</v>
      </c>
      <c r="J110">
        <f>4</f>
        <v>4</v>
      </c>
      <c r="K110">
        <f>1</f>
        <v>1</v>
      </c>
    </row>
    <row r="111" spans="1:11" hidden="1" x14ac:dyDescent="0.25">
      <c r="A111" s="1">
        <f>Sampling!D111</f>
        <v>0</v>
      </c>
      <c r="B111" t="str" cm="1">
        <f t="array" ref="B111">IF(ISBLANK(INDEX(SampleList[NMR],ROW()-1)),"Not Requested",INDEX(SampleList[Experiment ID],ROW()-1))</f>
        <v>Not Requested</v>
      </c>
      <c r="C111">
        <f>Sampling!E111</f>
        <v>0</v>
      </c>
      <c r="D111">
        <f>NMRPrep[[#This Row],['#]]</f>
        <v>0</v>
      </c>
      <c r="G1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1" t="e">
        <f>IF(ISBLANK(NMRPrep[[#This Row],[Total (uL) ]]), 0, NMRPrep[[#This Row],[1mM Maleic Acid (uL) ]]/NMRPrep[[#This Row],[Total (uL) ]])</f>
        <v>#DIV/0!</v>
      </c>
      <c r="I111">
        <f>2</f>
        <v>2</v>
      </c>
      <c r="J111">
        <f>4</f>
        <v>4</v>
      </c>
      <c r="K111">
        <f>1</f>
        <v>1</v>
      </c>
    </row>
    <row r="112" spans="1:11" hidden="1" x14ac:dyDescent="0.25">
      <c r="A112" s="1">
        <f>Sampling!D112</f>
        <v>0</v>
      </c>
      <c r="B112" t="str" cm="1">
        <f t="array" ref="B112">IF(ISBLANK(INDEX(SampleList[NMR],ROW()-1)),"Not Requested",INDEX(SampleList[Experiment ID],ROW()-1))</f>
        <v>Not Requested</v>
      </c>
      <c r="C112">
        <f>Sampling!E112</f>
        <v>0</v>
      </c>
      <c r="D112">
        <f>NMRPrep[[#This Row],['#]]</f>
        <v>0</v>
      </c>
      <c r="G1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2" t="e">
        <f>IF(ISBLANK(NMRPrep[[#This Row],[Total (uL) ]]), 0, NMRPrep[[#This Row],[1mM Maleic Acid (uL) ]]/NMRPrep[[#This Row],[Total (uL) ]])</f>
        <v>#DIV/0!</v>
      </c>
      <c r="I112">
        <f>2</f>
        <v>2</v>
      </c>
      <c r="J112">
        <f>4</f>
        <v>4</v>
      </c>
      <c r="K112">
        <f>1</f>
        <v>1</v>
      </c>
    </row>
    <row r="113" spans="1:11" hidden="1" x14ac:dyDescent="0.25">
      <c r="A113" s="1">
        <f>Sampling!D113</f>
        <v>0</v>
      </c>
      <c r="B113" t="str" cm="1">
        <f t="array" ref="B113">IF(ISBLANK(INDEX(SampleList[NMR],ROW()-1)),"Not Requested",INDEX(SampleList[Experiment ID],ROW()-1))</f>
        <v>Not Requested</v>
      </c>
      <c r="C113">
        <f>Sampling!E113</f>
        <v>0</v>
      </c>
      <c r="D113">
        <f>NMRPrep[[#This Row],['#]]</f>
        <v>0</v>
      </c>
      <c r="G1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3" t="e">
        <f>IF(ISBLANK(NMRPrep[[#This Row],[Total (uL) ]]), 0, NMRPrep[[#This Row],[1mM Maleic Acid (uL) ]]/NMRPrep[[#This Row],[Total (uL) ]])</f>
        <v>#DIV/0!</v>
      </c>
      <c r="I113">
        <f>2</f>
        <v>2</v>
      </c>
      <c r="J113">
        <f>4</f>
        <v>4</v>
      </c>
      <c r="K113">
        <f>1</f>
        <v>1</v>
      </c>
    </row>
    <row r="114" spans="1:11" hidden="1" x14ac:dyDescent="0.25">
      <c r="A114" s="1">
        <f>Sampling!D114</f>
        <v>0</v>
      </c>
      <c r="B114" t="str" cm="1">
        <f t="array" ref="B114">IF(ISBLANK(INDEX(SampleList[NMR],ROW()-1)),"Not Requested",INDEX(SampleList[Experiment ID],ROW()-1))</f>
        <v>Not Requested</v>
      </c>
      <c r="C114">
        <f>Sampling!E114</f>
        <v>0</v>
      </c>
      <c r="D114">
        <f>NMRPrep[[#This Row],['#]]</f>
        <v>0</v>
      </c>
      <c r="G1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4" t="e">
        <f>IF(ISBLANK(NMRPrep[[#This Row],[Total (uL) ]]), 0, NMRPrep[[#This Row],[1mM Maleic Acid (uL) ]]/NMRPrep[[#This Row],[Total (uL) ]])</f>
        <v>#DIV/0!</v>
      </c>
      <c r="I114">
        <f>2</f>
        <v>2</v>
      </c>
      <c r="J114">
        <f>4</f>
        <v>4</v>
      </c>
      <c r="K114">
        <f>1</f>
        <v>1</v>
      </c>
    </row>
    <row r="115" spans="1:11" hidden="1" x14ac:dyDescent="0.25">
      <c r="A115" s="1">
        <f>Sampling!D115</f>
        <v>0</v>
      </c>
      <c r="B115" t="str" cm="1">
        <f t="array" ref="B115">IF(ISBLANK(INDEX(SampleList[NMR],ROW()-1)),"Not Requested",INDEX(SampleList[Experiment ID],ROW()-1))</f>
        <v>Not Requested</v>
      </c>
      <c r="C115">
        <f>Sampling!E115</f>
        <v>0</v>
      </c>
      <c r="D115">
        <f>NMRPrep[[#This Row],['#]]</f>
        <v>0</v>
      </c>
      <c r="G1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5" t="e">
        <f>IF(ISBLANK(NMRPrep[[#This Row],[Total (uL) ]]), 0, NMRPrep[[#This Row],[1mM Maleic Acid (uL) ]]/NMRPrep[[#This Row],[Total (uL) ]])</f>
        <v>#DIV/0!</v>
      </c>
      <c r="I115">
        <f>2</f>
        <v>2</v>
      </c>
      <c r="J115">
        <f>4</f>
        <v>4</v>
      </c>
      <c r="K115">
        <f>1</f>
        <v>1</v>
      </c>
    </row>
    <row r="116" spans="1:11" hidden="1" x14ac:dyDescent="0.25">
      <c r="A116" s="1">
        <f>Sampling!D116</f>
        <v>0</v>
      </c>
      <c r="B116" t="str" cm="1">
        <f t="array" ref="B116">IF(ISBLANK(INDEX(SampleList[NMR],ROW()-1)),"Not Requested",INDEX(SampleList[Experiment ID],ROW()-1))</f>
        <v>Not Requested</v>
      </c>
      <c r="C116">
        <f>Sampling!E116</f>
        <v>0</v>
      </c>
      <c r="D116">
        <f>NMRPrep[[#This Row],['#]]</f>
        <v>0</v>
      </c>
      <c r="G1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6" t="e">
        <f>IF(ISBLANK(NMRPrep[[#This Row],[Total (uL) ]]), 0, NMRPrep[[#This Row],[1mM Maleic Acid (uL) ]]/NMRPrep[[#This Row],[Total (uL) ]])</f>
        <v>#DIV/0!</v>
      </c>
      <c r="I116">
        <f>2</f>
        <v>2</v>
      </c>
      <c r="J116">
        <f>4</f>
        <v>4</v>
      </c>
      <c r="K116">
        <f>1</f>
        <v>1</v>
      </c>
    </row>
    <row r="117" spans="1:11" hidden="1" x14ac:dyDescent="0.25">
      <c r="A117" s="1">
        <f>Sampling!D117</f>
        <v>0</v>
      </c>
      <c r="B117" t="str" cm="1">
        <f t="array" ref="B117">IF(ISBLANK(INDEX(SampleList[NMR],ROW()-1)),"Not Requested",INDEX(SampleList[Experiment ID],ROW()-1))</f>
        <v>Not Requested</v>
      </c>
      <c r="C117">
        <f>Sampling!E117</f>
        <v>0</v>
      </c>
      <c r="D117">
        <f>NMRPrep[[#This Row],['#]]</f>
        <v>0</v>
      </c>
      <c r="G1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7" t="e">
        <f>IF(ISBLANK(NMRPrep[[#This Row],[Total (uL) ]]), 0, NMRPrep[[#This Row],[1mM Maleic Acid (uL) ]]/NMRPrep[[#This Row],[Total (uL) ]])</f>
        <v>#DIV/0!</v>
      </c>
      <c r="I117">
        <f>2</f>
        <v>2</v>
      </c>
      <c r="J117">
        <f>4</f>
        <v>4</v>
      </c>
      <c r="K117">
        <f>1</f>
        <v>1</v>
      </c>
    </row>
    <row r="118" spans="1:11" hidden="1" x14ac:dyDescent="0.25">
      <c r="A118" s="1">
        <f>Sampling!D118</f>
        <v>0</v>
      </c>
      <c r="B118" t="str" cm="1">
        <f t="array" ref="B118">IF(ISBLANK(INDEX(SampleList[NMR],ROW()-1)),"Not Requested",INDEX(SampleList[Experiment ID],ROW()-1))</f>
        <v>Not Requested</v>
      </c>
      <c r="C118">
        <f>Sampling!E118</f>
        <v>0</v>
      </c>
      <c r="D118">
        <f>NMRPrep[[#This Row],['#]]</f>
        <v>0</v>
      </c>
      <c r="G1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8" t="e">
        <f>IF(ISBLANK(NMRPrep[[#This Row],[Total (uL) ]]), 0, NMRPrep[[#This Row],[1mM Maleic Acid (uL) ]]/NMRPrep[[#This Row],[Total (uL) ]])</f>
        <v>#DIV/0!</v>
      </c>
      <c r="I118">
        <f>2</f>
        <v>2</v>
      </c>
      <c r="J118">
        <f>4</f>
        <v>4</v>
      </c>
      <c r="K118">
        <f>1</f>
        <v>1</v>
      </c>
    </row>
    <row r="119" spans="1:11" hidden="1" x14ac:dyDescent="0.25">
      <c r="A119" s="1">
        <f>Sampling!D119</f>
        <v>0</v>
      </c>
      <c r="B119" t="str" cm="1">
        <f t="array" ref="B119">IF(ISBLANK(INDEX(SampleList[NMR],ROW()-1)),"Not Requested",INDEX(SampleList[Experiment ID],ROW()-1))</f>
        <v>Not Requested</v>
      </c>
      <c r="C119">
        <f>Sampling!E119</f>
        <v>0</v>
      </c>
      <c r="D119">
        <f>NMRPrep[[#This Row],['#]]</f>
        <v>0</v>
      </c>
      <c r="G1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19" t="e">
        <f>IF(ISBLANK(NMRPrep[[#This Row],[Total (uL) ]]), 0, NMRPrep[[#This Row],[1mM Maleic Acid (uL) ]]/NMRPrep[[#This Row],[Total (uL) ]])</f>
        <v>#DIV/0!</v>
      </c>
      <c r="I119">
        <f>2</f>
        <v>2</v>
      </c>
      <c r="J119">
        <f>4</f>
        <v>4</v>
      </c>
      <c r="K119">
        <f>1</f>
        <v>1</v>
      </c>
    </row>
    <row r="120" spans="1:11" hidden="1" x14ac:dyDescent="0.25">
      <c r="A120" s="1">
        <f>Sampling!D120</f>
        <v>0</v>
      </c>
      <c r="B120" t="str" cm="1">
        <f t="array" ref="B120">IF(ISBLANK(INDEX(SampleList[NMR],ROW()-1)),"Not Requested",INDEX(SampleList[Experiment ID],ROW()-1))</f>
        <v>Not Requested</v>
      </c>
      <c r="C120">
        <f>Sampling!E120</f>
        <v>0</v>
      </c>
      <c r="D120">
        <f>NMRPrep[[#This Row],['#]]</f>
        <v>0</v>
      </c>
      <c r="G1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0" t="e">
        <f>IF(ISBLANK(NMRPrep[[#This Row],[Total (uL) ]]), 0, NMRPrep[[#This Row],[1mM Maleic Acid (uL) ]]/NMRPrep[[#This Row],[Total (uL) ]])</f>
        <v>#DIV/0!</v>
      </c>
      <c r="I120">
        <f>2</f>
        <v>2</v>
      </c>
      <c r="J120">
        <f>4</f>
        <v>4</v>
      </c>
      <c r="K120">
        <f>1</f>
        <v>1</v>
      </c>
    </row>
    <row r="121" spans="1:11" hidden="1" x14ac:dyDescent="0.25">
      <c r="A121" s="1">
        <f>Sampling!D121</f>
        <v>0</v>
      </c>
      <c r="B121" t="str" cm="1">
        <f t="array" ref="B121">IF(ISBLANK(INDEX(SampleList[NMR],ROW()-1)),"Not Requested",INDEX(SampleList[Experiment ID],ROW()-1))</f>
        <v>Not Requested</v>
      </c>
      <c r="C121">
        <f>Sampling!E121</f>
        <v>0</v>
      </c>
      <c r="D121">
        <f>NMRPrep[[#This Row],['#]]</f>
        <v>0</v>
      </c>
      <c r="G1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1" t="e">
        <f>IF(ISBLANK(NMRPrep[[#This Row],[Total (uL) ]]), 0, NMRPrep[[#This Row],[1mM Maleic Acid (uL) ]]/NMRPrep[[#This Row],[Total (uL) ]])</f>
        <v>#DIV/0!</v>
      </c>
      <c r="I121">
        <f>2</f>
        <v>2</v>
      </c>
      <c r="J121">
        <f>4</f>
        <v>4</v>
      </c>
      <c r="K121">
        <f>1</f>
        <v>1</v>
      </c>
    </row>
    <row r="122" spans="1:11" hidden="1" x14ac:dyDescent="0.25">
      <c r="A122" s="1">
        <f>Sampling!D122</f>
        <v>0</v>
      </c>
      <c r="B122" t="str" cm="1">
        <f t="array" ref="B122">IF(ISBLANK(INDEX(SampleList[NMR],ROW()-1)),"Not Requested",INDEX(SampleList[Experiment ID],ROW()-1))</f>
        <v>Not Requested</v>
      </c>
      <c r="C122">
        <f>Sampling!E122</f>
        <v>0</v>
      </c>
      <c r="D122">
        <f>NMRPrep[[#This Row],['#]]</f>
        <v>0</v>
      </c>
      <c r="G1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2" t="e">
        <f>IF(ISBLANK(NMRPrep[[#This Row],[Total (uL) ]]), 0, NMRPrep[[#This Row],[1mM Maleic Acid (uL) ]]/NMRPrep[[#This Row],[Total (uL) ]])</f>
        <v>#DIV/0!</v>
      </c>
      <c r="I122">
        <f>2</f>
        <v>2</v>
      </c>
      <c r="J122">
        <f>4</f>
        <v>4</v>
      </c>
      <c r="K122">
        <f>1</f>
        <v>1</v>
      </c>
    </row>
    <row r="123" spans="1:11" hidden="1" x14ac:dyDescent="0.25">
      <c r="A123" s="1">
        <f>Sampling!D123</f>
        <v>0</v>
      </c>
      <c r="B123" t="str" cm="1">
        <f t="array" ref="B123">IF(ISBLANK(INDEX(SampleList[NMR],ROW()-1)),"Not Requested",INDEX(SampleList[Experiment ID],ROW()-1))</f>
        <v>Not Requested</v>
      </c>
      <c r="C123">
        <f>Sampling!E123</f>
        <v>0</v>
      </c>
      <c r="D123">
        <f>NMRPrep[[#This Row],['#]]</f>
        <v>0</v>
      </c>
      <c r="G1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3" t="e">
        <f>IF(ISBLANK(NMRPrep[[#This Row],[Total (uL) ]]), 0, NMRPrep[[#This Row],[1mM Maleic Acid (uL) ]]/NMRPrep[[#This Row],[Total (uL) ]])</f>
        <v>#DIV/0!</v>
      </c>
      <c r="I123">
        <f>2</f>
        <v>2</v>
      </c>
      <c r="J123">
        <f>4</f>
        <v>4</v>
      </c>
      <c r="K123">
        <f>1</f>
        <v>1</v>
      </c>
    </row>
    <row r="124" spans="1:11" hidden="1" x14ac:dyDescent="0.25">
      <c r="A124" s="1">
        <f>Sampling!D124</f>
        <v>0</v>
      </c>
      <c r="B124" t="str" cm="1">
        <f t="array" ref="B124">IF(ISBLANK(INDEX(SampleList[NMR],ROW()-1)),"Not Requested",INDEX(SampleList[Experiment ID],ROW()-1))</f>
        <v>Not Requested</v>
      </c>
      <c r="C124">
        <f>Sampling!E124</f>
        <v>0</v>
      </c>
      <c r="D124">
        <f>NMRPrep[[#This Row],['#]]</f>
        <v>0</v>
      </c>
      <c r="G1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4" t="e">
        <f>IF(ISBLANK(NMRPrep[[#This Row],[Total (uL) ]]), 0, NMRPrep[[#This Row],[1mM Maleic Acid (uL) ]]/NMRPrep[[#This Row],[Total (uL) ]])</f>
        <v>#DIV/0!</v>
      </c>
      <c r="I124">
        <f>2</f>
        <v>2</v>
      </c>
      <c r="J124">
        <f>4</f>
        <v>4</v>
      </c>
      <c r="K124">
        <f>1</f>
        <v>1</v>
      </c>
    </row>
    <row r="125" spans="1:11" hidden="1" x14ac:dyDescent="0.25">
      <c r="A125" s="1">
        <f>Sampling!D125</f>
        <v>0</v>
      </c>
      <c r="B125" t="str" cm="1">
        <f t="array" ref="B125">IF(ISBLANK(INDEX(SampleList[NMR],ROW()-1)),"Not Requested",INDEX(SampleList[Experiment ID],ROW()-1))</f>
        <v>Not Requested</v>
      </c>
      <c r="C125">
        <f>Sampling!E125</f>
        <v>0</v>
      </c>
      <c r="D125">
        <f>NMRPrep[[#This Row],['#]]</f>
        <v>0</v>
      </c>
      <c r="G1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5" t="e">
        <f>IF(ISBLANK(NMRPrep[[#This Row],[Total (uL) ]]), 0, NMRPrep[[#This Row],[1mM Maleic Acid (uL) ]]/NMRPrep[[#This Row],[Total (uL) ]])</f>
        <v>#DIV/0!</v>
      </c>
      <c r="I125">
        <f>2</f>
        <v>2</v>
      </c>
      <c r="J125">
        <f>4</f>
        <v>4</v>
      </c>
      <c r="K125">
        <f>1</f>
        <v>1</v>
      </c>
    </row>
    <row r="126" spans="1:11" hidden="1" x14ac:dyDescent="0.25">
      <c r="A126" s="1">
        <f>Sampling!D126</f>
        <v>0</v>
      </c>
      <c r="B126" t="str" cm="1">
        <f t="array" ref="B126">IF(ISBLANK(INDEX(SampleList[NMR],ROW()-1)),"Not Requested",INDEX(SampleList[Experiment ID],ROW()-1))</f>
        <v>Not Requested</v>
      </c>
      <c r="C126">
        <f>Sampling!E126</f>
        <v>0</v>
      </c>
      <c r="D126">
        <f>NMRPrep[[#This Row],['#]]</f>
        <v>0</v>
      </c>
      <c r="G1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6" t="e">
        <f>IF(ISBLANK(NMRPrep[[#This Row],[Total (uL) ]]), 0, NMRPrep[[#This Row],[1mM Maleic Acid (uL) ]]/NMRPrep[[#This Row],[Total (uL) ]])</f>
        <v>#DIV/0!</v>
      </c>
      <c r="I126">
        <f>2</f>
        <v>2</v>
      </c>
      <c r="J126">
        <f>4</f>
        <v>4</v>
      </c>
      <c r="K126">
        <f>1</f>
        <v>1</v>
      </c>
    </row>
    <row r="127" spans="1:11" hidden="1" x14ac:dyDescent="0.25">
      <c r="A127" s="1">
        <f>Sampling!D127</f>
        <v>0</v>
      </c>
      <c r="B127" t="str" cm="1">
        <f t="array" ref="B127">IF(ISBLANK(INDEX(SampleList[NMR],ROW()-1)),"Not Requested",INDEX(SampleList[Experiment ID],ROW()-1))</f>
        <v>Not Requested</v>
      </c>
      <c r="C127">
        <f>Sampling!E127</f>
        <v>0</v>
      </c>
      <c r="D127">
        <f>NMRPrep[[#This Row],['#]]</f>
        <v>0</v>
      </c>
      <c r="G1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7" t="e">
        <f>IF(ISBLANK(NMRPrep[[#This Row],[Total (uL) ]]), 0, NMRPrep[[#This Row],[1mM Maleic Acid (uL) ]]/NMRPrep[[#This Row],[Total (uL) ]])</f>
        <v>#DIV/0!</v>
      </c>
      <c r="I127">
        <f>2</f>
        <v>2</v>
      </c>
      <c r="J127">
        <f>4</f>
        <v>4</v>
      </c>
      <c r="K127">
        <f>1</f>
        <v>1</v>
      </c>
    </row>
    <row r="128" spans="1:11" hidden="1" x14ac:dyDescent="0.25">
      <c r="A128" s="1">
        <f>Sampling!D128</f>
        <v>0</v>
      </c>
      <c r="B128" t="str" cm="1">
        <f t="array" ref="B128">IF(ISBLANK(INDEX(SampleList[NMR],ROW()-1)),"Not Requested",INDEX(SampleList[Experiment ID],ROW()-1))</f>
        <v>Not Requested</v>
      </c>
      <c r="C128">
        <f>Sampling!E128</f>
        <v>0</v>
      </c>
      <c r="D128">
        <f>NMRPrep[[#This Row],['#]]</f>
        <v>0</v>
      </c>
      <c r="G1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8" t="e">
        <f>IF(ISBLANK(NMRPrep[[#This Row],[Total (uL) ]]), 0, NMRPrep[[#This Row],[1mM Maleic Acid (uL) ]]/NMRPrep[[#This Row],[Total (uL) ]])</f>
        <v>#DIV/0!</v>
      </c>
      <c r="I128">
        <f>2</f>
        <v>2</v>
      </c>
      <c r="J128">
        <f>4</f>
        <v>4</v>
      </c>
      <c r="K128">
        <f>1</f>
        <v>1</v>
      </c>
    </row>
    <row r="129" spans="1:11" hidden="1" x14ac:dyDescent="0.25">
      <c r="A129" s="1">
        <f>Sampling!D129</f>
        <v>0</v>
      </c>
      <c r="B129" t="str" cm="1">
        <f t="array" ref="B129">IF(ISBLANK(INDEX(SampleList[NMR],ROW()-1)),"Not Requested",INDEX(SampleList[Experiment ID],ROW()-1))</f>
        <v>Not Requested</v>
      </c>
      <c r="C129">
        <f>Sampling!E129</f>
        <v>0</v>
      </c>
      <c r="D129">
        <f>NMRPrep[[#This Row],['#]]</f>
        <v>0</v>
      </c>
      <c r="G1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29" t="e">
        <f>IF(ISBLANK(NMRPrep[[#This Row],[Total (uL) ]]), 0, NMRPrep[[#This Row],[1mM Maleic Acid (uL) ]]/NMRPrep[[#This Row],[Total (uL) ]])</f>
        <v>#DIV/0!</v>
      </c>
      <c r="I129">
        <f>2</f>
        <v>2</v>
      </c>
      <c r="J129">
        <f>4</f>
        <v>4</v>
      </c>
      <c r="K129">
        <f>1</f>
        <v>1</v>
      </c>
    </row>
    <row r="130" spans="1:11" hidden="1" x14ac:dyDescent="0.25">
      <c r="A130" s="1">
        <f>Sampling!D130</f>
        <v>0</v>
      </c>
      <c r="B130" t="str" cm="1">
        <f t="array" ref="B130">IF(ISBLANK(INDEX(SampleList[NMR],ROW()-1)),"Not Requested",INDEX(SampleList[Experiment ID],ROW()-1))</f>
        <v>Not Requested</v>
      </c>
      <c r="C130">
        <f>Sampling!E130</f>
        <v>0</v>
      </c>
      <c r="D130">
        <f>NMRPrep[[#This Row],['#]]</f>
        <v>0</v>
      </c>
      <c r="G1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0" t="e">
        <f>IF(ISBLANK(NMRPrep[[#This Row],[Total (uL) ]]), 0, NMRPrep[[#This Row],[1mM Maleic Acid (uL) ]]/NMRPrep[[#This Row],[Total (uL) ]])</f>
        <v>#DIV/0!</v>
      </c>
      <c r="I130">
        <f>2</f>
        <v>2</v>
      </c>
      <c r="J130">
        <f>4</f>
        <v>4</v>
      </c>
      <c r="K130">
        <f>1</f>
        <v>1</v>
      </c>
    </row>
    <row r="131" spans="1:11" hidden="1" x14ac:dyDescent="0.25">
      <c r="A131" s="1">
        <f>Sampling!D131</f>
        <v>0</v>
      </c>
      <c r="B131" t="str" cm="1">
        <f t="array" ref="B131">IF(ISBLANK(INDEX(SampleList[NMR],ROW()-1)),"Not Requested",INDEX(SampleList[Experiment ID],ROW()-1))</f>
        <v>Not Requested</v>
      </c>
      <c r="C131">
        <f>Sampling!E131</f>
        <v>0</v>
      </c>
      <c r="D131">
        <f>NMRPrep[[#This Row],['#]]</f>
        <v>0</v>
      </c>
      <c r="G1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1" t="e">
        <f>IF(ISBLANK(NMRPrep[[#This Row],[Total (uL) ]]), 0, NMRPrep[[#This Row],[1mM Maleic Acid (uL) ]]/NMRPrep[[#This Row],[Total (uL) ]])</f>
        <v>#DIV/0!</v>
      </c>
      <c r="I131">
        <f>2</f>
        <v>2</v>
      </c>
      <c r="J131">
        <f>4</f>
        <v>4</v>
      </c>
      <c r="K131">
        <f>1</f>
        <v>1</v>
      </c>
    </row>
    <row r="132" spans="1:11" hidden="1" x14ac:dyDescent="0.25">
      <c r="A132" s="1">
        <f>Sampling!D132</f>
        <v>0</v>
      </c>
      <c r="B132" t="str" cm="1">
        <f t="array" ref="B132">IF(ISBLANK(INDEX(SampleList[NMR],ROW()-1)),"Not Requested",INDEX(SampleList[Experiment ID],ROW()-1))</f>
        <v>Not Requested</v>
      </c>
      <c r="C132">
        <f>Sampling!E132</f>
        <v>0</v>
      </c>
      <c r="D132">
        <f>NMRPrep[[#This Row],['#]]</f>
        <v>0</v>
      </c>
      <c r="G1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2" t="e">
        <f>IF(ISBLANK(NMRPrep[[#This Row],[Total (uL) ]]), 0, NMRPrep[[#This Row],[1mM Maleic Acid (uL) ]]/NMRPrep[[#This Row],[Total (uL) ]])</f>
        <v>#DIV/0!</v>
      </c>
      <c r="I132">
        <f>2</f>
        <v>2</v>
      </c>
      <c r="J132">
        <f>4</f>
        <v>4</v>
      </c>
      <c r="K132">
        <f>1</f>
        <v>1</v>
      </c>
    </row>
    <row r="133" spans="1:11" hidden="1" x14ac:dyDescent="0.25">
      <c r="A133" s="1">
        <f>Sampling!D133</f>
        <v>0</v>
      </c>
      <c r="B133" t="str" cm="1">
        <f t="array" ref="B133">IF(ISBLANK(INDEX(SampleList[NMR],ROW()-1)),"Not Requested",INDEX(SampleList[Experiment ID],ROW()-1))</f>
        <v>Not Requested</v>
      </c>
      <c r="C133">
        <f>Sampling!E133</f>
        <v>0</v>
      </c>
      <c r="D133">
        <f>NMRPrep[[#This Row],['#]]</f>
        <v>0</v>
      </c>
      <c r="G1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3" t="e">
        <f>IF(ISBLANK(NMRPrep[[#This Row],[Total (uL) ]]), 0, NMRPrep[[#This Row],[1mM Maleic Acid (uL) ]]/NMRPrep[[#This Row],[Total (uL) ]])</f>
        <v>#DIV/0!</v>
      </c>
      <c r="I133">
        <f>2</f>
        <v>2</v>
      </c>
      <c r="J133">
        <f>4</f>
        <v>4</v>
      </c>
      <c r="K133">
        <f>1</f>
        <v>1</v>
      </c>
    </row>
    <row r="134" spans="1:11" hidden="1" x14ac:dyDescent="0.25">
      <c r="A134" s="1">
        <f>Sampling!D134</f>
        <v>0</v>
      </c>
      <c r="B134" t="str" cm="1">
        <f t="array" ref="B134">IF(ISBLANK(INDEX(SampleList[NMR],ROW()-1)),"Not Requested",INDEX(SampleList[Experiment ID],ROW()-1))</f>
        <v>Not Requested</v>
      </c>
      <c r="C134">
        <f>Sampling!E134</f>
        <v>0</v>
      </c>
      <c r="D134">
        <f>NMRPrep[[#This Row],['#]]</f>
        <v>0</v>
      </c>
      <c r="G1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4" t="e">
        <f>IF(ISBLANK(NMRPrep[[#This Row],[Total (uL) ]]), 0, NMRPrep[[#This Row],[1mM Maleic Acid (uL) ]]/NMRPrep[[#This Row],[Total (uL) ]])</f>
        <v>#DIV/0!</v>
      </c>
      <c r="I134">
        <f>2</f>
        <v>2</v>
      </c>
      <c r="J134">
        <f>4</f>
        <v>4</v>
      </c>
      <c r="K134">
        <f>1</f>
        <v>1</v>
      </c>
    </row>
    <row r="135" spans="1:11" hidden="1" x14ac:dyDescent="0.25">
      <c r="A135" s="1">
        <f>Sampling!D135</f>
        <v>0</v>
      </c>
      <c r="B135" t="str" cm="1">
        <f t="array" ref="B135">IF(ISBLANK(INDEX(SampleList[NMR],ROW()-1)),"Not Requested",INDEX(SampleList[Experiment ID],ROW()-1))</f>
        <v>Not Requested</v>
      </c>
      <c r="C135">
        <f>Sampling!E135</f>
        <v>0</v>
      </c>
      <c r="D135">
        <f>NMRPrep[[#This Row],['#]]</f>
        <v>0</v>
      </c>
      <c r="G1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5" t="e">
        <f>IF(ISBLANK(NMRPrep[[#This Row],[Total (uL) ]]), 0, NMRPrep[[#This Row],[1mM Maleic Acid (uL) ]]/NMRPrep[[#This Row],[Total (uL) ]])</f>
        <v>#DIV/0!</v>
      </c>
      <c r="I135">
        <f>2</f>
        <v>2</v>
      </c>
      <c r="J135">
        <f>4</f>
        <v>4</v>
      </c>
      <c r="K135">
        <f>1</f>
        <v>1</v>
      </c>
    </row>
    <row r="136" spans="1:11" hidden="1" x14ac:dyDescent="0.25">
      <c r="A136" s="1">
        <f>Sampling!D136</f>
        <v>0</v>
      </c>
      <c r="B136" t="str" cm="1">
        <f t="array" ref="B136">IF(ISBLANK(INDEX(SampleList[NMR],ROW()-1)),"Not Requested",INDEX(SampleList[Experiment ID],ROW()-1))</f>
        <v>Not Requested</v>
      </c>
      <c r="C136">
        <f>Sampling!E136</f>
        <v>0</v>
      </c>
      <c r="D136">
        <f>NMRPrep[[#This Row],['#]]</f>
        <v>0</v>
      </c>
      <c r="G1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6" t="e">
        <f>IF(ISBLANK(NMRPrep[[#This Row],[Total (uL) ]]), 0, NMRPrep[[#This Row],[1mM Maleic Acid (uL) ]]/NMRPrep[[#This Row],[Total (uL) ]])</f>
        <v>#DIV/0!</v>
      </c>
      <c r="I136">
        <f>2</f>
        <v>2</v>
      </c>
      <c r="J136">
        <f>4</f>
        <v>4</v>
      </c>
      <c r="K136">
        <f>1</f>
        <v>1</v>
      </c>
    </row>
    <row r="137" spans="1:11" hidden="1" x14ac:dyDescent="0.25">
      <c r="A137" s="1">
        <f>Sampling!D137</f>
        <v>0</v>
      </c>
      <c r="B137" t="str" cm="1">
        <f t="array" ref="B137">IF(ISBLANK(INDEX(SampleList[NMR],ROW()-1)),"Not Requested",INDEX(SampleList[Experiment ID],ROW()-1))</f>
        <v>Not Requested</v>
      </c>
      <c r="C137">
        <f>Sampling!E137</f>
        <v>0</v>
      </c>
      <c r="D137">
        <f>NMRPrep[[#This Row],['#]]</f>
        <v>0</v>
      </c>
      <c r="G1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7" t="e">
        <f>IF(ISBLANK(NMRPrep[[#This Row],[Total (uL) ]]), 0, NMRPrep[[#This Row],[1mM Maleic Acid (uL) ]]/NMRPrep[[#This Row],[Total (uL) ]])</f>
        <v>#DIV/0!</v>
      </c>
      <c r="I137">
        <f>2</f>
        <v>2</v>
      </c>
      <c r="J137">
        <f>4</f>
        <v>4</v>
      </c>
      <c r="K137">
        <f>1</f>
        <v>1</v>
      </c>
    </row>
    <row r="138" spans="1:11" hidden="1" x14ac:dyDescent="0.25">
      <c r="A138" s="1">
        <f>Sampling!D138</f>
        <v>0</v>
      </c>
      <c r="B138" t="str" cm="1">
        <f t="array" ref="B138">IF(ISBLANK(INDEX(SampleList[NMR],ROW()-1)),"Not Requested",INDEX(SampleList[Experiment ID],ROW()-1))</f>
        <v>Not Requested</v>
      </c>
      <c r="C138">
        <f>Sampling!E138</f>
        <v>0</v>
      </c>
      <c r="D138">
        <f>NMRPrep[[#This Row],['#]]</f>
        <v>0</v>
      </c>
      <c r="G1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8" t="e">
        <f>IF(ISBLANK(NMRPrep[[#This Row],[Total (uL) ]]), 0, NMRPrep[[#This Row],[1mM Maleic Acid (uL) ]]/NMRPrep[[#This Row],[Total (uL) ]])</f>
        <v>#DIV/0!</v>
      </c>
      <c r="I138">
        <f>2</f>
        <v>2</v>
      </c>
      <c r="J138">
        <f>4</f>
        <v>4</v>
      </c>
      <c r="K138">
        <f>1</f>
        <v>1</v>
      </c>
    </row>
    <row r="139" spans="1:11" hidden="1" x14ac:dyDescent="0.25">
      <c r="A139" s="1">
        <f>Sampling!D139</f>
        <v>0</v>
      </c>
      <c r="B139" t="str" cm="1">
        <f t="array" ref="B139">IF(ISBLANK(INDEX(SampleList[NMR],ROW()-1)),"Not Requested",INDEX(SampleList[Experiment ID],ROW()-1))</f>
        <v>Not Requested</v>
      </c>
      <c r="C139">
        <f>Sampling!E139</f>
        <v>0</v>
      </c>
      <c r="D139">
        <f>NMRPrep[[#This Row],['#]]</f>
        <v>0</v>
      </c>
      <c r="G1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39" t="e">
        <f>IF(ISBLANK(NMRPrep[[#This Row],[Total (uL) ]]), 0, NMRPrep[[#This Row],[1mM Maleic Acid (uL) ]]/NMRPrep[[#This Row],[Total (uL) ]])</f>
        <v>#DIV/0!</v>
      </c>
      <c r="I139">
        <f>2</f>
        <v>2</v>
      </c>
      <c r="J139">
        <f>4</f>
        <v>4</v>
      </c>
      <c r="K139">
        <f>1</f>
        <v>1</v>
      </c>
    </row>
    <row r="140" spans="1:11" hidden="1" x14ac:dyDescent="0.25">
      <c r="A140" s="1">
        <f>Sampling!D140</f>
        <v>0</v>
      </c>
      <c r="B140" t="str" cm="1">
        <f t="array" ref="B140">IF(ISBLANK(INDEX(SampleList[NMR],ROW()-1)),"Not Requested",INDEX(SampleList[Experiment ID],ROW()-1))</f>
        <v>Not Requested</v>
      </c>
      <c r="C140">
        <f>Sampling!E140</f>
        <v>0</v>
      </c>
      <c r="D140">
        <f>NMRPrep[[#This Row],['#]]</f>
        <v>0</v>
      </c>
      <c r="G1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0" t="e">
        <f>IF(ISBLANK(NMRPrep[[#This Row],[Total (uL) ]]), 0, NMRPrep[[#This Row],[1mM Maleic Acid (uL) ]]/NMRPrep[[#This Row],[Total (uL) ]])</f>
        <v>#DIV/0!</v>
      </c>
      <c r="I140">
        <f>2</f>
        <v>2</v>
      </c>
      <c r="J140">
        <f>4</f>
        <v>4</v>
      </c>
      <c r="K140">
        <f>1</f>
        <v>1</v>
      </c>
    </row>
    <row r="141" spans="1:11" hidden="1" x14ac:dyDescent="0.25">
      <c r="A141" s="1">
        <f>Sampling!D141</f>
        <v>0</v>
      </c>
      <c r="B141" t="str" cm="1">
        <f t="array" ref="B141">IF(ISBLANK(INDEX(SampleList[NMR],ROW()-1)),"Not Requested",INDEX(SampleList[Experiment ID],ROW()-1))</f>
        <v>Not Requested</v>
      </c>
      <c r="C141">
        <f>Sampling!E141</f>
        <v>0</v>
      </c>
      <c r="D141">
        <f>NMRPrep[[#This Row],['#]]</f>
        <v>0</v>
      </c>
      <c r="G1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1" t="e">
        <f>IF(ISBLANK(NMRPrep[[#This Row],[Total (uL) ]]), 0, NMRPrep[[#This Row],[1mM Maleic Acid (uL) ]]/NMRPrep[[#This Row],[Total (uL) ]])</f>
        <v>#DIV/0!</v>
      </c>
      <c r="I141">
        <f>2</f>
        <v>2</v>
      </c>
      <c r="J141">
        <f>4</f>
        <v>4</v>
      </c>
      <c r="K141">
        <f>1</f>
        <v>1</v>
      </c>
    </row>
    <row r="142" spans="1:11" hidden="1" x14ac:dyDescent="0.25">
      <c r="A142" s="1">
        <f>Sampling!D142</f>
        <v>0</v>
      </c>
      <c r="B142" t="str" cm="1">
        <f t="array" ref="B142">IF(ISBLANK(INDEX(SampleList[NMR],ROW()-1)),"Not Requested",INDEX(SampleList[Experiment ID],ROW()-1))</f>
        <v>Not Requested</v>
      </c>
      <c r="C142">
        <f>Sampling!E142</f>
        <v>0</v>
      </c>
      <c r="D142">
        <f>NMRPrep[[#This Row],['#]]</f>
        <v>0</v>
      </c>
      <c r="G1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2" t="e">
        <f>IF(ISBLANK(NMRPrep[[#This Row],[Total (uL) ]]), 0, NMRPrep[[#This Row],[1mM Maleic Acid (uL) ]]/NMRPrep[[#This Row],[Total (uL) ]])</f>
        <v>#DIV/0!</v>
      </c>
      <c r="I142">
        <f>2</f>
        <v>2</v>
      </c>
      <c r="J142">
        <f>4</f>
        <v>4</v>
      </c>
      <c r="K142">
        <f>1</f>
        <v>1</v>
      </c>
    </row>
    <row r="143" spans="1:11" hidden="1" x14ac:dyDescent="0.25">
      <c r="A143" s="1">
        <f>Sampling!D143</f>
        <v>0</v>
      </c>
      <c r="B143" t="str" cm="1">
        <f t="array" ref="B143">IF(ISBLANK(INDEX(SampleList[NMR],ROW()-1)),"Not Requested",INDEX(SampleList[Experiment ID],ROW()-1))</f>
        <v>Not Requested</v>
      </c>
      <c r="C143">
        <f>Sampling!E143</f>
        <v>0</v>
      </c>
      <c r="D143">
        <f>NMRPrep[[#This Row],['#]]</f>
        <v>0</v>
      </c>
      <c r="G1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3" t="e">
        <f>IF(ISBLANK(NMRPrep[[#This Row],[Total (uL) ]]), 0, NMRPrep[[#This Row],[1mM Maleic Acid (uL) ]]/NMRPrep[[#This Row],[Total (uL) ]])</f>
        <v>#DIV/0!</v>
      </c>
      <c r="I143">
        <f>2</f>
        <v>2</v>
      </c>
      <c r="J143">
        <f>4</f>
        <v>4</v>
      </c>
      <c r="K143">
        <f>1</f>
        <v>1</v>
      </c>
    </row>
    <row r="144" spans="1:11" hidden="1" x14ac:dyDescent="0.25">
      <c r="A144" s="1">
        <f>Sampling!D144</f>
        <v>0</v>
      </c>
      <c r="B144" t="str" cm="1">
        <f t="array" ref="B144">IF(ISBLANK(INDEX(SampleList[NMR],ROW()-1)),"Not Requested",INDEX(SampleList[Experiment ID],ROW()-1))</f>
        <v>Not Requested</v>
      </c>
      <c r="C144">
        <f>Sampling!E144</f>
        <v>0</v>
      </c>
      <c r="D144">
        <f>NMRPrep[[#This Row],['#]]</f>
        <v>0</v>
      </c>
      <c r="G1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4" t="e">
        <f>IF(ISBLANK(NMRPrep[[#This Row],[Total (uL) ]]), 0, NMRPrep[[#This Row],[1mM Maleic Acid (uL) ]]/NMRPrep[[#This Row],[Total (uL) ]])</f>
        <v>#DIV/0!</v>
      </c>
      <c r="I144">
        <f>2</f>
        <v>2</v>
      </c>
      <c r="J144">
        <f>4</f>
        <v>4</v>
      </c>
      <c r="K144">
        <f>1</f>
        <v>1</v>
      </c>
    </row>
    <row r="145" spans="1:11" hidden="1" x14ac:dyDescent="0.25">
      <c r="A145" s="1">
        <f>Sampling!D145</f>
        <v>0</v>
      </c>
      <c r="B145" t="str" cm="1">
        <f t="array" ref="B145">IF(ISBLANK(INDEX(SampleList[NMR],ROW()-1)),"Not Requested",INDEX(SampleList[Experiment ID],ROW()-1))</f>
        <v>Not Requested</v>
      </c>
      <c r="C145">
        <f>Sampling!E145</f>
        <v>0</v>
      </c>
      <c r="D145">
        <f>NMRPrep[[#This Row],['#]]</f>
        <v>0</v>
      </c>
      <c r="G1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5" t="e">
        <f>IF(ISBLANK(NMRPrep[[#This Row],[Total (uL) ]]), 0, NMRPrep[[#This Row],[1mM Maleic Acid (uL) ]]/NMRPrep[[#This Row],[Total (uL) ]])</f>
        <v>#DIV/0!</v>
      </c>
      <c r="I145">
        <f>2</f>
        <v>2</v>
      </c>
      <c r="J145">
        <f>4</f>
        <v>4</v>
      </c>
      <c r="K145">
        <f>1</f>
        <v>1</v>
      </c>
    </row>
    <row r="146" spans="1:11" hidden="1" x14ac:dyDescent="0.25">
      <c r="A146" s="1">
        <f>Sampling!D146</f>
        <v>0</v>
      </c>
      <c r="B146" t="str" cm="1">
        <f t="array" ref="B146">IF(ISBLANK(INDEX(SampleList[NMR],ROW()-1)),"Not Requested",INDEX(SampleList[Experiment ID],ROW()-1))</f>
        <v>Not Requested</v>
      </c>
      <c r="C146">
        <f>Sampling!E146</f>
        <v>0</v>
      </c>
      <c r="D146">
        <f>NMRPrep[[#This Row],['#]]</f>
        <v>0</v>
      </c>
      <c r="G1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6" t="e">
        <f>IF(ISBLANK(NMRPrep[[#This Row],[Total (uL) ]]), 0, NMRPrep[[#This Row],[1mM Maleic Acid (uL) ]]/NMRPrep[[#This Row],[Total (uL) ]])</f>
        <v>#DIV/0!</v>
      </c>
      <c r="I146">
        <f>2</f>
        <v>2</v>
      </c>
      <c r="J146">
        <f>4</f>
        <v>4</v>
      </c>
      <c r="K146">
        <f>1</f>
        <v>1</v>
      </c>
    </row>
    <row r="147" spans="1:11" hidden="1" x14ac:dyDescent="0.25">
      <c r="A147" s="1">
        <f>Sampling!D147</f>
        <v>0</v>
      </c>
      <c r="B147" t="str" cm="1">
        <f t="array" ref="B147">IF(ISBLANK(INDEX(SampleList[NMR],ROW()-1)),"Not Requested",INDEX(SampleList[Experiment ID],ROW()-1))</f>
        <v>Not Requested</v>
      </c>
      <c r="C147">
        <f>Sampling!E147</f>
        <v>0</v>
      </c>
      <c r="D147">
        <f>NMRPrep[[#This Row],['#]]</f>
        <v>0</v>
      </c>
      <c r="G1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7" t="e">
        <f>IF(ISBLANK(NMRPrep[[#This Row],[Total (uL) ]]), 0, NMRPrep[[#This Row],[1mM Maleic Acid (uL) ]]/NMRPrep[[#This Row],[Total (uL) ]])</f>
        <v>#DIV/0!</v>
      </c>
      <c r="I147">
        <f>2</f>
        <v>2</v>
      </c>
      <c r="J147">
        <f>4</f>
        <v>4</v>
      </c>
      <c r="K147">
        <f>1</f>
        <v>1</v>
      </c>
    </row>
    <row r="148" spans="1:11" hidden="1" x14ac:dyDescent="0.25">
      <c r="A148" s="1">
        <f>Sampling!D148</f>
        <v>0</v>
      </c>
      <c r="B148" t="str" cm="1">
        <f t="array" ref="B148">IF(ISBLANK(INDEX(SampleList[NMR],ROW()-1)),"Not Requested",INDEX(SampleList[Experiment ID],ROW()-1))</f>
        <v>Not Requested</v>
      </c>
      <c r="C148">
        <f>Sampling!E148</f>
        <v>0</v>
      </c>
      <c r="D148">
        <f>NMRPrep[[#This Row],['#]]</f>
        <v>0</v>
      </c>
      <c r="G1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8" t="e">
        <f>IF(ISBLANK(NMRPrep[[#This Row],[Total (uL) ]]), 0, NMRPrep[[#This Row],[1mM Maleic Acid (uL) ]]/NMRPrep[[#This Row],[Total (uL) ]])</f>
        <v>#DIV/0!</v>
      </c>
      <c r="I148">
        <f>2</f>
        <v>2</v>
      </c>
      <c r="J148">
        <f>4</f>
        <v>4</v>
      </c>
      <c r="K148">
        <f>1</f>
        <v>1</v>
      </c>
    </row>
    <row r="149" spans="1:11" hidden="1" x14ac:dyDescent="0.25">
      <c r="A149" s="1">
        <f>Sampling!D149</f>
        <v>0</v>
      </c>
      <c r="B149" t="str" cm="1">
        <f t="array" ref="B149">IF(ISBLANK(INDEX(SampleList[NMR],ROW()-1)),"Not Requested",INDEX(SampleList[Experiment ID],ROW()-1))</f>
        <v>Not Requested</v>
      </c>
      <c r="C149">
        <f>Sampling!E149</f>
        <v>0</v>
      </c>
      <c r="D149">
        <f>NMRPrep[[#This Row],['#]]</f>
        <v>0</v>
      </c>
      <c r="G1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49" t="e">
        <f>IF(ISBLANK(NMRPrep[[#This Row],[Total (uL) ]]), 0, NMRPrep[[#This Row],[1mM Maleic Acid (uL) ]]/NMRPrep[[#This Row],[Total (uL) ]])</f>
        <v>#DIV/0!</v>
      </c>
      <c r="I149">
        <f>2</f>
        <v>2</v>
      </c>
      <c r="J149">
        <f>4</f>
        <v>4</v>
      </c>
      <c r="K149">
        <f>1</f>
        <v>1</v>
      </c>
    </row>
    <row r="150" spans="1:11" hidden="1" x14ac:dyDescent="0.25">
      <c r="A150" s="1">
        <f>Sampling!D150</f>
        <v>0</v>
      </c>
      <c r="B150" t="str" cm="1">
        <f t="array" ref="B150">IF(ISBLANK(INDEX(SampleList[NMR],ROW()-1)),"Not Requested",INDEX(SampleList[Experiment ID],ROW()-1))</f>
        <v>Not Requested</v>
      </c>
      <c r="C150">
        <f>Sampling!E150</f>
        <v>0</v>
      </c>
      <c r="D150">
        <f>NMRPrep[[#This Row],['#]]</f>
        <v>0</v>
      </c>
      <c r="G1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0" t="e">
        <f>IF(ISBLANK(NMRPrep[[#This Row],[Total (uL) ]]), 0, NMRPrep[[#This Row],[1mM Maleic Acid (uL) ]]/NMRPrep[[#This Row],[Total (uL) ]])</f>
        <v>#DIV/0!</v>
      </c>
      <c r="I150">
        <f>2</f>
        <v>2</v>
      </c>
      <c r="J150">
        <f>4</f>
        <v>4</v>
      </c>
      <c r="K150">
        <f>1</f>
        <v>1</v>
      </c>
    </row>
    <row r="151" spans="1:11" hidden="1" x14ac:dyDescent="0.25">
      <c r="A151" s="1">
        <f>Sampling!D151</f>
        <v>0</v>
      </c>
      <c r="B151" t="str" cm="1">
        <f t="array" ref="B151">IF(ISBLANK(INDEX(SampleList[NMR],ROW()-1)),"Not Requested",INDEX(SampleList[Experiment ID],ROW()-1))</f>
        <v>Not Requested</v>
      </c>
      <c r="C151">
        <f>Sampling!E151</f>
        <v>0</v>
      </c>
      <c r="D151">
        <f>NMRPrep[[#This Row],['#]]</f>
        <v>0</v>
      </c>
      <c r="G1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1" t="e">
        <f>IF(ISBLANK(NMRPrep[[#This Row],[Total (uL) ]]), 0, NMRPrep[[#This Row],[1mM Maleic Acid (uL) ]]/NMRPrep[[#This Row],[Total (uL) ]])</f>
        <v>#DIV/0!</v>
      </c>
      <c r="I151">
        <f>2</f>
        <v>2</v>
      </c>
      <c r="J151">
        <f>4</f>
        <v>4</v>
      </c>
      <c r="K151">
        <f>1</f>
        <v>1</v>
      </c>
    </row>
    <row r="152" spans="1:11" hidden="1" x14ac:dyDescent="0.25">
      <c r="A152" s="1">
        <f>Sampling!D152</f>
        <v>0</v>
      </c>
      <c r="B152" t="str" cm="1">
        <f t="array" ref="B152">IF(ISBLANK(INDEX(SampleList[NMR],ROW()-1)),"Not Requested",INDEX(SampleList[Experiment ID],ROW()-1))</f>
        <v>Not Requested</v>
      </c>
      <c r="C152">
        <f>Sampling!E152</f>
        <v>0</v>
      </c>
      <c r="D152">
        <f>NMRPrep[[#This Row],['#]]</f>
        <v>0</v>
      </c>
      <c r="G1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2" t="e">
        <f>IF(ISBLANK(NMRPrep[[#This Row],[Total (uL) ]]), 0, NMRPrep[[#This Row],[1mM Maleic Acid (uL) ]]/NMRPrep[[#This Row],[Total (uL) ]])</f>
        <v>#DIV/0!</v>
      </c>
      <c r="I152">
        <f>2</f>
        <v>2</v>
      </c>
      <c r="J152">
        <f>4</f>
        <v>4</v>
      </c>
      <c r="K152">
        <f>1</f>
        <v>1</v>
      </c>
    </row>
    <row r="153" spans="1:11" hidden="1" x14ac:dyDescent="0.25">
      <c r="A153" s="1">
        <f>Sampling!D153</f>
        <v>0</v>
      </c>
      <c r="B153" t="str" cm="1">
        <f t="array" ref="B153">IF(ISBLANK(INDEX(SampleList[NMR],ROW()-1)),"Not Requested",INDEX(SampleList[Experiment ID],ROW()-1))</f>
        <v>Not Requested</v>
      </c>
      <c r="C153">
        <f>Sampling!E153</f>
        <v>0</v>
      </c>
      <c r="D153">
        <f>NMRPrep[[#This Row],['#]]</f>
        <v>0</v>
      </c>
      <c r="G1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3" t="e">
        <f>IF(ISBLANK(NMRPrep[[#This Row],[Total (uL) ]]), 0, NMRPrep[[#This Row],[1mM Maleic Acid (uL) ]]/NMRPrep[[#This Row],[Total (uL) ]])</f>
        <v>#DIV/0!</v>
      </c>
      <c r="I153">
        <f>2</f>
        <v>2</v>
      </c>
      <c r="J153">
        <f>4</f>
        <v>4</v>
      </c>
      <c r="K153">
        <f>1</f>
        <v>1</v>
      </c>
    </row>
    <row r="154" spans="1:11" hidden="1" x14ac:dyDescent="0.25">
      <c r="A154" s="1">
        <f>Sampling!D154</f>
        <v>0</v>
      </c>
      <c r="B154" t="str" cm="1">
        <f t="array" ref="B154">IF(ISBLANK(INDEX(SampleList[NMR],ROW()-1)),"Not Requested",INDEX(SampleList[Experiment ID],ROW()-1))</f>
        <v>Not Requested</v>
      </c>
      <c r="C154">
        <f>Sampling!E154</f>
        <v>0</v>
      </c>
      <c r="D154">
        <f>NMRPrep[[#This Row],['#]]</f>
        <v>0</v>
      </c>
      <c r="G1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4" t="e">
        <f>IF(ISBLANK(NMRPrep[[#This Row],[Total (uL) ]]), 0, NMRPrep[[#This Row],[1mM Maleic Acid (uL) ]]/NMRPrep[[#This Row],[Total (uL) ]])</f>
        <v>#DIV/0!</v>
      </c>
      <c r="I154">
        <f>2</f>
        <v>2</v>
      </c>
      <c r="J154">
        <f>4</f>
        <v>4</v>
      </c>
      <c r="K154">
        <f>1</f>
        <v>1</v>
      </c>
    </row>
    <row r="155" spans="1:11" hidden="1" x14ac:dyDescent="0.25">
      <c r="A155" s="1">
        <f>Sampling!D155</f>
        <v>0</v>
      </c>
      <c r="B155" t="str" cm="1">
        <f t="array" ref="B155">IF(ISBLANK(INDEX(SampleList[NMR],ROW()-1)),"Not Requested",INDEX(SampleList[Experiment ID],ROW()-1))</f>
        <v>Not Requested</v>
      </c>
      <c r="C155">
        <f>Sampling!E155</f>
        <v>0</v>
      </c>
      <c r="D155">
        <f>NMRPrep[[#This Row],['#]]</f>
        <v>0</v>
      </c>
      <c r="G1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5" t="e">
        <f>IF(ISBLANK(NMRPrep[[#This Row],[Total (uL) ]]), 0, NMRPrep[[#This Row],[1mM Maleic Acid (uL) ]]/NMRPrep[[#This Row],[Total (uL) ]])</f>
        <v>#DIV/0!</v>
      </c>
      <c r="I155">
        <f>2</f>
        <v>2</v>
      </c>
      <c r="J155">
        <f>4</f>
        <v>4</v>
      </c>
      <c r="K155">
        <f>1</f>
        <v>1</v>
      </c>
    </row>
    <row r="156" spans="1:11" hidden="1" x14ac:dyDescent="0.25">
      <c r="A156" s="1">
        <f>Sampling!D156</f>
        <v>0</v>
      </c>
      <c r="B156" t="str" cm="1">
        <f t="array" ref="B156">IF(ISBLANK(INDEX(SampleList[NMR],ROW()-1)),"Not Requested",INDEX(SampleList[Experiment ID],ROW()-1))</f>
        <v>Not Requested</v>
      </c>
      <c r="C156">
        <f>Sampling!E156</f>
        <v>0</v>
      </c>
      <c r="D156">
        <f>NMRPrep[[#This Row],['#]]</f>
        <v>0</v>
      </c>
      <c r="G1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6" t="e">
        <f>IF(ISBLANK(NMRPrep[[#This Row],[Total (uL) ]]), 0, NMRPrep[[#This Row],[1mM Maleic Acid (uL) ]]/NMRPrep[[#This Row],[Total (uL) ]])</f>
        <v>#DIV/0!</v>
      </c>
      <c r="I156">
        <f>2</f>
        <v>2</v>
      </c>
      <c r="J156">
        <f>4</f>
        <v>4</v>
      </c>
      <c r="K156">
        <f>1</f>
        <v>1</v>
      </c>
    </row>
    <row r="157" spans="1:11" hidden="1" x14ac:dyDescent="0.25">
      <c r="A157" s="1">
        <f>Sampling!D157</f>
        <v>0</v>
      </c>
      <c r="B157" t="str" cm="1">
        <f t="array" ref="B157">IF(ISBLANK(INDEX(SampleList[NMR],ROW()-1)),"Not Requested",INDEX(SampleList[Experiment ID],ROW()-1))</f>
        <v>Not Requested</v>
      </c>
      <c r="C157">
        <f>Sampling!E157</f>
        <v>0</v>
      </c>
      <c r="D157">
        <f>NMRPrep[[#This Row],['#]]</f>
        <v>0</v>
      </c>
      <c r="G1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7" t="e">
        <f>IF(ISBLANK(NMRPrep[[#This Row],[Total (uL) ]]), 0, NMRPrep[[#This Row],[1mM Maleic Acid (uL) ]]/NMRPrep[[#This Row],[Total (uL) ]])</f>
        <v>#DIV/0!</v>
      </c>
      <c r="I157">
        <f>2</f>
        <v>2</v>
      </c>
      <c r="J157">
        <f>4</f>
        <v>4</v>
      </c>
      <c r="K157">
        <f>1</f>
        <v>1</v>
      </c>
    </row>
    <row r="158" spans="1:11" hidden="1" x14ac:dyDescent="0.25">
      <c r="A158" s="1">
        <f>Sampling!D158</f>
        <v>0</v>
      </c>
      <c r="B158" t="str" cm="1">
        <f t="array" ref="B158">IF(ISBLANK(INDEX(SampleList[NMR],ROW()-1)),"Not Requested",INDEX(SampleList[Experiment ID],ROW()-1))</f>
        <v>Not Requested</v>
      </c>
      <c r="C158">
        <f>Sampling!E158</f>
        <v>0</v>
      </c>
      <c r="D158">
        <f>NMRPrep[[#This Row],['#]]</f>
        <v>0</v>
      </c>
      <c r="G1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8" t="e">
        <f>IF(ISBLANK(NMRPrep[[#This Row],[Total (uL) ]]), 0, NMRPrep[[#This Row],[1mM Maleic Acid (uL) ]]/NMRPrep[[#This Row],[Total (uL) ]])</f>
        <v>#DIV/0!</v>
      </c>
      <c r="I158">
        <f>2</f>
        <v>2</v>
      </c>
      <c r="J158">
        <f>4</f>
        <v>4</v>
      </c>
      <c r="K158">
        <f>1</f>
        <v>1</v>
      </c>
    </row>
    <row r="159" spans="1:11" hidden="1" x14ac:dyDescent="0.25">
      <c r="A159" s="1">
        <f>Sampling!D159</f>
        <v>0</v>
      </c>
      <c r="B159" t="str" cm="1">
        <f t="array" ref="B159">IF(ISBLANK(INDEX(SampleList[NMR],ROW()-1)),"Not Requested",INDEX(SampleList[Experiment ID],ROW()-1))</f>
        <v>Not Requested</v>
      </c>
      <c r="C159">
        <f>Sampling!E159</f>
        <v>0</v>
      </c>
      <c r="D159">
        <f>NMRPrep[[#This Row],['#]]</f>
        <v>0</v>
      </c>
      <c r="G1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59" t="e">
        <f>IF(ISBLANK(NMRPrep[[#This Row],[Total (uL) ]]), 0, NMRPrep[[#This Row],[1mM Maleic Acid (uL) ]]/NMRPrep[[#This Row],[Total (uL) ]])</f>
        <v>#DIV/0!</v>
      </c>
      <c r="I159">
        <f>2</f>
        <v>2</v>
      </c>
      <c r="J159">
        <f>4</f>
        <v>4</v>
      </c>
      <c r="K159">
        <f>1</f>
        <v>1</v>
      </c>
    </row>
    <row r="160" spans="1:11" hidden="1" x14ac:dyDescent="0.25">
      <c r="A160" s="1">
        <f>Sampling!D160</f>
        <v>0</v>
      </c>
      <c r="B160" t="str" cm="1">
        <f t="array" ref="B160">IF(ISBLANK(INDEX(SampleList[NMR],ROW()-1)),"Not Requested",INDEX(SampleList[Experiment ID],ROW()-1))</f>
        <v>Not Requested</v>
      </c>
      <c r="C160">
        <f>Sampling!E160</f>
        <v>0</v>
      </c>
      <c r="D160">
        <f>NMRPrep[[#This Row],['#]]</f>
        <v>0</v>
      </c>
      <c r="G1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0" t="e">
        <f>IF(ISBLANK(NMRPrep[[#This Row],[Total (uL) ]]), 0, NMRPrep[[#This Row],[1mM Maleic Acid (uL) ]]/NMRPrep[[#This Row],[Total (uL) ]])</f>
        <v>#DIV/0!</v>
      </c>
      <c r="I160">
        <f>2</f>
        <v>2</v>
      </c>
      <c r="J160">
        <f>4</f>
        <v>4</v>
      </c>
      <c r="K160">
        <f>1</f>
        <v>1</v>
      </c>
    </row>
    <row r="161" spans="1:11" hidden="1" x14ac:dyDescent="0.25">
      <c r="A161" s="1">
        <f>Sampling!D161</f>
        <v>0</v>
      </c>
      <c r="B161" t="str" cm="1">
        <f t="array" ref="B161">IF(ISBLANK(INDEX(SampleList[NMR],ROW()-1)),"Not Requested",INDEX(SampleList[Experiment ID],ROW()-1))</f>
        <v>Not Requested</v>
      </c>
      <c r="C161">
        <f>Sampling!E161</f>
        <v>0</v>
      </c>
      <c r="D161">
        <f>NMRPrep[[#This Row],['#]]</f>
        <v>0</v>
      </c>
      <c r="G1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1" t="e">
        <f>IF(ISBLANK(NMRPrep[[#This Row],[Total (uL) ]]), 0, NMRPrep[[#This Row],[1mM Maleic Acid (uL) ]]/NMRPrep[[#This Row],[Total (uL) ]])</f>
        <v>#DIV/0!</v>
      </c>
      <c r="I161">
        <f>2</f>
        <v>2</v>
      </c>
      <c r="J161">
        <f>4</f>
        <v>4</v>
      </c>
      <c r="K161">
        <f>1</f>
        <v>1</v>
      </c>
    </row>
    <row r="162" spans="1:11" hidden="1" x14ac:dyDescent="0.25">
      <c r="A162" s="1">
        <f>Sampling!D162</f>
        <v>0</v>
      </c>
      <c r="B162" t="str" cm="1">
        <f t="array" ref="B162">IF(ISBLANK(INDEX(SampleList[NMR],ROW()-1)),"Not Requested",INDEX(SampleList[Experiment ID],ROW()-1))</f>
        <v>Not Requested</v>
      </c>
      <c r="C162">
        <f>Sampling!E162</f>
        <v>0</v>
      </c>
      <c r="D162">
        <f>NMRPrep[[#This Row],['#]]</f>
        <v>0</v>
      </c>
      <c r="G1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2" t="e">
        <f>IF(ISBLANK(NMRPrep[[#This Row],[Total (uL) ]]), 0, NMRPrep[[#This Row],[1mM Maleic Acid (uL) ]]/NMRPrep[[#This Row],[Total (uL) ]])</f>
        <v>#DIV/0!</v>
      </c>
      <c r="I162">
        <f>2</f>
        <v>2</v>
      </c>
      <c r="J162">
        <f>4</f>
        <v>4</v>
      </c>
      <c r="K162">
        <f>1</f>
        <v>1</v>
      </c>
    </row>
    <row r="163" spans="1:11" hidden="1" x14ac:dyDescent="0.25">
      <c r="A163" s="1">
        <f>Sampling!D163</f>
        <v>0</v>
      </c>
      <c r="B163" t="str" cm="1">
        <f t="array" ref="B163">IF(ISBLANK(INDEX(SampleList[NMR],ROW()-1)),"Not Requested",INDEX(SampleList[Experiment ID],ROW()-1))</f>
        <v>Not Requested</v>
      </c>
      <c r="C163">
        <f>Sampling!E163</f>
        <v>0</v>
      </c>
      <c r="D163">
        <f>NMRPrep[[#This Row],['#]]</f>
        <v>0</v>
      </c>
      <c r="G1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3" t="e">
        <f>IF(ISBLANK(NMRPrep[[#This Row],[Total (uL) ]]), 0, NMRPrep[[#This Row],[1mM Maleic Acid (uL) ]]/NMRPrep[[#This Row],[Total (uL) ]])</f>
        <v>#DIV/0!</v>
      </c>
      <c r="I163">
        <f>2</f>
        <v>2</v>
      </c>
      <c r="J163">
        <f>4</f>
        <v>4</v>
      </c>
      <c r="K163">
        <f>1</f>
        <v>1</v>
      </c>
    </row>
    <row r="164" spans="1:11" hidden="1" x14ac:dyDescent="0.25">
      <c r="A164" s="1">
        <f>Sampling!D164</f>
        <v>0</v>
      </c>
      <c r="B164" t="str" cm="1">
        <f t="array" ref="B164">IF(ISBLANK(INDEX(SampleList[NMR],ROW()-1)),"Not Requested",INDEX(SampleList[Experiment ID],ROW()-1))</f>
        <v>Not Requested</v>
      </c>
      <c r="C164">
        <f>Sampling!E164</f>
        <v>0</v>
      </c>
      <c r="D164">
        <f>NMRPrep[[#This Row],['#]]</f>
        <v>0</v>
      </c>
      <c r="G1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4" t="e">
        <f>IF(ISBLANK(NMRPrep[[#This Row],[Total (uL) ]]), 0, NMRPrep[[#This Row],[1mM Maleic Acid (uL) ]]/NMRPrep[[#This Row],[Total (uL) ]])</f>
        <v>#DIV/0!</v>
      </c>
      <c r="I164">
        <f>2</f>
        <v>2</v>
      </c>
      <c r="J164">
        <f>4</f>
        <v>4</v>
      </c>
      <c r="K164">
        <f>1</f>
        <v>1</v>
      </c>
    </row>
    <row r="165" spans="1:11" hidden="1" x14ac:dyDescent="0.25">
      <c r="A165" s="1">
        <f>Sampling!D165</f>
        <v>0</v>
      </c>
      <c r="B165" t="str" cm="1">
        <f t="array" ref="B165">IF(ISBLANK(INDEX(SampleList[NMR],ROW()-1)),"Not Requested",INDEX(SampleList[Experiment ID],ROW()-1))</f>
        <v>Not Requested</v>
      </c>
      <c r="C165">
        <f>Sampling!E165</f>
        <v>0</v>
      </c>
      <c r="D165">
        <f>NMRPrep[[#This Row],['#]]</f>
        <v>0</v>
      </c>
      <c r="G1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5" t="e">
        <f>IF(ISBLANK(NMRPrep[[#This Row],[Total (uL) ]]), 0, NMRPrep[[#This Row],[1mM Maleic Acid (uL) ]]/NMRPrep[[#This Row],[Total (uL) ]])</f>
        <v>#DIV/0!</v>
      </c>
      <c r="I165">
        <f>2</f>
        <v>2</v>
      </c>
      <c r="J165">
        <f>4</f>
        <v>4</v>
      </c>
      <c r="K165">
        <f>1</f>
        <v>1</v>
      </c>
    </row>
    <row r="166" spans="1:11" hidden="1" x14ac:dyDescent="0.25">
      <c r="A166" s="1">
        <f>Sampling!D166</f>
        <v>0</v>
      </c>
      <c r="B166" t="str" cm="1">
        <f t="array" ref="B166">IF(ISBLANK(INDEX(SampleList[NMR],ROW()-1)),"Not Requested",INDEX(SampleList[Experiment ID],ROW()-1))</f>
        <v>Not Requested</v>
      </c>
      <c r="C166">
        <f>Sampling!E166</f>
        <v>0</v>
      </c>
      <c r="D166">
        <f>NMRPrep[[#This Row],['#]]</f>
        <v>0</v>
      </c>
      <c r="G1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6" t="e">
        <f>IF(ISBLANK(NMRPrep[[#This Row],[Total (uL) ]]), 0, NMRPrep[[#This Row],[1mM Maleic Acid (uL) ]]/NMRPrep[[#This Row],[Total (uL) ]])</f>
        <v>#DIV/0!</v>
      </c>
      <c r="I166">
        <f>2</f>
        <v>2</v>
      </c>
      <c r="J166">
        <f>4</f>
        <v>4</v>
      </c>
      <c r="K166">
        <f>1</f>
        <v>1</v>
      </c>
    </row>
    <row r="167" spans="1:11" hidden="1" x14ac:dyDescent="0.25">
      <c r="A167" s="1">
        <f>Sampling!D167</f>
        <v>0</v>
      </c>
      <c r="B167" t="str" cm="1">
        <f t="array" ref="B167">IF(ISBLANK(INDEX(SampleList[NMR],ROW()-1)),"Not Requested",INDEX(SampleList[Experiment ID],ROW()-1))</f>
        <v>Not Requested</v>
      </c>
      <c r="C167">
        <f>Sampling!E167</f>
        <v>0</v>
      </c>
      <c r="D167">
        <f>NMRPrep[[#This Row],['#]]</f>
        <v>0</v>
      </c>
      <c r="G1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7" t="e">
        <f>IF(ISBLANK(NMRPrep[[#This Row],[Total (uL) ]]), 0, NMRPrep[[#This Row],[1mM Maleic Acid (uL) ]]/NMRPrep[[#This Row],[Total (uL) ]])</f>
        <v>#DIV/0!</v>
      </c>
      <c r="I167">
        <f>2</f>
        <v>2</v>
      </c>
      <c r="J167">
        <f>4</f>
        <v>4</v>
      </c>
      <c r="K167">
        <f>1</f>
        <v>1</v>
      </c>
    </row>
    <row r="168" spans="1:11" hidden="1" x14ac:dyDescent="0.25">
      <c r="A168" s="1">
        <f>Sampling!D168</f>
        <v>0</v>
      </c>
      <c r="B168" t="str" cm="1">
        <f t="array" ref="B168">IF(ISBLANK(INDEX(SampleList[NMR],ROW()-1)),"Not Requested",INDEX(SampleList[Experiment ID],ROW()-1))</f>
        <v>Not Requested</v>
      </c>
      <c r="C168">
        <f>Sampling!E168</f>
        <v>0</v>
      </c>
      <c r="D168">
        <f>NMRPrep[[#This Row],['#]]</f>
        <v>0</v>
      </c>
      <c r="G1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8" t="e">
        <f>IF(ISBLANK(NMRPrep[[#This Row],[Total (uL) ]]), 0, NMRPrep[[#This Row],[1mM Maleic Acid (uL) ]]/NMRPrep[[#This Row],[Total (uL) ]])</f>
        <v>#DIV/0!</v>
      </c>
      <c r="I168">
        <f>2</f>
        <v>2</v>
      </c>
      <c r="J168">
        <f>4</f>
        <v>4</v>
      </c>
      <c r="K168">
        <f>1</f>
        <v>1</v>
      </c>
    </row>
    <row r="169" spans="1:11" hidden="1" x14ac:dyDescent="0.25">
      <c r="A169" s="1">
        <f>Sampling!D169</f>
        <v>0</v>
      </c>
      <c r="B169" t="str" cm="1">
        <f t="array" ref="B169">IF(ISBLANK(INDEX(SampleList[NMR],ROW()-1)),"Not Requested",INDEX(SampleList[Experiment ID],ROW()-1))</f>
        <v>Not Requested</v>
      </c>
      <c r="C169">
        <f>Sampling!E169</f>
        <v>0</v>
      </c>
      <c r="D169">
        <f>NMRPrep[[#This Row],['#]]</f>
        <v>0</v>
      </c>
      <c r="G1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69" t="e">
        <f>IF(ISBLANK(NMRPrep[[#This Row],[Total (uL) ]]), 0, NMRPrep[[#This Row],[1mM Maleic Acid (uL) ]]/NMRPrep[[#This Row],[Total (uL) ]])</f>
        <v>#DIV/0!</v>
      </c>
      <c r="I169">
        <f>2</f>
        <v>2</v>
      </c>
      <c r="J169">
        <f>4</f>
        <v>4</v>
      </c>
      <c r="K169">
        <f>1</f>
        <v>1</v>
      </c>
    </row>
    <row r="170" spans="1:11" hidden="1" x14ac:dyDescent="0.25">
      <c r="A170" s="1">
        <f>Sampling!D170</f>
        <v>0</v>
      </c>
      <c r="B170" t="str" cm="1">
        <f t="array" ref="B170">IF(ISBLANK(INDEX(SampleList[NMR],ROW()-1)),"Not Requested",INDEX(SampleList[Experiment ID],ROW()-1))</f>
        <v>Not Requested</v>
      </c>
      <c r="C170">
        <f>Sampling!E170</f>
        <v>0</v>
      </c>
      <c r="D170">
        <f>NMRPrep[[#This Row],['#]]</f>
        <v>0</v>
      </c>
      <c r="G1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0" t="e">
        <f>IF(ISBLANK(NMRPrep[[#This Row],[Total (uL) ]]), 0, NMRPrep[[#This Row],[1mM Maleic Acid (uL) ]]/NMRPrep[[#This Row],[Total (uL) ]])</f>
        <v>#DIV/0!</v>
      </c>
      <c r="I170">
        <f>2</f>
        <v>2</v>
      </c>
      <c r="J170">
        <f>4</f>
        <v>4</v>
      </c>
      <c r="K170">
        <f>1</f>
        <v>1</v>
      </c>
    </row>
    <row r="171" spans="1:11" hidden="1" x14ac:dyDescent="0.25">
      <c r="A171" s="1">
        <f>Sampling!D171</f>
        <v>0</v>
      </c>
      <c r="B171" t="str" cm="1">
        <f t="array" ref="B171">IF(ISBLANK(INDEX(SampleList[NMR],ROW()-1)),"Not Requested",INDEX(SampleList[Experiment ID],ROW()-1))</f>
        <v>Not Requested</v>
      </c>
      <c r="C171">
        <f>Sampling!E171</f>
        <v>0</v>
      </c>
      <c r="D171">
        <f>NMRPrep[[#This Row],['#]]</f>
        <v>0</v>
      </c>
      <c r="G1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1" t="e">
        <f>IF(ISBLANK(NMRPrep[[#This Row],[Total (uL) ]]), 0, NMRPrep[[#This Row],[1mM Maleic Acid (uL) ]]/NMRPrep[[#This Row],[Total (uL) ]])</f>
        <v>#DIV/0!</v>
      </c>
      <c r="I171">
        <f>2</f>
        <v>2</v>
      </c>
      <c r="J171">
        <f>4</f>
        <v>4</v>
      </c>
      <c r="K171">
        <f>1</f>
        <v>1</v>
      </c>
    </row>
    <row r="172" spans="1:11" hidden="1" x14ac:dyDescent="0.25">
      <c r="A172" s="1">
        <f>Sampling!D172</f>
        <v>0</v>
      </c>
      <c r="B172" t="str" cm="1">
        <f t="array" ref="B172">IF(ISBLANK(INDEX(SampleList[NMR],ROW()-1)),"Not Requested",INDEX(SampleList[Experiment ID],ROW()-1))</f>
        <v>Not Requested</v>
      </c>
      <c r="C172">
        <f>Sampling!E172</f>
        <v>0</v>
      </c>
      <c r="D172">
        <f>NMRPrep[[#This Row],['#]]</f>
        <v>0</v>
      </c>
      <c r="G1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2" t="e">
        <f>IF(ISBLANK(NMRPrep[[#This Row],[Total (uL) ]]), 0, NMRPrep[[#This Row],[1mM Maleic Acid (uL) ]]/NMRPrep[[#This Row],[Total (uL) ]])</f>
        <v>#DIV/0!</v>
      </c>
      <c r="I172">
        <f>2</f>
        <v>2</v>
      </c>
      <c r="J172">
        <f>4</f>
        <v>4</v>
      </c>
      <c r="K172">
        <f>1</f>
        <v>1</v>
      </c>
    </row>
    <row r="173" spans="1:11" hidden="1" x14ac:dyDescent="0.25">
      <c r="A173" s="1">
        <f>Sampling!D173</f>
        <v>0</v>
      </c>
      <c r="B173" t="str" cm="1">
        <f t="array" ref="B173">IF(ISBLANK(INDEX(SampleList[NMR],ROW()-1)),"Not Requested",INDEX(SampleList[Experiment ID],ROW()-1))</f>
        <v>Not Requested</v>
      </c>
      <c r="C173">
        <f>Sampling!E173</f>
        <v>0</v>
      </c>
      <c r="D173">
        <f>NMRPrep[[#This Row],['#]]</f>
        <v>0</v>
      </c>
      <c r="G1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3" t="e">
        <f>IF(ISBLANK(NMRPrep[[#This Row],[Total (uL) ]]), 0, NMRPrep[[#This Row],[1mM Maleic Acid (uL) ]]/NMRPrep[[#This Row],[Total (uL) ]])</f>
        <v>#DIV/0!</v>
      </c>
      <c r="I173">
        <f>2</f>
        <v>2</v>
      </c>
      <c r="J173">
        <f>4</f>
        <v>4</v>
      </c>
      <c r="K173">
        <f>1</f>
        <v>1</v>
      </c>
    </row>
    <row r="174" spans="1:11" hidden="1" x14ac:dyDescent="0.25">
      <c r="A174" s="1">
        <f>Sampling!D174</f>
        <v>0</v>
      </c>
      <c r="B174" t="str" cm="1">
        <f t="array" ref="B174">IF(ISBLANK(INDEX(SampleList[NMR],ROW()-1)),"Not Requested",INDEX(SampleList[Experiment ID],ROW()-1))</f>
        <v>Not Requested</v>
      </c>
      <c r="C174">
        <f>Sampling!E174</f>
        <v>0</v>
      </c>
      <c r="D174">
        <f>NMRPrep[[#This Row],['#]]</f>
        <v>0</v>
      </c>
      <c r="G1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4" t="e">
        <f>IF(ISBLANK(NMRPrep[[#This Row],[Total (uL) ]]), 0, NMRPrep[[#This Row],[1mM Maleic Acid (uL) ]]/NMRPrep[[#This Row],[Total (uL) ]])</f>
        <v>#DIV/0!</v>
      </c>
      <c r="I174">
        <f>2</f>
        <v>2</v>
      </c>
      <c r="J174">
        <f>4</f>
        <v>4</v>
      </c>
      <c r="K174">
        <f>1</f>
        <v>1</v>
      </c>
    </row>
    <row r="175" spans="1:11" hidden="1" x14ac:dyDescent="0.25">
      <c r="A175" s="1">
        <f>Sampling!D175</f>
        <v>0</v>
      </c>
      <c r="B175" t="str" cm="1">
        <f t="array" ref="B175">IF(ISBLANK(INDEX(SampleList[NMR],ROW()-1)),"Not Requested",INDEX(SampleList[Experiment ID],ROW()-1))</f>
        <v>Not Requested</v>
      </c>
      <c r="C175">
        <f>Sampling!E175</f>
        <v>0</v>
      </c>
      <c r="D175">
        <f>NMRPrep[[#This Row],['#]]</f>
        <v>0</v>
      </c>
      <c r="G1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5" t="e">
        <f>IF(ISBLANK(NMRPrep[[#This Row],[Total (uL) ]]), 0, NMRPrep[[#This Row],[1mM Maleic Acid (uL) ]]/NMRPrep[[#This Row],[Total (uL) ]])</f>
        <v>#DIV/0!</v>
      </c>
      <c r="I175">
        <f>2</f>
        <v>2</v>
      </c>
      <c r="J175">
        <f>4</f>
        <v>4</v>
      </c>
      <c r="K175">
        <f>1</f>
        <v>1</v>
      </c>
    </row>
    <row r="176" spans="1:11" hidden="1" x14ac:dyDescent="0.25">
      <c r="A176" s="1">
        <f>Sampling!D176</f>
        <v>0</v>
      </c>
      <c r="B176" t="str" cm="1">
        <f t="array" ref="B176">IF(ISBLANK(INDEX(SampleList[NMR],ROW()-1)),"Not Requested",INDEX(SampleList[Experiment ID],ROW()-1))</f>
        <v>Not Requested</v>
      </c>
      <c r="C176">
        <f>Sampling!E176</f>
        <v>0</v>
      </c>
      <c r="D176">
        <f>NMRPrep[[#This Row],['#]]</f>
        <v>0</v>
      </c>
      <c r="G1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6" t="e">
        <f>IF(ISBLANK(NMRPrep[[#This Row],[Total (uL) ]]), 0, NMRPrep[[#This Row],[1mM Maleic Acid (uL) ]]/NMRPrep[[#This Row],[Total (uL) ]])</f>
        <v>#DIV/0!</v>
      </c>
      <c r="I176">
        <f>2</f>
        <v>2</v>
      </c>
      <c r="J176">
        <f>4</f>
        <v>4</v>
      </c>
      <c r="K176">
        <f>1</f>
        <v>1</v>
      </c>
    </row>
    <row r="177" spans="1:11" hidden="1" x14ac:dyDescent="0.25">
      <c r="A177" s="1">
        <f>Sampling!D177</f>
        <v>0</v>
      </c>
      <c r="B177" t="str" cm="1">
        <f t="array" ref="B177">IF(ISBLANK(INDEX(SampleList[NMR],ROW()-1)),"Not Requested",INDEX(SampleList[Experiment ID],ROW()-1))</f>
        <v>Not Requested</v>
      </c>
      <c r="C177">
        <f>Sampling!E177</f>
        <v>0</v>
      </c>
      <c r="D177">
        <f>NMRPrep[[#This Row],['#]]</f>
        <v>0</v>
      </c>
      <c r="G1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7" t="e">
        <f>IF(ISBLANK(NMRPrep[[#This Row],[Total (uL) ]]), 0, NMRPrep[[#This Row],[1mM Maleic Acid (uL) ]]/NMRPrep[[#This Row],[Total (uL) ]])</f>
        <v>#DIV/0!</v>
      </c>
      <c r="I177">
        <f>2</f>
        <v>2</v>
      </c>
      <c r="J177">
        <f>4</f>
        <v>4</v>
      </c>
      <c r="K177">
        <f>1</f>
        <v>1</v>
      </c>
    </row>
    <row r="178" spans="1:11" hidden="1" x14ac:dyDescent="0.25">
      <c r="A178" s="1">
        <f>Sampling!D178</f>
        <v>0</v>
      </c>
      <c r="B178" t="str" cm="1">
        <f t="array" ref="B178">IF(ISBLANK(INDEX(SampleList[NMR],ROW()-1)),"Not Requested",INDEX(SampleList[Experiment ID],ROW()-1))</f>
        <v>Not Requested</v>
      </c>
      <c r="C178">
        <f>Sampling!E178</f>
        <v>0</v>
      </c>
      <c r="D178">
        <f>NMRPrep[[#This Row],['#]]</f>
        <v>0</v>
      </c>
      <c r="G1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8" t="e">
        <f>IF(ISBLANK(NMRPrep[[#This Row],[Total (uL) ]]), 0, NMRPrep[[#This Row],[1mM Maleic Acid (uL) ]]/NMRPrep[[#This Row],[Total (uL) ]])</f>
        <v>#DIV/0!</v>
      </c>
      <c r="I178">
        <f>2</f>
        <v>2</v>
      </c>
      <c r="J178">
        <f>4</f>
        <v>4</v>
      </c>
      <c r="K178">
        <f>1</f>
        <v>1</v>
      </c>
    </row>
    <row r="179" spans="1:11" hidden="1" x14ac:dyDescent="0.25">
      <c r="A179" s="1">
        <f>Sampling!D179</f>
        <v>0</v>
      </c>
      <c r="B179" t="str" cm="1">
        <f t="array" ref="B179">IF(ISBLANK(INDEX(SampleList[NMR],ROW()-1)),"Not Requested",INDEX(SampleList[Experiment ID],ROW()-1))</f>
        <v>Not Requested</v>
      </c>
      <c r="C179">
        <f>Sampling!E179</f>
        <v>0</v>
      </c>
      <c r="D179">
        <f>NMRPrep[[#This Row],['#]]</f>
        <v>0</v>
      </c>
      <c r="G1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79" t="e">
        <f>IF(ISBLANK(NMRPrep[[#This Row],[Total (uL) ]]), 0, NMRPrep[[#This Row],[1mM Maleic Acid (uL) ]]/NMRPrep[[#This Row],[Total (uL) ]])</f>
        <v>#DIV/0!</v>
      </c>
      <c r="I179">
        <f>2</f>
        <v>2</v>
      </c>
      <c r="J179">
        <f>4</f>
        <v>4</v>
      </c>
      <c r="K179">
        <f>1</f>
        <v>1</v>
      </c>
    </row>
    <row r="180" spans="1:11" hidden="1" x14ac:dyDescent="0.25">
      <c r="A180" s="1">
        <f>Sampling!D180</f>
        <v>0</v>
      </c>
      <c r="B180" t="str" cm="1">
        <f t="array" ref="B180">IF(ISBLANK(INDEX(SampleList[NMR],ROW()-1)),"Not Requested",INDEX(SampleList[Experiment ID],ROW()-1))</f>
        <v>Not Requested</v>
      </c>
      <c r="C180">
        <f>Sampling!E180</f>
        <v>0</v>
      </c>
      <c r="D180">
        <f>NMRPrep[[#This Row],['#]]</f>
        <v>0</v>
      </c>
      <c r="G1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0" t="e">
        <f>IF(ISBLANK(NMRPrep[[#This Row],[Total (uL) ]]), 0, NMRPrep[[#This Row],[1mM Maleic Acid (uL) ]]/NMRPrep[[#This Row],[Total (uL) ]])</f>
        <v>#DIV/0!</v>
      </c>
      <c r="I180">
        <f>2</f>
        <v>2</v>
      </c>
      <c r="J180">
        <f>4</f>
        <v>4</v>
      </c>
      <c r="K180">
        <f>1</f>
        <v>1</v>
      </c>
    </row>
    <row r="181" spans="1:11" hidden="1" x14ac:dyDescent="0.25">
      <c r="A181" s="1">
        <f>Sampling!D181</f>
        <v>0</v>
      </c>
      <c r="B181" t="str" cm="1">
        <f t="array" ref="B181">IF(ISBLANK(INDEX(SampleList[NMR],ROW()-1)),"Not Requested",INDEX(SampleList[Experiment ID],ROW()-1))</f>
        <v>Not Requested</v>
      </c>
      <c r="C181">
        <f>Sampling!E181</f>
        <v>0</v>
      </c>
      <c r="D181">
        <f>NMRPrep[[#This Row],['#]]</f>
        <v>0</v>
      </c>
      <c r="G1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1" t="e">
        <f>IF(ISBLANK(NMRPrep[[#This Row],[Total (uL) ]]), 0, NMRPrep[[#This Row],[1mM Maleic Acid (uL) ]]/NMRPrep[[#This Row],[Total (uL) ]])</f>
        <v>#DIV/0!</v>
      </c>
      <c r="I181">
        <f>2</f>
        <v>2</v>
      </c>
      <c r="J181">
        <f>4</f>
        <v>4</v>
      </c>
      <c r="K181">
        <f>1</f>
        <v>1</v>
      </c>
    </row>
    <row r="182" spans="1:11" hidden="1" x14ac:dyDescent="0.25">
      <c r="A182" s="1">
        <f>Sampling!D182</f>
        <v>0</v>
      </c>
      <c r="B182" t="str" cm="1">
        <f t="array" ref="B182">IF(ISBLANK(INDEX(SampleList[NMR],ROW()-1)),"Not Requested",INDEX(SampleList[Experiment ID],ROW()-1))</f>
        <v>Not Requested</v>
      </c>
      <c r="C182">
        <f>Sampling!E182</f>
        <v>0</v>
      </c>
      <c r="D182">
        <f>NMRPrep[[#This Row],['#]]</f>
        <v>0</v>
      </c>
      <c r="G1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2" t="e">
        <f>IF(ISBLANK(NMRPrep[[#This Row],[Total (uL) ]]), 0, NMRPrep[[#This Row],[1mM Maleic Acid (uL) ]]/NMRPrep[[#This Row],[Total (uL) ]])</f>
        <v>#DIV/0!</v>
      </c>
      <c r="I182">
        <f>2</f>
        <v>2</v>
      </c>
      <c r="J182">
        <f>4</f>
        <v>4</v>
      </c>
      <c r="K182">
        <f>1</f>
        <v>1</v>
      </c>
    </row>
    <row r="183" spans="1:11" hidden="1" x14ac:dyDescent="0.25">
      <c r="A183" s="1">
        <f>Sampling!D183</f>
        <v>0</v>
      </c>
      <c r="B183" t="str" cm="1">
        <f t="array" ref="B183">IF(ISBLANK(INDEX(SampleList[NMR],ROW()-1)),"Not Requested",INDEX(SampleList[Experiment ID],ROW()-1))</f>
        <v>Not Requested</v>
      </c>
      <c r="C183">
        <f>Sampling!E183</f>
        <v>0</v>
      </c>
      <c r="D183">
        <f>NMRPrep[[#This Row],['#]]</f>
        <v>0</v>
      </c>
      <c r="G1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3" t="e">
        <f>IF(ISBLANK(NMRPrep[[#This Row],[Total (uL) ]]), 0, NMRPrep[[#This Row],[1mM Maleic Acid (uL) ]]/NMRPrep[[#This Row],[Total (uL) ]])</f>
        <v>#DIV/0!</v>
      </c>
      <c r="I183">
        <f>2</f>
        <v>2</v>
      </c>
      <c r="J183">
        <f>4</f>
        <v>4</v>
      </c>
      <c r="K183">
        <f>1</f>
        <v>1</v>
      </c>
    </row>
    <row r="184" spans="1:11" hidden="1" x14ac:dyDescent="0.25">
      <c r="A184" s="1">
        <f>Sampling!D184</f>
        <v>0</v>
      </c>
      <c r="B184" t="str" cm="1">
        <f t="array" ref="B184">IF(ISBLANK(INDEX(SampleList[NMR],ROW()-1)),"Not Requested",INDEX(SampleList[Experiment ID],ROW()-1))</f>
        <v>Not Requested</v>
      </c>
      <c r="C184">
        <f>Sampling!E184</f>
        <v>0</v>
      </c>
      <c r="D184">
        <f>NMRPrep[[#This Row],['#]]</f>
        <v>0</v>
      </c>
      <c r="G1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4" t="e">
        <f>IF(ISBLANK(NMRPrep[[#This Row],[Total (uL) ]]), 0, NMRPrep[[#This Row],[1mM Maleic Acid (uL) ]]/NMRPrep[[#This Row],[Total (uL) ]])</f>
        <v>#DIV/0!</v>
      </c>
      <c r="I184">
        <f>2</f>
        <v>2</v>
      </c>
      <c r="J184">
        <f>4</f>
        <v>4</v>
      </c>
      <c r="K184">
        <f>1</f>
        <v>1</v>
      </c>
    </row>
    <row r="185" spans="1:11" hidden="1" x14ac:dyDescent="0.25">
      <c r="A185" s="1">
        <f>Sampling!D185</f>
        <v>0</v>
      </c>
      <c r="B185" t="str" cm="1">
        <f t="array" ref="B185">IF(ISBLANK(INDEX(SampleList[NMR],ROW()-1)),"Not Requested",INDEX(SampleList[Experiment ID],ROW()-1))</f>
        <v>Not Requested</v>
      </c>
      <c r="C185">
        <f>Sampling!E185</f>
        <v>0</v>
      </c>
      <c r="D185">
        <f>NMRPrep[[#This Row],['#]]</f>
        <v>0</v>
      </c>
      <c r="G1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5" t="e">
        <f>IF(ISBLANK(NMRPrep[[#This Row],[Total (uL) ]]), 0, NMRPrep[[#This Row],[1mM Maleic Acid (uL) ]]/NMRPrep[[#This Row],[Total (uL) ]])</f>
        <v>#DIV/0!</v>
      </c>
      <c r="I185">
        <f>2</f>
        <v>2</v>
      </c>
      <c r="J185">
        <f>4</f>
        <v>4</v>
      </c>
      <c r="K185">
        <f>1</f>
        <v>1</v>
      </c>
    </row>
    <row r="186" spans="1:11" hidden="1" x14ac:dyDescent="0.25">
      <c r="A186" s="1">
        <f>Sampling!D186</f>
        <v>0</v>
      </c>
      <c r="B186" t="str" cm="1">
        <f t="array" ref="B186">IF(ISBLANK(INDEX(SampleList[NMR],ROW()-1)),"Not Requested",INDEX(SampleList[Experiment ID],ROW()-1))</f>
        <v>Not Requested</v>
      </c>
      <c r="C186">
        <f>Sampling!E186</f>
        <v>0</v>
      </c>
      <c r="D186">
        <f>NMRPrep[[#This Row],['#]]</f>
        <v>0</v>
      </c>
      <c r="G1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6" t="e">
        <f>IF(ISBLANK(NMRPrep[[#This Row],[Total (uL) ]]), 0, NMRPrep[[#This Row],[1mM Maleic Acid (uL) ]]/NMRPrep[[#This Row],[Total (uL) ]])</f>
        <v>#DIV/0!</v>
      </c>
      <c r="I186">
        <f>2</f>
        <v>2</v>
      </c>
      <c r="J186">
        <f>4</f>
        <v>4</v>
      </c>
      <c r="K186">
        <f>1</f>
        <v>1</v>
      </c>
    </row>
    <row r="187" spans="1:11" hidden="1" x14ac:dyDescent="0.25">
      <c r="A187" s="1">
        <f>Sampling!D187</f>
        <v>0</v>
      </c>
      <c r="B187" t="str" cm="1">
        <f t="array" ref="B187">IF(ISBLANK(INDEX(SampleList[NMR],ROW()-1)),"Not Requested",INDEX(SampleList[Experiment ID],ROW()-1))</f>
        <v>Not Requested</v>
      </c>
      <c r="C187">
        <f>Sampling!E187</f>
        <v>0</v>
      </c>
      <c r="D187">
        <f>NMRPrep[[#This Row],['#]]</f>
        <v>0</v>
      </c>
      <c r="G1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7" t="e">
        <f>IF(ISBLANK(NMRPrep[[#This Row],[Total (uL) ]]), 0, NMRPrep[[#This Row],[1mM Maleic Acid (uL) ]]/NMRPrep[[#This Row],[Total (uL) ]])</f>
        <v>#DIV/0!</v>
      </c>
      <c r="I187">
        <f>2</f>
        <v>2</v>
      </c>
      <c r="J187">
        <f>4</f>
        <v>4</v>
      </c>
      <c r="K187">
        <f>1</f>
        <v>1</v>
      </c>
    </row>
    <row r="188" spans="1:11" hidden="1" x14ac:dyDescent="0.25">
      <c r="A188" s="1">
        <f>Sampling!D188</f>
        <v>0</v>
      </c>
      <c r="B188" t="str" cm="1">
        <f t="array" ref="B188">IF(ISBLANK(INDEX(SampleList[NMR],ROW()-1)),"Not Requested",INDEX(SampleList[Experiment ID],ROW()-1))</f>
        <v>Not Requested</v>
      </c>
      <c r="C188">
        <f>Sampling!E188</f>
        <v>0</v>
      </c>
      <c r="D188">
        <f>NMRPrep[[#This Row],['#]]</f>
        <v>0</v>
      </c>
      <c r="G1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8" t="e">
        <f>IF(ISBLANK(NMRPrep[[#This Row],[Total (uL) ]]), 0, NMRPrep[[#This Row],[1mM Maleic Acid (uL) ]]/NMRPrep[[#This Row],[Total (uL) ]])</f>
        <v>#DIV/0!</v>
      </c>
      <c r="I188">
        <f>2</f>
        <v>2</v>
      </c>
      <c r="J188">
        <f>4</f>
        <v>4</v>
      </c>
      <c r="K188">
        <f>1</f>
        <v>1</v>
      </c>
    </row>
    <row r="189" spans="1:11" hidden="1" x14ac:dyDescent="0.25">
      <c r="A189" s="1">
        <f>Sampling!D189</f>
        <v>0</v>
      </c>
      <c r="B189" t="str" cm="1">
        <f t="array" ref="B189">IF(ISBLANK(INDEX(SampleList[NMR],ROW()-1)),"Not Requested",INDEX(SampleList[Experiment ID],ROW()-1))</f>
        <v>Not Requested</v>
      </c>
      <c r="C189">
        <f>Sampling!E189</f>
        <v>0</v>
      </c>
      <c r="D189">
        <f>NMRPrep[[#This Row],['#]]</f>
        <v>0</v>
      </c>
      <c r="G1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89" t="e">
        <f>IF(ISBLANK(NMRPrep[[#This Row],[Total (uL) ]]), 0, NMRPrep[[#This Row],[1mM Maleic Acid (uL) ]]/NMRPrep[[#This Row],[Total (uL) ]])</f>
        <v>#DIV/0!</v>
      </c>
      <c r="I189">
        <f>2</f>
        <v>2</v>
      </c>
      <c r="J189">
        <f>4</f>
        <v>4</v>
      </c>
      <c r="K189">
        <f>1</f>
        <v>1</v>
      </c>
    </row>
    <row r="190" spans="1:11" hidden="1" x14ac:dyDescent="0.25">
      <c r="A190" s="1">
        <f>Sampling!D190</f>
        <v>0</v>
      </c>
      <c r="B190" t="str" cm="1">
        <f t="array" ref="B190">IF(ISBLANK(INDEX(SampleList[NMR],ROW()-1)),"Not Requested",INDEX(SampleList[Experiment ID],ROW()-1))</f>
        <v>Not Requested</v>
      </c>
      <c r="C190">
        <f>Sampling!E190</f>
        <v>0</v>
      </c>
      <c r="D190">
        <f>NMRPrep[[#This Row],['#]]</f>
        <v>0</v>
      </c>
      <c r="G1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0" t="e">
        <f>IF(ISBLANK(NMRPrep[[#This Row],[Total (uL) ]]), 0, NMRPrep[[#This Row],[1mM Maleic Acid (uL) ]]/NMRPrep[[#This Row],[Total (uL) ]])</f>
        <v>#DIV/0!</v>
      </c>
      <c r="I190">
        <f>2</f>
        <v>2</v>
      </c>
      <c r="J190">
        <f>4</f>
        <v>4</v>
      </c>
      <c r="K190">
        <f>1</f>
        <v>1</v>
      </c>
    </row>
    <row r="191" spans="1:11" hidden="1" x14ac:dyDescent="0.25">
      <c r="A191" s="1">
        <f>Sampling!D191</f>
        <v>0</v>
      </c>
      <c r="B191" t="str" cm="1">
        <f t="array" ref="B191">IF(ISBLANK(INDEX(SampleList[NMR],ROW()-1)),"Not Requested",INDEX(SampleList[Experiment ID],ROW()-1))</f>
        <v>Not Requested</v>
      </c>
      <c r="C191">
        <f>Sampling!E191</f>
        <v>0</v>
      </c>
      <c r="D191">
        <f>NMRPrep[[#This Row],['#]]</f>
        <v>0</v>
      </c>
      <c r="G1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1" t="e">
        <f>IF(ISBLANK(NMRPrep[[#This Row],[Total (uL) ]]), 0, NMRPrep[[#This Row],[1mM Maleic Acid (uL) ]]/NMRPrep[[#This Row],[Total (uL) ]])</f>
        <v>#DIV/0!</v>
      </c>
      <c r="I191">
        <f>2</f>
        <v>2</v>
      </c>
      <c r="J191">
        <f>4</f>
        <v>4</v>
      </c>
      <c r="K191">
        <f>1</f>
        <v>1</v>
      </c>
    </row>
    <row r="192" spans="1:11" hidden="1" x14ac:dyDescent="0.25">
      <c r="A192" s="1">
        <f>Sampling!D192</f>
        <v>0</v>
      </c>
      <c r="B192" t="str" cm="1">
        <f t="array" ref="B192">IF(ISBLANK(INDEX(SampleList[NMR],ROW()-1)),"Not Requested",INDEX(SampleList[Experiment ID],ROW()-1))</f>
        <v>Not Requested</v>
      </c>
      <c r="C192">
        <f>Sampling!E192</f>
        <v>0</v>
      </c>
      <c r="D192">
        <f>NMRPrep[[#This Row],['#]]</f>
        <v>0</v>
      </c>
      <c r="G1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2" t="e">
        <f>IF(ISBLANK(NMRPrep[[#This Row],[Total (uL) ]]), 0, NMRPrep[[#This Row],[1mM Maleic Acid (uL) ]]/NMRPrep[[#This Row],[Total (uL) ]])</f>
        <v>#DIV/0!</v>
      </c>
      <c r="I192">
        <f>2</f>
        <v>2</v>
      </c>
      <c r="J192">
        <f>4</f>
        <v>4</v>
      </c>
      <c r="K192">
        <f>1</f>
        <v>1</v>
      </c>
    </row>
    <row r="193" spans="1:11" hidden="1" x14ac:dyDescent="0.25">
      <c r="A193" s="1">
        <f>Sampling!D193</f>
        <v>0</v>
      </c>
      <c r="B193" t="str" cm="1">
        <f t="array" ref="B193">IF(ISBLANK(INDEX(SampleList[NMR],ROW()-1)),"Not Requested",INDEX(SampleList[Experiment ID],ROW()-1))</f>
        <v>Not Requested</v>
      </c>
      <c r="C193">
        <f>Sampling!E193</f>
        <v>0</v>
      </c>
      <c r="D193">
        <f>NMRPrep[[#This Row],['#]]</f>
        <v>0</v>
      </c>
      <c r="G1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3" t="e">
        <f>IF(ISBLANK(NMRPrep[[#This Row],[Total (uL) ]]), 0, NMRPrep[[#This Row],[1mM Maleic Acid (uL) ]]/NMRPrep[[#This Row],[Total (uL) ]])</f>
        <v>#DIV/0!</v>
      </c>
      <c r="I193">
        <f>2</f>
        <v>2</v>
      </c>
      <c r="J193">
        <f>4</f>
        <v>4</v>
      </c>
      <c r="K193">
        <f>1</f>
        <v>1</v>
      </c>
    </row>
    <row r="194" spans="1:11" hidden="1" x14ac:dyDescent="0.25">
      <c r="A194" s="1">
        <f>Sampling!D194</f>
        <v>0</v>
      </c>
      <c r="B194" t="str" cm="1">
        <f t="array" ref="B194">IF(ISBLANK(INDEX(SampleList[NMR],ROW()-1)),"Not Requested",INDEX(SampleList[Experiment ID],ROW()-1))</f>
        <v>Not Requested</v>
      </c>
      <c r="C194">
        <f>Sampling!E194</f>
        <v>0</v>
      </c>
      <c r="D194">
        <f>NMRPrep[[#This Row],['#]]</f>
        <v>0</v>
      </c>
      <c r="G1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4" t="e">
        <f>IF(ISBLANK(NMRPrep[[#This Row],[Total (uL) ]]), 0, NMRPrep[[#This Row],[1mM Maleic Acid (uL) ]]/NMRPrep[[#This Row],[Total (uL) ]])</f>
        <v>#DIV/0!</v>
      </c>
      <c r="I194">
        <f>2</f>
        <v>2</v>
      </c>
      <c r="J194">
        <f>4</f>
        <v>4</v>
      </c>
      <c r="K194">
        <f>1</f>
        <v>1</v>
      </c>
    </row>
    <row r="195" spans="1:11" hidden="1" x14ac:dyDescent="0.25">
      <c r="A195" s="1">
        <f>Sampling!D195</f>
        <v>0</v>
      </c>
      <c r="B195" t="str" cm="1">
        <f t="array" ref="B195">IF(ISBLANK(INDEX(SampleList[NMR],ROW()-1)),"Not Requested",INDEX(SampleList[Experiment ID],ROW()-1))</f>
        <v>Not Requested</v>
      </c>
      <c r="C195">
        <f>Sampling!E195</f>
        <v>0</v>
      </c>
      <c r="D195">
        <f>NMRPrep[[#This Row],['#]]</f>
        <v>0</v>
      </c>
      <c r="G1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5" t="e">
        <f>IF(ISBLANK(NMRPrep[[#This Row],[Total (uL) ]]), 0, NMRPrep[[#This Row],[1mM Maleic Acid (uL) ]]/NMRPrep[[#This Row],[Total (uL) ]])</f>
        <v>#DIV/0!</v>
      </c>
      <c r="I195">
        <f>2</f>
        <v>2</v>
      </c>
      <c r="J195">
        <f>4</f>
        <v>4</v>
      </c>
      <c r="K195">
        <f>1</f>
        <v>1</v>
      </c>
    </row>
    <row r="196" spans="1:11" hidden="1" x14ac:dyDescent="0.25">
      <c r="A196" s="1">
        <f>Sampling!D196</f>
        <v>0</v>
      </c>
      <c r="B196" t="str" cm="1">
        <f t="array" ref="B196">IF(ISBLANK(INDEX(SampleList[NMR],ROW()-1)),"Not Requested",INDEX(SampleList[Experiment ID],ROW()-1))</f>
        <v>Not Requested</v>
      </c>
      <c r="C196">
        <f>Sampling!E196</f>
        <v>0</v>
      </c>
      <c r="D196">
        <f>NMRPrep[[#This Row],['#]]</f>
        <v>0</v>
      </c>
      <c r="G1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6" t="e">
        <f>IF(ISBLANK(NMRPrep[[#This Row],[Total (uL) ]]), 0, NMRPrep[[#This Row],[1mM Maleic Acid (uL) ]]/NMRPrep[[#This Row],[Total (uL) ]])</f>
        <v>#DIV/0!</v>
      </c>
      <c r="I196">
        <f>2</f>
        <v>2</v>
      </c>
      <c r="J196">
        <f>4</f>
        <v>4</v>
      </c>
      <c r="K196">
        <f>1</f>
        <v>1</v>
      </c>
    </row>
    <row r="197" spans="1:11" hidden="1" x14ac:dyDescent="0.25">
      <c r="A197" s="1">
        <f>Sampling!D197</f>
        <v>0</v>
      </c>
      <c r="B197" t="str" cm="1">
        <f t="array" ref="B197">IF(ISBLANK(INDEX(SampleList[NMR],ROW()-1)),"Not Requested",INDEX(SampleList[Experiment ID],ROW()-1))</f>
        <v>Not Requested</v>
      </c>
      <c r="C197">
        <f>Sampling!E197</f>
        <v>0</v>
      </c>
      <c r="D197">
        <f>NMRPrep[[#This Row],['#]]</f>
        <v>0</v>
      </c>
      <c r="G1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7" t="e">
        <f>IF(ISBLANK(NMRPrep[[#This Row],[Total (uL) ]]), 0, NMRPrep[[#This Row],[1mM Maleic Acid (uL) ]]/NMRPrep[[#This Row],[Total (uL) ]])</f>
        <v>#DIV/0!</v>
      </c>
      <c r="I197">
        <f>2</f>
        <v>2</v>
      </c>
      <c r="J197">
        <f>4</f>
        <v>4</v>
      </c>
      <c r="K197">
        <f>1</f>
        <v>1</v>
      </c>
    </row>
    <row r="198" spans="1:11" hidden="1" x14ac:dyDescent="0.25">
      <c r="A198" s="1">
        <f>Sampling!D198</f>
        <v>0</v>
      </c>
      <c r="B198" t="str" cm="1">
        <f t="array" ref="B198">IF(ISBLANK(INDEX(SampleList[NMR],ROW()-1)),"Not Requested",INDEX(SampleList[Experiment ID],ROW()-1))</f>
        <v>Not Requested</v>
      </c>
      <c r="C198">
        <f>Sampling!E198</f>
        <v>0</v>
      </c>
      <c r="D198">
        <f>NMRPrep[[#This Row],['#]]</f>
        <v>0</v>
      </c>
      <c r="G1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8" t="e">
        <f>IF(ISBLANK(NMRPrep[[#This Row],[Total (uL) ]]), 0, NMRPrep[[#This Row],[1mM Maleic Acid (uL) ]]/NMRPrep[[#This Row],[Total (uL) ]])</f>
        <v>#DIV/0!</v>
      </c>
      <c r="I198">
        <f>2</f>
        <v>2</v>
      </c>
      <c r="J198">
        <f>4</f>
        <v>4</v>
      </c>
      <c r="K198">
        <f>1</f>
        <v>1</v>
      </c>
    </row>
    <row r="199" spans="1:11" hidden="1" x14ac:dyDescent="0.25">
      <c r="A199" s="1">
        <f>Sampling!D199</f>
        <v>0</v>
      </c>
      <c r="B199" t="str" cm="1">
        <f t="array" ref="B199">IF(ISBLANK(INDEX(SampleList[NMR],ROW()-1)),"Not Requested",INDEX(SampleList[Experiment ID],ROW()-1))</f>
        <v>Not Requested</v>
      </c>
      <c r="C199">
        <f>Sampling!E199</f>
        <v>0</v>
      </c>
      <c r="D199">
        <f>NMRPrep[[#This Row],['#]]</f>
        <v>0</v>
      </c>
      <c r="G1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99" t="e">
        <f>IF(ISBLANK(NMRPrep[[#This Row],[Total (uL) ]]), 0, NMRPrep[[#This Row],[1mM Maleic Acid (uL) ]]/NMRPrep[[#This Row],[Total (uL) ]])</f>
        <v>#DIV/0!</v>
      </c>
      <c r="I199">
        <f>2</f>
        <v>2</v>
      </c>
      <c r="J199">
        <f>4</f>
        <v>4</v>
      </c>
      <c r="K199">
        <f>1</f>
        <v>1</v>
      </c>
    </row>
    <row r="200" spans="1:11" hidden="1" x14ac:dyDescent="0.25">
      <c r="A200" s="1">
        <f>Sampling!D200</f>
        <v>0</v>
      </c>
      <c r="B200" t="str" cm="1">
        <f t="array" ref="B200">IF(ISBLANK(INDEX(SampleList[NMR],ROW()-1)),"Not Requested",INDEX(SampleList[Experiment ID],ROW()-1))</f>
        <v>Not Requested</v>
      </c>
      <c r="C200">
        <f>Sampling!E200</f>
        <v>0</v>
      </c>
      <c r="D200">
        <f>NMRPrep[[#This Row],['#]]</f>
        <v>0</v>
      </c>
      <c r="G2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0" t="e">
        <f>IF(ISBLANK(NMRPrep[[#This Row],[Total (uL) ]]), 0, NMRPrep[[#This Row],[1mM Maleic Acid (uL) ]]/NMRPrep[[#This Row],[Total (uL) ]])</f>
        <v>#DIV/0!</v>
      </c>
      <c r="I200">
        <f>2</f>
        <v>2</v>
      </c>
      <c r="J200">
        <f>4</f>
        <v>4</v>
      </c>
      <c r="K200">
        <f>1</f>
        <v>1</v>
      </c>
    </row>
    <row r="201" spans="1:11" hidden="1" x14ac:dyDescent="0.25">
      <c r="A201" s="1">
        <f>Sampling!D201</f>
        <v>0</v>
      </c>
      <c r="B201" t="str" cm="1">
        <f t="array" ref="B201">IF(ISBLANK(INDEX(SampleList[NMR],ROW()-1)),"Not Requested",INDEX(SampleList[Experiment ID],ROW()-1))</f>
        <v>Not Requested</v>
      </c>
      <c r="C201">
        <f>Sampling!E201</f>
        <v>0</v>
      </c>
      <c r="D201">
        <f>NMRPrep[[#This Row],['#]]</f>
        <v>0</v>
      </c>
      <c r="G2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1" t="e">
        <f>IF(ISBLANK(NMRPrep[[#This Row],[Total (uL) ]]), 0, NMRPrep[[#This Row],[1mM Maleic Acid (uL) ]]/NMRPrep[[#This Row],[Total (uL) ]])</f>
        <v>#DIV/0!</v>
      </c>
      <c r="I201">
        <f>2</f>
        <v>2</v>
      </c>
      <c r="J201">
        <f>4</f>
        <v>4</v>
      </c>
      <c r="K201">
        <f>1</f>
        <v>1</v>
      </c>
    </row>
    <row r="202" spans="1:11" hidden="1" x14ac:dyDescent="0.25">
      <c r="A202" s="1">
        <f>Sampling!D202</f>
        <v>0</v>
      </c>
      <c r="B202" t="str" cm="1">
        <f t="array" ref="B202">IF(ISBLANK(INDEX(SampleList[NMR],ROW()-1)),"Not Requested",INDEX(SampleList[Experiment ID],ROW()-1))</f>
        <v>Not Requested</v>
      </c>
      <c r="C202">
        <f>Sampling!E202</f>
        <v>0</v>
      </c>
      <c r="D202">
        <f>NMRPrep[[#This Row],['#]]</f>
        <v>0</v>
      </c>
      <c r="G2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2" t="e">
        <f>IF(ISBLANK(NMRPrep[[#This Row],[Total (uL) ]]), 0, NMRPrep[[#This Row],[1mM Maleic Acid (uL) ]]/NMRPrep[[#This Row],[Total (uL) ]])</f>
        <v>#DIV/0!</v>
      </c>
      <c r="I202">
        <f>2</f>
        <v>2</v>
      </c>
      <c r="J202">
        <f>4</f>
        <v>4</v>
      </c>
      <c r="K202">
        <f>1</f>
        <v>1</v>
      </c>
    </row>
    <row r="203" spans="1:11" hidden="1" x14ac:dyDescent="0.25">
      <c r="A203" s="1">
        <f>Sampling!D203</f>
        <v>0</v>
      </c>
      <c r="B203" t="str" cm="1">
        <f t="array" ref="B203">IF(ISBLANK(INDEX(SampleList[NMR],ROW()-1)),"Not Requested",INDEX(SampleList[Experiment ID],ROW()-1))</f>
        <v>Not Requested</v>
      </c>
      <c r="C203">
        <f>Sampling!E203</f>
        <v>0</v>
      </c>
      <c r="D203">
        <f>NMRPrep[[#This Row],['#]]</f>
        <v>0</v>
      </c>
      <c r="G2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3" t="e">
        <f>IF(ISBLANK(NMRPrep[[#This Row],[Total (uL) ]]), 0, NMRPrep[[#This Row],[1mM Maleic Acid (uL) ]]/NMRPrep[[#This Row],[Total (uL) ]])</f>
        <v>#DIV/0!</v>
      </c>
      <c r="I203">
        <f>2</f>
        <v>2</v>
      </c>
      <c r="J203">
        <f>4</f>
        <v>4</v>
      </c>
      <c r="K203">
        <f>1</f>
        <v>1</v>
      </c>
    </row>
    <row r="204" spans="1:11" hidden="1" x14ac:dyDescent="0.25">
      <c r="A204" s="1">
        <f>Sampling!D204</f>
        <v>0</v>
      </c>
      <c r="B204" t="str" cm="1">
        <f t="array" ref="B204">IF(ISBLANK(INDEX(SampleList[NMR],ROW()-1)),"Not Requested",INDEX(SampleList[Experiment ID],ROW()-1))</f>
        <v>Not Requested</v>
      </c>
      <c r="C204">
        <f>Sampling!E204</f>
        <v>0</v>
      </c>
      <c r="D204">
        <f>NMRPrep[[#This Row],['#]]</f>
        <v>0</v>
      </c>
      <c r="G2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4" t="e">
        <f>IF(ISBLANK(NMRPrep[[#This Row],[Total (uL) ]]), 0, NMRPrep[[#This Row],[1mM Maleic Acid (uL) ]]/NMRPrep[[#This Row],[Total (uL) ]])</f>
        <v>#DIV/0!</v>
      </c>
      <c r="I204">
        <f>2</f>
        <v>2</v>
      </c>
      <c r="J204">
        <f>4</f>
        <v>4</v>
      </c>
      <c r="K204">
        <f>1</f>
        <v>1</v>
      </c>
    </row>
    <row r="205" spans="1:11" hidden="1" x14ac:dyDescent="0.25">
      <c r="A205" s="1">
        <f>Sampling!D205</f>
        <v>0</v>
      </c>
      <c r="B205" t="str" cm="1">
        <f t="array" ref="B205">IF(ISBLANK(INDEX(SampleList[NMR],ROW()-1)),"Not Requested",INDEX(SampleList[Experiment ID],ROW()-1))</f>
        <v>Not Requested</v>
      </c>
      <c r="C205">
        <f>Sampling!E205</f>
        <v>0</v>
      </c>
      <c r="D205">
        <f>NMRPrep[[#This Row],['#]]</f>
        <v>0</v>
      </c>
      <c r="G2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5" t="e">
        <f>IF(ISBLANK(NMRPrep[[#This Row],[Total (uL) ]]), 0, NMRPrep[[#This Row],[1mM Maleic Acid (uL) ]]/NMRPrep[[#This Row],[Total (uL) ]])</f>
        <v>#DIV/0!</v>
      </c>
      <c r="I205">
        <f>2</f>
        <v>2</v>
      </c>
      <c r="J205">
        <f>4</f>
        <v>4</v>
      </c>
      <c r="K205">
        <f>1</f>
        <v>1</v>
      </c>
    </row>
    <row r="206" spans="1:11" hidden="1" x14ac:dyDescent="0.25">
      <c r="A206" s="1">
        <f>Sampling!D206</f>
        <v>0</v>
      </c>
      <c r="B206" t="str" cm="1">
        <f t="array" ref="B206">IF(ISBLANK(INDEX(SampleList[NMR],ROW()-1)),"Not Requested",INDEX(SampleList[Experiment ID],ROW()-1))</f>
        <v>Not Requested</v>
      </c>
      <c r="C206">
        <f>Sampling!E206</f>
        <v>0</v>
      </c>
      <c r="D206">
        <f>NMRPrep[[#This Row],['#]]</f>
        <v>0</v>
      </c>
      <c r="G2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6" t="e">
        <f>IF(ISBLANK(NMRPrep[[#This Row],[Total (uL) ]]), 0, NMRPrep[[#This Row],[1mM Maleic Acid (uL) ]]/NMRPrep[[#This Row],[Total (uL) ]])</f>
        <v>#DIV/0!</v>
      </c>
      <c r="I206">
        <f>2</f>
        <v>2</v>
      </c>
      <c r="J206">
        <f>4</f>
        <v>4</v>
      </c>
      <c r="K206">
        <f>1</f>
        <v>1</v>
      </c>
    </row>
    <row r="207" spans="1:11" hidden="1" x14ac:dyDescent="0.25">
      <c r="A207" s="1">
        <f>Sampling!D207</f>
        <v>0</v>
      </c>
      <c r="B207" t="str" cm="1">
        <f t="array" ref="B207">IF(ISBLANK(INDEX(SampleList[NMR],ROW()-1)),"Not Requested",INDEX(SampleList[Experiment ID],ROW()-1))</f>
        <v>Not Requested</v>
      </c>
      <c r="C207">
        <f>Sampling!E207</f>
        <v>0</v>
      </c>
      <c r="D207">
        <f>NMRPrep[[#This Row],['#]]</f>
        <v>0</v>
      </c>
      <c r="G2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7" t="e">
        <f>IF(ISBLANK(NMRPrep[[#This Row],[Total (uL) ]]), 0, NMRPrep[[#This Row],[1mM Maleic Acid (uL) ]]/NMRPrep[[#This Row],[Total (uL) ]])</f>
        <v>#DIV/0!</v>
      </c>
      <c r="I207">
        <f>2</f>
        <v>2</v>
      </c>
      <c r="J207">
        <f>4</f>
        <v>4</v>
      </c>
      <c r="K207">
        <f>1</f>
        <v>1</v>
      </c>
    </row>
    <row r="208" spans="1:11" hidden="1" x14ac:dyDescent="0.25">
      <c r="A208" s="1">
        <f>Sampling!D208</f>
        <v>0</v>
      </c>
      <c r="B208" t="str" cm="1">
        <f t="array" ref="B208">IF(ISBLANK(INDEX(SampleList[NMR],ROW()-1)),"Not Requested",INDEX(SampleList[Experiment ID],ROW()-1))</f>
        <v>Not Requested</v>
      </c>
      <c r="C208">
        <f>Sampling!E208</f>
        <v>0</v>
      </c>
      <c r="D208">
        <f>NMRPrep[[#This Row],['#]]</f>
        <v>0</v>
      </c>
      <c r="G2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8" t="e">
        <f>IF(ISBLANK(NMRPrep[[#This Row],[Total (uL) ]]), 0, NMRPrep[[#This Row],[1mM Maleic Acid (uL) ]]/NMRPrep[[#This Row],[Total (uL) ]])</f>
        <v>#DIV/0!</v>
      </c>
      <c r="I208">
        <f>2</f>
        <v>2</v>
      </c>
      <c r="J208">
        <f>4</f>
        <v>4</v>
      </c>
      <c r="K208">
        <f>1</f>
        <v>1</v>
      </c>
    </row>
    <row r="209" spans="1:11" hidden="1" x14ac:dyDescent="0.25">
      <c r="A209" s="1">
        <f>Sampling!D209</f>
        <v>0</v>
      </c>
      <c r="B209" t="str" cm="1">
        <f t="array" ref="B209">IF(ISBLANK(INDEX(SampleList[NMR],ROW()-1)),"Not Requested",INDEX(SampleList[Experiment ID],ROW()-1))</f>
        <v>Not Requested</v>
      </c>
      <c r="C209">
        <f>Sampling!E209</f>
        <v>0</v>
      </c>
      <c r="D209">
        <f>NMRPrep[[#This Row],['#]]</f>
        <v>0</v>
      </c>
      <c r="G2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09" t="e">
        <f>IF(ISBLANK(NMRPrep[[#This Row],[Total (uL) ]]), 0, NMRPrep[[#This Row],[1mM Maleic Acid (uL) ]]/NMRPrep[[#This Row],[Total (uL) ]])</f>
        <v>#DIV/0!</v>
      </c>
      <c r="I209">
        <f>2</f>
        <v>2</v>
      </c>
      <c r="J209">
        <f>4</f>
        <v>4</v>
      </c>
      <c r="K209">
        <f>1</f>
        <v>1</v>
      </c>
    </row>
    <row r="210" spans="1:11" hidden="1" x14ac:dyDescent="0.25">
      <c r="A210" s="1">
        <f>Sampling!D210</f>
        <v>0</v>
      </c>
      <c r="B210" t="str" cm="1">
        <f t="array" ref="B210">IF(ISBLANK(INDEX(SampleList[NMR],ROW()-1)),"Not Requested",INDEX(SampleList[Experiment ID],ROW()-1))</f>
        <v>Not Requested</v>
      </c>
      <c r="C210">
        <f>Sampling!E210</f>
        <v>0</v>
      </c>
      <c r="D210">
        <f>NMRPrep[[#This Row],['#]]</f>
        <v>0</v>
      </c>
      <c r="G2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0" t="e">
        <f>IF(ISBLANK(NMRPrep[[#This Row],[Total (uL) ]]), 0, NMRPrep[[#This Row],[1mM Maleic Acid (uL) ]]/NMRPrep[[#This Row],[Total (uL) ]])</f>
        <v>#DIV/0!</v>
      </c>
      <c r="I210">
        <f>2</f>
        <v>2</v>
      </c>
      <c r="J210">
        <f>4</f>
        <v>4</v>
      </c>
      <c r="K210">
        <f>1</f>
        <v>1</v>
      </c>
    </row>
    <row r="211" spans="1:11" hidden="1" x14ac:dyDescent="0.25">
      <c r="A211" s="1">
        <f>Sampling!D211</f>
        <v>0</v>
      </c>
      <c r="B211" t="str" cm="1">
        <f t="array" ref="B211">IF(ISBLANK(INDEX(SampleList[NMR],ROW()-1)),"Not Requested",INDEX(SampleList[Experiment ID],ROW()-1))</f>
        <v>Not Requested</v>
      </c>
      <c r="C211">
        <f>Sampling!E211</f>
        <v>0</v>
      </c>
      <c r="D211">
        <f>NMRPrep[[#This Row],['#]]</f>
        <v>0</v>
      </c>
      <c r="G2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1" t="e">
        <f>IF(ISBLANK(NMRPrep[[#This Row],[Total (uL) ]]), 0, NMRPrep[[#This Row],[1mM Maleic Acid (uL) ]]/NMRPrep[[#This Row],[Total (uL) ]])</f>
        <v>#DIV/0!</v>
      </c>
      <c r="I211">
        <f>2</f>
        <v>2</v>
      </c>
      <c r="J211">
        <f>4</f>
        <v>4</v>
      </c>
      <c r="K211">
        <f>1</f>
        <v>1</v>
      </c>
    </row>
    <row r="212" spans="1:11" hidden="1" x14ac:dyDescent="0.25">
      <c r="A212" s="1">
        <f>Sampling!D212</f>
        <v>0</v>
      </c>
      <c r="B212" t="str" cm="1">
        <f t="array" ref="B212">IF(ISBLANK(INDEX(SampleList[NMR],ROW()-1)),"Not Requested",INDEX(SampleList[Experiment ID],ROW()-1))</f>
        <v>Not Requested</v>
      </c>
      <c r="C212">
        <f>Sampling!E212</f>
        <v>0</v>
      </c>
      <c r="D212">
        <f>NMRPrep[[#This Row],['#]]</f>
        <v>0</v>
      </c>
      <c r="G2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2" t="e">
        <f>IF(ISBLANK(NMRPrep[[#This Row],[Total (uL) ]]), 0, NMRPrep[[#This Row],[1mM Maleic Acid (uL) ]]/NMRPrep[[#This Row],[Total (uL) ]])</f>
        <v>#DIV/0!</v>
      </c>
      <c r="I212">
        <f>2</f>
        <v>2</v>
      </c>
      <c r="J212">
        <f>4</f>
        <v>4</v>
      </c>
      <c r="K212">
        <f>1</f>
        <v>1</v>
      </c>
    </row>
    <row r="213" spans="1:11" hidden="1" x14ac:dyDescent="0.25">
      <c r="A213" s="1">
        <f>Sampling!D213</f>
        <v>0</v>
      </c>
      <c r="B213" t="str" cm="1">
        <f t="array" ref="B213">IF(ISBLANK(INDEX(SampleList[NMR],ROW()-1)),"Not Requested",INDEX(SampleList[Experiment ID],ROW()-1))</f>
        <v>Not Requested</v>
      </c>
      <c r="C213">
        <f>Sampling!E213</f>
        <v>0</v>
      </c>
      <c r="D213">
        <f>NMRPrep[[#This Row],['#]]</f>
        <v>0</v>
      </c>
      <c r="G2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3" t="e">
        <f>IF(ISBLANK(NMRPrep[[#This Row],[Total (uL) ]]), 0, NMRPrep[[#This Row],[1mM Maleic Acid (uL) ]]/NMRPrep[[#This Row],[Total (uL) ]])</f>
        <v>#DIV/0!</v>
      </c>
      <c r="I213">
        <f>2</f>
        <v>2</v>
      </c>
      <c r="J213">
        <f>4</f>
        <v>4</v>
      </c>
      <c r="K213">
        <f>1</f>
        <v>1</v>
      </c>
    </row>
    <row r="214" spans="1:11" hidden="1" x14ac:dyDescent="0.25">
      <c r="A214" s="1">
        <f>Sampling!D214</f>
        <v>0</v>
      </c>
      <c r="B214" t="str" cm="1">
        <f t="array" ref="B214">IF(ISBLANK(INDEX(SampleList[NMR],ROW()-1)),"Not Requested",INDEX(SampleList[Experiment ID],ROW()-1))</f>
        <v>Not Requested</v>
      </c>
      <c r="C214">
        <f>Sampling!E214</f>
        <v>0</v>
      </c>
      <c r="D214">
        <f>NMRPrep[[#This Row],['#]]</f>
        <v>0</v>
      </c>
      <c r="G2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4" t="e">
        <f>IF(ISBLANK(NMRPrep[[#This Row],[Total (uL) ]]), 0, NMRPrep[[#This Row],[1mM Maleic Acid (uL) ]]/NMRPrep[[#This Row],[Total (uL) ]])</f>
        <v>#DIV/0!</v>
      </c>
      <c r="I214">
        <f>2</f>
        <v>2</v>
      </c>
      <c r="J214">
        <f>4</f>
        <v>4</v>
      </c>
      <c r="K214">
        <f>1</f>
        <v>1</v>
      </c>
    </row>
    <row r="215" spans="1:11" hidden="1" x14ac:dyDescent="0.25">
      <c r="A215" s="1">
        <f>Sampling!D215</f>
        <v>0</v>
      </c>
      <c r="B215" t="str" cm="1">
        <f t="array" ref="B215">IF(ISBLANK(INDEX(SampleList[NMR],ROW()-1)),"Not Requested",INDEX(SampleList[Experiment ID],ROW()-1))</f>
        <v>Not Requested</v>
      </c>
      <c r="C215">
        <f>Sampling!E215</f>
        <v>0</v>
      </c>
      <c r="D215">
        <f>NMRPrep[[#This Row],['#]]</f>
        <v>0</v>
      </c>
      <c r="G2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5" t="e">
        <f>IF(ISBLANK(NMRPrep[[#This Row],[Total (uL) ]]), 0, NMRPrep[[#This Row],[1mM Maleic Acid (uL) ]]/NMRPrep[[#This Row],[Total (uL) ]])</f>
        <v>#DIV/0!</v>
      </c>
      <c r="I215">
        <f>2</f>
        <v>2</v>
      </c>
      <c r="J215">
        <f>4</f>
        <v>4</v>
      </c>
      <c r="K215">
        <f>1</f>
        <v>1</v>
      </c>
    </row>
    <row r="216" spans="1:11" hidden="1" x14ac:dyDescent="0.25">
      <c r="A216" s="1">
        <f>Sampling!D216</f>
        <v>0</v>
      </c>
      <c r="B216" t="str" cm="1">
        <f t="array" ref="B216">IF(ISBLANK(INDEX(SampleList[NMR],ROW()-1)),"Not Requested",INDEX(SampleList[Experiment ID],ROW()-1))</f>
        <v>Not Requested</v>
      </c>
      <c r="C216">
        <f>Sampling!E216</f>
        <v>0</v>
      </c>
      <c r="D216">
        <f>NMRPrep[[#This Row],['#]]</f>
        <v>0</v>
      </c>
      <c r="G2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6" t="e">
        <f>IF(ISBLANK(NMRPrep[[#This Row],[Total (uL) ]]), 0, NMRPrep[[#This Row],[1mM Maleic Acid (uL) ]]/NMRPrep[[#This Row],[Total (uL) ]])</f>
        <v>#DIV/0!</v>
      </c>
      <c r="I216">
        <f>2</f>
        <v>2</v>
      </c>
      <c r="J216">
        <f>4</f>
        <v>4</v>
      </c>
      <c r="K216">
        <f>1</f>
        <v>1</v>
      </c>
    </row>
    <row r="217" spans="1:11" hidden="1" x14ac:dyDescent="0.25">
      <c r="A217" s="1">
        <f>Sampling!D217</f>
        <v>0</v>
      </c>
      <c r="B217" t="str" cm="1">
        <f t="array" ref="B217">IF(ISBLANK(INDEX(SampleList[NMR],ROW()-1)),"Not Requested",INDEX(SampleList[Experiment ID],ROW()-1))</f>
        <v>Not Requested</v>
      </c>
      <c r="C217">
        <f>Sampling!E217</f>
        <v>0</v>
      </c>
      <c r="D217">
        <f>NMRPrep[[#This Row],['#]]</f>
        <v>0</v>
      </c>
      <c r="G2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7" t="e">
        <f>IF(ISBLANK(NMRPrep[[#This Row],[Total (uL) ]]), 0, NMRPrep[[#This Row],[1mM Maleic Acid (uL) ]]/NMRPrep[[#This Row],[Total (uL) ]])</f>
        <v>#DIV/0!</v>
      </c>
      <c r="I217">
        <f>2</f>
        <v>2</v>
      </c>
      <c r="J217">
        <f>4</f>
        <v>4</v>
      </c>
      <c r="K217">
        <f>1</f>
        <v>1</v>
      </c>
    </row>
    <row r="218" spans="1:11" hidden="1" x14ac:dyDescent="0.25">
      <c r="A218" s="1">
        <f>Sampling!D218</f>
        <v>0</v>
      </c>
      <c r="B218" t="str" cm="1">
        <f t="array" ref="B218">IF(ISBLANK(INDEX(SampleList[NMR],ROW()-1)),"Not Requested",INDEX(SampleList[Experiment ID],ROW()-1))</f>
        <v>Not Requested</v>
      </c>
      <c r="C218">
        <f>Sampling!E218</f>
        <v>0</v>
      </c>
      <c r="D218">
        <f>NMRPrep[[#This Row],['#]]</f>
        <v>0</v>
      </c>
      <c r="G2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8" t="e">
        <f>IF(ISBLANK(NMRPrep[[#This Row],[Total (uL) ]]), 0, NMRPrep[[#This Row],[1mM Maleic Acid (uL) ]]/NMRPrep[[#This Row],[Total (uL) ]])</f>
        <v>#DIV/0!</v>
      </c>
      <c r="I218">
        <f>2</f>
        <v>2</v>
      </c>
      <c r="J218">
        <f>4</f>
        <v>4</v>
      </c>
      <c r="K218">
        <f>1</f>
        <v>1</v>
      </c>
    </row>
    <row r="219" spans="1:11" hidden="1" x14ac:dyDescent="0.25">
      <c r="A219" s="1">
        <f>Sampling!D219</f>
        <v>0</v>
      </c>
      <c r="B219" t="str" cm="1">
        <f t="array" ref="B219">IF(ISBLANK(INDEX(SampleList[NMR],ROW()-1)),"Not Requested",INDEX(SampleList[Experiment ID],ROW()-1))</f>
        <v>Not Requested</v>
      </c>
      <c r="C219">
        <f>Sampling!E219</f>
        <v>0</v>
      </c>
      <c r="D219">
        <f>NMRPrep[[#This Row],['#]]</f>
        <v>0</v>
      </c>
      <c r="G2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19" t="e">
        <f>IF(ISBLANK(NMRPrep[[#This Row],[Total (uL) ]]), 0, NMRPrep[[#This Row],[1mM Maleic Acid (uL) ]]/NMRPrep[[#This Row],[Total (uL) ]])</f>
        <v>#DIV/0!</v>
      </c>
      <c r="I219">
        <f>2</f>
        <v>2</v>
      </c>
      <c r="J219">
        <f>4</f>
        <v>4</v>
      </c>
      <c r="K219">
        <f>1</f>
        <v>1</v>
      </c>
    </row>
    <row r="220" spans="1:11" hidden="1" x14ac:dyDescent="0.25">
      <c r="A220" s="1">
        <f>Sampling!D220</f>
        <v>0</v>
      </c>
      <c r="B220" t="str" cm="1">
        <f t="array" ref="B220">IF(ISBLANK(INDEX(SampleList[NMR],ROW()-1)),"Not Requested",INDEX(SampleList[Experiment ID],ROW()-1))</f>
        <v>Not Requested</v>
      </c>
      <c r="C220">
        <f>Sampling!E220</f>
        <v>0</v>
      </c>
      <c r="D220">
        <f>NMRPrep[[#This Row],['#]]</f>
        <v>0</v>
      </c>
      <c r="G2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0" t="e">
        <f>IF(ISBLANK(NMRPrep[[#This Row],[Total (uL) ]]), 0, NMRPrep[[#This Row],[1mM Maleic Acid (uL) ]]/NMRPrep[[#This Row],[Total (uL) ]])</f>
        <v>#DIV/0!</v>
      </c>
      <c r="I220">
        <f>2</f>
        <v>2</v>
      </c>
      <c r="J220">
        <f>4</f>
        <v>4</v>
      </c>
      <c r="K220">
        <f>1</f>
        <v>1</v>
      </c>
    </row>
    <row r="221" spans="1:11" hidden="1" x14ac:dyDescent="0.25">
      <c r="A221" s="1">
        <f>Sampling!D221</f>
        <v>0</v>
      </c>
      <c r="B221" t="str" cm="1">
        <f t="array" ref="B221">IF(ISBLANK(INDEX(SampleList[NMR],ROW()-1)),"Not Requested",INDEX(SampleList[Experiment ID],ROW()-1))</f>
        <v>Not Requested</v>
      </c>
      <c r="C221">
        <f>Sampling!E221</f>
        <v>0</v>
      </c>
      <c r="D221">
        <f>NMRPrep[[#This Row],['#]]</f>
        <v>0</v>
      </c>
      <c r="G2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1" t="e">
        <f>IF(ISBLANK(NMRPrep[[#This Row],[Total (uL) ]]), 0, NMRPrep[[#This Row],[1mM Maleic Acid (uL) ]]/NMRPrep[[#This Row],[Total (uL) ]])</f>
        <v>#DIV/0!</v>
      </c>
      <c r="I221">
        <f>2</f>
        <v>2</v>
      </c>
      <c r="J221">
        <f>4</f>
        <v>4</v>
      </c>
      <c r="K221">
        <f>1</f>
        <v>1</v>
      </c>
    </row>
    <row r="222" spans="1:11" hidden="1" x14ac:dyDescent="0.25">
      <c r="A222" s="1">
        <f>Sampling!D222</f>
        <v>0</v>
      </c>
      <c r="B222" t="str" cm="1">
        <f t="array" ref="B222">IF(ISBLANK(INDEX(SampleList[NMR],ROW()-1)),"Not Requested",INDEX(SampleList[Experiment ID],ROW()-1))</f>
        <v>Not Requested</v>
      </c>
      <c r="C222">
        <f>Sampling!E222</f>
        <v>0</v>
      </c>
      <c r="D222">
        <f>NMRPrep[[#This Row],['#]]</f>
        <v>0</v>
      </c>
      <c r="G2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2" t="e">
        <f>IF(ISBLANK(NMRPrep[[#This Row],[Total (uL) ]]), 0, NMRPrep[[#This Row],[1mM Maleic Acid (uL) ]]/NMRPrep[[#This Row],[Total (uL) ]])</f>
        <v>#DIV/0!</v>
      </c>
      <c r="I222">
        <f>2</f>
        <v>2</v>
      </c>
      <c r="J222">
        <f>4</f>
        <v>4</v>
      </c>
      <c r="K222">
        <f>1</f>
        <v>1</v>
      </c>
    </row>
    <row r="223" spans="1:11" hidden="1" x14ac:dyDescent="0.25">
      <c r="A223" s="1">
        <f>Sampling!D223</f>
        <v>0</v>
      </c>
      <c r="B223" t="str" cm="1">
        <f t="array" ref="B223">IF(ISBLANK(INDEX(SampleList[NMR],ROW()-1)),"Not Requested",INDEX(SampleList[Experiment ID],ROW()-1))</f>
        <v>Not Requested</v>
      </c>
      <c r="C223">
        <f>Sampling!E223</f>
        <v>0</v>
      </c>
      <c r="D223">
        <f>NMRPrep[[#This Row],['#]]</f>
        <v>0</v>
      </c>
      <c r="G2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3" t="e">
        <f>IF(ISBLANK(NMRPrep[[#This Row],[Total (uL) ]]), 0, NMRPrep[[#This Row],[1mM Maleic Acid (uL) ]]/NMRPrep[[#This Row],[Total (uL) ]])</f>
        <v>#DIV/0!</v>
      </c>
      <c r="I223">
        <f>2</f>
        <v>2</v>
      </c>
      <c r="J223">
        <f>4</f>
        <v>4</v>
      </c>
      <c r="K223">
        <f>1</f>
        <v>1</v>
      </c>
    </row>
    <row r="224" spans="1:11" hidden="1" x14ac:dyDescent="0.25">
      <c r="A224" s="1">
        <f>Sampling!D224</f>
        <v>0</v>
      </c>
      <c r="B224" t="str" cm="1">
        <f t="array" ref="B224">IF(ISBLANK(INDEX(SampleList[NMR],ROW()-1)),"Not Requested",INDEX(SampleList[Experiment ID],ROW()-1))</f>
        <v>Not Requested</v>
      </c>
      <c r="C224">
        <f>Sampling!E224</f>
        <v>0</v>
      </c>
      <c r="D224">
        <f>NMRPrep[[#This Row],['#]]</f>
        <v>0</v>
      </c>
      <c r="G2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4" t="e">
        <f>IF(ISBLANK(NMRPrep[[#This Row],[Total (uL) ]]), 0, NMRPrep[[#This Row],[1mM Maleic Acid (uL) ]]/NMRPrep[[#This Row],[Total (uL) ]])</f>
        <v>#DIV/0!</v>
      </c>
      <c r="I224">
        <f>2</f>
        <v>2</v>
      </c>
      <c r="J224">
        <f>4</f>
        <v>4</v>
      </c>
      <c r="K224">
        <f>1</f>
        <v>1</v>
      </c>
    </row>
    <row r="225" spans="1:11" hidden="1" x14ac:dyDescent="0.25">
      <c r="A225" s="1">
        <f>Sampling!D225</f>
        <v>0</v>
      </c>
      <c r="B225" t="str" cm="1">
        <f t="array" ref="B225">IF(ISBLANK(INDEX(SampleList[NMR],ROW()-1)),"Not Requested",INDEX(SampleList[Experiment ID],ROW()-1))</f>
        <v>Not Requested</v>
      </c>
      <c r="C225">
        <f>Sampling!E225</f>
        <v>0</v>
      </c>
      <c r="D225">
        <f>NMRPrep[[#This Row],['#]]</f>
        <v>0</v>
      </c>
      <c r="G2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5" t="e">
        <f>IF(ISBLANK(NMRPrep[[#This Row],[Total (uL) ]]), 0, NMRPrep[[#This Row],[1mM Maleic Acid (uL) ]]/NMRPrep[[#This Row],[Total (uL) ]])</f>
        <v>#DIV/0!</v>
      </c>
      <c r="I225">
        <f>2</f>
        <v>2</v>
      </c>
      <c r="J225">
        <f>4</f>
        <v>4</v>
      </c>
      <c r="K225">
        <f>1</f>
        <v>1</v>
      </c>
    </row>
    <row r="226" spans="1:11" hidden="1" x14ac:dyDescent="0.25">
      <c r="A226" s="1">
        <f>Sampling!D226</f>
        <v>0</v>
      </c>
      <c r="B226" t="str" cm="1">
        <f t="array" ref="B226">IF(ISBLANK(INDEX(SampleList[NMR],ROW()-1)),"Not Requested",INDEX(SampleList[Experiment ID],ROW()-1))</f>
        <v>Not Requested</v>
      </c>
      <c r="C226">
        <f>Sampling!E226</f>
        <v>0</v>
      </c>
      <c r="D226">
        <f>NMRPrep[[#This Row],['#]]</f>
        <v>0</v>
      </c>
      <c r="G2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6" t="e">
        <f>IF(ISBLANK(NMRPrep[[#This Row],[Total (uL) ]]), 0, NMRPrep[[#This Row],[1mM Maleic Acid (uL) ]]/NMRPrep[[#This Row],[Total (uL) ]])</f>
        <v>#DIV/0!</v>
      </c>
      <c r="I226">
        <f>2</f>
        <v>2</v>
      </c>
      <c r="J226">
        <f>4</f>
        <v>4</v>
      </c>
      <c r="K226">
        <f>1</f>
        <v>1</v>
      </c>
    </row>
    <row r="227" spans="1:11" hidden="1" x14ac:dyDescent="0.25">
      <c r="A227" s="1">
        <f>Sampling!D227</f>
        <v>0</v>
      </c>
      <c r="B227" t="str" cm="1">
        <f t="array" ref="B227">IF(ISBLANK(INDEX(SampleList[NMR],ROW()-1)),"Not Requested",INDEX(SampleList[Experiment ID],ROW()-1))</f>
        <v>Not Requested</v>
      </c>
      <c r="C227">
        <f>Sampling!E227</f>
        <v>0</v>
      </c>
      <c r="D227">
        <f>NMRPrep[[#This Row],['#]]</f>
        <v>0</v>
      </c>
      <c r="G2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7" t="e">
        <f>IF(ISBLANK(NMRPrep[[#This Row],[Total (uL) ]]), 0, NMRPrep[[#This Row],[1mM Maleic Acid (uL) ]]/NMRPrep[[#This Row],[Total (uL) ]])</f>
        <v>#DIV/0!</v>
      </c>
      <c r="I227">
        <f>2</f>
        <v>2</v>
      </c>
      <c r="J227">
        <f>4</f>
        <v>4</v>
      </c>
      <c r="K227">
        <f>1</f>
        <v>1</v>
      </c>
    </row>
    <row r="228" spans="1:11" hidden="1" x14ac:dyDescent="0.25">
      <c r="A228" s="1">
        <f>Sampling!D228</f>
        <v>0</v>
      </c>
      <c r="B228" t="str" cm="1">
        <f t="array" ref="B228">IF(ISBLANK(INDEX(SampleList[NMR],ROW()-1)),"Not Requested",INDEX(SampleList[Experiment ID],ROW()-1))</f>
        <v>Not Requested</v>
      </c>
      <c r="C228">
        <f>Sampling!E228</f>
        <v>0</v>
      </c>
      <c r="D228">
        <f>NMRPrep[[#This Row],['#]]</f>
        <v>0</v>
      </c>
      <c r="G2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8" t="e">
        <f>IF(ISBLANK(NMRPrep[[#This Row],[Total (uL) ]]), 0, NMRPrep[[#This Row],[1mM Maleic Acid (uL) ]]/NMRPrep[[#This Row],[Total (uL) ]])</f>
        <v>#DIV/0!</v>
      </c>
      <c r="I228">
        <f>2</f>
        <v>2</v>
      </c>
      <c r="J228">
        <f>4</f>
        <v>4</v>
      </c>
      <c r="K228">
        <f>1</f>
        <v>1</v>
      </c>
    </row>
    <row r="229" spans="1:11" hidden="1" x14ac:dyDescent="0.25">
      <c r="A229" s="1">
        <f>Sampling!D229</f>
        <v>0</v>
      </c>
      <c r="B229" t="str" cm="1">
        <f t="array" ref="B229">IF(ISBLANK(INDEX(SampleList[NMR],ROW()-1)),"Not Requested",INDEX(SampleList[Experiment ID],ROW()-1))</f>
        <v>Not Requested</v>
      </c>
      <c r="C229">
        <f>Sampling!E229</f>
        <v>0</v>
      </c>
      <c r="D229">
        <f>NMRPrep[[#This Row],['#]]</f>
        <v>0</v>
      </c>
      <c r="G2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29" t="e">
        <f>IF(ISBLANK(NMRPrep[[#This Row],[Total (uL) ]]), 0, NMRPrep[[#This Row],[1mM Maleic Acid (uL) ]]/NMRPrep[[#This Row],[Total (uL) ]])</f>
        <v>#DIV/0!</v>
      </c>
      <c r="I229">
        <f>2</f>
        <v>2</v>
      </c>
      <c r="J229">
        <f>4</f>
        <v>4</v>
      </c>
      <c r="K229">
        <f>1</f>
        <v>1</v>
      </c>
    </row>
    <row r="230" spans="1:11" hidden="1" x14ac:dyDescent="0.25">
      <c r="A230" s="1">
        <f>Sampling!D230</f>
        <v>0</v>
      </c>
      <c r="B230" t="str" cm="1">
        <f t="array" ref="B230">IF(ISBLANK(INDEX(SampleList[NMR],ROW()-1)),"Not Requested",INDEX(SampleList[Experiment ID],ROW()-1))</f>
        <v>Not Requested</v>
      </c>
      <c r="C230">
        <f>Sampling!E230</f>
        <v>0</v>
      </c>
      <c r="D230">
        <f>NMRPrep[[#This Row],['#]]</f>
        <v>0</v>
      </c>
      <c r="G2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0" t="e">
        <f>IF(ISBLANK(NMRPrep[[#This Row],[Total (uL) ]]), 0, NMRPrep[[#This Row],[1mM Maleic Acid (uL) ]]/NMRPrep[[#This Row],[Total (uL) ]])</f>
        <v>#DIV/0!</v>
      </c>
      <c r="I230">
        <f>2</f>
        <v>2</v>
      </c>
      <c r="J230">
        <f>4</f>
        <v>4</v>
      </c>
      <c r="K230">
        <f>1</f>
        <v>1</v>
      </c>
    </row>
    <row r="231" spans="1:11" hidden="1" x14ac:dyDescent="0.25">
      <c r="A231" s="1">
        <f>Sampling!D231</f>
        <v>0</v>
      </c>
      <c r="B231" t="str" cm="1">
        <f t="array" ref="B231">IF(ISBLANK(INDEX(SampleList[NMR],ROW()-1)),"Not Requested",INDEX(SampleList[Experiment ID],ROW()-1))</f>
        <v>Not Requested</v>
      </c>
      <c r="C231">
        <f>Sampling!E231</f>
        <v>0</v>
      </c>
      <c r="D231">
        <f>NMRPrep[[#This Row],['#]]</f>
        <v>0</v>
      </c>
      <c r="G2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1" t="e">
        <f>IF(ISBLANK(NMRPrep[[#This Row],[Total (uL) ]]), 0, NMRPrep[[#This Row],[1mM Maleic Acid (uL) ]]/NMRPrep[[#This Row],[Total (uL) ]])</f>
        <v>#DIV/0!</v>
      </c>
      <c r="I231">
        <f>2</f>
        <v>2</v>
      </c>
      <c r="J231">
        <f>4</f>
        <v>4</v>
      </c>
      <c r="K231">
        <f>1</f>
        <v>1</v>
      </c>
    </row>
    <row r="232" spans="1:11" hidden="1" x14ac:dyDescent="0.25">
      <c r="A232" s="1">
        <f>Sampling!D232</f>
        <v>0</v>
      </c>
      <c r="B232" t="str" cm="1">
        <f t="array" ref="B232">IF(ISBLANK(INDEX(SampleList[NMR],ROW()-1)),"Not Requested",INDEX(SampleList[Experiment ID],ROW()-1))</f>
        <v>Not Requested</v>
      </c>
      <c r="C232">
        <f>Sampling!E232</f>
        <v>0</v>
      </c>
      <c r="D232">
        <f>NMRPrep[[#This Row],['#]]</f>
        <v>0</v>
      </c>
      <c r="G2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2" t="e">
        <f>IF(ISBLANK(NMRPrep[[#This Row],[Total (uL) ]]), 0, NMRPrep[[#This Row],[1mM Maleic Acid (uL) ]]/NMRPrep[[#This Row],[Total (uL) ]])</f>
        <v>#DIV/0!</v>
      </c>
      <c r="I232">
        <f>2</f>
        <v>2</v>
      </c>
      <c r="J232">
        <f>4</f>
        <v>4</v>
      </c>
      <c r="K232">
        <f>1</f>
        <v>1</v>
      </c>
    </row>
    <row r="233" spans="1:11" hidden="1" x14ac:dyDescent="0.25">
      <c r="A233" s="1">
        <f>Sampling!D233</f>
        <v>0</v>
      </c>
      <c r="B233" t="str" cm="1">
        <f t="array" ref="B233">IF(ISBLANK(INDEX(SampleList[NMR],ROW()-1)),"Not Requested",INDEX(SampleList[Experiment ID],ROW()-1))</f>
        <v>Not Requested</v>
      </c>
      <c r="C233">
        <f>Sampling!E233</f>
        <v>0</v>
      </c>
      <c r="D233">
        <f>NMRPrep[[#This Row],['#]]</f>
        <v>0</v>
      </c>
      <c r="G2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3" t="e">
        <f>IF(ISBLANK(NMRPrep[[#This Row],[Total (uL) ]]), 0, NMRPrep[[#This Row],[1mM Maleic Acid (uL) ]]/NMRPrep[[#This Row],[Total (uL) ]])</f>
        <v>#DIV/0!</v>
      </c>
      <c r="I233">
        <f>2</f>
        <v>2</v>
      </c>
      <c r="J233">
        <f>4</f>
        <v>4</v>
      </c>
      <c r="K233">
        <f>1</f>
        <v>1</v>
      </c>
    </row>
    <row r="234" spans="1:11" hidden="1" x14ac:dyDescent="0.25">
      <c r="A234" s="1">
        <f>Sampling!D234</f>
        <v>0</v>
      </c>
      <c r="B234" t="str" cm="1">
        <f t="array" ref="B234">IF(ISBLANK(INDEX(SampleList[NMR],ROW()-1)),"Not Requested",INDEX(SampleList[Experiment ID],ROW()-1))</f>
        <v>Not Requested</v>
      </c>
      <c r="C234">
        <f>Sampling!E234</f>
        <v>0</v>
      </c>
      <c r="D234">
        <f>NMRPrep[[#This Row],['#]]</f>
        <v>0</v>
      </c>
      <c r="G2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4" t="e">
        <f>IF(ISBLANK(NMRPrep[[#This Row],[Total (uL) ]]), 0, NMRPrep[[#This Row],[1mM Maleic Acid (uL) ]]/NMRPrep[[#This Row],[Total (uL) ]])</f>
        <v>#DIV/0!</v>
      </c>
      <c r="I234">
        <f>2</f>
        <v>2</v>
      </c>
      <c r="J234">
        <f>4</f>
        <v>4</v>
      </c>
      <c r="K234">
        <f>1</f>
        <v>1</v>
      </c>
    </row>
    <row r="235" spans="1:11" hidden="1" x14ac:dyDescent="0.25">
      <c r="A235" s="1">
        <f>Sampling!D235</f>
        <v>0</v>
      </c>
      <c r="B235" t="str" cm="1">
        <f t="array" ref="B235">IF(ISBLANK(INDEX(SampleList[NMR],ROW()-1)),"Not Requested",INDEX(SampleList[Experiment ID],ROW()-1))</f>
        <v>Not Requested</v>
      </c>
      <c r="C235">
        <f>Sampling!E235</f>
        <v>0</v>
      </c>
      <c r="D235">
        <f>NMRPrep[[#This Row],['#]]</f>
        <v>0</v>
      </c>
      <c r="G2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5" t="e">
        <f>IF(ISBLANK(NMRPrep[[#This Row],[Total (uL) ]]), 0, NMRPrep[[#This Row],[1mM Maleic Acid (uL) ]]/NMRPrep[[#This Row],[Total (uL) ]])</f>
        <v>#DIV/0!</v>
      </c>
      <c r="I235">
        <f>2</f>
        <v>2</v>
      </c>
      <c r="J235">
        <f>4</f>
        <v>4</v>
      </c>
      <c r="K235">
        <f>1</f>
        <v>1</v>
      </c>
    </row>
    <row r="236" spans="1:11" hidden="1" x14ac:dyDescent="0.25">
      <c r="A236" s="1">
        <f>Sampling!D236</f>
        <v>0</v>
      </c>
      <c r="B236" t="str" cm="1">
        <f t="array" ref="B236">IF(ISBLANK(INDEX(SampleList[NMR],ROW()-1)),"Not Requested",INDEX(SampleList[Experiment ID],ROW()-1))</f>
        <v>Not Requested</v>
      </c>
      <c r="C236">
        <f>Sampling!E236</f>
        <v>0</v>
      </c>
      <c r="D236">
        <f>NMRPrep[[#This Row],['#]]</f>
        <v>0</v>
      </c>
      <c r="G2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6" t="e">
        <f>IF(ISBLANK(NMRPrep[[#This Row],[Total (uL) ]]), 0, NMRPrep[[#This Row],[1mM Maleic Acid (uL) ]]/NMRPrep[[#This Row],[Total (uL) ]])</f>
        <v>#DIV/0!</v>
      </c>
      <c r="I236">
        <f>2</f>
        <v>2</v>
      </c>
      <c r="J236">
        <f>4</f>
        <v>4</v>
      </c>
      <c r="K236">
        <f>1</f>
        <v>1</v>
      </c>
    </row>
    <row r="237" spans="1:11" hidden="1" x14ac:dyDescent="0.25">
      <c r="A237" s="1">
        <f>Sampling!D237</f>
        <v>0</v>
      </c>
      <c r="B237" t="str" cm="1">
        <f t="array" ref="B237">IF(ISBLANK(INDEX(SampleList[NMR],ROW()-1)),"Not Requested",INDEX(SampleList[Experiment ID],ROW()-1))</f>
        <v>Not Requested</v>
      </c>
      <c r="C237">
        <f>Sampling!E237</f>
        <v>0</v>
      </c>
      <c r="D237">
        <f>NMRPrep[[#This Row],['#]]</f>
        <v>0</v>
      </c>
      <c r="G2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7" t="e">
        <f>IF(ISBLANK(NMRPrep[[#This Row],[Total (uL) ]]), 0, NMRPrep[[#This Row],[1mM Maleic Acid (uL) ]]/NMRPrep[[#This Row],[Total (uL) ]])</f>
        <v>#DIV/0!</v>
      </c>
      <c r="I237">
        <f>2</f>
        <v>2</v>
      </c>
      <c r="J237">
        <f>4</f>
        <v>4</v>
      </c>
      <c r="K237">
        <f>1</f>
        <v>1</v>
      </c>
    </row>
    <row r="238" spans="1:11" hidden="1" x14ac:dyDescent="0.25">
      <c r="A238" s="1">
        <f>Sampling!D238</f>
        <v>0</v>
      </c>
      <c r="B238" t="str" cm="1">
        <f t="array" ref="B238">IF(ISBLANK(INDEX(SampleList[NMR],ROW()-1)),"Not Requested",INDEX(SampleList[Experiment ID],ROW()-1))</f>
        <v>Not Requested</v>
      </c>
      <c r="C238">
        <f>Sampling!E236</f>
        <v>0</v>
      </c>
      <c r="D238">
        <f>NMRPrep[[#This Row],['#]]</f>
        <v>0</v>
      </c>
      <c r="G2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8" t="e">
        <f>IF(ISBLANK(NMRPrep[[#This Row],[Total (uL) ]]), 0, NMRPrep[[#This Row],[1mM Maleic Acid (uL) ]]/NMRPrep[[#This Row],[Total (uL) ]])</f>
        <v>#DIV/0!</v>
      </c>
      <c r="I238">
        <f>2</f>
        <v>2</v>
      </c>
      <c r="J238">
        <f>4</f>
        <v>4</v>
      </c>
      <c r="K238">
        <f>1</f>
        <v>1</v>
      </c>
    </row>
    <row r="239" spans="1:11" hidden="1" x14ac:dyDescent="0.25">
      <c r="A239" s="1">
        <f>Sampling!D239</f>
        <v>0</v>
      </c>
      <c r="B239" t="str" cm="1">
        <f t="array" ref="B239">IF(ISBLANK(INDEX(SampleList[NMR],ROW()-1)),"Not Requested",INDEX(SampleList[Experiment ID],ROW()-1))</f>
        <v>Not Requested</v>
      </c>
      <c r="C239">
        <f>Sampling!E237</f>
        <v>0</v>
      </c>
      <c r="D239">
        <f>NMRPrep[[#This Row],['#]]</f>
        <v>0</v>
      </c>
      <c r="G2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39" t="e">
        <f>IF(ISBLANK(NMRPrep[[#This Row],[Total (uL) ]]), 0, NMRPrep[[#This Row],[1mM Maleic Acid (uL) ]]/NMRPrep[[#This Row],[Total (uL) ]])</f>
        <v>#DIV/0!</v>
      </c>
      <c r="I239">
        <f>2</f>
        <v>2</v>
      </c>
      <c r="J239">
        <f>4</f>
        <v>4</v>
      </c>
      <c r="K239">
        <f>1</f>
        <v>1</v>
      </c>
    </row>
    <row r="240" spans="1:11" hidden="1" x14ac:dyDescent="0.25">
      <c r="A240" s="1">
        <f>Sampling!D240</f>
        <v>0</v>
      </c>
      <c r="B240" t="str" cm="1">
        <f t="array" ref="B240">IF(ISBLANK(INDEX(SampleList[NMR],ROW()-1)),"Not Requested",INDEX(SampleList[Experiment ID],ROW()-1))</f>
        <v>Not Requested</v>
      </c>
      <c r="C240">
        <f>Sampling!E238</f>
        <v>0</v>
      </c>
      <c r="D240">
        <f>NMRPrep[[#This Row],['#]]</f>
        <v>0</v>
      </c>
      <c r="G2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0" t="e">
        <f>IF(ISBLANK(NMRPrep[[#This Row],[Total (uL) ]]), 0, NMRPrep[[#This Row],[1mM Maleic Acid (uL) ]]/NMRPrep[[#This Row],[Total (uL) ]])</f>
        <v>#DIV/0!</v>
      </c>
      <c r="I240">
        <f>2</f>
        <v>2</v>
      </c>
      <c r="J240">
        <f>4</f>
        <v>4</v>
      </c>
      <c r="K240">
        <f>1</f>
        <v>1</v>
      </c>
    </row>
    <row r="241" spans="1:11" hidden="1" x14ac:dyDescent="0.25">
      <c r="A241" s="1">
        <f>Sampling!D241</f>
        <v>0</v>
      </c>
      <c r="B241" t="str" cm="1">
        <f t="array" ref="B241">IF(ISBLANK(INDEX(SampleList[NMR],ROW()-1)),"Not Requested",INDEX(SampleList[Experiment ID],ROW()-1))</f>
        <v>Not Requested</v>
      </c>
      <c r="C241">
        <f>Sampling!E239</f>
        <v>0</v>
      </c>
      <c r="D241">
        <f>NMRPrep[[#This Row],['#]]</f>
        <v>0</v>
      </c>
      <c r="G2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1" t="e">
        <f>IF(ISBLANK(NMRPrep[[#This Row],[Total (uL) ]]), 0, NMRPrep[[#This Row],[1mM Maleic Acid (uL) ]]/NMRPrep[[#This Row],[Total (uL) ]])</f>
        <v>#DIV/0!</v>
      </c>
      <c r="I241">
        <f>2</f>
        <v>2</v>
      </c>
      <c r="J241">
        <f>4</f>
        <v>4</v>
      </c>
      <c r="K241">
        <f>1</f>
        <v>1</v>
      </c>
    </row>
    <row r="242" spans="1:11" hidden="1" x14ac:dyDescent="0.25">
      <c r="A242" s="1">
        <f>Sampling!D242</f>
        <v>0</v>
      </c>
      <c r="B242" t="str" cm="1">
        <f t="array" ref="B242">IF(ISBLANK(INDEX(SampleList[NMR],ROW()-1)),"Not Requested",INDEX(SampleList[Experiment ID],ROW()-1))</f>
        <v>Not Requested</v>
      </c>
      <c r="C242">
        <f>Sampling!E240</f>
        <v>0</v>
      </c>
      <c r="D242">
        <f>NMRPrep[[#This Row],['#]]</f>
        <v>0</v>
      </c>
      <c r="G2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2" t="e">
        <f>IF(ISBLANK(NMRPrep[[#This Row],[Total (uL) ]]), 0, NMRPrep[[#This Row],[1mM Maleic Acid (uL) ]]/NMRPrep[[#This Row],[Total (uL) ]])</f>
        <v>#DIV/0!</v>
      </c>
      <c r="I242">
        <f>2</f>
        <v>2</v>
      </c>
      <c r="J242">
        <f>4</f>
        <v>4</v>
      </c>
      <c r="K242">
        <f>1</f>
        <v>1</v>
      </c>
    </row>
    <row r="243" spans="1:11" hidden="1" x14ac:dyDescent="0.25">
      <c r="A243" s="1">
        <f>Sampling!D243</f>
        <v>0</v>
      </c>
      <c r="B243" t="str" cm="1">
        <f t="array" ref="B243">IF(ISBLANK(INDEX(SampleList[NMR],ROW()-1)),"Not Requested",INDEX(SampleList[Experiment ID],ROW()-1))</f>
        <v>Not Requested</v>
      </c>
      <c r="C243">
        <f>Sampling!E241</f>
        <v>0</v>
      </c>
      <c r="D243">
        <f>NMRPrep[[#This Row],['#]]</f>
        <v>0</v>
      </c>
      <c r="G2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3" t="e">
        <f>IF(ISBLANK(NMRPrep[[#This Row],[Total (uL) ]]), 0, NMRPrep[[#This Row],[1mM Maleic Acid (uL) ]]/NMRPrep[[#This Row],[Total (uL) ]])</f>
        <v>#DIV/0!</v>
      </c>
      <c r="I243">
        <f>2</f>
        <v>2</v>
      </c>
      <c r="J243">
        <f>4</f>
        <v>4</v>
      </c>
      <c r="K243">
        <f>1</f>
        <v>1</v>
      </c>
    </row>
    <row r="244" spans="1:11" hidden="1" x14ac:dyDescent="0.25">
      <c r="A244" s="1">
        <f>Sampling!D244</f>
        <v>0</v>
      </c>
      <c r="B244" t="str" cm="1">
        <f t="array" ref="B244">IF(ISBLANK(INDEX(SampleList[NMR],ROW()-1)),"Not Requested",INDEX(SampleList[Experiment ID],ROW()-1))</f>
        <v>Not Requested</v>
      </c>
      <c r="C244">
        <f>Sampling!E242</f>
        <v>0</v>
      </c>
      <c r="D244">
        <f>NMRPrep[[#This Row],['#]]</f>
        <v>0</v>
      </c>
      <c r="G2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4" t="e">
        <f>IF(ISBLANK(NMRPrep[[#This Row],[Total (uL) ]]), 0, NMRPrep[[#This Row],[1mM Maleic Acid (uL) ]]/NMRPrep[[#This Row],[Total (uL) ]])</f>
        <v>#DIV/0!</v>
      </c>
      <c r="I244">
        <f>2</f>
        <v>2</v>
      </c>
      <c r="J244">
        <f>4</f>
        <v>4</v>
      </c>
      <c r="K244">
        <f>1</f>
        <v>1</v>
      </c>
    </row>
    <row r="245" spans="1:11" hidden="1" x14ac:dyDescent="0.25">
      <c r="A245" s="1">
        <f>Sampling!D245</f>
        <v>0</v>
      </c>
      <c r="B245" t="str" cm="1">
        <f t="array" ref="B245">IF(ISBLANK(INDEX(SampleList[NMR],ROW()-1)),"Not Requested",INDEX(SampleList[Experiment ID],ROW()-1))</f>
        <v>Not Requested</v>
      </c>
      <c r="C245">
        <f>Sampling!E243</f>
        <v>0</v>
      </c>
      <c r="D245">
        <f>NMRPrep[[#This Row],['#]]</f>
        <v>0</v>
      </c>
      <c r="G2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5" t="e">
        <f>IF(ISBLANK(NMRPrep[[#This Row],[Total (uL) ]]), 0, NMRPrep[[#This Row],[1mM Maleic Acid (uL) ]]/NMRPrep[[#This Row],[Total (uL) ]])</f>
        <v>#DIV/0!</v>
      </c>
      <c r="I245">
        <f>2</f>
        <v>2</v>
      </c>
      <c r="J245">
        <f>4</f>
        <v>4</v>
      </c>
      <c r="K245">
        <f>1</f>
        <v>1</v>
      </c>
    </row>
    <row r="246" spans="1:11" hidden="1" x14ac:dyDescent="0.25">
      <c r="A246" s="1">
        <f>Sampling!D246</f>
        <v>0</v>
      </c>
      <c r="B246" t="str" cm="1">
        <f t="array" ref="B246">IF(ISBLANK(INDEX(SampleList[NMR],ROW()-1)),"Not Requested",INDEX(SampleList[Experiment ID],ROW()-1))</f>
        <v>Not Requested</v>
      </c>
      <c r="C246">
        <f>Sampling!E244</f>
        <v>0</v>
      </c>
      <c r="D246">
        <f>NMRPrep[[#This Row],['#]]</f>
        <v>0</v>
      </c>
      <c r="G2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6" t="e">
        <f>IF(ISBLANK(NMRPrep[[#This Row],[Total (uL) ]]), 0, NMRPrep[[#This Row],[1mM Maleic Acid (uL) ]]/NMRPrep[[#This Row],[Total (uL) ]])</f>
        <v>#DIV/0!</v>
      </c>
      <c r="I246">
        <f>2</f>
        <v>2</v>
      </c>
      <c r="J246">
        <f>4</f>
        <v>4</v>
      </c>
      <c r="K246">
        <f>1</f>
        <v>1</v>
      </c>
    </row>
    <row r="247" spans="1:11" hidden="1" x14ac:dyDescent="0.25">
      <c r="A247" s="1">
        <f>Sampling!D247</f>
        <v>0</v>
      </c>
      <c r="B247" t="str" cm="1">
        <f t="array" ref="B247">IF(ISBLANK(INDEX(SampleList[NMR],ROW()-1)),"Not Requested",INDEX(SampleList[Experiment ID],ROW()-1))</f>
        <v>Not Requested</v>
      </c>
      <c r="C247">
        <f>Sampling!E245</f>
        <v>0</v>
      </c>
      <c r="D247">
        <f>NMRPrep[[#This Row],['#]]</f>
        <v>0</v>
      </c>
      <c r="G2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7" t="e">
        <f>IF(ISBLANK(NMRPrep[[#This Row],[Total (uL) ]]), 0, NMRPrep[[#This Row],[1mM Maleic Acid (uL) ]]/NMRPrep[[#This Row],[Total (uL) ]])</f>
        <v>#DIV/0!</v>
      </c>
      <c r="I247">
        <f>2</f>
        <v>2</v>
      </c>
      <c r="J247">
        <f>4</f>
        <v>4</v>
      </c>
      <c r="K247">
        <f>1</f>
        <v>1</v>
      </c>
    </row>
    <row r="248" spans="1:11" hidden="1" x14ac:dyDescent="0.25">
      <c r="A248" s="1">
        <f>Sampling!D248</f>
        <v>0</v>
      </c>
      <c r="B248" t="str" cm="1">
        <f t="array" ref="B248">IF(ISBLANK(INDEX(SampleList[NMR],ROW()-1)),"Not Requested",INDEX(SampleList[Experiment ID],ROW()-1))</f>
        <v>Not Requested</v>
      </c>
      <c r="C248">
        <f>Sampling!E246</f>
        <v>0</v>
      </c>
      <c r="D248">
        <f>NMRPrep[[#This Row],['#]]</f>
        <v>0</v>
      </c>
      <c r="G2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8" t="e">
        <f>IF(ISBLANK(NMRPrep[[#This Row],[Total (uL) ]]), 0, NMRPrep[[#This Row],[1mM Maleic Acid (uL) ]]/NMRPrep[[#This Row],[Total (uL) ]])</f>
        <v>#DIV/0!</v>
      </c>
      <c r="I248">
        <f>2</f>
        <v>2</v>
      </c>
      <c r="J248">
        <f>4</f>
        <v>4</v>
      </c>
      <c r="K248">
        <f>1</f>
        <v>1</v>
      </c>
    </row>
    <row r="249" spans="1:11" hidden="1" x14ac:dyDescent="0.25">
      <c r="A249" s="1">
        <f>Sampling!D249</f>
        <v>0</v>
      </c>
      <c r="B249" t="str" cm="1">
        <f t="array" ref="B249">IF(ISBLANK(INDEX(SampleList[NMR],ROW()-1)),"Not Requested",INDEX(SampleList[Experiment ID],ROW()-1))</f>
        <v>Not Requested</v>
      </c>
      <c r="C249">
        <f>Sampling!E247</f>
        <v>0</v>
      </c>
      <c r="D249">
        <f>NMRPrep[[#This Row],['#]]</f>
        <v>0</v>
      </c>
      <c r="G2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49" t="e">
        <f>IF(ISBLANK(NMRPrep[[#This Row],[Total (uL) ]]), 0, NMRPrep[[#This Row],[1mM Maleic Acid (uL) ]]/NMRPrep[[#This Row],[Total (uL) ]])</f>
        <v>#DIV/0!</v>
      </c>
      <c r="I249">
        <f>2</f>
        <v>2</v>
      </c>
      <c r="J249">
        <f>4</f>
        <v>4</v>
      </c>
      <c r="K249">
        <f>1</f>
        <v>1</v>
      </c>
    </row>
    <row r="250" spans="1:11" hidden="1" x14ac:dyDescent="0.25">
      <c r="A250" s="1">
        <f>Sampling!D250</f>
        <v>0</v>
      </c>
      <c r="B250" t="str" cm="1">
        <f t="array" ref="B250">IF(ISBLANK(INDEX(SampleList[NMR],ROW()-1)),"Not Requested",INDEX(SampleList[Experiment ID],ROW()-1))</f>
        <v>Not Requested</v>
      </c>
      <c r="C250">
        <f>Sampling!E248</f>
        <v>0</v>
      </c>
      <c r="D250">
        <f>NMRPrep[[#This Row],['#]]</f>
        <v>0</v>
      </c>
      <c r="G2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0" t="e">
        <f>IF(ISBLANK(NMRPrep[[#This Row],[Total (uL) ]]), 0, NMRPrep[[#This Row],[1mM Maleic Acid (uL) ]]/NMRPrep[[#This Row],[Total (uL) ]])</f>
        <v>#DIV/0!</v>
      </c>
      <c r="I250">
        <f>2</f>
        <v>2</v>
      </c>
      <c r="J250">
        <f>4</f>
        <v>4</v>
      </c>
      <c r="K250">
        <f>1</f>
        <v>1</v>
      </c>
    </row>
    <row r="251" spans="1:11" hidden="1" x14ac:dyDescent="0.25">
      <c r="A251" s="1">
        <f>Sampling!D251</f>
        <v>0</v>
      </c>
      <c r="B251" t="str" cm="1">
        <f t="array" ref="B251">IF(ISBLANK(INDEX(SampleList[NMR],ROW()-1)),"Not Requested",INDEX(SampleList[Experiment ID],ROW()-1))</f>
        <v>Not Requested</v>
      </c>
      <c r="C251">
        <f>Sampling!E249</f>
        <v>0</v>
      </c>
      <c r="D251">
        <f>NMRPrep[[#This Row],['#]]</f>
        <v>0</v>
      </c>
      <c r="G2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1" t="e">
        <f>IF(ISBLANK(NMRPrep[[#This Row],[Total (uL) ]]), 0, NMRPrep[[#This Row],[1mM Maleic Acid (uL) ]]/NMRPrep[[#This Row],[Total (uL) ]])</f>
        <v>#DIV/0!</v>
      </c>
      <c r="I251">
        <f>2</f>
        <v>2</v>
      </c>
      <c r="J251">
        <f>4</f>
        <v>4</v>
      </c>
      <c r="K251">
        <f>1</f>
        <v>1</v>
      </c>
    </row>
    <row r="252" spans="1:11" hidden="1" x14ac:dyDescent="0.25">
      <c r="A252" s="1">
        <f>Sampling!D252</f>
        <v>0</v>
      </c>
      <c r="B252" t="str" cm="1">
        <f t="array" ref="B252">IF(ISBLANK(INDEX(SampleList[NMR],ROW()-1)),"Not Requested",INDEX(SampleList[Experiment ID],ROW()-1))</f>
        <v>Not Requested</v>
      </c>
      <c r="C252">
        <f>Sampling!E250</f>
        <v>0</v>
      </c>
      <c r="D252">
        <f>NMRPrep[[#This Row],['#]]</f>
        <v>0</v>
      </c>
      <c r="G2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2" t="e">
        <f>IF(ISBLANK(NMRPrep[[#This Row],[Total (uL) ]]), 0, NMRPrep[[#This Row],[1mM Maleic Acid (uL) ]]/NMRPrep[[#This Row],[Total (uL) ]])</f>
        <v>#DIV/0!</v>
      </c>
      <c r="I252">
        <f>2</f>
        <v>2</v>
      </c>
      <c r="J252">
        <f>4</f>
        <v>4</v>
      </c>
      <c r="K252">
        <f>1</f>
        <v>1</v>
      </c>
    </row>
    <row r="253" spans="1:11" hidden="1" x14ac:dyDescent="0.25">
      <c r="A253" s="1">
        <f>Sampling!D253</f>
        <v>0</v>
      </c>
      <c r="B253" t="str" cm="1">
        <f t="array" ref="B253">IF(ISBLANK(INDEX(SampleList[NMR],ROW()-1)),"Not Requested",INDEX(SampleList[Experiment ID],ROW()-1))</f>
        <v>Not Requested</v>
      </c>
      <c r="C253">
        <f>Sampling!E251</f>
        <v>0</v>
      </c>
      <c r="D253">
        <f>NMRPrep[[#This Row],['#]]</f>
        <v>0</v>
      </c>
      <c r="G2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3" t="e">
        <f>IF(ISBLANK(NMRPrep[[#This Row],[Total (uL) ]]), 0, NMRPrep[[#This Row],[1mM Maleic Acid (uL) ]]/NMRPrep[[#This Row],[Total (uL) ]])</f>
        <v>#DIV/0!</v>
      </c>
      <c r="I253">
        <f>2</f>
        <v>2</v>
      </c>
      <c r="J253">
        <f>4</f>
        <v>4</v>
      </c>
      <c r="K253">
        <f>1</f>
        <v>1</v>
      </c>
    </row>
    <row r="254" spans="1:11" hidden="1" x14ac:dyDescent="0.25">
      <c r="A254" s="1">
        <f>Sampling!D254</f>
        <v>0</v>
      </c>
      <c r="B254" t="str" cm="1">
        <f t="array" ref="B254">IF(ISBLANK(INDEX(SampleList[NMR],ROW()-1)),"Not Requested",INDEX(SampleList[Experiment ID],ROW()-1))</f>
        <v>Not Requested</v>
      </c>
      <c r="C254">
        <f>Sampling!E252</f>
        <v>0</v>
      </c>
      <c r="D254">
        <f>NMRPrep[[#This Row],['#]]</f>
        <v>0</v>
      </c>
      <c r="G2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4" t="e">
        <f>IF(ISBLANK(NMRPrep[[#This Row],[Total (uL) ]]), 0, NMRPrep[[#This Row],[1mM Maleic Acid (uL) ]]/NMRPrep[[#This Row],[Total (uL) ]])</f>
        <v>#DIV/0!</v>
      </c>
      <c r="I254">
        <f>2</f>
        <v>2</v>
      </c>
      <c r="J254">
        <f>4</f>
        <v>4</v>
      </c>
      <c r="K254">
        <f>1</f>
        <v>1</v>
      </c>
    </row>
    <row r="255" spans="1:11" hidden="1" x14ac:dyDescent="0.25">
      <c r="A255" s="1">
        <f>Sampling!D255</f>
        <v>0</v>
      </c>
      <c r="B255" t="str" cm="1">
        <f t="array" ref="B255">IF(ISBLANK(INDEX(SampleList[NMR],ROW()-1)),"Not Requested",INDEX(SampleList[Experiment ID],ROW()-1))</f>
        <v>Not Requested</v>
      </c>
      <c r="C255">
        <f>Sampling!E253</f>
        <v>0</v>
      </c>
      <c r="D255">
        <f>NMRPrep[[#This Row],['#]]</f>
        <v>0</v>
      </c>
      <c r="G2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5" t="e">
        <f>IF(ISBLANK(NMRPrep[[#This Row],[Total (uL) ]]), 0, NMRPrep[[#This Row],[1mM Maleic Acid (uL) ]]/NMRPrep[[#This Row],[Total (uL) ]])</f>
        <v>#DIV/0!</v>
      </c>
      <c r="I255">
        <f>2</f>
        <v>2</v>
      </c>
      <c r="J255">
        <f>4</f>
        <v>4</v>
      </c>
      <c r="K255">
        <f>1</f>
        <v>1</v>
      </c>
    </row>
    <row r="256" spans="1:11" hidden="1" x14ac:dyDescent="0.25">
      <c r="A256" s="1">
        <f>Sampling!D256</f>
        <v>0</v>
      </c>
      <c r="B256" t="str" cm="1">
        <f t="array" ref="B256">IF(ISBLANK(INDEX(SampleList[NMR],ROW()-1)),"Not Requested",INDEX(SampleList[Experiment ID],ROW()-1))</f>
        <v>Not Requested</v>
      </c>
      <c r="C256">
        <f>Sampling!E254</f>
        <v>0</v>
      </c>
      <c r="D256">
        <f>NMRPrep[[#This Row],['#]]</f>
        <v>0</v>
      </c>
      <c r="G2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6" t="e">
        <f>IF(ISBLANK(NMRPrep[[#This Row],[Total (uL) ]]), 0, NMRPrep[[#This Row],[1mM Maleic Acid (uL) ]]/NMRPrep[[#This Row],[Total (uL) ]])</f>
        <v>#DIV/0!</v>
      </c>
      <c r="I256">
        <f>2</f>
        <v>2</v>
      </c>
      <c r="J256">
        <f>4</f>
        <v>4</v>
      </c>
      <c r="K256">
        <f>1</f>
        <v>1</v>
      </c>
    </row>
    <row r="257" spans="1:11" hidden="1" x14ac:dyDescent="0.25">
      <c r="A257" s="1">
        <f>Sampling!D257</f>
        <v>0</v>
      </c>
      <c r="B257" t="str" cm="1">
        <f t="array" ref="B257">IF(ISBLANK(INDEX(SampleList[NMR],ROW()-1)),"Not Requested",INDEX(SampleList[Experiment ID],ROW()-1))</f>
        <v>Not Requested</v>
      </c>
      <c r="C257">
        <f>Sampling!E255</f>
        <v>0</v>
      </c>
      <c r="D257">
        <f>NMRPrep[[#This Row],['#]]</f>
        <v>0</v>
      </c>
      <c r="G2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7" t="e">
        <f>IF(ISBLANK(NMRPrep[[#This Row],[Total (uL) ]]), 0, NMRPrep[[#This Row],[1mM Maleic Acid (uL) ]]/NMRPrep[[#This Row],[Total (uL) ]])</f>
        <v>#DIV/0!</v>
      </c>
      <c r="I257">
        <f>2</f>
        <v>2</v>
      </c>
      <c r="J257">
        <f>4</f>
        <v>4</v>
      </c>
      <c r="K257">
        <f>1</f>
        <v>1</v>
      </c>
    </row>
    <row r="258" spans="1:11" hidden="1" x14ac:dyDescent="0.25">
      <c r="A258" s="1">
        <f>Sampling!D258</f>
        <v>0</v>
      </c>
      <c r="B258" t="str" cm="1">
        <f t="array" ref="B258">IF(ISBLANK(INDEX(SampleList[NMR],ROW()-1)),"Not Requested",INDEX(SampleList[Experiment ID],ROW()-1))</f>
        <v>Not Requested</v>
      </c>
      <c r="C258">
        <f>Sampling!E256</f>
        <v>0</v>
      </c>
      <c r="D258">
        <f>NMRPrep[[#This Row],['#]]</f>
        <v>0</v>
      </c>
      <c r="G2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8" t="e">
        <f>IF(ISBLANK(NMRPrep[[#This Row],[Total (uL) ]]), 0, NMRPrep[[#This Row],[1mM Maleic Acid (uL) ]]/NMRPrep[[#This Row],[Total (uL) ]])</f>
        <v>#DIV/0!</v>
      </c>
      <c r="I258">
        <f>2</f>
        <v>2</v>
      </c>
      <c r="J258">
        <f>4</f>
        <v>4</v>
      </c>
      <c r="K258">
        <f>1</f>
        <v>1</v>
      </c>
    </row>
    <row r="259" spans="1:11" hidden="1" x14ac:dyDescent="0.25">
      <c r="A259" s="1">
        <f>Sampling!D259</f>
        <v>0</v>
      </c>
      <c r="B259" t="str" cm="1">
        <f t="array" ref="B259">IF(ISBLANK(INDEX(SampleList[NMR],ROW()-1)),"Not Requested",INDEX(SampleList[Experiment ID],ROW()-1))</f>
        <v>Not Requested</v>
      </c>
      <c r="C259">
        <f>Sampling!E257</f>
        <v>0</v>
      </c>
      <c r="D259">
        <f>NMRPrep[[#This Row],['#]]</f>
        <v>0</v>
      </c>
      <c r="G2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59" t="e">
        <f>IF(ISBLANK(NMRPrep[[#This Row],[Total (uL) ]]), 0, NMRPrep[[#This Row],[1mM Maleic Acid (uL) ]]/NMRPrep[[#This Row],[Total (uL) ]])</f>
        <v>#DIV/0!</v>
      </c>
      <c r="I259">
        <f>2</f>
        <v>2</v>
      </c>
      <c r="J259">
        <f>4</f>
        <v>4</v>
      </c>
      <c r="K259">
        <f>1</f>
        <v>1</v>
      </c>
    </row>
    <row r="260" spans="1:11" hidden="1" x14ac:dyDescent="0.25">
      <c r="A260" s="1">
        <f>Sampling!D260</f>
        <v>0</v>
      </c>
      <c r="B260" t="str" cm="1">
        <f t="array" ref="B260">IF(ISBLANK(INDEX(SampleList[NMR],ROW()-1)),"Not Requested",INDEX(SampleList[Experiment ID],ROW()-1))</f>
        <v>Not Requested</v>
      </c>
      <c r="C260">
        <f>Sampling!E258</f>
        <v>0</v>
      </c>
      <c r="D260">
        <f>NMRPrep[[#This Row],['#]]</f>
        <v>0</v>
      </c>
      <c r="G2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0" t="e">
        <f>IF(ISBLANK(NMRPrep[[#This Row],[Total (uL) ]]), 0, NMRPrep[[#This Row],[1mM Maleic Acid (uL) ]]/NMRPrep[[#This Row],[Total (uL) ]])</f>
        <v>#DIV/0!</v>
      </c>
      <c r="I260">
        <f>2</f>
        <v>2</v>
      </c>
      <c r="J260">
        <f>4</f>
        <v>4</v>
      </c>
      <c r="K260">
        <f>1</f>
        <v>1</v>
      </c>
    </row>
    <row r="261" spans="1:11" hidden="1" x14ac:dyDescent="0.25">
      <c r="A261" s="1">
        <f>Sampling!D261</f>
        <v>0</v>
      </c>
      <c r="B261" t="str" cm="1">
        <f t="array" ref="B261">IF(ISBLANK(INDEX(SampleList[NMR],ROW()-1)),"Not Requested",INDEX(SampleList[Experiment ID],ROW()-1))</f>
        <v>Not Requested</v>
      </c>
      <c r="C261">
        <f>Sampling!E259</f>
        <v>0</v>
      </c>
      <c r="D261">
        <f>NMRPrep[[#This Row],['#]]</f>
        <v>0</v>
      </c>
      <c r="G2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1" t="e">
        <f>IF(ISBLANK(NMRPrep[[#This Row],[Total (uL) ]]), 0, NMRPrep[[#This Row],[1mM Maleic Acid (uL) ]]/NMRPrep[[#This Row],[Total (uL) ]])</f>
        <v>#DIV/0!</v>
      </c>
      <c r="I261">
        <f>2</f>
        <v>2</v>
      </c>
      <c r="J261">
        <f>4</f>
        <v>4</v>
      </c>
      <c r="K261">
        <f>1</f>
        <v>1</v>
      </c>
    </row>
    <row r="262" spans="1:11" hidden="1" x14ac:dyDescent="0.25">
      <c r="A262" s="1">
        <f>Sampling!D262</f>
        <v>0</v>
      </c>
      <c r="B262" t="str" cm="1">
        <f t="array" ref="B262">IF(ISBLANK(INDEX(SampleList[NMR],ROW()-1)),"Not Requested",INDEX(SampleList[Experiment ID],ROW()-1))</f>
        <v>Not Requested</v>
      </c>
      <c r="C262">
        <f>Sampling!E260</f>
        <v>0</v>
      </c>
      <c r="D262">
        <f>NMRPrep[[#This Row],['#]]</f>
        <v>0</v>
      </c>
      <c r="G2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2" t="e">
        <f>IF(ISBLANK(NMRPrep[[#This Row],[Total (uL) ]]), 0, NMRPrep[[#This Row],[1mM Maleic Acid (uL) ]]/NMRPrep[[#This Row],[Total (uL) ]])</f>
        <v>#DIV/0!</v>
      </c>
      <c r="I262">
        <f>2</f>
        <v>2</v>
      </c>
      <c r="J262">
        <f>4</f>
        <v>4</v>
      </c>
      <c r="K262">
        <f>1</f>
        <v>1</v>
      </c>
    </row>
    <row r="263" spans="1:11" hidden="1" x14ac:dyDescent="0.25">
      <c r="A263" s="1">
        <f>Sampling!D263</f>
        <v>0</v>
      </c>
      <c r="B263" t="str" cm="1">
        <f t="array" ref="B263">IF(ISBLANK(INDEX(SampleList[NMR],ROW()-1)),"Not Requested",INDEX(SampleList[Experiment ID],ROW()-1))</f>
        <v>Not Requested</v>
      </c>
      <c r="C263">
        <f>Sampling!E261</f>
        <v>0</v>
      </c>
      <c r="D263">
        <f>NMRPrep[[#This Row],['#]]</f>
        <v>0</v>
      </c>
      <c r="G2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3" t="e">
        <f>IF(ISBLANK(NMRPrep[[#This Row],[Total (uL) ]]), 0, NMRPrep[[#This Row],[1mM Maleic Acid (uL) ]]/NMRPrep[[#This Row],[Total (uL) ]])</f>
        <v>#DIV/0!</v>
      </c>
      <c r="I263">
        <f>2</f>
        <v>2</v>
      </c>
      <c r="J263">
        <f>4</f>
        <v>4</v>
      </c>
      <c r="K263">
        <f>1</f>
        <v>1</v>
      </c>
    </row>
    <row r="264" spans="1:11" hidden="1" x14ac:dyDescent="0.25">
      <c r="A264" s="1">
        <f>Sampling!D264</f>
        <v>0</v>
      </c>
      <c r="B264" t="str" cm="1">
        <f t="array" ref="B264">IF(ISBLANK(INDEX(SampleList[NMR],ROW()-1)),"Not Requested",INDEX(SampleList[Experiment ID],ROW()-1))</f>
        <v>Not Requested</v>
      </c>
      <c r="C264">
        <f>Sampling!E262</f>
        <v>0</v>
      </c>
      <c r="D264">
        <f>NMRPrep[[#This Row],['#]]</f>
        <v>0</v>
      </c>
      <c r="G2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4" t="e">
        <f>IF(ISBLANK(NMRPrep[[#This Row],[Total (uL) ]]), 0, NMRPrep[[#This Row],[1mM Maleic Acid (uL) ]]/NMRPrep[[#This Row],[Total (uL) ]])</f>
        <v>#DIV/0!</v>
      </c>
      <c r="I264">
        <f>2</f>
        <v>2</v>
      </c>
      <c r="J264">
        <f>4</f>
        <v>4</v>
      </c>
      <c r="K264">
        <f>1</f>
        <v>1</v>
      </c>
    </row>
    <row r="265" spans="1:11" hidden="1" x14ac:dyDescent="0.25">
      <c r="A265" s="1">
        <f>Sampling!D265</f>
        <v>0</v>
      </c>
      <c r="B265" t="str" cm="1">
        <f t="array" ref="B265">IF(ISBLANK(INDEX(SampleList[NMR],ROW()-1)),"Not Requested",INDEX(SampleList[Experiment ID],ROW()-1))</f>
        <v>Not Requested</v>
      </c>
      <c r="C265">
        <f>Sampling!E263</f>
        <v>0</v>
      </c>
      <c r="D265">
        <f>NMRPrep[[#This Row],['#]]</f>
        <v>0</v>
      </c>
      <c r="G2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5" t="e">
        <f>IF(ISBLANK(NMRPrep[[#This Row],[Total (uL) ]]), 0, NMRPrep[[#This Row],[1mM Maleic Acid (uL) ]]/NMRPrep[[#This Row],[Total (uL) ]])</f>
        <v>#DIV/0!</v>
      </c>
      <c r="I265">
        <f>2</f>
        <v>2</v>
      </c>
      <c r="J265">
        <f>4</f>
        <v>4</v>
      </c>
      <c r="K265">
        <f>1</f>
        <v>1</v>
      </c>
    </row>
    <row r="266" spans="1:11" hidden="1" x14ac:dyDescent="0.25">
      <c r="A266" s="1">
        <f>Sampling!D266</f>
        <v>0</v>
      </c>
      <c r="B266" t="str" cm="1">
        <f t="array" ref="B266">IF(ISBLANK(INDEX(SampleList[NMR],ROW()-1)),"Not Requested",INDEX(SampleList[Experiment ID],ROW()-1))</f>
        <v>Not Requested</v>
      </c>
      <c r="C266">
        <f>Sampling!E264</f>
        <v>0</v>
      </c>
      <c r="D266">
        <f>NMRPrep[[#This Row],['#]]</f>
        <v>0</v>
      </c>
      <c r="G2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6" t="e">
        <f>IF(ISBLANK(NMRPrep[[#This Row],[Total (uL) ]]), 0, NMRPrep[[#This Row],[1mM Maleic Acid (uL) ]]/NMRPrep[[#This Row],[Total (uL) ]])</f>
        <v>#DIV/0!</v>
      </c>
      <c r="I266">
        <f>2</f>
        <v>2</v>
      </c>
      <c r="J266">
        <f>4</f>
        <v>4</v>
      </c>
      <c r="K266">
        <f>1</f>
        <v>1</v>
      </c>
    </row>
    <row r="267" spans="1:11" hidden="1" x14ac:dyDescent="0.25">
      <c r="A267" s="1">
        <f>Sampling!D267</f>
        <v>0</v>
      </c>
      <c r="B267" t="str" cm="1">
        <f t="array" ref="B267">IF(ISBLANK(INDEX(SampleList[NMR],ROW()-1)),"Not Requested",INDEX(SampleList[Experiment ID],ROW()-1))</f>
        <v>Not Requested</v>
      </c>
      <c r="C267">
        <f>Sampling!E265</f>
        <v>0</v>
      </c>
      <c r="D267">
        <f>NMRPrep[[#This Row],['#]]</f>
        <v>0</v>
      </c>
      <c r="G2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7" t="e">
        <f>IF(ISBLANK(NMRPrep[[#This Row],[Total (uL) ]]), 0, NMRPrep[[#This Row],[1mM Maleic Acid (uL) ]]/NMRPrep[[#This Row],[Total (uL) ]])</f>
        <v>#DIV/0!</v>
      </c>
      <c r="I267">
        <f>2</f>
        <v>2</v>
      </c>
      <c r="J267">
        <f>4</f>
        <v>4</v>
      </c>
      <c r="K267">
        <f>1</f>
        <v>1</v>
      </c>
    </row>
    <row r="268" spans="1:11" hidden="1" x14ac:dyDescent="0.25">
      <c r="A268" s="1">
        <f>Sampling!D268</f>
        <v>0</v>
      </c>
      <c r="B268" t="str" cm="1">
        <f t="array" ref="B268">IF(ISBLANK(INDEX(SampleList[NMR],ROW()-1)),"Not Requested",INDEX(SampleList[Experiment ID],ROW()-1))</f>
        <v>Not Requested</v>
      </c>
      <c r="C268">
        <f>Sampling!E266</f>
        <v>0</v>
      </c>
      <c r="D268">
        <f>NMRPrep[[#This Row],['#]]</f>
        <v>0</v>
      </c>
      <c r="G2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8" t="e">
        <f>IF(ISBLANK(NMRPrep[[#This Row],[Total (uL) ]]), 0, NMRPrep[[#This Row],[1mM Maleic Acid (uL) ]]/NMRPrep[[#This Row],[Total (uL) ]])</f>
        <v>#DIV/0!</v>
      </c>
      <c r="I268">
        <f>2</f>
        <v>2</v>
      </c>
      <c r="J268">
        <f>4</f>
        <v>4</v>
      </c>
      <c r="K268">
        <f>1</f>
        <v>1</v>
      </c>
    </row>
    <row r="269" spans="1:11" hidden="1" x14ac:dyDescent="0.25">
      <c r="A269" s="1">
        <f>Sampling!D269</f>
        <v>0</v>
      </c>
      <c r="B269" t="str" cm="1">
        <f t="array" ref="B269">IF(ISBLANK(INDEX(SampleList[NMR],ROW()-1)),"Not Requested",INDEX(SampleList[Experiment ID],ROW()-1))</f>
        <v>Not Requested</v>
      </c>
      <c r="C269">
        <f>Sampling!E267</f>
        <v>0</v>
      </c>
      <c r="D269">
        <f>NMRPrep[[#This Row],['#]]</f>
        <v>0</v>
      </c>
      <c r="G2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69" t="e">
        <f>IF(ISBLANK(NMRPrep[[#This Row],[Total (uL) ]]), 0, NMRPrep[[#This Row],[1mM Maleic Acid (uL) ]]/NMRPrep[[#This Row],[Total (uL) ]])</f>
        <v>#DIV/0!</v>
      </c>
      <c r="I269">
        <f>2</f>
        <v>2</v>
      </c>
      <c r="J269">
        <f>4</f>
        <v>4</v>
      </c>
      <c r="K269">
        <f>1</f>
        <v>1</v>
      </c>
    </row>
    <row r="270" spans="1:11" hidden="1" x14ac:dyDescent="0.25">
      <c r="A270" s="1">
        <f>Sampling!D270</f>
        <v>0</v>
      </c>
      <c r="B270" t="str" cm="1">
        <f t="array" ref="B270">IF(ISBLANK(INDEX(SampleList[NMR],ROW()-1)),"Not Requested",INDEX(SampleList[Experiment ID],ROW()-1))</f>
        <v>Not Requested</v>
      </c>
      <c r="C270">
        <f>Sampling!E268</f>
        <v>0</v>
      </c>
      <c r="D270">
        <f>NMRPrep[[#This Row],['#]]</f>
        <v>0</v>
      </c>
      <c r="G2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0" t="e">
        <f>IF(ISBLANK(NMRPrep[[#This Row],[Total (uL) ]]), 0, NMRPrep[[#This Row],[1mM Maleic Acid (uL) ]]/NMRPrep[[#This Row],[Total (uL) ]])</f>
        <v>#DIV/0!</v>
      </c>
      <c r="I270">
        <f>2</f>
        <v>2</v>
      </c>
      <c r="J270">
        <f>4</f>
        <v>4</v>
      </c>
      <c r="K270">
        <f>1</f>
        <v>1</v>
      </c>
    </row>
    <row r="271" spans="1:11" hidden="1" x14ac:dyDescent="0.25">
      <c r="A271" s="1">
        <f>Sampling!D271</f>
        <v>0</v>
      </c>
      <c r="B271" t="str" cm="1">
        <f t="array" ref="B271">IF(ISBLANK(INDEX(SampleList[NMR],ROW()-1)),"Not Requested",INDEX(SampleList[Experiment ID],ROW()-1))</f>
        <v>Not Requested</v>
      </c>
      <c r="C271">
        <f>Sampling!E269</f>
        <v>0</v>
      </c>
      <c r="D271">
        <f>NMRPrep[[#This Row],['#]]</f>
        <v>0</v>
      </c>
      <c r="G2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1" t="e">
        <f>IF(ISBLANK(NMRPrep[[#This Row],[Total (uL) ]]), 0, NMRPrep[[#This Row],[1mM Maleic Acid (uL) ]]/NMRPrep[[#This Row],[Total (uL) ]])</f>
        <v>#DIV/0!</v>
      </c>
      <c r="I271">
        <f>2</f>
        <v>2</v>
      </c>
      <c r="J271">
        <f>4</f>
        <v>4</v>
      </c>
      <c r="K271">
        <f>1</f>
        <v>1</v>
      </c>
    </row>
    <row r="272" spans="1:11" hidden="1" x14ac:dyDescent="0.25">
      <c r="A272" s="1">
        <f>Sampling!D272</f>
        <v>0</v>
      </c>
      <c r="B272" t="str" cm="1">
        <f t="array" ref="B272">IF(ISBLANK(INDEX(SampleList[NMR],ROW()-1)),"Not Requested",INDEX(SampleList[Experiment ID],ROW()-1))</f>
        <v>Not Requested</v>
      </c>
      <c r="C272">
        <f>Sampling!E270</f>
        <v>0</v>
      </c>
      <c r="D272">
        <f>NMRPrep[[#This Row],['#]]</f>
        <v>0</v>
      </c>
      <c r="G2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2" t="e">
        <f>IF(ISBLANK(NMRPrep[[#This Row],[Total (uL) ]]), 0, NMRPrep[[#This Row],[1mM Maleic Acid (uL) ]]/NMRPrep[[#This Row],[Total (uL) ]])</f>
        <v>#DIV/0!</v>
      </c>
      <c r="I272">
        <f>2</f>
        <v>2</v>
      </c>
      <c r="J272">
        <f>4</f>
        <v>4</v>
      </c>
      <c r="K272">
        <f>1</f>
        <v>1</v>
      </c>
    </row>
    <row r="273" spans="1:11" hidden="1" x14ac:dyDescent="0.25">
      <c r="A273" s="1">
        <f>Sampling!D273</f>
        <v>0</v>
      </c>
      <c r="B273" t="str" cm="1">
        <f t="array" ref="B273">IF(ISBLANK(INDEX(SampleList[NMR],ROW()-1)),"Not Requested",INDEX(SampleList[Experiment ID],ROW()-1))</f>
        <v>Not Requested</v>
      </c>
      <c r="C273">
        <f>Sampling!E271</f>
        <v>0</v>
      </c>
      <c r="D273">
        <f>NMRPrep[[#This Row],['#]]</f>
        <v>0</v>
      </c>
      <c r="G2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3" t="e">
        <f>IF(ISBLANK(NMRPrep[[#This Row],[Total (uL) ]]), 0, NMRPrep[[#This Row],[1mM Maleic Acid (uL) ]]/NMRPrep[[#This Row],[Total (uL) ]])</f>
        <v>#DIV/0!</v>
      </c>
      <c r="I273">
        <f>2</f>
        <v>2</v>
      </c>
      <c r="J273">
        <f>4</f>
        <v>4</v>
      </c>
      <c r="K273">
        <f>1</f>
        <v>1</v>
      </c>
    </row>
    <row r="274" spans="1:11" hidden="1" x14ac:dyDescent="0.25">
      <c r="A274" s="1">
        <f>Sampling!D274</f>
        <v>0</v>
      </c>
      <c r="B274" t="str" cm="1">
        <f t="array" ref="B274">IF(ISBLANK(INDEX(SampleList[NMR],ROW()-1)),"Not Requested",INDEX(SampleList[Experiment ID],ROW()-1))</f>
        <v>Not Requested</v>
      </c>
      <c r="C274">
        <f>Sampling!E272</f>
        <v>0</v>
      </c>
      <c r="D274">
        <f>NMRPrep[[#This Row],['#]]</f>
        <v>0</v>
      </c>
      <c r="G2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4" t="e">
        <f>IF(ISBLANK(NMRPrep[[#This Row],[Total (uL) ]]), 0, NMRPrep[[#This Row],[1mM Maleic Acid (uL) ]]/NMRPrep[[#This Row],[Total (uL) ]])</f>
        <v>#DIV/0!</v>
      </c>
      <c r="I274">
        <f>2</f>
        <v>2</v>
      </c>
      <c r="J274">
        <f>4</f>
        <v>4</v>
      </c>
      <c r="K274">
        <f>1</f>
        <v>1</v>
      </c>
    </row>
    <row r="275" spans="1:11" hidden="1" x14ac:dyDescent="0.25">
      <c r="A275" s="1">
        <f>Sampling!D275</f>
        <v>0</v>
      </c>
      <c r="B275" t="str" cm="1">
        <f t="array" ref="B275">IF(ISBLANK(INDEX(SampleList[NMR],ROW()-1)),"Not Requested",INDEX(SampleList[Experiment ID],ROW()-1))</f>
        <v>Not Requested</v>
      </c>
      <c r="C275">
        <f>Sampling!E273</f>
        <v>0</v>
      </c>
      <c r="D275">
        <f>NMRPrep[[#This Row],['#]]</f>
        <v>0</v>
      </c>
      <c r="G2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5" t="e">
        <f>IF(ISBLANK(NMRPrep[[#This Row],[Total (uL) ]]), 0, NMRPrep[[#This Row],[1mM Maleic Acid (uL) ]]/NMRPrep[[#This Row],[Total (uL) ]])</f>
        <v>#DIV/0!</v>
      </c>
      <c r="I275">
        <f>2</f>
        <v>2</v>
      </c>
      <c r="J275">
        <f>4</f>
        <v>4</v>
      </c>
      <c r="K275">
        <f>1</f>
        <v>1</v>
      </c>
    </row>
    <row r="276" spans="1:11" hidden="1" x14ac:dyDescent="0.25">
      <c r="A276" s="1">
        <f>Sampling!D276</f>
        <v>0</v>
      </c>
      <c r="B276" t="str" cm="1">
        <f t="array" ref="B276">IF(ISBLANK(INDEX(SampleList[NMR],ROW()-1)),"Not Requested",INDEX(SampleList[Experiment ID],ROW()-1))</f>
        <v>Not Requested</v>
      </c>
      <c r="C276">
        <f>Sampling!E274</f>
        <v>0</v>
      </c>
      <c r="D276">
        <f>NMRPrep[[#This Row],['#]]</f>
        <v>0</v>
      </c>
      <c r="G2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6" t="e">
        <f>IF(ISBLANK(NMRPrep[[#This Row],[Total (uL) ]]), 0, NMRPrep[[#This Row],[1mM Maleic Acid (uL) ]]/NMRPrep[[#This Row],[Total (uL) ]])</f>
        <v>#DIV/0!</v>
      </c>
      <c r="I276">
        <f>2</f>
        <v>2</v>
      </c>
      <c r="J276">
        <f>4</f>
        <v>4</v>
      </c>
      <c r="K276">
        <f>1</f>
        <v>1</v>
      </c>
    </row>
    <row r="277" spans="1:11" hidden="1" x14ac:dyDescent="0.25">
      <c r="A277" s="1">
        <f>Sampling!D277</f>
        <v>0</v>
      </c>
      <c r="B277" t="str" cm="1">
        <f t="array" ref="B277">IF(ISBLANK(INDEX(SampleList[NMR],ROW()-1)),"Not Requested",INDEX(SampleList[Experiment ID],ROW()-1))</f>
        <v>Not Requested</v>
      </c>
      <c r="C277">
        <f>Sampling!E275</f>
        <v>0</v>
      </c>
      <c r="D277">
        <f>NMRPrep[[#This Row],['#]]</f>
        <v>0</v>
      </c>
      <c r="G2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7" t="e">
        <f>IF(ISBLANK(NMRPrep[[#This Row],[Total (uL) ]]), 0, NMRPrep[[#This Row],[1mM Maleic Acid (uL) ]]/NMRPrep[[#This Row],[Total (uL) ]])</f>
        <v>#DIV/0!</v>
      </c>
      <c r="I277">
        <f>2</f>
        <v>2</v>
      </c>
      <c r="J277">
        <f>4</f>
        <v>4</v>
      </c>
      <c r="K277">
        <f>1</f>
        <v>1</v>
      </c>
    </row>
    <row r="278" spans="1:11" hidden="1" x14ac:dyDescent="0.25">
      <c r="A278" s="1">
        <f>Sampling!D278</f>
        <v>0</v>
      </c>
      <c r="B278" t="str" cm="1">
        <f t="array" ref="B278">IF(ISBLANK(INDEX(SampleList[NMR],ROW()-1)),"Not Requested",INDEX(SampleList[Experiment ID],ROW()-1))</f>
        <v>Not Requested</v>
      </c>
      <c r="C278">
        <f>Sampling!E276</f>
        <v>0</v>
      </c>
      <c r="D278">
        <f>NMRPrep[[#This Row],['#]]</f>
        <v>0</v>
      </c>
      <c r="G2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8" t="e">
        <f>IF(ISBLANK(NMRPrep[[#This Row],[Total (uL) ]]), 0, NMRPrep[[#This Row],[1mM Maleic Acid (uL) ]]/NMRPrep[[#This Row],[Total (uL) ]])</f>
        <v>#DIV/0!</v>
      </c>
      <c r="I278">
        <f>2</f>
        <v>2</v>
      </c>
      <c r="J278">
        <f>4</f>
        <v>4</v>
      </c>
      <c r="K278">
        <f>1</f>
        <v>1</v>
      </c>
    </row>
    <row r="279" spans="1:11" hidden="1" x14ac:dyDescent="0.25">
      <c r="A279" s="1">
        <f>Sampling!D279</f>
        <v>0</v>
      </c>
      <c r="B279" t="str" cm="1">
        <f t="array" ref="B279">IF(ISBLANK(INDEX(SampleList[NMR],ROW()-1)),"Not Requested",INDEX(SampleList[Experiment ID],ROW()-1))</f>
        <v>Not Requested</v>
      </c>
      <c r="C279">
        <f>Sampling!E277</f>
        <v>0</v>
      </c>
      <c r="D279">
        <f>NMRPrep[[#This Row],['#]]</f>
        <v>0</v>
      </c>
      <c r="G2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79" t="e">
        <f>IF(ISBLANK(NMRPrep[[#This Row],[Total (uL) ]]), 0, NMRPrep[[#This Row],[1mM Maleic Acid (uL) ]]/NMRPrep[[#This Row],[Total (uL) ]])</f>
        <v>#DIV/0!</v>
      </c>
      <c r="I279">
        <f>2</f>
        <v>2</v>
      </c>
      <c r="J279">
        <f>4</f>
        <v>4</v>
      </c>
      <c r="K279">
        <f>1</f>
        <v>1</v>
      </c>
    </row>
    <row r="280" spans="1:11" hidden="1" x14ac:dyDescent="0.25">
      <c r="A280" s="1">
        <f>Sampling!D280</f>
        <v>0</v>
      </c>
      <c r="B280" t="str" cm="1">
        <f t="array" ref="B280">IF(ISBLANK(INDEX(SampleList[NMR],ROW()-1)),"Not Requested",INDEX(SampleList[Experiment ID],ROW()-1))</f>
        <v>Not Requested</v>
      </c>
      <c r="C280">
        <f>Sampling!E278</f>
        <v>0</v>
      </c>
      <c r="D280">
        <f>NMRPrep[[#This Row],['#]]</f>
        <v>0</v>
      </c>
      <c r="G2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0" t="e">
        <f>IF(ISBLANK(NMRPrep[[#This Row],[Total (uL) ]]), 0, NMRPrep[[#This Row],[1mM Maleic Acid (uL) ]]/NMRPrep[[#This Row],[Total (uL) ]])</f>
        <v>#DIV/0!</v>
      </c>
      <c r="I280">
        <f>2</f>
        <v>2</v>
      </c>
      <c r="J280">
        <f>4</f>
        <v>4</v>
      </c>
      <c r="K280">
        <f>1</f>
        <v>1</v>
      </c>
    </row>
    <row r="281" spans="1:11" hidden="1" x14ac:dyDescent="0.25">
      <c r="A281" s="1">
        <f>Sampling!D281</f>
        <v>0</v>
      </c>
      <c r="B281" t="str" cm="1">
        <f t="array" ref="B281">IF(ISBLANK(INDEX(SampleList[NMR],ROW()-1)),"Not Requested",INDEX(SampleList[Experiment ID],ROW()-1))</f>
        <v>Not Requested</v>
      </c>
      <c r="C281">
        <f>Sampling!E279</f>
        <v>0</v>
      </c>
      <c r="D281">
        <f>NMRPrep[[#This Row],['#]]</f>
        <v>0</v>
      </c>
      <c r="G2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1" t="e">
        <f>IF(ISBLANK(NMRPrep[[#This Row],[Total (uL) ]]), 0, NMRPrep[[#This Row],[1mM Maleic Acid (uL) ]]/NMRPrep[[#This Row],[Total (uL) ]])</f>
        <v>#DIV/0!</v>
      </c>
      <c r="I281">
        <f>2</f>
        <v>2</v>
      </c>
      <c r="J281">
        <f>4</f>
        <v>4</v>
      </c>
      <c r="K281">
        <f>1</f>
        <v>1</v>
      </c>
    </row>
    <row r="282" spans="1:11" hidden="1" x14ac:dyDescent="0.25">
      <c r="A282" s="1">
        <f>Sampling!D282</f>
        <v>0</v>
      </c>
      <c r="B282" t="str" cm="1">
        <f t="array" ref="B282">IF(ISBLANK(INDEX(SampleList[NMR],ROW()-1)),"Not Requested",INDEX(SampleList[Experiment ID],ROW()-1))</f>
        <v>Not Requested</v>
      </c>
      <c r="C282">
        <f>Sampling!E280</f>
        <v>0</v>
      </c>
      <c r="D282">
        <f>NMRPrep[[#This Row],['#]]</f>
        <v>0</v>
      </c>
      <c r="G2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2" t="e">
        <f>IF(ISBLANK(NMRPrep[[#This Row],[Total (uL) ]]), 0, NMRPrep[[#This Row],[1mM Maleic Acid (uL) ]]/NMRPrep[[#This Row],[Total (uL) ]])</f>
        <v>#DIV/0!</v>
      </c>
      <c r="I282">
        <f>2</f>
        <v>2</v>
      </c>
      <c r="J282">
        <f>4</f>
        <v>4</v>
      </c>
      <c r="K282">
        <f>1</f>
        <v>1</v>
      </c>
    </row>
    <row r="283" spans="1:11" hidden="1" x14ac:dyDescent="0.25">
      <c r="A283" s="1">
        <f>Sampling!D283</f>
        <v>0</v>
      </c>
      <c r="B283" t="str" cm="1">
        <f t="array" ref="B283">IF(ISBLANK(INDEX(SampleList[NMR],ROW()-1)),"Not Requested",INDEX(SampleList[Experiment ID],ROW()-1))</f>
        <v>Not Requested</v>
      </c>
      <c r="C283">
        <f>Sampling!E281</f>
        <v>0</v>
      </c>
      <c r="D283">
        <f>NMRPrep[[#This Row],['#]]</f>
        <v>0</v>
      </c>
      <c r="G2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3" t="e">
        <f>IF(ISBLANK(NMRPrep[[#This Row],[Total (uL) ]]), 0, NMRPrep[[#This Row],[1mM Maleic Acid (uL) ]]/NMRPrep[[#This Row],[Total (uL) ]])</f>
        <v>#DIV/0!</v>
      </c>
      <c r="I283">
        <f>2</f>
        <v>2</v>
      </c>
      <c r="J283">
        <f>4</f>
        <v>4</v>
      </c>
      <c r="K283">
        <f>1</f>
        <v>1</v>
      </c>
    </row>
    <row r="284" spans="1:11" hidden="1" x14ac:dyDescent="0.25">
      <c r="A284" s="1">
        <f>Sampling!D284</f>
        <v>0</v>
      </c>
      <c r="B284" t="str" cm="1">
        <f t="array" ref="B284">IF(ISBLANK(INDEX(SampleList[NMR],ROW()-1)),"Not Requested",INDEX(SampleList[Experiment ID],ROW()-1))</f>
        <v>Not Requested</v>
      </c>
      <c r="C284">
        <f>Sampling!E282</f>
        <v>0</v>
      </c>
      <c r="D284">
        <f>NMRPrep[[#This Row],['#]]</f>
        <v>0</v>
      </c>
      <c r="G2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4" t="e">
        <f>IF(ISBLANK(NMRPrep[[#This Row],[Total (uL) ]]), 0, NMRPrep[[#This Row],[1mM Maleic Acid (uL) ]]/NMRPrep[[#This Row],[Total (uL) ]])</f>
        <v>#DIV/0!</v>
      </c>
      <c r="I284">
        <f>2</f>
        <v>2</v>
      </c>
      <c r="J284">
        <f>4</f>
        <v>4</v>
      </c>
      <c r="K284">
        <f>1</f>
        <v>1</v>
      </c>
    </row>
    <row r="285" spans="1:11" hidden="1" x14ac:dyDescent="0.25">
      <c r="A285" s="1">
        <f>Sampling!D285</f>
        <v>0</v>
      </c>
      <c r="B285" t="str" cm="1">
        <f t="array" ref="B285">IF(ISBLANK(INDEX(SampleList[NMR],ROW()-1)),"Not Requested",INDEX(SampleList[Experiment ID],ROW()-1))</f>
        <v>Not Requested</v>
      </c>
      <c r="C285">
        <f>Sampling!E283</f>
        <v>0</v>
      </c>
      <c r="D285">
        <f>NMRPrep[[#This Row],['#]]</f>
        <v>0</v>
      </c>
      <c r="G2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5" t="e">
        <f>IF(ISBLANK(NMRPrep[[#This Row],[Total (uL) ]]), 0, NMRPrep[[#This Row],[1mM Maleic Acid (uL) ]]/NMRPrep[[#This Row],[Total (uL) ]])</f>
        <v>#DIV/0!</v>
      </c>
      <c r="I285">
        <f>2</f>
        <v>2</v>
      </c>
      <c r="J285">
        <f>4</f>
        <v>4</v>
      </c>
      <c r="K285">
        <f>1</f>
        <v>1</v>
      </c>
    </row>
    <row r="286" spans="1:11" hidden="1" x14ac:dyDescent="0.25">
      <c r="A286" s="1">
        <f>Sampling!D286</f>
        <v>0</v>
      </c>
      <c r="B286" t="str" cm="1">
        <f t="array" ref="B286">IF(ISBLANK(INDEX(SampleList[NMR],ROW()-1)),"Not Requested",INDEX(SampleList[Experiment ID],ROW()-1))</f>
        <v>Not Requested</v>
      </c>
      <c r="C286">
        <f>Sampling!E284</f>
        <v>0</v>
      </c>
      <c r="D286">
        <f>NMRPrep[[#This Row],['#]]</f>
        <v>0</v>
      </c>
      <c r="G2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6" t="e">
        <f>IF(ISBLANK(NMRPrep[[#This Row],[Total (uL) ]]), 0, NMRPrep[[#This Row],[1mM Maleic Acid (uL) ]]/NMRPrep[[#This Row],[Total (uL) ]])</f>
        <v>#DIV/0!</v>
      </c>
      <c r="I286">
        <f>2</f>
        <v>2</v>
      </c>
      <c r="J286">
        <f>4</f>
        <v>4</v>
      </c>
      <c r="K286">
        <f>1</f>
        <v>1</v>
      </c>
    </row>
    <row r="287" spans="1:11" hidden="1" x14ac:dyDescent="0.25">
      <c r="A287" s="1">
        <f>Sampling!D287</f>
        <v>0</v>
      </c>
      <c r="B287" t="str" cm="1">
        <f t="array" ref="B287">IF(ISBLANK(INDEX(SampleList[NMR],ROW()-1)),"Not Requested",INDEX(SampleList[Experiment ID],ROW()-1))</f>
        <v>Not Requested</v>
      </c>
      <c r="C287">
        <f>Sampling!E285</f>
        <v>0</v>
      </c>
      <c r="D287">
        <f>NMRPrep[[#This Row],['#]]</f>
        <v>0</v>
      </c>
      <c r="G2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7" t="e">
        <f>IF(ISBLANK(NMRPrep[[#This Row],[Total (uL) ]]), 0, NMRPrep[[#This Row],[1mM Maleic Acid (uL) ]]/NMRPrep[[#This Row],[Total (uL) ]])</f>
        <v>#DIV/0!</v>
      </c>
      <c r="I287">
        <f>2</f>
        <v>2</v>
      </c>
      <c r="J287">
        <f>4</f>
        <v>4</v>
      </c>
      <c r="K287">
        <f>1</f>
        <v>1</v>
      </c>
    </row>
    <row r="288" spans="1:11" hidden="1" x14ac:dyDescent="0.25">
      <c r="A288" s="1">
        <f>Sampling!D288</f>
        <v>0</v>
      </c>
      <c r="B288" t="str" cm="1">
        <f t="array" ref="B288">IF(ISBLANK(INDEX(SampleList[NMR],ROW()-1)),"Not Requested",INDEX(SampleList[Experiment ID],ROW()-1))</f>
        <v>Not Requested</v>
      </c>
      <c r="C288">
        <f>Sampling!E286</f>
        <v>0</v>
      </c>
      <c r="D288">
        <f>NMRPrep[[#This Row],['#]]</f>
        <v>0</v>
      </c>
      <c r="G2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8" t="e">
        <f>IF(ISBLANK(NMRPrep[[#This Row],[Total (uL) ]]), 0, NMRPrep[[#This Row],[1mM Maleic Acid (uL) ]]/NMRPrep[[#This Row],[Total (uL) ]])</f>
        <v>#DIV/0!</v>
      </c>
      <c r="I288">
        <f>2</f>
        <v>2</v>
      </c>
      <c r="J288">
        <f>4</f>
        <v>4</v>
      </c>
      <c r="K288">
        <f>1</f>
        <v>1</v>
      </c>
    </row>
    <row r="289" spans="1:11" hidden="1" x14ac:dyDescent="0.25">
      <c r="A289" s="1">
        <f>Sampling!D289</f>
        <v>0</v>
      </c>
      <c r="B289" t="str" cm="1">
        <f t="array" ref="B289">IF(ISBLANK(INDEX(SampleList[NMR],ROW()-1)),"Not Requested",INDEX(SampleList[Experiment ID],ROW()-1))</f>
        <v>Not Requested</v>
      </c>
      <c r="C289">
        <f>Sampling!E287</f>
        <v>0</v>
      </c>
      <c r="D289">
        <f>NMRPrep[[#This Row],['#]]</f>
        <v>0</v>
      </c>
      <c r="G2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89" t="e">
        <f>IF(ISBLANK(NMRPrep[[#This Row],[Total (uL) ]]), 0, NMRPrep[[#This Row],[1mM Maleic Acid (uL) ]]/NMRPrep[[#This Row],[Total (uL) ]])</f>
        <v>#DIV/0!</v>
      </c>
      <c r="I289">
        <f>2</f>
        <v>2</v>
      </c>
      <c r="J289">
        <f>4</f>
        <v>4</v>
      </c>
      <c r="K289">
        <f>1</f>
        <v>1</v>
      </c>
    </row>
    <row r="290" spans="1:11" hidden="1" x14ac:dyDescent="0.25">
      <c r="A290" s="1">
        <f>Sampling!D290</f>
        <v>0</v>
      </c>
      <c r="B290" t="str" cm="1">
        <f t="array" ref="B290">IF(ISBLANK(INDEX(SampleList[NMR],ROW()-1)),"Not Requested",INDEX(SampleList[Experiment ID],ROW()-1))</f>
        <v>Not Requested</v>
      </c>
      <c r="C290">
        <f>Sampling!E288</f>
        <v>0</v>
      </c>
      <c r="D290">
        <f>NMRPrep[[#This Row],['#]]</f>
        <v>0</v>
      </c>
      <c r="G2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0" t="e">
        <f>IF(ISBLANK(NMRPrep[[#This Row],[Total (uL) ]]), 0, NMRPrep[[#This Row],[1mM Maleic Acid (uL) ]]/NMRPrep[[#This Row],[Total (uL) ]])</f>
        <v>#DIV/0!</v>
      </c>
      <c r="I290">
        <f>2</f>
        <v>2</v>
      </c>
      <c r="J290">
        <f>4</f>
        <v>4</v>
      </c>
      <c r="K290">
        <f>1</f>
        <v>1</v>
      </c>
    </row>
    <row r="291" spans="1:11" hidden="1" x14ac:dyDescent="0.25">
      <c r="A291" s="1">
        <f>Sampling!D291</f>
        <v>0</v>
      </c>
      <c r="B291" t="str" cm="1">
        <f t="array" ref="B291">IF(ISBLANK(INDEX(SampleList[NMR],ROW()-1)),"Not Requested",INDEX(SampleList[Experiment ID],ROW()-1))</f>
        <v>Not Requested</v>
      </c>
      <c r="C291">
        <f>Sampling!E289</f>
        <v>0</v>
      </c>
      <c r="D291">
        <f>NMRPrep[[#This Row],['#]]</f>
        <v>0</v>
      </c>
      <c r="G2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1" t="e">
        <f>IF(ISBLANK(NMRPrep[[#This Row],[Total (uL) ]]), 0, NMRPrep[[#This Row],[1mM Maleic Acid (uL) ]]/NMRPrep[[#This Row],[Total (uL) ]])</f>
        <v>#DIV/0!</v>
      </c>
      <c r="I291">
        <f>2</f>
        <v>2</v>
      </c>
      <c r="J291">
        <f>4</f>
        <v>4</v>
      </c>
      <c r="K291">
        <f>1</f>
        <v>1</v>
      </c>
    </row>
    <row r="292" spans="1:11" hidden="1" x14ac:dyDescent="0.25">
      <c r="A292" s="1">
        <f>Sampling!D292</f>
        <v>0</v>
      </c>
      <c r="B292" t="str" cm="1">
        <f t="array" ref="B292">IF(ISBLANK(INDEX(SampleList[NMR],ROW()-1)),"Not Requested",INDEX(SampleList[Experiment ID],ROW()-1))</f>
        <v>Not Requested</v>
      </c>
      <c r="C292">
        <f>Sampling!E290</f>
        <v>0</v>
      </c>
      <c r="D292">
        <f>NMRPrep[[#This Row],['#]]</f>
        <v>0</v>
      </c>
      <c r="G2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2" t="e">
        <f>IF(ISBLANK(NMRPrep[[#This Row],[Total (uL) ]]), 0, NMRPrep[[#This Row],[1mM Maleic Acid (uL) ]]/NMRPrep[[#This Row],[Total (uL) ]])</f>
        <v>#DIV/0!</v>
      </c>
      <c r="I292">
        <f>2</f>
        <v>2</v>
      </c>
      <c r="J292">
        <f>4</f>
        <v>4</v>
      </c>
      <c r="K292">
        <f>1</f>
        <v>1</v>
      </c>
    </row>
    <row r="293" spans="1:11" hidden="1" x14ac:dyDescent="0.25">
      <c r="A293" s="1">
        <f>Sampling!D293</f>
        <v>0</v>
      </c>
      <c r="B293" t="str" cm="1">
        <f t="array" ref="B293">IF(ISBLANK(INDEX(SampleList[NMR],ROW()-1)),"Not Requested",INDEX(SampleList[Experiment ID],ROW()-1))</f>
        <v>Not Requested</v>
      </c>
      <c r="C293">
        <f>Sampling!E291</f>
        <v>0</v>
      </c>
      <c r="D293">
        <f>NMRPrep[[#This Row],['#]]</f>
        <v>0</v>
      </c>
      <c r="G2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3" t="e">
        <f>IF(ISBLANK(NMRPrep[[#This Row],[Total (uL) ]]), 0, NMRPrep[[#This Row],[1mM Maleic Acid (uL) ]]/NMRPrep[[#This Row],[Total (uL) ]])</f>
        <v>#DIV/0!</v>
      </c>
      <c r="I293">
        <f>2</f>
        <v>2</v>
      </c>
      <c r="J293">
        <f>4</f>
        <v>4</v>
      </c>
      <c r="K293">
        <f>1</f>
        <v>1</v>
      </c>
    </row>
    <row r="294" spans="1:11" hidden="1" x14ac:dyDescent="0.25">
      <c r="A294" s="1">
        <f>Sampling!D294</f>
        <v>0</v>
      </c>
      <c r="B294" t="str" cm="1">
        <f t="array" ref="B294">IF(ISBLANK(INDEX(SampleList[NMR],ROW()-1)),"Not Requested",INDEX(SampleList[Experiment ID],ROW()-1))</f>
        <v>Not Requested</v>
      </c>
      <c r="C294">
        <f>Sampling!E292</f>
        <v>0</v>
      </c>
      <c r="D294">
        <f>NMRPrep[[#This Row],['#]]</f>
        <v>0</v>
      </c>
      <c r="G2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4" t="e">
        <f>IF(ISBLANK(NMRPrep[[#This Row],[Total (uL) ]]), 0, NMRPrep[[#This Row],[1mM Maleic Acid (uL) ]]/NMRPrep[[#This Row],[Total (uL) ]])</f>
        <v>#DIV/0!</v>
      </c>
      <c r="I294">
        <f>2</f>
        <v>2</v>
      </c>
      <c r="J294">
        <f>4</f>
        <v>4</v>
      </c>
      <c r="K294">
        <f>1</f>
        <v>1</v>
      </c>
    </row>
    <row r="295" spans="1:11" hidden="1" x14ac:dyDescent="0.25">
      <c r="A295" s="1">
        <f>Sampling!D295</f>
        <v>0</v>
      </c>
      <c r="B295" t="str" cm="1">
        <f t="array" ref="B295">IF(ISBLANK(INDEX(SampleList[NMR],ROW()-1)),"Not Requested",INDEX(SampleList[Experiment ID],ROW()-1))</f>
        <v>Not Requested</v>
      </c>
      <c r="C295">
        <f>Sampling!E293</f>
        <v>0</v>
      </c>
      <c r="D295">
        <f>NMRPrep[[#This Row],['#]]</f>
        <v>0</v>
      </c>
      <c r="G2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5" t="e">
        <f>IF(ISBLANK(NMRPrep[[#This Row],[Total (uL) ]]), 0, NMRPrep[[#This Row],[1mM Maleic Acid (uL) ]]/NMRPrep[[#This Row],[Total (uL) ]])</f>
        <v>#DIV/0!</v>
      </c>
      <c r="I295">
        <f>2</f>
        <v>2</v>
      </c>
      <c r="J295">
        <f>4</f>
        <v>4</v>
      </c>
      <c r="K295">
        <f>1</f>
        <v>1</v>
      </c>
    </row>
    <row r="296" spans="1:11" hidden="1" x14ac:dyDescent="0.25">
      <c r="A296" s="1">
        <f>Sampling!D296</f>
        <v>0</v>
      </c>
      <c r="B296" t="str" cm="1">
        <f t="array" ref="B296">IF(ISBLANK(INDEX(SampleList[NMR],ROW()-1)),"Not Requested",INDEX(SampleList[Experiment ID],ROW()-1))</f>
        <v>Not Requested</v>
      </c>
      <c r="C296">
        <f>Sampling!E294</f>
        <v>0</v>
      </c>
      <c r="D296">
        <f>NMRPrep[[#This Row],['#]]</f>
        <v>0</v>
      </c>
      <c r="G2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6" t="e">
        <f>IF(ISBLANK(NMRPrep[[#This Row],[Total (uL) ]]), 0, NMRPrep[[#This Row],[1mM Maleic Acid (uL) ]]/NMRPrep[[#This Row],[Total (uL) ]])</f>
        <v>#DIV/0!</v>
      </c>
      <c r="I296">
        <f>2</f>
        <v>2</v>
      </c>
      <c r="J296">
        <f>4</f>
        <v>4</v>
      </c>
      <c r="K296">
        <f>1</f>
        <v>1</v>
      </c>
    </row>
    <row r="297" spans="1:11" hidden="1" x14ac:dyDescent="0.25">
      <c r="A297" s="1">
        <f>Sampling!D297</f>
        <v>0</v>
      </c>
      <c r="B297" t="str" cm="1">
        <f t="array" ref="B297">IF(ISBLANK(INDEX(SampleList[NMR],ROW()-1)),"Not Requested",INDEX(SampleList[Experiment ID],ROW()-1))</f>
        <v>Not Requested</v>
      </c>
      <c r="C297">
        <f>Sampling!E295</f>
        <v>0</v>
      </c>
      <c r="D297">
        <f>NMRPrep[[#This Row],['#]]</f>
        <v>0</v>
      </c>
      <c r="G2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7" t="e">
        <f>IF(ISBLANK(NMRPrep[[#This Row],[Total (uL) ]]), 0, NMRPrep[[#This Row],[1mM Maleic Acid (uL) ]]/NMRPrep[[#This Row],[Total (uL) ]])</f>
        <v>#DIV/0!</v>
      </c>
      <c r="I297">
        <f>2</f>
        <v>2</v>
      </c>
      <c r="J297">
        <f>4</f>
        <v>4</v>
      </c>
      <c r="K297">
        <f>1</f>
        <v>1</v>
      </c>
    </row>
    <row r="298" spans="1:11" hidden="1" x14ac:dyDescent="0.25">
      <c r="A298" s="1">
        <f>Sampling!D296</f>
        <v>0</v>
      </c>
      <c r="B298" t="str" cm="1">
        <f t="array" ref="B298">IF(ISBLANK(INDEX(SampleList[NMR],ROW()-1)),"Not Requested",INDEX(SampleList[Experiment ID],ROW()-1))</f>
        <v>Not Requested</v>
      </c>
      <c r="C298">
        <f>Sampling!E296</f>
        <v>0</v>
      </c>
      <c r="D298">
        <f>NMRPrep[[#This Row],['#]]</f>
        <v>0</v>
      </c>
      <c r="G2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8" t="e">
        <f>IF(ISBLANK(NMRPrep[[#This Row],[Total (uL) ]]), 0, NMRPrep[[#This Row],[1mM Maleic Acid (uL) ]]/NMRPrep[[#This Row],[Total (uL) ]])</f>
        <v>#DIV/0!</v>
      </c>
      <c r="I298">
        <f>2</f>
        <v>2</v>
      </c>
      <c r="J298">
        <f>4</f>
        <v>4</v>
      </c>
      <c r="K298">
        <f>1</f>
        <v>1</v>
      </c>
    </row>
    <row r="299" spans="1:11" hidden="1" x14ac:dyDescent="0.25">
      <c r="A299" s="1">
        <f>Sampling!D297</f>
        <v>0</v>
      </c>
      <c r="B299" t="str" cm="1">
        <f t="array" ref="B299">IF(ISBLANK(INDEX(SampleList[NMR],ROW()-1)),"Not Requested",INDEX(SampleList[Experiment ID],ROW()-1))</f>
        <v>Not Requested</v>
      </c>
      <c r="C299">
        <f>Sampling!E297</f>
        <v>0</v>
      </c>
      <c r="D299">
        <f>NMRPrep[[#This Row],['#]]</f>
        <v>0</v>
      </c>
      <c r="G2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299" t="e">
        <f>IF(ISBLANK(NMRPrep[[#This Row],[Total (uL) ]]), 0, NMRPrep[[#This Row],[1mM Maleic Acid (uL) ]]/NMRPrep[[#This Row],[Total (uL) ]])</f>
        <v>#DIV/0!</v>
      </c>
      <c r="I299">
        <f>2</f>
        <v>2</v>
      </c>
      <c r="J299">
        <f>4</f>
        <v>4</v>
      </c>
      <c r="K299">
        <f>1</f>
        <v>1</v>
      </c>
    </row>
    <row r="300" spans="1:11" hidden="1" x14ac:dyDescent="0.25">
      <c r="A300" s="1">
        <f>Sampling!D298</f>
        <v>0</v>
      </c>
      <c r="B300" t="str" cm="1">
        <f t="array" ref="B300">IF(ISBLANK(INDEX(SampleList[NMR],ROW()-1)),"Not Requested",INDEX(SampleList[Experiment ID],ROW()-1))</f>
        <v>Not Requested</v>
      </c>
      <c r="C300">
        <f>Sampling!E298</f>
        <v>0</v>
      </c>
      <c r="D300">
        <f>NMRPrep[[#This Row],['#]]</f>
        <v>0</v>
      </c>
      <c r="G3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0" t="e">
        <f>IF(ISBLANK(NMRPrep[[#This Row],[Total (uL) ]]), 0, NMRPrep[[#This Row],[1mM Maleic Acid (uL) ]]/NMRPrep[[#This Row],[Total (uL) ]])</f>
        <v>#DIV/0!</v>
      </c>
      <c r="I300">
        <f>2</f>
        <v>2</v>
      </c>
      <c r="J300">
        <f>4</f>
        <v>4</v>
      </c>
      <c r="K300">
        <f>1</f>
        <v>1</v>
      </c>
    </row>
    <row r="301" spans="1:11" hidden="1" x14ac:dyDescent="0.25">
      <c r="A301" s="1">
        <f>Sampling!D299</f>
        <v>0</v>
      </c>
      <c r="B301" t="str" cm="1">
        <f t="array" ref="B301">IF(ISBLANK(INDEX(SampleList[NMR],ROW()-1)),"Not Requested",INDEX(SampleList[Experiment ID],ROW()-1))</f>
        <v>Not Requested</v>
      </c>
      <c r="C301">
        <f>Sampling!E299</f>
        <v>0</v>
      </c>
      <c r="D301">
        <f>NMRPrep[[#This Row],['#]]</f>
        <v>0</v>
      </c>
      <c r="G3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1" t="e">
        <f>IF(ISBLANK(NMRPrep[[#This Row],[Total (uL) ]]), 0, NMRPrep[[#This Row],[1mM Maleic Acid (uL) ]]/NMRPrep[[#This Row],[Total (uL) ]])</f>
        <v>#DIV/0!</v>
      </c>
      <c r="I301">
        <f>2</f>
        <v>2</v>
      </c>
      <c r="J301">
        <f>4</f>
        <v>4</v>
      </c>
      <c r="K301">
        <f>1</f>
        <v>1</v>
      </c>
    </row>
    <row r="302" spans="1:11" hidden="1" x14ac:dyDescent="0.25">
      <c r="A302" s="1">
        <f>Sampling!D300</f>
        <v>0</v>
      </c>
      <c r="B302" t="str" cm="1">
        <f t="array" ref="B302">IF(ISBLANK(INDEX(SampleList[NMR],ROW()-1)),"Not Requested",INDEX(SampleList[Experiment ID],ROW()-1))</f>
        <v>Not Requested</v>
      </c>
      <c r="C302">
        <f>Sampling!E300</f>
        <v>0</v>
      </c>
      <c r="D302">
        <f>NMRPrep[[#This Row],['#]]</f>
        <v>0</v>
      </c>
      <c r="G3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2" t="e">
        <f>IF(ISBLANK(NMRPrep[[#This Row],[Total (uL) ]]), 0, NMRPrep[[#This Row],[1mM Maleic Acid (uL) ]]/NMRPrep[[#This Row],[Total (uL) ]])</f>
        <v>#DIV/0!</v>
      </c>
      <c r="I302">
        <f>2</f>
        <v>2</v>
      </c>
      <c r="J302">
        <f>4</f>
        <v>4</v>
      </c>
      <c r="K302">
        <f>1</f>
        <v>1</v>
      </c>
    </row>
    <row r="303" spans="1:11" hidden="1" x14ac:dyDescent="0.25">
      <c r="A303" s="1">
        <f>Sampling!D301</f>
        <v>0</v>
      </c>
      <c r="B303" t="str" cm="1">
        <f t="array" ref="B303">IF(ISBLANK(INDEX(SampleList[NMR],ROW()-1)),"Not Requested",INDEX(SampleList[Experiment ID],ROW()-1))</f>
        <v>Not Requested</v>
      </c>
      <c r="C303">
        <f>Sampling!E301</f>
        <v>0</v>
      </c>
      <c r="D303">
        <f>NMRPrep[[#This Row],['#]]</f>
        <v>0</v>
      </c>
      <c r="G3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3" t="e">
        <f>IF(ISBLANK(NMRPrep[[#This Row],[Total (uL) ]]), 0, NMRPrep[[#This Row],[1mM Maleic Acid (uL) ]]/NMRPrep[[#This Row],[Total (uL) ]])</f>
        <v>#DIV/0!</v>
      </c>
      <c r="I303">
        <f>2</f>
        <v>2</v>
      </c>
      <c r="J303">
        <f>4</f>
        <v>4</v>
      </c>
      <c r="K303">
        <f>1</f>
        <v>1</v>
      </c>
    </row>
    <row r="304" spans="1:11" hidden="1" x14ac:dyDescent="0.25">
      <c r="A304" s="1">
        <f>Sampling!D302</f>
        <v>0</v>
      </c>
      <c r="B304" t="str" cm="1">
        <f t="array" ref="B304">IF(ISBLANK(INDEX(SampleList[NMR],ROW()-1)),"Not Requested",INDEX(SampleList[Experiment ID],ROW()-1))</f>
        <v>Not Requested</v>
      </c>
      <c r="C304">
        <f>Sampling!E302</f>
        <v>0</v>
      </c>
      <c r="D304">
        <f>NMRPrep[[#This Row],['#]]</f>
        <v>0</v>
      </c>
      <c r="G3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4" t="e">
        <f>IF(ISBLANK(NMRPrep[[#This Row],[Total (uL) ]]), 0, NMRPrep[[#This Row],[1mM Maleic Acid (uL) ]]/NMRPrep[[#This Row],[Total (uL) ]])</f>
        <v>#DIV/0!</v>
      </c>
      <c r="I304">
        <f>2</f>
        <v>2</v>
      </c>
      <c r="J304">
        <f>4</f>
        <v>4</v>
      </c>
      <c r="K304">
        <f>1</f>
        <v>1</v>
      </c>
    </row>
    <row r="305" spans="1:11" hidden="1" x14ac:dyDescent="0.25">
      <c r="A305" s="1">
        <f>Sampling!D303</f>
        <v>0</v>
      </c>
      <c r="B305" t="str" cm="1">
        <f t="array" ref="B305">IF(ISBLANK(INDEX(SampleList[NMR],ROW()-1)),"Not Requested",INDEX(SampleList[Experiment ID],ROW()-1))</f>
        <v>Not Requested</v>
      </c>
      <c r="C305">
        <f>Sampling!E303</f>
        <v>0</v>
      </c>
      <c r="D305">
        <f>NMRPrep[[#This Row],['#]]</f>
        <v>0</v>
      </c>
      <c r="G3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5" t="e">
        <f>IF(ISBLANK(NMRPrep[[#This Row],[Total (uL) ]]), 0, NMRPrep[[#This Row],[1mM Maleic Acid (uL) ]]/NMRPrep[[#This Row],[Total (uL) ]])</f>
        <v>#DIV/0!</v>
      </c>
      <c r="I305">
        <f>2</f>
        <v>2</v>
      </c>
      <c r="J305">
        <f>4</f>
        <v>4</v>
      </c>
      <c r="K305">
        <f>1</f>
        <v>1</v>
      </c>
    </row>
    <row r="306" spans="1:11" hidden="1" x14ac:dyDescent="0.25">
      <c r="A306" s="1">
        <f>Sampling!D304</f>
        <v>0</v>
      </c>
      <c r="B306" t="str" cm="1">
        <f t="array" ref="B306">IF(ISBLANK(INDEX(SampleList[NMR],ROW()-1)),"Not Requested",INDEX(SampleList[Experiment ID],ROW()-1))</f>
        <v>Not Requested</v>
      </c>
      <c r="C306">
        <f>Sampling!E304</f>
        <v>0</v>
      </c>
      <c r="D306">
        <f>NMRPrep[[#This Row],['#]]</f>
        <v>0</v>
      </c>
      <c r="G3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6" t="e">
        <f>IF(ISBLANK(NMRPrep[[#This Row],[Total (uL) ]]), 0, NMRPrep[[#This Row],[1mM Maleic Acid (uL) ]]/NMRPrep[[#This Row],[Total (uL) ]])</f>
        <v>#DIV/0!</v>
      </c>
      <c r="I306">
        <f>2</f>
        <v>2</v>
      </c>
      <c r="J306">
        <f>4</f>
        <v>4</v>
      </c>
      <c r="K306">
        <f>1</f>
        <v>1</v>
      </c>
    </row>
    <row r="307" spans="1:11" hidden="1" x14ac:dyDescent="0.25">
      <c r="A307" s="1">
        <f>Sampling!D305</f>
        <v>0</v>
      </c>
      <c r="B307" t="str" cm="1">
        <f t="array" ref="B307">IF(ISBLANK(INDEX(SampleList[NMR],ROW()-1)),"Not Requested",INDEX(SampleList[Experiment ID],ROW()-1))</f>
        <v>Not Requested</v>
      </c>
      <c r="C307">
        <f>Sampling!E305</f>
        <v>0</v>
      </c>
      <c r="D307">
        <f>NMRPrep[[#This Row],['#]]</f>
        <v>0</v>
      </c>
      <c r="G3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7" t="e">
        <f>IF(ISBLANK(NMRPrep[[#This Row],[Total (uL) ]]), 0, NMRPrep[[#This Row],[1mM Maleic Acid (uL) ]]/NMRPrep[[#This Row],[Total (uL) ]])</f>
        <v>#DIV/0!</v>
      </c>
      <c r="I307">
        <f>2</f>
        <v>2</v>
      </c>
      <c r="J307">
        <f>4</f>
        <v>4</v>
      </c>
      <c r="K307">
        <f>1</f>
        <v>1</v>
      </c>
    </row>
    <row r="308" spans="1:11" hidden="1" x14ac:dyDescent="0.25">
      <c r="A308" s="1">
        <f>Sampling!D306</f>
        <v>0</v>
      </c>
      <c r="B308" t="str" cm="1">
        <f t="array" ref="B308">IF(ISBLANK(INDEX(SampleList[NMR],ROW()-1)),"Not Requested",INDEX(SampleList[Experiment ID],ROW()-1))</f>
        <v>Not Requested</v>
      </c>
      <c r="C308">
        <f>Sampling!E306</f>
        <v>0</v>
      </c>
      <c r="D308">
        <f>NMRPrep[[#This Row],['#]]</f>
        <v>0</v>
      </c>
      <c r="G3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8" t="e">
        <f>IF(ISBLANK(NMRPrep[[#This Row],[Total (uL) ]]), 0, NMRPrep[[#This Row],[1mM Maleic Acid (uL) ]]/NMRPrep[[#This Row],[Total (uL) ]])</f>
        <v>#DIV/0!</v>
      </c>
      <c r="I308">
        <f>2</f>
        <v>2</v>
      </c>
      <c r="J308">
        <f>4</f>
        <v>4</v>
      </c>
      <c r="K308">
        <f>1</f>
        <v>1</v>
      </c>
    </row>
    <row r="309" spans="1:11" hidden="1" x14ac:dyDescent="0.25">
      <c r="A309" s="1">
        <f>Sampling!D307</f>
        <v>0</v>
      </c>
      <c r="B309" t="str" cm="1">
        <f t="array" ref="B309">IF(ISBLANK(INDEX(SampleList[NMR],ROW()-1)),"Not Requested",INDEX(SampleList[Experiment ID],ROW()-1))</f>
        <v>Not Requested</v>
      </c>
      <c r="C309">
        <f>Sampling!E307</f>
        <v>0</v>
      </c>
      <c r="D309">
        <f>NMRPrep[[#This Row],['#]]</f>
        <v>0</v>
      </c>
      <c r="G3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09" t="e">
        <f>IF(ISBLANK(NMRPrep[[#This Row],[Total (uL) ]]), 0, NMRPrep[[#This Row],[1mM Maleic Acid (uL) ]]/NMRPrep[[#This Row],[Total (uL) ]])</f>
        <v>#DIV/0!</v>
      </c>
      <c r="I309">
        <f>2</f>
        <v>2</v>
      </c>
      <c r="J309">
        <f>4</f>
        <v>4</v>
      </c>
      <c r="K309">
        <f>1</f>
        <v>1</v>
      </c>
    </row>
    <row r="310" spans="1:11" hidden="1" x14ac:dyDescent="0.25">
      <c r="A310" s="1">
        <f>Sampling!D308</f>
        <v>0</v>
      </c>
      <c r="B310" t="str" cm="1">
        <f t="array" ref="B310">IF(ISBLANK(INDEX(SampleList[NMR],ROW()-1)),"Not Requested",INDEX(SampleList[Experiment ID],ROW()-1))</f>
        <v>Not Requested</v>
      </c>
      <c r="C310">
        <f>Sampling!E308</f>
        <v>0</v>
      </c>
      <c r="D310">
        <f>NMRPrep[[#This Row],['#]]</f>
        <v>0</v>
      </c>
      <c r="G3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0" t="e">
        <f>IF(ISBLANK(NMRPrep[[#This Row],[Total (uL) ]]), 0, NMRPrep[[#This Row],[1mM Maleic Acid (uL) ]]/NMRPrep[[#This Row],[Total (uL) ]])</f>
        <v>#DIV/0!</v>
      </c>
      <c r="I310">
        <f>2</f>
        <v>2</v>
      </c>
      <c r="J310">
        <f>4</f>
        <v>4</v>
      </c>
      <c r="K310">
        <f>1</f>
        <v>1</v>
      </c>
    </row>
    <row r="311" spans="1:11" hidden="1" x14ac:dyDescent="0.25">
      <c r="A311" s="1">
        <f>Sampling!D309</f>
        <v>0</v>
      </c>
      <c r="B311" t="str" cm="1">
        <f t="array" ref="B311">IF(ISBLANK(INDEX(SampleList[NMR],ROW()-1)),"Not Requested",INDEX(SampleList[Experiment ID],ROW()-1))</f>
        <v>Not Requested</v>
      </c>
      <c r="C311">
        <f>Sampling!E309</f>
        <v>0</v>
      </c>
      <c r="D311">
        <f>NMRPrep[[#This Row],['#]]</f>
        <v>0</v>
      </c>
      <c r="G3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1" t="e">
        <f>IF(ISBLANK(NMRPrep[[#This Row],[Total (uL) ]]), 0, NMRPrep[[#This Row],[1mM Maleic Acid (uL) ]]/NMRPrep[[#This Row],[Total (uL) ]])</f>
        <v>#DIV/0!</v>
      </c>
      <c r="I311">
        <f>2</f>
        <v>2</v>
      </c>
      <c r="J311">
        <f>4</f>
        <v>4</v>
      </c>
      <c r="K311">
        <f>1</f>
        <v>1</v>
      </c>
    </row>
    <row r="312" spans="1:11" hidden="1" x14ac:dyDescent="0.25">
      <c r="A312" s="1">
        <f>Sampling!D310</f>
        <v>0</v>
      </c>
      <c r="B312" t="str" cm="1">
        <f t="array" ref="B312">IF(ISBLANK(INDEX(SampleList[NMR],ROW()-1)),"Not Requested",INDEX(SampleList[Experiment ID],ROW()-1))</f>
        <v>Not Requested</v>
      </c>
      <c r="C312">
        <f>Sampling!E310</f>
        <v>0</v>
      </c>
      <c r="D312">
        <f>NMRPrep[[#This Row],['#]]</f>
        <v>0</v>
      </c>
      <c r="G3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2" t="e">
        <f>IF(ISBLANK(NMRPrep[[#This Row],[Total (uL) ]]), 0, NMRPrep[[#This Row],[1mM Maleic Acid (uL) ]]/NMRPrep[[#This Row],[Total (uL) ]])</f>
        <v>#DIV/0!</v>
      </c>
      <c r="I312">
        <f>2</f>
        <v>2</v>
      </c>
      <c r="J312">
        <f>4</f>
        <v>4</v>
      </c>
      <c r="K312">
        <f>1</f>
        <v>1</v>
      </c>
    </row>
    <row r="313" spans="1:11" hidden="1" x14ac:dyDescent="0.25">
      <c r="A313" s="1">
        <f>Sampling!D311</f>
        <v>0</v>
      </c>
      <c r="B313" t="str" cm="1">
        <f t="array" ref="B313">IF(ISBLANK(INDEX(SampleList[NMR],ROW()-1)),"Not Requested",INDEX(SampleList[Experiment ID],ROW()-1))</f>
        <v>Not Requested</v>
      </c>
      <c r="C313">
        <f>Sampling!E311</f>
        <v>0</v>
      </c>
      <c r="D313">
        <f>NMRPrep[[#This Row],['#]]</f>
        <v>0</v>
      </c>
      <c r="G3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3" t="e">
        <f>IF(ISBLANK(NMRPrep[[#This Row],[Total (uL) ]]), 0, NMRPrep[[#This Row],[1mM Maleic Acid (uL) ]]/NMRPrep[[#This Row],[Total (uL) ]])</f>
        <v>#DIV/0!</v>
      </c>
      <c r="I313">
        <f>2</f>
        <v>2</v>
      </c>
      <c r="J313">
        <f>4</f>
        <v>4</v>
      </c>
      <c r="K313">
        <f>1</f>
        <v>1</v>
      </c>
    </row>
    <row r="314" spans="1:11" hidden="1" x14ac:dyDescent="0.25">
      <c r="A314" s="1">
        <f>Sampling!D312</f>
        <v>0</v>
      </c>
      <c r="B314" t="str" cm="1">
        <f t="array" ref="B314">IF(ISBLANK(INDEX(SampleList[NMR],ROW()-1)),"Not Requested",INDEX(SampleList[Experiment ID],ROW()-1))</f>
        <v>Not Requested</v>
      </c>
      <c r="C314">
        <f>Sampling!E312</f>
        <v>0</v>
      </c>
      <c r="D314">
        <f>NMRPrep[[#This Row],['#]]</f>
        <v>0</v>
      </c>
      <c r="G3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4" t="e">
        <f>IF(ISBLANK(NMRPrep[[#This Row],[Total (uL) ]]), 0, NMRPrep[[#This Row],[1mM Maleic Acid (uL) ]]/NMRPrep[[#This Row],[Total (uL) ]])</f>
        <v>#DIV/0!</v>
      </c>
      <c r="I314">
        <f>2</f>
        <v>2</v>
      </c>
      <c r="J314">
        <f>4</f>
        <v>4</v>
      </c>
      <c r="K314">
        <f>1</f>
        <v>1</v>
      </c>
    </row>
    <row r="315" spans="1:11" hidden="1" x14ac:dyDescent="0.25">
      <c r="A315" s="1">
        <f>Sampling!D313</f>
        <v>0</v>
      </c>
      <c r="B315" t="str" cm="1">
        <f t="array" ref="B315">IF(ISBLANK(INDEX(SampleList[NMR],ROW()-1)),"Not Requested",INDEX(SampleList[Experiment ID],ROW()-1))</f>
        <v>Not Requested</v>
      </c>
      <c r="C315">
        <f>Sampling!E313</f>
        <v>0</v>
      </c>
      <c r="D315">
        <f>NMRPrep[[#This Row],['#]]</f>
        <v>0</v>
      </c>
      <c r="G3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5" t="e">
        <f>IF(ISBLANK(NMRPrep[[#This Row],[Total (uL) ]]), 0, NMRPrep[[#This Row],[1mM Maleic Acid (uL) ]]/NMRPrep[[#This Row],[Total (uL) ]])</f>
        <v>#DIV/0!</v>
      </c>
      <c r="I315">
        <f>2</f>
        <v>2</v>
      </c>
      <c r="J315">
        <f>4</f>
        <v>4</v>
      </c>
      <c r="K315">
        <f>1</f>
        <v>1</v>
      </c>
    </row>
    <row r="316" spans="1:11" hidden="1" x14ac:dyDescent="0.25">
      <c r="A316" s="1">
        <f>Sampling!D314</f>
        <v>0</v>
      </c>
      <c r="B316" t="str" cm="1">
        <f t="array" ref="B316">IF(ISBLANK(INDEX(SampleList[NMR],ROW()-1)),"Not Requested",INDEX(SampleList[Experiment ID],ROW()-1))</f>
        <v>Not Requested</v>
      </c>
      <c r="C316">
        <f>Sampling!E314</f>
        <v>0</v>
      </c>
      <c r="D316">
        <f>NMRPrep[[#This Row],['#]]</f>
        <v>0</v>
      </c>
      <c r="G3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6" t="e">
        <f>IF(ISBLANK(NMRPrep[[#This Row],[Total (uL) ]]), 0, NMRPrep[[#This Row],[1mM Maleic Acid (uL) ]]/NMRPrep[[#This Row],[Total (uL) ]])</f>
        <v>#DIV/0!</v>
      </c>
      <c r="I316">
        <f>2</f>
        <v>2</v>
      </c>
      <c r="J316">
        <f>4</f>
        <v>4</v>
      </c>
      <c r="K316">
        <f>1</f>
        <v>1</v>
      </c>
    </row>
    <row r="317" spans="1:11" hidden="1" x14ac:dyDescent="0.25">
      <c r="A317" s="1">
        <f>Sampling!D315</f>
        <v>0</v>
      </c>
      <c r="B317" t="str" cm="1">
        <f t="array" ref="B317">IF(ISBLANK(INDEX(SampleList[NMR],ROW()-1)),"Not Requested",INDEX(SampleList[Experiment ID],ROW()-1))</f>
        <v>Not Requested</v>
      </c>
      <c r="C317">
        <f>Sampling!E315</f>
        <v>0</v>
      </c>
      <c r="D317">
        <f>NMRPrep[[#This Row],['#]]</f>
        <v>0</v>
      </c>
      <c r="G3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7" t="e">
        <f>IF(ISBLANK(NMRPrep[[#This Row],[Total (uL) ]]), 0, NMRPrep[[#This Row],[1mM Maleic Acid (uL) ]]/NMRPrep[[#This Row],[Total (uL) ]])</f>
        <v>#DIV/0!</v>
      </c>
      <c r="I317">
        <f>2</f>
        <v>2</v>
      </c>
      <c r="J317">
        <f>4</f>
        <v>4</v>
      </c>
      <c r="K317">
        <f>1</f>
        <v>1</v>
      </c>
    </row>
    <row r="318" spans="1:11" hidden="1" x14ac:dyDescent="0.25">
      <c r="A318" s="1">
        <f>Sampling!D316</f>
        <v>0</v>
      </c>
      <c r="B318" t="str" cm="1">
        <f t="array" ref="B318">IF(ISBLANK(INDEX(SampleList[NMR],ROW()-1)),"Not Requested",INDEX(SampleList[Experiment ID],ROW()-1))</f>
        <v>Not Requested</v>
      </c>
      <c r="C318">
        <f>Sampling!E316</f>
        <v>0</v>
      </c>
      <c r="D318">
        <f>NMRPrep[[#This Row],['#]]</f>
        <v>0</v>
      </c>
      <c r="G3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8" t="e">
        <f>IF(ISBLANK(NMRPrep[[#This Row],[Total (uL) ]]), 0, NMRPrep[[#This Row],[1mM Maleic Acid (uL) ]]/NMRPrep[[#This Row],[Total (uL) ]])</f>
        <v>#DIV/0!</v>
      </c>
      <c r="I318">
        <f>2</f>
        <v>2</v>
      </c>
      <c r="J318">
        <f>4</f>
        <v>4</v>
      </c>
      <c r="K318">
        <f>1</f>
        <v>1</v>
      </c>
    </row>
    <row r="319" spans="1:11" hidden="1" x14ac:dyDescent="0.25">
      <c r="A319" s="1">
        <f>Sampling!D317</f>
        <v>0</v>
      </c>
      <c r="B319" t="str" cm="1">
        <f t="array" ref="B319">IF(ISBLANK(INDEX(SampleList[NMR],ROW()-1)),"Not Requested",INDEX(SampleList[Experiment ID],ROW()-1))</f>
        <v>Not Requested</v>
      </c>
      <c r="C319">
        <f>Sampling!E317</f>
        <v>0</v>
      </c>
      <c r="D319">
        <f>NMRPrep[[#This Row],['#]]</f>
        <v>0</v>
      </c>
      <c r="G3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19" t="e">
        <f>IF(ISBLANK(NMRPrep[[#This Row],[Total (uL) ]]), 0, NMRPrep[[#This Row],[1mM Maleic Acid (uL) ]]/NMRPrep[[#This Row],[Total (uL) ]])</f>
        <v>#DIV/0!</v>
      </c>
      <c r="I319">
        <f>2</f>
        <v>2</v>
      </c>
      <c r="J319">
        <f>4</f>
        <v>4</v>
      </c>
      <c r="K319">
        <f>1</f>
        <v>1</v>
      </c>
    </row>
    <row r="320" spans="1:11" hidden="1" x14ac:dyDescent="0.25">
      <c r="A320" s="1">
        <f>Sampling!D318</f>
        <v>0</v>
      </c>
      <c r="B320" t="str" cm="1">
        <f t="array" ref="B320">IF(ISBLANK(INDEX(SampleList[NMR],ROW()-1)),"Not Requested",INDEX(SampleList[Experiment ID],ROW()-1))</f>
        <v>Not Requested</v>
      </c>
      <c r="C320">
        <f>Sampling!E318</f>
        <v>0</v>
      </c>
      <c r="D320">
        <f>NMRPrep[[#This Row],['#]]</f>
        <v>0</v>
      </c>
      <c r="G3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0" t="e">
        <f>IF(ISBLANK(NMRPrep[[#This Row],[Total (uL) ]]), 0, NMRPrep[[#This Row],[1mM Maleic Acid (uL) ]]/NMRPrep[[#This Row],[Total (uL) ]])</f>
        <v>#DIV/0!</v>
      </c>
      <c r="I320">
        <f>2</f>
        <v>2</v>
      </c>
      <c r="J320">
        <f>4</f>
        <v>4</v>
      </c>
      <c r="K320">
        <f>1</f>
        <v>1</v>
      </c>
    </row>
    <row r="321" spans="1:11" hidden="1" x14ac:dyDescent="0.25">
      <c r="A321" s="1">
        <f>Sampling!D319</f>
        <v>0</v>
      </c>
      <c r="B321" t="str" cm="1">
        <f t="array" ref="B321">IF(ISBLANK(INDEX(SampleList[NMR],ROW()-1)),"Not Requested",INDEX(SampleList[Experiment ID],ROW()-1))</f>
        <v>Not Requested</v>
      </c>
      <c r="C321">
        <f>Sampling!E319</f>
        <v>0</v>
      </c>
      <c r="D321">
        <f>NMRPrep[[#This Row],['#]]</f>
        <v>0</v>
      </c>
      <c r="G3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1" t="e">
        <f>IF(ISBLANK(NMRPrep[[#This Row],[Total (uL) ]]), 0, NMRPrep[[#This Row],[1mM Maleic Acid (uL) ]]/NMRPrep[[#This Row],[Total (uL) ]])</f>
        <v>#DIV/0!</v>
      </c>
      <c r="I321">
        <f>2</f>
        <v>2</v>
      </c>
      <c r="J321">
        <f>4</f>
        <v>4</v>
      </c>
      <c r="K321">
        <f>1</f>
        <v>1</v>
      </c>
    </row>
    <row r="322" spans="1:11" hidden="1" x14ac:dyDescent="0.25">
      <c r="A322" s="1">
        <f>Sampling!D320</f>
        <v>0</v>
      </c>
      <c r="B322" t="str" cm="1">
        <f t="array" ref="B322">IF(ISBLANK(INDEX(SampleList[NMR],ROW()-1)),"Not Requested",INDEX(SampleList[Experiment ID],ROW()-1))</f>
        <v>Not Requested</v>
      </c>
      <c r="C322">
        <f>Sampling!E320</f>
        <v>0</v>
      </c>
      <c r="D322">
        <f>NMRPrep[[#This Row],['#]]</f>
        <v>0</v>
      </c>
      <c r="G3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2" t="e">
        <f>IF(ISBLANK(NMRPrep[[#This Row],[Total (uL) ]]), 0, NMRPrep[[#This Row],[1mM Maleic Acid (uL) ]]/NMRPrep[[#This Row],[Total (uL) ]])</f>
        <v>#DIV/0!</v>
      </c>
      <c r="I322">
        <f>2</f>
        <v>2</v>
      </c>
      <c r="J322">
        <f>4</f>
        <v>4</v>
      </c>
      <c r="K322">
        <f>1</f>
        <v>1</v>
      </c>
    </row>
    <row r="323" spans="1:11" hidden="1" x14ac:dyDescent="0.25">
      <c r="A323" s="1">
        <f>Sampling!D321</f>
        <v>0</v>
      </c>
      <c r="B323" t="str" cm="1">
        <f t="array" ref="B323">IF(ISBLANK(INDEX(SampleList[NMR],ROW()-1)),"Not Requested",INDEX(SampleList[Experiment ID],ROW()-1))</f>
        <v>Not Requested</v>
      </c>
      <c r="C323">
        <f>Sampling!E321</f>
        <v>0</v>
      </c>
      <c r="D323">
        <f>NMRPrep[[#This Row],['#]]</f>
        <v>0</v>
      </c>
      <c r="G3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3" t="e">
        <f>IF(ISBLANK(NMRPrep[[#This Row],[Total (uL) ]]), 0, NMRPrep[[#This Row],[1mM Maleic Acid (uL) ]]/NMRPrep[[#This Row],[Total (uL) ]])</f>
        <v>#DIV/0!</v>
      </c>
      <c r="I323">
        <f>2</f>
        <v>2</v>
      </c>
      <c r="J323">
        <f>4</f>
        <v>4</v>
      </c>
      <c r="K323">
        <f>1</f>
        <v>1</v>
      </c>
    </row>
    <row r="324" spans="1:11" hidden="1" x14ac:dyDescent="0.25">
      <c r="A324" s="1">
        <f>Sampling!D322</f>
        <v>0</v>
      </c>
      <c r="B324" t="str" cm="1">
        <f t="array" ref="B324">IF(ISBLANK(INDEX(SampleList[NMR],ROW()-1)),"Not Requested",INDEX(SampleList[Experiment ID],ROW()-1))</f>
        <v>Not Requested</v>
      </c>
      <c r="C324">
        <f>Sampling!E322</f>
        <v>0</v>
      </c>
      <c r="D324">
        <f>NMRPrep[[#This Row],['#]]</f>
        <v>0</v>
      </c>
      <c r="G3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4" t="e">
        <f>IF(ISBLANK(NMRPrep[[#This Row],[Total (uL) ]]), 0, NMRPrep[[#This Row],[1mM Maleic Acid (uL) ]]/NMRPrep[[#This Row],[Total (uL) ]])</f>
        <v>#DIV/0!</v>
      </c>
      <c r="I324">
        <f>2</f>
        <v>2</v>
      </c>
      <c r="J324">
        <f>4</f>
        <v>4</v>
      </c>
      <c r="K324">
        <f>1</f>
        <v>1</v>
      </c>
    </row>
    <row r="325" spans="1:11" hidden="1" x14ac:dyDescent="0.25">
      <c r="A325" s="1">
        <f>Sampling!D323</f>
        <v>0</v>
      </c>
      <c r="B325" t="str" cm="1">
        <f t="array" ref="B325">IF(ISBLANK(INDEX(SampleList[NMR],ROW()-1)),"Not Requested",INDEX(SampleList[Experiment ID],ROW()-1))</f>
        <v>Not Requested</v>
      </c>
      <c r="C325">
        <f>Sampling!E323</f>
        <v>0</v>
      </c>
      <c r="D325">
        <f>NMRPrep[[#This Row],['#]]</f>
        <v>0</v>
      </c>
      <c r="G3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5" t="e">
        <f>IF(ISBLANK(NMRPrep[[#This Row],[Total (uL) ]]), 0, NMRPrep[[#This Row],[1mM Maleic Acid (uL) ]]/NMRPrep[[#This Row],[Total (uL) ]])</f>
        <v>#DIV/0!</v>
      </c>
      <c r="I325">
        <f>2</f>
        <v>2</v>
      </c>
      <c r="J325">
        <f>4</f>
        <v>4</v>
      </c>
      <c r="K325">
        <f>1</f>
        <v>1</v>
      </c>
    </row>
    <row r="326" spans="1:11" hidden="1" x14ac:dyDescent="0.25">
      <c r="A326" s="1">
        <f>Sampling!D324</f>
        <v>0</v>
      </c>
      <c r="B326" t="str" cm="1">
        <f t="array" ref="B326">IF(ISBLANK(INDEX(SampleList[NMR],ROW()-1)),"Not Requested",INDEX(SampleList[Experiment ID],ROW()-1))</f>
        <v>Not Requested</v>
      </c>
      <c r="C326">
        <f>Sampling!E324</f>
        <v>0</v>
      </c>
      <c r="D326">
        <f>NMRPrep[[#This Row],['#]]</f>
        <v>0</v>
      </c>
      <c r="G3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6" t="e">
        <f>IF(ISBLANK(NMRPrep[[#This Row],[Total (uL) ]]), 0, NMRPrep[[#This Row],[1mM Maleic Acid (uL) ]]/NMRPrep[[#This Row],[Total (uL) ]])</f>
        <v>#DIV/0!</v>
      </c>
      <c r="I326">
        <f>2</f>
        <v>2</v>
      </c>
      <c r="J326">
        <f>4</f>
        <v>4</v>
      </c>
      <c r="K326">
        <f>1</f>
        <v>1</v>
      </c>
    </row>
    <row r="327" spans="1:11" hidden="1" x14ac:dyDescent="0.25">
      <c r="A327" s="1">
        <f>Sampling!D325</f>
        <v>0</v>
      </c>
      <c r="B327" t="str" cm="1">
        <f t="array" ref="B327">IF(ISBLANK(INDEX(SampleList[NMR],ROW()-1)),"Not Requested",INDEX(SampleList[Experiment ID],ROW()-1))</f>
        <v>Not Requested</v>
      </c>
      <c r="C327">
        <f>Sampling!E325</f>
        <v>0</v>
      </c>
      <c r="D327">
        <f>NMRPrep[[#This Row],['#]]</f>
        <v>0</v>
      </c>
      <c r="G3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7" t="e">
        <f>IF(ISBLANK(NMRPrep[[#This Row],[Total (uL) ]]), 0, NMRPrep[[#This Row],[1mM Maleic Acid (uL) ]]/NMRPrep[[#This Row],[Total (uL) ]])</f>
        <v>#DIV/0!</v>
      </c>
      <c r="I327">
        <f>2</f>
        <v>2</v>
      </c>
      <c r="J327">
        <f>4</f>
        <v>4</v>
      </c>
      <c r="K327">
        <f>1</f>
        <v>1</v>
      </c>
    </row>
    <row r="328" spans="1:11" hidden="1" x14ac:dyDescent="0.25">
      <c r="A328" s="1">
        <f>Sampling!D326</f>
        <v>0</v>
      </c>
      <c r="B328" t="str" cm="1">
        <f t="array" ref="B328">IF(ISBLANK(INDEX(SampleList[NMR],ROW()-1)),"Not Requested",INDEX(SampleList[Experiment ID],ROW()-1))</f>
        <v>Not Requested</v>
      </c>
      <c r="C328">
        <f>Sampling!E326</f>
        <v>0</v>
      </c>
      <c r="D328">
        <f>NMRPrep[[#This Row],['#]]</f>
        <v>0</v>
      </c>
      <c r="G3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8" t="e">
        <f>IF(ISBLANK(NMRPrep[[#This Row],[Total (uL) ]]), 0, NMRPrep[[#This Row],[1mM Maleic Acid (uL) ]]/NMRPrep[[#This Row],[Total (uL) ]])</f>
        <v>#DIV/0!</v>
      </c>
      <c r="I328">
        <f>2</f>
        <v>2</v>
      </c>
      <c r="J328">
        <f>4</f>
        <v>4</v>
      </c>
      <c r="K328">
        <f>1</f>
        <v>1</v>
      </c>
    </row>
    <row r="329" spans="1:11" hidden="1" x14ac:dyDescent="0.25">
      <c r="A329" s="1">
        <f>Sampling!D327</f>
        <v>0</v>
      </c>
      <c r="B329" t="str" cm="1">
        <f t="array" ref="B329">IF(ISBLANK(INDEX(SampleList[NMR],ROW()-1)),"Not Requested",INDEX(SampleList[Experiment ID],ROW()-1))</f>
        <v>Not Requested</v>
      </c>
      <c r="C329">
        <f>Sampling!E327</f>
        <v>0</v>
      </c>
      <c r="D329">
        <f>NMRPrep[[#This Row],['#]]</f>
        <v>0</v>
      </c>
      <c r="G3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29" t="e">
        <f>IF(ISBLANK(NMRPrep[[#This Row],[Total (uL) ]]), 0, NMRPrep[[#This Row],[1mM Maleic Acid (uL) ]]/NMRPrep[[#This Row],[Total (uL) ]])</f>
        <v>#DIV/0!</v>
      </c>
      <c r="I329">
        <f>2</f>
        <v>2</v>
      </c>
      <c r="J329">
        <f>4</f>
        <v>4</v>
      </c>
      <c r="K329">
        <f>1</f>
        <v>1</v>
      </c>
    </row>
    <row r="330" spans="1:11" hidden="1" x14ac:dyDescent="0.25">
      <c r="A330" s="1">
        <f>Sampling!D328</f>
        <v>0</v>
      </c>
      <c r="B330" t="str" cm="1">
        <f t="array" ref="B330">IF(ISBLANK(INDEX(SampleList[NMR],ROW()-1)),"Not Requested",INDEX(SampleList[Experiment ID],ROW()-1))</f>
        <v>Not Requested</v>
      </c>
      <c r="C330">
        <f>Sampling!E328</f>
        <v>0</v>
      </c>
      <c r="D330">
        <f>NMRPrep[[#This Row],['#]]</f>
        <v>0</v>
      </c>
      <c r="G3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0" t="e">
        <f>IF(ISBLANK(NMRPrep[[#This Row],[Total (uL) ]]), 0, NMRPrep[[#This Row],[1mM Maleic Acid (uL) ]]/NMRPrep[[#This Row],[Total (uL) ]])</f>
        <v>#DIV/0!</v>
      </c>
      <c r="I330">
        <f>2</f>
        <v>2</v>
      </c>
      <c r="J330">
        <f>4</f>
        <v>4</v>
      </c>
      <c r="K330">
        <f>1</f>
        <v>1</v>
      </c>
    </row>
    <row r="331" spans="1:11" hidden="1" x14ac:dyDescent="0.25">
      <c r="A331" s="1">
        <f>Sampling!D329</f>
        <v>0</v>
      </c>
      <c r="B331" t="str" cm="1">
        <f t="array" ref="B331">IF(ISBLANK(INDEX(SampleList[NMR],ROW()-1)),"Not Requested",INDEX(SampleList[Experiment ID],ROW()-1))</f>
        <v>Not Requested</v>
      </c>
      <c r="C331">
        <f>Sampling!E329</f>
        <v>0</v>
      </c>
      <c r="D331">
        <f>NMRPrep[[#This Row],['#]]</f>
        <v>0</v>
      </c>
      <c r="G3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1" t="e">
        <f>IF(ISBLANK(NMRPrep[[#This Row],[Total (uL) ]]), 0, NMRPrep[[#This Row],[1mM Maleic Acid (uL) ]]/NMRPrep[[#This Row],[Total (uL) ]])</f>
        <v>#DIV/0!</v>
      </c>
      <c r="I331">
        <f>2</f>
        <v>2</v>
      </c>
      <c r="J331">
        <f>4</f>
        <v>4</v>
      </c>
      <c r="K331">
        <f>1</f>
        <v>1</v>
      </c>
    </row>
    <row r="332" spans="1:11" hidden="1" x14ac:dyDescent="0.25">
      <c r="A332" s="1">
        <f>Sampling!D330</f>
        <v>0</v>
      </c>
      <c r="B332" t="str" cm="1">
        <f t="array" ref="B332">IF(ISBLANK(INDEX(SampleList[NMR],ROW()-1)),"Not Requested",INDEX(SampleList[Experiment ID],ROW()-1))</f>
        <v>Not Requested</v>
      </c>
      <c r="C332">
        <f>Sampling!E330</f>
        <v>0</v>
      </c>
      <c r="D332">
        <f>NMRPrep[[#This Row],['#]]</f>
        <v>0</v>
      </c>
      <c r="G3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2" t="e">
        <f>IF(ISBLANK(NMRPrep[[#This Row],[Total (uL) ]]), 0, NMRPrep[[#This Row],[1mM Maleic Acid (uL) ]]/NMRPrep[[#This Row],[Total (uL) ]])</f>
        <v>#DIV/0!</v>
      </c>
      <c r="I332">
        <f>2</f>
        <v>2</v>
      </c>
      <c r="J332">
        <f>4</f>
        <v>4</v>
      </c>
      <c r="K332">
        <f>1</f>
        <v>1</v>
      </c>
    </row>
    <row r="333" spans="1:11" hidden="1" x14ac:dyDescent="0.25">
      <c r="A333" s="1">
        <f>Sampling!D331</f>
        <v>0</v>
      </c>
      <c r="B333" t="str" cm="1">
        <f t="array" ref="B333">IF(ISBLANK(INDEX(SampleList[NMR],ROW()-1)),"Not Requested",INDEX(SampleList[Experiment ID],ROW()-1))</f>
        <v>Not Requested</v>
      </c>
      <c r="C333">
        <f>Sampling!E331</f>
        <v>0</v>
      </c>
      <c r="D333">
        <f>NMRPrep[[#This Row],['#]]</f>
        <v>0</v>
      </c>
      <c r="G3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3" t="e">
        <f>IF(ISBLANK(NMRPrep[[#This Row],[Total (uL) ]]), 0, NMRPrep[[#This Row],[1mM Maleic Acid (uL) ]]/NMRPrep[[#This Row],[Total (uL) ]])</f>
        <v>#DIV/0!</v>
      </c>
      <c r="I333">
        <f>2</f>
        <v>2</v>
      </c>
      <c r="J333">
        <f>4</f>
        <v>4</v>
      </c>
      <c r="K333">
        <f>1</f>
        <v>1</v>
      </c>
    </row>
    <row r="334" spans="1:11" hidden="1" x14ac:dyDescent="0.25">
      <c r="A334" s="1">
        <f>Sampling!D332</f>
        <v>0</v>
      </c>
      <c r="B334" t="str" cm="1">
        <f t="array" ref="B334">IF(ISBLANK(INDEX(SampleList[NMR],ROW()-1)),"Not Requested",INDEX(SampleList[Experiment ID],ROW()-1))</f>
        <v>Not Requested</v>
      </c>
      <c r="C334">
        <f>Sampling!E332</f>
        <v>0</v>
      </c>
      <c r="D334">
        <f>NMRPrep[[#This Row],['#]]</f>
        <v>0</v>
      </c>
      <c r="G3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4" t="e">
        <f>IF(ISBLANK(NMRPrep[[#This Row],[Total (uL) ]]), 0, NMRPrep[[#This Row],[1mM Maleic Acid (uL) ]]/NMRPrep[[#This Row],[Total (uL) ]])</f>
        <v>#DIV/0!</v>
      </c>
      <c r="I334">
        <f>2</f>
        <v>2</v>
      </c>
      <c r="J334">
        <f>4</f>
        <v>4</v>
      </c>
      <c r="K334">
        <f>1</f>
        <v>1</v>
      </c>
    </row>
    <row r="335" spans="1:11" hidden="1" x14ac:dyDescent="0.25">
      <c r="A335" s="1">
        <f>Sampling!D333</f>
        <v>0</v>
      </c>
      <c r="B335" t="str" cm="1">
        <f t="array" ref="B335">IF(ISBLANK(INDEX(SampleList[NMR],ROW()-1)),"Not Requested",INDEX(SampleList[Experiment ID],ROW()-1))</f>
        <v>Not Requested</v>
      </c>
      <c r="C335">
        <f>Sampling!E333</f>
        <v>0</v>
      </c>
      <c r="D335">
        <f>NMRPrep[[#This Row],['#]]</f>
        <v>0</v>
      </c>
      <c r="G3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5" t="e">
        <f>IF(ISBLANK(NMRPrep[[#This Row],[Total (uL) ]]), 0, NMRPrep[[#This Row],[1mM Maleic Acid (uL) ]]/NMRPrep[[#This Row],[Total (uL) ]])</f>
        <v>#DIV/0!</v>
      </c>
      <c r="I335">
        <f>2</f>
        <v>2</v>
      </c>
      <c r="J335">
        <f>4</f>
        <v>4</v>
      </c>
      <c r="K335">
        <f>1</f>
        <v>1</v>
      </c>
    </row>
    <row r="336" spans="1:11" hidden="1" x14ac:dyDescent="0.25">
      <c r="A336" s="1">
        <f>Sampling!D334</f>
        <v>0</v>
      </c>
      <c r="B336" t="str" cm="1">
        <f t="array" ref="B336">IF(ISBLANK(INDEX(SampleList[NMR],ROW()-1)),"Not Requested",INDEX(SampleList[Experiment ID],ROW()-1))</f>
        <v>Not Requested</v>
      </c>
      <c r="C336">
        <f>Sampling!E334</f>
        <v>0</v>
      </c>
      <c r="D336">
        <f>NMRPrep[[#This Row],['#]]</f>
        <v>0</v>
      </c>
      <c r="G3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6" t="e">
        <f>IF(ISBLANK(NMRPrep[[#This Row],[Total (uL) ]]), 0, NMRPrep[[#This Row],[1mM Maleic Acid (uL) ]]/NMRPrep[[#This Row],[Total (uL) ]])</f>
        <v>#DIV/0!</v>
      </c>
      <c r="I336">
        <f>2</f>
        <v>2</v>
      </c>
      <c r="J336">
        <f>4</f>
        <v>4</v>
      </c>
      <c r="K336">
        <f>1</f>
        <v>1</v>
      </c>
    </row>
    <row r="337" spans="1:11" hidden="1" x14ac:dyDescent="0.25">
      <c r="A337" s="1">
        <f>Sampling!D335</f>
        <v>0</v>
      </c>
      <c r="B337" t="str" cm="1">
        <f t="array" ref="B337">IF(ISBLANK(INDEX(SampleList[NMR],ROW()-1)),"Not Requested",INDEX(SampleList[Experiment ID],ROW()-1))</f>
        <v>Not Requested</v>
      </c>
      <c r="C337">
        <f>Sampling!E335</f>
        <v>0</v>
      </c>
      <c r="D337">
        <f>NMRPrep[[#This Row],['#]]</f>
        <v>0</v>
      </c>
      <c r="G3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7" t="e">
        <f>IF(ISBLANK(NMRPrep[[#This Row],[Total (uL) ]]), 0, NMRPrep[[#This Row],[1mM Maleic Acid (uL) ]]/NMRPrep[[#This Row],[Total (uL) ]])</f>
        <v>#DIV/0!</v>
      </c>
      <c r="I337">
        <f>2</f>
        <v>2</v>
      </c>
      <c r="J337">
        <f>4</f>
        <v>4</v>
      </c>
      <c r="K337">
        <f>1</f>
        <v>1</v>
      </c>
    </row>
    <row r="338" spans="1:11" hidden="1" x14ac:dyDescent="0.25">
      <c r="A338" s="1">
        <f>Sampling!D336</f>
        <v>0</v>
      </c>
      <c r="B338" t="str" cm="1">
        <f t="array" ref="B338">IF(ISBLANK(INDEX(SampleList[NMR],ROW()-1)),"Not Requested",INDEX(SampleList[Experiment ID],ROW()-1))</f>
        <v>Not Requested</v>
      </c>
      <c r="C338">
        <f>Sampling!E336</f>
        <v>0</v>
      </c>
      <c r="D338">
        <f>NMRPrep[[#This Row],['#]]</f>
        <v>0</v>
      </c>
      <c r="G3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8" t="e">
        <f>IF(ISBLANK(NMRPrep[[#This Row],[Total (uL) ]]), 0, NMRPrep[[#This Row],[1mM Maleic Acid (uL) ]]/NMRPrep[[#This Row],[Total (uL) ]])</f>
        <v>#DIV/0!</v>
      </c>
      <c r="I338">
        <f>2</f>
        <v>2</v>
      </c>
      <c r="J338">
        <f>4</f>
        <v>4</v>
      </c>
      <c r="K338">
        <f>1</f>
        <v>1</v>
      </c>
    </row>
    <row r="339" spans="1:11" hidden="1" x14ac:dyDescent="0.25">
      <c r="A339" s="1">
        <f>Sampling!D337</f>
        <v>0</v>
      </c>
      <c r="B339" t="str" cm="1">
        <f t="array" ref="B339">IF(ISBLANK(INDEX(SampleList[NMR],ROW()-1)),"Not Requested",INDEX(SampleList[Experiment ID],ROW()-1))</f>
        <v>Not Requested</v>
      </c>
      <c r="C339">
        <f>Sampling!E337</f>
        <v>0</v>
      </c>
      <c r="D339">
        <f>NMRPrep[[#This Row],['#]]</f>
        <v>0</v>
      </c>
      <c r="G3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39" t="e">
        <f>IF(ISBLANK(NMRPrep[[#This Row],[Total (uL) ]]), 0, NMRPrep[[#This Row],[1mM Maleic Acid (uL) ]]/NMRPrep[[#This Row],[Total (uL) ]])</f>
        <v>#DIV/0!</v>
      </c>
      <c r="I339">
        <f>2</f>
        <v>2</v>
      </c>
      <c r="J339">
        <f>4</f>
        <v>4</v>
      </c>
      <c r="K339">
        <f>1</f>
        <v>1</v>
      </c>
    </row>
    <row r="340" spans="1:11" hidden="1" x14ac:dyDescent="0.25">
      <c r="A340" s="1">
        <f>Sampling!D338</f>
        <v>0</v>
      </c>
      <c r="B340" t="str" cm="1">
        <f t="array" ref="B340">IF(ISBLANK(INDEX(SampleList[NMR],ROW()-1)),"Not Requested",INDEX(SampleList[Experiment ID],ROW()-1))</f>
        <v>Not Requested</v>
      </c>
      <c r="C340">
        <f>Sampling!E338</f>
        <v>0</v>
      </c>
      <c r="D340">
        <f>NMRPrep[[#This Row],['#]]</f>
        <v>0</v>
      </c>
      <c r="G3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0" t="e">
        <f>IF(ISBLANK(NMRPrep[[#This Row],[Total (uL) ]]), 0, NMRPrep[[#This Row],[1mM Maleic Acid (uL) ]]/NMRPrep[[#This Row],[Total (uL) ]])</f>
        <v>#DIV/0!</v>
      </c>
      <c r="I340">
        <f>2</f>
        <v>2</v>
      </c>
      <c r="J340">
        <f>4</f>
        <v>4</v>
      </c>
      <c r="K340">
        <f>1</f>
        <v>1</v>
      </c>
    </row>
    <row r="341" spans="1:11" hidden="1" x14ac:dyDescent="0.25">
      <c r="A341" s="1">
        <f>Sampling!D339</f>
        <v>0</v>
      </c>
      <c r="B341" t="str" cm="1">
        <f t="array" ref="B341">IF(ISBLANK(INDEX(SampleList[NMR],ROW()-1)),"Not Requested",INDEX(SampleList[Experiment ID],ROW()-1))</f>
        <v>Not Requested</v>
      </c>
      <c r="C341">
        <f>Sampling!E339</f>
        <v>0</v>
      </c>
      <c r="D341">
        <f>NMRPrep[[#This Row],['#]]</f>
        <v>0</v>
      </c>
      <c r="G3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1" t="e">
        <f>IF(ISBLANK(NMRPrep[[#This Row],[Total (uL) ]]), 0, NMRPrep[[#This Row],[1mM Maleic Acid (uL) ]]/NMRPrep[[#This Row],[Total (uL) ]])</f>
        <v>#DIV/0!</v>
      </c>
      <c r="I341">
        <f>2</f>
        <v>2</v>
      </c>
      <c r="J341">
        <f>4</f>
        <v>4</v>
      </c>
      <c r="K341">
        <f>1</f>
        <v>1</v>
      </c>
    </row>
    <row r="342" spans="1:11" hidden="1" x14ac:dyDescent="0.25">
      <c r="A342" s="1">
        <f>Sampling!D340</f>
        <v>0</v>
      </c>
      <c r="B342" t="str" cm="1">
        <f t="array" ref="B342">IF(ISBLANK(INDEX(SampleList[NMR],ROW()-1)),"Not Requested",INDEX(SampleList[Experiment ID],ROW()-1))</f>
        <v>Not Requested</v>
      </c>
      <c r="C342">
        <f>Sampling!E340</f>
        <v>0</v>
      </c>
      <c r="D342">
        <f>NMRPrep[[#This Row],['#]]</f>
        <v>0</v>
      </c>
      <c r="G3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2" t="e">
        <f>IF(ISBLANK(NMRPrep[[#This Row],[Total (uL) ]]), 0, NMRPrep[[#This Row],[1mM Maleic Acid (uL) ]]/NMRPrep[[#This Row],[Total (uL) ]])</f>
        <v>#DIV/0!</v>
      </c>
      <c r="I342">
        <f>2</f>
        <v>2</v>
      </c>
      <c r="J342">
        <f>4</f>
        <v>4</v>
      </c>
      <c r="K342">
        <f>1</f>
        <v>1</v>
      </c>
    </row>
    <row r="343" spans="1:11" hidden="1" x14ac:dyDescent="0.25">
      <c r="A343" s="1">
        <f>Sampling!D341</f>
        <v>0</v>
      </c>
      <c r="B343" t="str" cm="1">
        <f t="array" ref="B343">IF(ISBLANK(INDEX(SampleList[NMR],ROW()-1)),"Not Requested",INDEX(SampleList[Experiment ID],ROW()-1))</f>
        <v>Not Requested</v>
      </c>
      <c r="C343">
        <f>Sampling!E341</f>
        <v>0</v>
      </c>
      <c r="D343">
        <f>NMRPrep[[#This Row],['#]]</f>
        <v>0</v>
      </c>
      <c r="G3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3" t="e">
        <f>IF(ISBLANK(NMRPrep[[#This Row],[Total (uL) ]]), 0, NMRPrep[[#This Row],[1mM Maleic Acid (uL) ]]/NMRPrep[[#This Row],[Total (uL) ]])</f>
        <v>#DIV/0!</v>
      </c>
      <c r="I343">
        <f>2</f>
        <v>2</v>
      </c>
      <c r="J343">
        <f>4</f>
        <v>4</v>
      </c>
      <c r="K343">
        <f>1</f>
        <v>1</v>
      </c>
    </row>
    <row r="344" spans="1:11" hidden="1" x14ac:dyDescent="0.25">
      <c r="A344" s="1">
        <f>Sampling!D342</f>
        <v>0</v>
      </c>
      <c r="B344" t="str" cm="1">
        <f t="array" ref="B344">IF(ISBLANK(INDEX(SampleList[NMR],ROW()-1)),"Not Requested",INDEX(SampleList[Experiment ID],ROW()-1))</f>
        <v>Not Requested</v>
      </c>
      <c r="C344">
        <f>Sampling!E342</f>
        <v>0</v>
      </c>
      <c r="D344">
        <f>NMRPrep[[#This Row],['#]]</f>
        <v>0</v>
      </c>
      <c r="G3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4" t="e">
        <f>IF(ISBLANK(NMRPrep[[#This Row],[Total (uL) ]]), 0, NMRPrep[[#This Row],[1mM Maleic Acid (uL) ]]/NMRPrep[[#This Row],[Total (uL) ]])</f>
        <v>#DIV/0!</v>
      </c>
      <c r="I344">
        <f>2</f>
        <v>2</v>
      </c>
      <c r="J344">
        <f>4</f>
        <v>4</v>
      </c>
      <c r="K344">
        <f>1</f>
        <v>1</v>
      </c>
    </row>
    <row r="345" spans="1:11" hidden="1" x14ac:dyDescent="0.25">
      <c r="A345" s="1">
        <f>Sampling!D343</f>
        <v>0</v>
      </c>
      <c r="B345" t="str" cm="1">
        <f t="array" ref="B345">IF(ISBLANK(INDEX(SampleList[NMR],ROW()-1)),"Not Requested",INDEX(SampleList[Experiment ID],ROW()-1))</f>
        <v>Not Requested</v>
      </c>
      <c r="C345">
        <f>Sampling!E343</f>
        <v>0</v>
      </c>
      <c r="D345">
        <f>NMRPrep[[#This Row],['#]]</f>
        <v>0</v>
      </c>
      <c r="G3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5" t="e">
        <f>IF(ISBLANK(NMRPrep[[#This Row],[Total (uL) ]]), 0, NMRPrep[[#This Row],[1mM Maleic Acid (uL) ]]/NMRPrep[[#This Row],[Total (uL) ]])</f>
        <v>#DIV/0!</v>
      </c>
      <c r="I345">
        <f>2</f>
        <v>2</v>
      </c>
      <c r="J345">
        <f>4</f>
        <v>4</v>
      </c>
      <c r="K345">
        <f>1</f>
        <v>1</v>
      </c>
    </row>
    <row r="346" spans="1:11" hidden="1" x14ac:dyDescent="0.25">
      <c r="A346" s="1">
        <f>Sampling!D344</f>
        <v>0</v>
      </c>
      <c r="B346" t="str" cm="1">
        <f t="array" ref="B346">IF(ISBLANK(INDEX(SampleList[NMR],ROW()-1)),"Not Requested",INDEX(SampleList[Experiment ID],ROW()-1))</f>
        <v>Not Requested</v>
      </c>
      <c r="C346">
        <f>Sampling!E344</f>
        <v>0</v>
      </c>
      <c r="D346">
        <f>NMRPrep[[#This Row],['#]]</f>
        <v>0</v>
      </c>
      <c r="G3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6" t="e">
        <f>IF(ISBLANK(NMRPrep[[#This Row],[Total (uL) ]]), 0, NMRPrep[[#This Row],[1mM Maleic Acid (uL) ]]/NMRPrep[[#This Row],[Total (uL) ]])</f>
        <v>#DIV/0!</v>
      </c>
      <c r="I346">
        <f>2</f>
        <v>2</v>
      </c>
      <c r="J346">
        <f>4</f>
        <v>4</v>
      </c>
      <c r="K346">
        <f>1</f>
        <v>1</v>
      </c>
    </row>
    <row r="347" spans="1:11" hidden="1" x14ac:dyDescent="0.25">
      <c r="A347" s="1">
        <f>Sampling!D345</f>
        <v>0</v>
      </c>
      <c r="B347" t="str" cm="1">
        <f t="array" ref="B347">IF(ISBLANK(INDEX(SampleList[NMR],ROW()-1)),"Not Requested",INDEX(SampleList[Experiment ID],ROW()-1))</f>
        <v>Not Requested</v>
      </c>
      <c r="C347">
        <f>Sampling!E345</f>
        <v>0</v>
      </c>
      <c r="D347">
        <f>NMRPrep[[#This Row],['#]]</f>
        <v>0</v>
      </c>
      <c r="G3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7" t="e">
        <f>IF(ISBLANK(NMRPrep[[#This Row],[Total (uL) ]]), 0, NMRPrep[[#This Row],[1mM Maleic Acid (uL) ]]/NMRPrep[[#This Row],[Total (uL) ]])</f>
        <v>#DIV/0!</v>
      </c>
      <c r="I347">
        <f>2</f>
        <v>2</v>
      </c>
      <c r="J347">
        <f>4</f>
        <v>4</v>
      </c>
      <c r="K347">
        <f>1</f>
        <v>1</v>
      </c>
    </row>
    <row r="348" spans="1:11" hidden="1" x14ac:dyDescent="0.25">
      <c r="A348" s="1">
        <f>Sampling!D346</f>
        <v>0</v>
      </c>
      <c r="B348" t="str" cm="1">
        <f t="array" ref="B348">IF(ISBLANK(INDEX(SampleList[NMR],ROW()-1)),"Not Requested",INDEX(SampleList[Experiment ID],ROW()-1))</f>
        <v>Not Requested</v>
      </c>
      <c r="C348">
        <f>Sampling!E346</f>
        <v>0</v>
      </c>
      <c r="D348">
        <f>NMRPrep[[#This Row],['#]]</f>
        <v>0</v>
      </c>
      <c r="G3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8" t="e">
        <f>IF(ISBLANK(NMRPrep[[#This Row],[Total (uL) ]]), 0, NMRPrep[[#This Row],[1mM Maleic Acid (uL) ]]/NMRPrep[[#This Row],[Total (uL) ]])</f>
        <v>#DIV/0!</v>
      </c>
      <c r="I348">
        <f>2</f>
        <v>2</v>
      </c>
      <c r="J348">
        <f>4</f>
        <v>4</v>
      </c>
      <c r="K348">
        <f>1</f>
        <v>1</v>
      </c>
    </row>
    <row r="349" spans="1:11" hidden="1" x14ac:dyDescent="0.25">
      <c r="A349" s="1">
        <f>Sampling!D347</f>
        <v>0</v>
      </c>
      <c r="B349" t="str" cm="1">
        <f t="array" ref="B349">IF(ISBLANK(INDEX(SampleList[NMR],ROW()-1)),"Not Requested",INDEX(SampleList[Experiment ID],ROW()-1))</f>
        <v>Not Requested</v>
      </c>
      <c r="C349">
        <f>Sampling!E347</f>
        <v>0</v>
      </c>
      <c r="D349">
        <f>NMRPrep[[#This Row],['#]]</f>
        <v>0</v>
      </c>
      <c r="G3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49" t="e">
        <f>IF(ISBLANK(NMRPrep[[#This Row],[Total (uL) ]]), 0, NMRPrep[[#This Row],[1mM Maleic Acid (uL) ]]/NMRPrep[[#This Row],[Total (uL) ]])</f>
        <v>#DIV/0!</v>
      </c>
      <c r="I349">
        <f>2</f>
        <v>2</v>
      </c>
      <c r="J349">
        <f>4</f>
        <v>4</v>
      </c>
      <c r="K349">
        <f>1</f>
        <v>1</v>
      </c>
    </row>
    <row r="350" spans="1:11" hidden="1" x14ac:dyDescent="0.25">
      <c r="A350" s="1">
        <f>Sampling!D348</f>
        <v>0</v>
      </c>
      <c r="B350" t="str" cm="1">
        <f t="array" ref="B350">IF(ISBLANK(INDEX(SampleList[NMR],ROW()-1)),"Not Requested",INDEX(SampleList[Experiment ID],ROW()-1))</f>
        <v>Not Requested</v>
      </c>
      <c r="C350">
        <f>Sampling!E348</f>
        <v>0</v>
      </c>
      <c r="D350">
        <f>NMRPrep[[#This Row],['#]]</f>
        <v>0</v>
      </c>
      <c r="G3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0" t="e">
        <f>IF(ISBLANK(NMRPrep[[#This Row],[Total (uL) ]]), 0, NMRPrep[[#This Row],[1mM Maleic Acid (uL) ]]/NMRPrep[[#This Row],[Total (uL) ]])</f>
        <v>#DIV/0!</v>
      </c>
      <c r="I350">
        <f>2</f>
        <v>2</v>
      </c>
      <c r="J350">
        <f>4</f>
        <v>4</v>
      </c>
      <c r="K350">
        <f>1</f>
        <v>1</v>
      </c>
    </row>
    <row r="351" spans="1:11" hidden="1" x14ac:dyDescent="0.25">
      <c r="A351" s="1">
        <f>Sampling!D349</f>
        <v>0</v>
      </c>
      <c r="B351" t="str" cm="1">
        <f t="array" ref="B351">IF(ISBLANK(INDEX(SampleList[NMR],ROW()-1)),"Not Requested",INDEX(SampleList[Experiment ID],ROW()-1))</f>
        <v>Not Requested</v>
      </c>
      <c r="C351">
        <f>Sampling!E349</f>
        <v>0</v>
      </c>
      <c r="D351">
        <f>NMRPrep[[#This Row],['#]]</f>
        <v>0</v>
      </c>
      <c r="G3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1" t="e">
        <f>IF(ISBLANK(NMRPrep[[#This Row],[Total (uL) ]]), 0, NMRPrep[[#This Row],[1mM Maleic Acid (uL) ]]/NMRPrep[[#This Row],[Total (uL) ]])</f>
        <v>#DIV/0!</v>
      </c>
      <c r="I351">
        <f>2</f>
        <v>2</v>
      </c>
      <c r="J351">
        <f>4</f>
        <v>4</v>
      </c>
      <c r="K351">
        <f>1</f>
        <v>1</v>
      </c>
    </row>
    <row r="352" spans="1:11" hidden="1" x14ac:dyDescent="0.25">
      <c r="A352" s="1">
        <f>Sampling!D350</f>
        <v>0</v>
      </c>
      <c r="B352" t="str" cm="1">
        <f t="array" ref="B352">IF(ISBLANK(INDEX(SampleList[NMR],ROW()-1)),"Not Requested",INDEX(SampleList[Experiment ID],ROW()-1))</f>
        <v>Not Requested</v>
      </c>
      <c r="C352">
        <f>Sampling!E350</f>
        <v>0</v>
      </c>
      <c r="D352">
        <f>NMRPrep[[#This Row],['#]]</f>
        <v>0</v>
      </c>
      <c r="G3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2" t="e">
        <f>IF(ISBLANK(NMRPrep[[#This Row],[Total (uL) ]]), 0, NMRPrep[[#This Row],[1mM Maleic Acid (uL) ]]/NMRPrep[[#This Row],[Total (uL) ]])</f>
        <v>#DIV/0!</v>
      </c>
      <c r="I352">
        <f>2</f>
        <v>2</v>
      </c>
      <c r="J352">
        <f>4</f>
        <v>4</v>
      </c>
      <c r="K352">
        <f>1</f>
        <v>1</v>
      </c>
    </row>
    <row r="353" spans="1:11" hidden="1" x14ac:dyDescent="0.25">
      <c r="A353" s="1">
        <f>Sampling!D351</f>
        <v>0</v>
      </c>
      <c r="B353" t="str" cm="1">
        <f t="array" ref="B353">IF(ISBLANK(INDEX(SampleList[NMR],ROW()-1)),"Not Requested",INDEX(SampleList[Experiment ID],ROW()-1))</f>
        <v>Not Requested</v>
      </c>
      <c r="C353">
        <f>Sampling!E351</f>
        <v>0</v>
      </c>
      <c r="D353">
        <f>NMRPrep[[#This Row],['#]]</f>
        <v>0</v>
      </c>
      <c r="G3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3" t="e">
        <f>IF(ISBLANK(NMRPrep[[#This Row],[Total (uL) ]]), 0, NMRPrep[[#This Row],[1mM Maleic Acid (uL) ]]/NMRPrep[[#This Row],[Total (uL) ]])</f>
        <v>#DIV/0!</v>
      </c>
      <c r="I353">
        <f>2</f>
        <v>2</v>
      </c>
      <c r="J353">
        <f>4</f>
        <v>4</v>
      </c>
      <c r="K353">
        <f>1</f>
        <v>1</v>
      </c>
    </row>
    <row r="354" spans="1:11" hidden="1" x14ac:dyDescent="0.25">
      <c r="A354" s="1">
        <f>Sampling!D352</f>
        <v>0</v>
      </c>
      <c r="B354" t="str" cm="1">
        <f t="array" ref="B354">IF(ISBLANK(INDEX(SampleList[NMR],ROW()-1)),"Not Requested",INDEX(SampleList[Experiment ID],ROW()-1))</f>
        <v>Not Requested</v>
      </c>
      <c r="C354">
        <f>Sampling!E352</f>
        <v>0</v>
      </c>
      <c r="D354">
        <f>NMRPrep[[#This Row],['#]]</f>
        <v>0</v>
      </c>
      <c r="G3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4" t="e">
        <f>IF(ISBLANK(NMRPrep[[#This Row],[Total (uL) ]]), 0, NMRPrep[[#This Row],[1mM Maleic Acid (uL) ]]/NMRPrep[[#This Row],[Total (uL) ]])</f>
        <v>#DIV/0!</v>
      </c>
      <c r="I354">
        <f>2</f>
        <v>2</v>
      </c>
      <c r="J354">
        <f>4</f>
        <v>4</v>
      </c>
      <c r="K354">
        <f>1</f>
        <v>1</v>
      </c>
    </row>
    <row r="355" spans="1:11" hidden="1" x14ac:dyDescent="0.25">
      <c r="A355" s="1">
        <f>Sampling!D353</f>
        <v>0</v>
      </c>
      <c r="B355" t="str" cm="1">
        <f t="array" ref="B355">IF(ISBLANK(INDEX(SampleList[NMR],ROW()-1)),"Not Requested",INDEX(SampleList[Experiment ID],ROW()-1))</f>
        <v>Not Requested</v>
      </c>
      <c r="C355">
        <f>Sampling!E353</f>
        <v>0</v>
      </c>
      <c r="D355">
        <f>NMRPrep[[#This Row],['#]]</f>
        <v>0</v>
      </c>
      <c r="G3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5" t="e">
        <f>IF(ISBLANK(NMRPrep[[#This Row],[Total (uL) ]]), 0, NMRPrep[[#This Row],[1mM Maleic Acid (uL) ]]/NMRPrep[[#This Row],[Total (uL) ]])</f>
        <v>#DIV/0!</v>
      </c>
      <c r="I355">
        <f>2</f>
        <v>2</v>
      </c>
      <c r="J355">
        <f>4</f>
        <v>4</v>
      </c>
      <c r="K355">
        <f>1</f>
        <v>1</v>
      </c>
    </row>
    <row r="356" spans="1:11" hidden="1" x14ac:dyDescent="0.25">
      <c r="A356" s="1">
        <f>Sampling!D354</f>
        <v>0</v>
      </c>
      <c r="B356" t="str" cm="1">
        <f t="array" ref="B356">IF(ISBLANK(INDEX(SampleList[NMR],ROW()-1)),"Not Requested",INDEX(SampleList[Experiment ID],ROW()-1))</f>
        <v>Not Requested</v>
      </c>
      <c r="C356">
        <f>Sampling!E354</f>
        <v>0</v>
      </c>
      <c r="D356">
        <f>NMRPrep[[#This Row],['#]]</f>
        <v>0</v>
      </c>
      <c r="G3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6" t="e">
        <f>IF(ISBLANK(NMRPrep[[#This Row],[Total (uL) ]]), 0, NMRPrep[[#This Row],[1mM Maleic Acid (uL) ]]/NMRPrep[[#This Row],[Total (uL) ]])</f>
        <v>#DIV/0!</v>
      </c>
      <c r="I356">
        <f>2</f>
        <v>2</v>
      </c>
      <c r="J356">
        <f>4</f>
        <v>4</v>
      </c>
      <c r="K356">
        <f>1</f>
        <v>1</v>
      </c>
    </row>
    <row r="357" spans="1:11" hidden="1" x14ac:dyDescent="0.25">
      <c r="A357" s="1">
        <f>Sampling!D355</f>
        <v>0</v>
      </c>
      <c r="B357" t="str" cm="1">
        <f t="array" ref="B357">IF(ISBLANK(INDEX(SampleList[NMR],ROW()-1)),"Not Requested",INDEX(SampleList[Experiment ID],ROW()-1))</f>
        <v>Not Requested</v>
      </c>
      <c r="C357">
        <f>Sampling!E355</f>
        <v>0</v>
      </c>
      <c r="D357">
        <f>NMRPrep[[#This Row],['#]]</f>
        <v>0</v>
      </c>
      <c r="G3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7" t="e">
        <f>IF(ISBLANK(NMRPrep[[#This Row],[Total (uL) ]]), 0, NMRPrep[[#This Row],[1mM Maleic Acid (uL) ]]/NMRPrep[[#This Row],[Total (uL) ]])</f>
        <v>#DIV/0!</v>
      </c>
      <c r="I357">
        <f>2</f>
        <v>2</v>
      </c>
      <c r="J357">
        <f>4</f>
        <v>4</v>
      </c>
      <c r="K357">
        <f>1</f>
        <v>1</v>
      </c>
    </row>
    <row r="358" spans="1:11" hidden="1" x14ac:dyDescent="0.25">
      <c r="A358" s="1">
        <f>Sampling!D356</f>
        <v>0</v>
      </c>
      <c r="B358" t="str" cm="1">
        <f t="array" ref="B358">IF(ISBLANK(INDEX(SampleList[NMR],ROW()-1)),"Not Requested",INDEX(SampleList[Experiment ID],ROW()-1))</f>
        <v>Not Requested</v>
      </c>
      <c r="C358">
        <f>Sampling!E356</f>
        <v>0</v>
      </c>
      <c r="D358">
        <f>NMRPrep[[#This Row],['#]]</f>
        <v>0</v>
      </c>
      <c r="G3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8" t="e">
        <f>IF(ISBLANK(NMRPrep[[#This Row],[Total (uL) ]]), 0, NMRPrep[[#This Row],[1mM Maleic Acid (uL) ]]/NMRPrep[[#This Row],[Total (uL) ]])</f>
        <v>#DIV/0!</v>
      </c>
      <c r="I358">
        <f>2</f>
        <v>2</v>
      </c>
      <c r="J358">
        <f>4</f>
        <v>4</v>
      </c>
      <c r="K358">
        <f>1</f>
        <v>1</v>
      </c>
    </row>
    <row r="359" spans="1:11" hidden="1" x14ac:dyDescent="0.25">
      <c r="A359" s="1">
        <f>Sampling!D357</f>
        <v>0</v>
      </c>
      <c r="B359" t="str" cm="1">
        <f t="array" ref="B359">IF(ISBLANK(INDEX(SampleList[NMR],ROW()-1)),"Not Requested",INDEX(SampleList[Experiment ID],ROW()-1))</f>
        <v>Not Requested</v>
      </c>
      <c r="C359">
        <f>Sampling!E357</f>
        <v>0</v>
      </c>
      <c r="D359">
        <f>NMRPrep[[#This Row],['#]]</f>
        <v>0</v>
      </c>
      <c r="G3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59" t="e">
        <f>IF(ISBLANK(NMRPrep[[#This Row],[Total (uL) ]]), 0, NMRPrep[[#This Row],[1mM Maleic Acid (uL) ]]/NMRPrep[[#This Row],[Total (uL) ]])</f>
        <v>#DIV/0!</v>
      </c>
      <c r="I359">
        <f>2</f>
        <v>2</v>
      </c>
      <c r="J359">
        <f>4</f>
        <v>4</v>
      </c>
      <c r="K359">
        <f>1</f>
        <v>1</v>
      </c>
    </row>
    <row r="360" spans="1:11" hidden="1" x14ac:dyDescent="0.25">
      <c r="A360" s="1">
        <f>Sampling!D358</f>
        <v>0</v>
      </c>
      <c r="B360" t="str" cm="1">
        <f t="array" ref="B360">IF(ISBLANK(INDEX(SampleList[NMR],ROW()-1)),"Not Requested",INDEX(SampleList[Experiment ID],ROW()-1))</f>
        <v>Not Requested</v>
      </c>
      <c r="C360">
        <f>Sampling!E358</f>
        <v>0</v>
      </c>
      <c r="D360">
        <f>NMRPrep[[#This Row],['#]]</f>
        <v>0</v>
      </c>
      <c r="G3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0" t="e">
        <f>IF(ISBLANK(NMRPrep[[#This Row],[Total (uL) ]]), 0, NMRPrep[[#This Row],[1mM Maleic Acid (uL) ]]/NMRPrep[[#This Row],[Total (uL) ]])</f>
        <v>#DIV/0!</v>
      </c>
      <c r="I360">
        <f>2</f>
        <v>2</v>
      </c>
      <c r="J360">
        <f>4</f>
        <v>4</v>
      </c>
      <c r="K360">
        <f>1</f>
        <v>1</v>
      </c>
    </row>
    <row r="361" spans="1:11" hidden="1" x14ac:dyDescent="0.25">
      <c r="A361" s="1">
        <f>Sampling!D359</f>
        <v>0</v>
      </c>
      <c r="B361" t="str" cm="1">
        <f t="array" ref="B361">IF(ISBLANK(INDEX(SampleList[NMR],ROW()-1)),"Not Requested",INDEX(SampleList[Experiment ID],ROW()-1))</f>
        <v>Not Requested</v>
      </c>
      <c r="C361">
        <f>Sampling!E359</f>
        <v>0</v>
      </c>
      <c r="D361">
        <f>NMRPrep[[#This Row],['#]]</f>
        <v>0</v>
      </c>
      <c r="G3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1" t="e">
        <f>IF(ISBLANK(NMRPrep[[#This Row],[Total (uL) ]]), 0, NMRPrep[[#This Row],[1mM Maleic Acid (uL) ]]/NMRPrep[[#This Row],[Total (uL) ]])</f>
        <v>#DIV/0!</v>
      </c>
      <c r="I361">
        <f>2</f>
        <v>2</v>
      </c>
      <c r="J361">
        <f>4</f>
        <v>4</v>
      </c>
      <c r="K361">
        <f>1</f>
        <v>1</v>
      </c>
    </row>
    <row r="362" spans="1:11" hidden="1" x14ac:dyDescent="0.25">
      <c r="A362" s="1">
        <f>Sampling!D360</f>
        <v>0</v>
      </c>
      <c r="B362" t="str" cm="1">
        <f t="array" ref="B362">IF(ISBLANK(INDEX(SampleList[NMR],ROW()-1)),"Not Requested",INDEX(SampleList[Experiment ID],ROW()-1))</f>
        <v>Not Requested</v>
      </c>
      <c r="C362">
        <f>Sampling!E360</f>
        <v>0</v>
      </c>
      <c r="D362">
        <f>NMRPrep[[#This Row],['#]]</f>
        <v>0</v>
      </c>
      <c r="G3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2" t="e">
        <f>IF(ISBLANK(NMRPrep[[#This Row],[Total (uL) ]]), 0, NMRPrep[[#This Row],[1mM Maleic Acid (uL) ]]/NMRPrep[[#This Row],[Total (uL) ]])</f>
        <v>#DIV/0!</v>
      </c>
      <c r="I362">
        <f>2</f>
        <v>2</v>
      </c>
      <c r="J362">
        <f>4</f>
        <v>4</v>
      </c>
      <c r="K362">
        <f>1</f>
        <v>1</v>
      </c>
    </row>
    <row r="363" spans="1:11" hidden="1" x14ac:dyDescent="0.25">
      <c r="A363" s="1">
        <f>Sampling!D361</f>
        <v>0</v>
      </c>
      <c r="B363" t="str" cm="1">
        <f t="array" ref="B363">IF(ISBLANK(INDEX(SampleList[NMR],ROW()-1)),"Not Requested",INDEX(SampleList[Experiment ID],ROW()-1))</f>
        <v>Not Requested</v>
      </c>
      <c r="C363">
        <f>Sampling!E361</f>
        <v>0</v>
      </c>
      <c r="D363">
        <f>NMRPrep[[#This Row],['#]]</f>
        <v>0</v>
      </c>
      <c r="G3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3" t="e">
        <f>IF(ISBLANK(NMRPrep[[#This Row],[Total (uL) ]]), 0, NMRPrep[[#This Row],[1mM Maleic Acid (uL) ]]/NMRPrep[[#This Row],[Total (uL) ]])</f>
        <v>#DIV/0!</v>
      </c>
      <c r="I363">
        <f>2</f>
        <v>2</v>
      </c>
      <c r="J363">
        <f>4</f>
        <v>4</v>
      </c>
      <c r="K363">
        <f>1</f>
        <v>1</v>
      </c>
    </row>
    <row r="364" spans="1:11" hidden="1" x14ac:dyDescent="0.25">
      <c r="A364" s="1">
        <f>Sampling!D362</f>
        <v>0</v>
      </c>
      <c r="B364" t="str" cm="1">
        <f t="array" ref="B364">IF(ISBLANK(INDEX(SampleList[NMR],ROW()-1)),"Not Requested",INDEX(SampleList[Experiment ID],ROW()-1))</f>
        <v>Not Requested</v>
      </c>
      <c r="C364">
        <f>Sampling!E362</f>
        <v>0</v>
      </c>
      <c r="D364">
        <f>NMRPrep[[#This Row],['#]]</f>
        <v>0</v>
      </c>
      <c r="G3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4" t="e">
        <f>IF(ISBLANK(NMRPrep[[#This Row],[Total (uL) ]]), 0, NMRPrep[[#This Row],[1mM Maleic Acid (uL) ]]/NMRPrep[[#This Row],[Total (uL) ]])</f>
        <v>#DIV/0!</v>
      </c>
      <c r="I364">
        <f>2</f>
        <v>2</v>
      </c>
      <c r="J364">
        <f>4</f>
        <v>4</v>
      </c>
      <c r="K364">
        <f>1</f>
        <v>1</v>
      </c>
    </row>
    <row r="365" spans="1:11" hidden="1" x14ac:dyDescent="0.25">
      <c r="A365" s="1">
        <f>Sampling!D363</f>
        <v>0</v>
      </c>
      <c r="B365" t="str" cm="1">
        <f t="array" ref="B365">IF(ISBLANK(INDEX(SampleList[NMR],ROW()-1)),"Not Requested",INDEX(SampleList[Experiment ID],ROW()-1))</f>
        <v>Not Requested</v>
      </c>
      <c r="C365">
        <f>Sampling!E363</f>
        <v>0</v>
      </c>
      <c r="D365">
        <f>NMRPrep[[#This Row],['#]]</f>
        <v>0</v>
      </c>
      <c r="G3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5" t="e">
        <f>IF(ISBLANK(NMRPrep[[#This Row],[Total (uL) ]]), 0, NMRPrep[[#This Row],[1mM Maleic Acid (uL) ]]/NMRPrep[[#This Row],[Total (uL) ]])</f>
        <v>#DIV/0!</v>
      </c>
      <c r="I365">
        <f>2</f>
        <v>2</v>
      </c>
      <c r="J365">
        <f>4</f>
        <v>4</v>
      </c>
      <c r="K365">
        <f>1</f>
        <v>1</v>
      </c>
    </row>
    <row r="366" spans="1:11" hidden="1" x14ac:dyDescent="0.25">
      <c r="A366" s="1">
        <f>Sampling!D364</f>
        <v>0</v>
      </c>
      <c r="B366" t="str" cm="1">
        <f t="array" ref="B366">IF(ISBLANK(INDEX(SampleList[NMR],ROW()-1)),"Not Requested",INDEX(SampleList[Experiment ID],ROW()-1))</f>
        <v>Not Requested</v>
      </c>
      <c r="C366">
        <f>Sampling!E364</f>
        <v>0</v>
      </c>
      <c r="D366">
        <f>NMRPrep[[#This Row],['#]]</f>
        <v>0</v>
      </c>
      <c r="G3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6" t="e">
        <f>IF(ISBLANK(NMRPrep[[#This Row],[Total (uL) ]]), 0, NMRPrep[[#This Row],[1mM Maleic Acid (uL) ]]/NMRPrep[[#This Row],[Total (uL) ]])</f>
        <v>#DIV/0!</v>
      </c>
      <c r="I366">
        <f>2</f>
        <v>2</v>
      </c>
      <c r="J366">
        <f>4</f>
        <v>4</v>
      </c>
      <c r="K366">
        <f>1</f>
        <v>1</v>
      </c>
    </row>
    <row r="367" spans="1:11" hidden="1" x14ac:dyDescent="0.25">
      <c r="A367" s="1">
        <f>Sampling!D365</f>
        <v>0</v>
      </c>
      <c r="B367" t="str" cm="1">
        <f t="array" ref="B367">IF(ISBLANK(INDEX(SampleList[NMR],ROW()-1)),"Not Requested",INDEX(SampleList[Experiment ID],ROW()-1))</f>
        <v>Not Requested</v>
      </c>
      <c r="C367">
        <f>Sampling!E365</f>
        <v>0</v>
      </c>
      <c r="D367">
        <f>NMRPrep[[#This Row],['#]]</f>
        <v>0</v>
      </c>
      <c r="G3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7" t="e">
        <f>IF(ISBLANK(NMRPrep[[#This Row],[Total (uL) ]]), 0, NMRPrep[[#This Row],[1mM Maleic Acid (uL) ]]/NMRPrep[[#This Row],[Total (uL) ]])</f>
        <v>#DIV/0!</v>
      </c>
      <c r="I367">
        <f>2</f>
        <v>2</v>
      </c>
      <c r="J367">
        <f>4</f>
        <v>4</v>
      </c>
      <c r="K367">
        <f>1</f>
        <v>1</v>
      </c>
    </row>
    <row r="368" spans="1:11" hidden="1" x14ac:dyDescent="0.25">
      <c r="A368" s="1">
        <f>Sampling!D366</f>
        <v>0</v>
      </c>
      <c r="B368" t="str" cm="1">
        <f t="array" ref="B368">IF(ISBLANK(INDEX(SampleList[NMR],ROW()-1)),"Not Requested",INDEX(SampleList[Experiment ID],ROW()-1))</f>
        <v>Not Requested</v>
      </c>
      <c r="C368">
        <f>Sampling!E366</f>
        <v>0</v>
      </c>
      <c r="D368">
        <f>NMRPrep[[#This Row],['#]]</f>
        <v>0</v>
      </c>
      <c r="G3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8" t="e">
        <f>IF(ISBLANK(NMRPrep[[#This Row],[Total (uL) ]]), 0, NMRPrep[[#This Row],[1mM Maleic Acid (uL) ]]/NMRPrep[[#This Row],[Total (uL) ]])</f>
        <v>#DIV/0!</v>
      </c>
      <c r="I368">
        <f>2</f>
        <v>2</v>
      </c>
      <c r="J368">
        <f>4</f>
        <v>4</v>
      </c>
      <c r="K368">
        <f>1</f>
        <v>1</v>
      </c>
    </row>
    <row r="369" spans="1:11" hidden="1" x14ac:dyDescent="0.25">
      <c r="A369" s="1">
        <f>Sampling!D367</f>
        <v>0</v>
      </c>
      <c r="B369" t="str" cm="1">
        <f t="array" ref="B369">IF(ISBLANK(INDEX(SampleList[NMR],ROW()-1)),"Not Requested",INDEX(SampleList[Experiment ID],ROW()-1))</f>
        <v>Not Requested</v>
      </c>
      <c r="C369">
        <f>Sampling!E367</f>
        <v>0</v>
      </c>
      <c r="D369">
        <f>NMRPrep[[#This Row],['#]]</f>
        <v>0</v>
      </c>
      <c r="G3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69" t="e">
        <f>IF(ISBLANK(NMRPrep[[#This Row],[Total (uL) ]]), 0, NMRPrep[[#This Row],[1mM Maleic Acid (uL) ]]/NMRPrep[[#This Row],[Total (uL) ]])</f>
        <v>#DIV/0!</v>
      </c>
      <c r="I369">
        <f>2</f>
        <v>2</v>
      </c>
      <c r="J369">
        <f>4</f>
        <v>4</v>
      </c>
      <c r="K369">
        <f>1</f>
        <v>1</v>
      </c>
    </row>
    <row r="370" spans="1:11" hidden="1" x14ac:dyDescent="0.25">
      <c r="A370" s="1">
        <f>Sampling!D368</f>
        <v>0</v>
      </c>
      <c r="B370" t="str" cm="1">
        <f t="array" ref="B370">IF(ISBLANK(INDEX(SampleList[NMR],ROW()-1)),"Not Requested",INDEX(SampleList[Experiment ID],ROW()-1))</f>
        <v>Not Requested</v>
      </c>
      <c r="C370">
        <f>Sampling!E368</f>
        <v>0</v>
      </c>
      <c r="D370">
        <f>NMRPrep[[#This Row],['#]]</f>
        <v>0</v>
      </c>
      <c r="G3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0" t="e">
        <f>IF(ISBLANK(NMRPrep[[#This Row],[Total (uL) ]]), 0, NMRPrep[[#This Row],[1mM Maleic Acid (uL) ]]/NMRPrep[[#This Row],[Total (uL) ]])</f>
        <v>#DIV/0!</v>
      </c>
      <c r="I370">
        <f>2</f>
        <v>2</v>
      </c>
      <c r="J370">
        <f>4</f>
        <v>4</v>
      </c>
      <c r="K370">
        <f>1</f>
        <v>1</v>
      </c>
    </row>
    <row r="371" spans="1:11" hidden="1" x14ac:dyDescent="0.25">
      <c r="A371" s="1">
        <f>Sampling!D369</f>
        <v>0</v>
      </c>
      <c r="B371" t="str" cm="1">
        <f t="array" ref="B371">IF(ISBLANK(INDEX(SampleList[NMR],ROW()-1)),"Not Requested",INDEX(SampleList[Experiment ID],ROW()-1))</f>
        <v>Not Requested</v>
      </c>
      <c r="C371">
        <f>Sampling!E369</f>
        <v>0</v>
      </c>
      <c r="D371">
        <f>NMRPrep[[#This Row],['#]]</f>
        <v>0</v>
      </c>
      <c r="G3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1" t="e">
        <f>IF(ISBLANK(NMRPrep[[#This Row],[Total (uL) ]]), 0, NMRPrep[[#This Row],[1mM Maleic Acid (uL) ]]/NMRPrep[[#This Row],[Total (uL) ]])</f>
        <v>#DIV/0!</v>
      </c>
      <c r="I371">
        <f>2</f>
        <v>2</v>
      </c>
      <c r="J371">
        <f>4</f>
        <v>4</v>
      </c>
      <c r="K371">
        <f>1</f>
        <v>1</v>
      </c>
    </row>
    <row r="372" spans="1:11" hidden="1" x14ac:dyDescent="0.25">
      <c r="A372" s="1">
        <f>Sampling!D370</f>
        <v>0</v>
      </c>
      <c r="B372" t="str" cm="1">
        <f t="array" ref="B372">IF(ISBLANK(INDEX(SampleList[NMR],ROW()-1)),"Not Requested",INDEX(SampleList[Experiment ID],ROW()-1))</f>
        <v>Not Requested</v>
      </c>
      <c r="C372">
        <f>Sampling!E370</f>
        <v>0</v>
      </c>
      <c r="D372">
        <f>NMRPrep[[#This Row],['#]]</f>
        <v>0</v>
      </c>
      <c r="G3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2" t="e">
        <f>IF(ISBLANK(NMRPrep[[#This Row],[Total (uL) ]]), 0, NMRPrep[[#This Row],[1mM Maleic Acid (uL) ]]/NMRPrep[[#This Row],[Total (uL) ]])</f>
        <v>#DIV/0!</v>
      </c>
      <c r="I372">
        <f>2</f>
        <v>2</v>
      </c>
      <c r="J372">
        <f>4</f>
        <v>4</v>
      </c>
      <c r="K372">
        <f>1</f>
        <v>1</v>
      </c>
    </row>
    <row r="373" spans="1:11" hidden="1" x14ac:dyDescent="0.25">
      <c r="A373" s="1">
        <f>Sampling!D371</f>
        <v>0</v>
      </c>
      <c r="B373" t="str" cm="1">
        <f t="array" ref="B373">IF(ISBLANK(INDEX(SampleList[NMR],ROW()-1)),"Not Requested",INDEX(SampleList[Experiment ID],ROW()-1))</f>
        <v>Not Requested</v>
      </c>
      <c r="C373">
        <f>Sampling!E371</f>
        <v>0</v>
      </c>
      <c r="D373">
        <f>NMRPrep[[#This Row],['#]]</f>
        <v>0</v>
      </c>
      <c r="G3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3" t="e">
        <f>IF(ISBLANK(NMRPrep[[#This Row],[Total (uL) ]]), 0, NMRPrep[[#This Row],[1mM Maleic Acid (uL) ]]/NMRPrep[[#This Row],[Total (uL) ]])</f>
        <v>#DIV/0!</v>
      </c>
      <c r="I373">
        <f>2</f>
        <v>2</v>
      </c>
      <c r="J373">
        <f>4</f>
        <v>4</v>
      </c>
      <c r="K373">
        <f>1</f>
        <v>1</v>
      </c>
    </row>
    <row r="374" spans="1:11" hidden="1" x14ac:dyDescent="0.25">
      <c r="A374" s="1">
        <f>Sampling!D372</f>
        <v>0</v>
      </c>
      <c r="B374" t="str" cm="1">
        <f t="array" ref="B374">IF(ISBLANK(INDEX(SampleList[NMR],ROW()-1)),"Not Requested",INDEX(SampleList[Experiment ID],ROW()-1))</f>
        <v>Not Requested</v>
      </c>
      <c r="C374">
        <f>Sampling!E372</f>
        <v>0</v>
      </c>
      <c r="D374">
        <f>NMRPrep[[#This Row],['#]]</f>
        <v>0</v>
      </c>
      <c r="G3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4" t="e">
        <f>IF(ISBLANK(NMRPrep[[#This Row],[Total (uL) ]]), 0, NMRPrep[[#This Row],[1mM Maleic Acid (uL) ]]/NMRPrep[[#This Row],[Total (uL) ]])</f>
        <v>#DIV/0!</v>
      </c>
      <c r="I374">
        <f>2</f>
        <v>2</v>
      </c>
      <c r="J374">
        <f>4</f>
        <v>4</v>
      </c>
      <c r="K374">
        <f>1</f>
        <v>1</v>
      </c>
    </row>
    <row r="375" spans="1:11" hidden="1" x14ac:dyDescent="0.25">
      <c r="A375" s="1">
        <f>Sampling!D373</f>
        <v>0</v>
      </c>
      <c r="B375" t="str" cm="1">
        <f t="array" ref="B375">IF(ISBLANK(INDEX(SampleList[NMR],ROW()-1)),"Not Requested",INDEX(SampleList[Experiment ID],ROW()-1))</f>
        <v>Not Requested</v>
      </c>
      <c r="C375">
        <f>Sampling!E373</f>
        <v>0</v>
      </c>
      <c r="D375">
        <f>NMRPrep[[#This Row],['#]]</f>
        <v>0</v>
      </c>
      <c r="G3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5" t="e">
        <f>IF(ISBLANK(NMRPrep[[#This Row],[Total (uL) ]]), 0, NMRPrep[[#This Row],[1mM Maleic Acid (uL) ]]/NMRPrep[[#This Row],[Total (uL) ]])</f>
        <v>#DIV/0!</v>
      </c>
      <c r="I375">
        <f>2</f>
        <v>2</v>
      </c>
      <c r="J375">
        <f>4</f>
        <v>4</v>
      </c>
      <c r="K375">
        <f>1</f>
        <v>1</v>
      </c>
    </row>
    <row r="376" spans="1:11" hidden="1" x14ac:dyDescent="0.25">
      <c r="A376" s="1">
        <f>Sampling!D374</f>
        <v>0</v>
      </c>
      <c r="B376" t="str" cm="1">
        <f t="array" ref="B376">IF(ISBLANK(INDEX(SampleList[NMR],ROW()-1)),"Not Requested",INDEX(SampleList[Experiment ID],ROW()-1))</f>
        <v>Not Requested</v>
      </c>
      <c r="C376">
        <f>Sampling!E374</f>
        <v>0</v>
      </c>
      <c r="D376">
        <f>NMRPrep[[#This Row],['#]]</f>
        <v>0</v>
      </c>
      <c r="G3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6" t="e">
        <f>IF(ISBLANK(NMRPrep[[#This Row],[Total (uL) ]]), 0, NMRPrep[[#This Row],[1mM Maleic Acid (uL) ]]/NMRPrep[[#This Row],[Total (uL) ]])</f>
        <v>#DIV/0!</v>
      </c>
      <c r="I376">
        <f>2</f>
        <v>2</v>
      </c>
      <c r="J376">
        <f>4</f>
        <v>4</v>
      </c>
      <c r="K376">
        <f>1</f>
        <v>1</v>
      </c>
    </row>
    <row r="377" spans="1:11" hidden="1" x14ac:dyDescent="0.25">
      <c r="A377" s="1">
        <f>Sampling!D375</f>
        <v>0</v>
      </c>
      <c r="B377" t="str" cm="1">
        <f t="array" ref="B377">IF(ISBLANK(INDEX(SampleList[NMR],ROW()-1)),"Not Requested",INDEX(SampleList[Experiment ID],ROW()-1))</f>
        <v>Not Requested</v>
      </c>
      <c r="C377">
        <f>Sampling!E375</f>
        <v>0</v>
      </c>
      <c r="D377">
        <f>NMRPrep[[#This Row],['#]]</f>
        <v>0</v>
      </c>
      <c r="G3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7" t="e">
        <f>IF(ISBLANK(NMRPrep[[#This Row],[Total (uL) ]]), 0, NMRPrep[[#This Row],[1mM Maleic Acid (uL) ]]/NMRPrep[[#This Row],[Total (uL) ]])</f>
        <v>#DIV/0!</v>
      </c>
      <c r="I377">
        <f>2</f>
        <v>2</v>
      </c>
      <c r="J377">
        <f>4</f>
        <v>4</v>
      </c>
      <c r="K377">
        <f>1</f>
        <v>1</v>
      </c>
    </row>
    <row r="378" spans="1:11" hidden="1" x14ac:dyDescent="0.25">
      <c r="A378" s="1">
        <f>Sampling!D376</f>
        <v>0</v>
      </c>
      <c r="B378" t="str" cm="1">
        <f t="array" ref="B378">IF(ISBLANK(INDEX(SampleList[NMR],ROW()-1)),"Not Requested",INDEX(SampleList[Experiment ID],ROW()-1))</f>
        <v>Not Requested</v>
      </c>
      <c r="C378">
        <f>Sampling!E376</f>
        <v>0</v>
      </c>
      <c r="D378">
        <f>NMRPrep[[#This Row],['#]]</f>
        <v>0</v>
      </c>
      <c r="G3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8" t="e">
        <f>IF(ISBLANK(NMRPrep[[#This Row],[Total (uL) ]]), 0, NMRPrep[[#This Row],[1mM Maleic Acid (uL) ]]/NMRPrep[[#This Row],[Total (uL) ]])</f>
        <v>#DIV/0!</v>
      </c>
      <c r="I378">
        <f>2</f>
        <v>2</v>
      </c>
      <c r="J378">
        <f>4</f>
        <v>4</v>
      </c>
      <c r="K378">
        <f>1</f>
        <v>1</v>
      </c>
    </row>
    <row r="379" spans="1:11" hidden="1" x14ac:dyDescent="0.25">
      <c r="A379" s="1">
        <f>Sampling!D377</f>
        <v>0</v>
      </c>
      <c r="B379" t="str" cm="1">
        <f t="array" ref="B379">IF(ISBLANK(INDEX(SampleList[NMR],ROW()-1)),"Not Requested",INDEX(SampleList[Experiment ID],ROW()-1))</f>
        <v>Not Requested</v>
      </c>
      <c r="C379">
        <f>Sampling!E377</f>
        <v>0</v>
      </c>
      <c r="D379">
        <f>NMRPrep[[#This Row],['#]]</f>
        <v>0</v>
      </c>
      <c r="G3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79" t="e">
        <f>IF(ISBLANK(NMRPrep[[#This Row],[Total (uL) ]]), 0, NMRPrep[[#This Row],[1mM Maleic Acid (uL) ]]/NMRPrep[[#This Row],[Total (uL) ]])</f>
        <v>#DIV/0!</v>
      </c>
      <c r="I379">
        <f>2</f>
        <v>2</v>
      </c>
      <c r="J379">
        <f>4</f>
        <v>4</v>
      </c>
      <c r="K379">
        <f>1</f>
        <v>1</v>
      </c>
    </row>
    <row r="380" spans="1:11" hidden="1" x14ac:dyDescent="0.25">
      <c r="A380" s="1">
        <f>Sampling!D378</f>
        <v>0</v>
      </c>
      <c r="B380" t="str" cm="1">
        <f t="array" ref="B380">IF(ISBLANK(INDEX(SampleList[NMR],ROW()-1)),"Not Requested",INDEX(SampleList[Experiment ID],ROW()-1))</f>
        <v>Not Requested</v>
      </c>
      <c r="C380">
        <f>Sampling!E378</f>
        <v>0</v>
      </c>
      <c r="D380">
        <f>NMRPrep[[#This Row],['#]]</f>
        <v>0</v>
      </c>
      <c r="G3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0" t="e">
        <f>IF(ISBLANK(NMRPrep[[#This Row],[Total (uL) ]]), 0, NMRPrep[[#This Row],[1mM Maleic Acid (uL) ]]/NMRPrep[[#This Row],[Total (uL) ]])</f>
        <v>#DIV/0!</v>
      </c>
      <c r="I380">
        <f>2</f>
        <v>2</v>
      </c>
      <c r="J380">
        <f>4</f>
        <v>4</v>
      </c>
      <c r="K380">
        <f>1</f>
        <v>1</v>
      </c>
    </row>
    <row r="381" spans="1:11" hidden="1" x14ac:dyDescent="0.25">
      <c r="A381" s="1">
        <f>Sampling!D379</f>
        <v>0</v>
      </c>
      <c r="B381" t="str" cm="1">
        <f t="array" ref="B381">IF(ISBLANK(INDEX(SampleList[NMR],ROW()-1)),"Not Requested",INDEX(SampleList[Experiment ID],ROW()-1))</f>
        <v>Not Requested</v>
      </c>
      <c r="C381">
        <f>Sampling!E379</f>
        <v>0</v>
      </c>
      <c r="D381">
        <f>NMRPrep[[#This Row],['#]]</f>
        <v>0</v>
      </c>
      <c r="G3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1" t="e">
        <f>IF(ISBLANK(NMRPrep[[#This Row],[Total (uL) ]]), 0, NMRPrep[[#This Row],[1mM Maleic Acid (uL) ]]/NMRPrep[[#This Row],[Total (uL) ]])</f>
        <v>#DIV/0!</v>
      </c>
      <c r="I381">
        <f>2</f>
        <v>2</v>
      </c>
      <c r="J381">
        <f>4</f>
        <v>4</v>
      </c>
      <c r="K381">
        <f>1</f>
        <v>1</v>
      </c>
    </row>
    <row r="382" spans="1:11" hidden="1" x14ac:dyDescent="0.25">
      <c r="A382" s="1">
        <f>Sampling!D380</f>
        <v>0</v>
      </c>
      <c r="B382" t="str" cm="1">
        <f t="array" ref="B382">IF(ISBLANK(INDEX(SampleList[NMR],ROW()-1)),"Not Requested",INDEX(SampleList[Experiment ID],ROW()-1))</f>
        <v>Not Requested</v>
      </c>
      <c r="C382">
        <f>Sampling!E380</f>
        <v>0</v>
      </c>
      <c r="D382">
        <f>NMRPrep[[#This Row],['#]]</f>
        <v>0</v>
      </c>
      <c r="G3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2" t="e">
        <f>IF(ISBLANK(NMRPrep[[#This Row],[Total (uL) ]]), 0, NMRPrep[[#This Row],[1mM Maleic Acid (uL) ]]/NMRPrep[[#This Row],[Total (uL) ]])</f>
        <v>#DIV/0!</v>
      </c>
      <c r="I382">
        <f>2</f>
        <v>2</v>
      </c>
      <c r="J382">
        <f>4</f>
        <v>4</v>
      </c>
      <c r="K382">
        <f>1</f>
        <v>1</v>
      </c>
    </row>
    <row r="383" spans="1:11" hidden="1" x14ac:dyDescent="0.25">
      <c r="A383" s="1">
        <f>Sampling!D381</f>
        <v>0</v>
      </c>
      <c r="B383" t="str" cm="1">
        <f t="array" ref="B383">IF(ISBLANK(INDEX(SampleList[NMR],ROW()-1)),"Not Requested",INDEX(SampleList[Experiment ID],ROW()-1))</f>
        <v>Not Requested</v>
      </c>
      <c r="C383">
        <f>Sampling!E381</f>
        <v>0</v>
      </c>
      <c r="D383">
        <f>NMRPrep[[#This Row],['#]]</f>
        <v>0</v>
      </c>
      <c r="G3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3" t="e">
        <f>IF(ISBLANK(NMRPrep[[#This Row],[Total (uL) ]]), 0, NMRPrep[[#This Row],[1mM Maleic Acid (uL) ]]/NMRPrep[[#This Row],[Total (uL) ]])</f>
        <v>#DIV/0!</v>
      </c>
      <c r="I383">
        <f>2</f>
        <v>2</v>
      </c>
      <c r="J383">
        <f>4</f>
        <v>4</v>
      </c>
      <c r="K383">
        <f>1</f>
        <v>1</v>
      </c>
    </row>
    <row r="384" spans="1:11" hidden="1" x14ac:dyDescent="0.25">
      <c r="A384" s="1">
        <f>Sampling!D382</f>
        <v>0</v>
      </c>
      <c r="B384" t="str" cm="1">
        <f t="array" ref="B384">IF(ISBLANK(INDEX(SampleList[NMR],ROW()-1)),"Not Requested",INDEX(SampleList[Experiment ID],ROW()-1))</f>
        <v>Not Requested</v>
      </c>
      <c r="C384">
        <f>Sampling!E382</f>
        <v>0</v>
      </c>
      <c r="D384">
        <f>NMRPrep[[#This Row],['#]]</f>
        <v>0</v>
      </c>
      <c r="G3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4" t="e">
        <f>IF(ISBLANK(NMRPrep[[#This Row],[Total (uL) ]]), 0, NMRPrep[[#This Row],[1mM Maleic Acid (uL) ]]/NMRPrep[[#This Row],[Total (uL) ]])</f>
        <v>#DIV/0!</v>
      </c>
      <c r="I384">
        <f>2</f>
        <v>2</v>
      </c>
      <c r="J384">
        <f>4</f>
        <v>4</v>
      </c>
      <c r="K384">
        <f>1</f>
        <v>1</v>
      </c>
    </row>
    <row r="385" spans="1:11" hidden="1" x14ac:dyDescent="0.25">
      <c r="A385" s="1">
        <f>Sampling!D383</f>
        <v>0</v>
      </c>
      <c r="B385" t="str" cm="1">
        <f t="array" ref="B385">IF(ISBLANK(INDEX(SampleList[NMR],ROW()-1)),"Not Requested",INDEX(SampleList[Experiment ID],ROW()-1))</f>
        <v>Not Requested</v>
      </c>
      <c r="C385">
        <f>Sampling!E383</f>
        <v>0</v>
      </c>
      <c r="D385">
        <f>NMRPrep[[#This Row],['#]]</f>
        <v>0</v>
      </c>
      <c r="G3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5" t="e">
        <f>IF(ISBLANK(NMRPrep[[#This Row],[Total (uL) ]]), 0, NMRPrep[[#This Row],[1mM Maleic Acid (uL) ]]/NMRPrep[[#This Row],[Total (uL) ]])</f>
        <v>#DIV/0!</v>
      </c>
      <c r="I385">
        <f>2</f>
        <v>2</v>
      </c>
      <c r="J385">
        <f>4</f>
        <v>4</v>
      </c>
      <c r="K385">
        <f>1</f>
        <v>1</v>
      </c>
    </row>
    <row r="386" spans="1:11" hidden="1" x14ac:dyDescent="0.25">
      <c r="A386" s="1">
        <f>Sampling!D384</f>
        <v>0</v>
      </c>
      <c r="B386" t="str" cm="1">
        <f t="array" ref="B386">IF(ISBLANK(INDEX(SampleList[NMR],ROW()-1)),"Not Requested",INDEX(SampleList[Experiment ID],ROW()-1))</f>
        <v>Not Requested</v>
      </c>
      <c r="C386">
        <f>Sampling!E384</f>
        <v>0</v>
      </c>
      <c r="D386">
        <f>NMRPrep[[#This Row],['#]]</f>
        <v>0</v>
      </c>
      <c r="G3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6" t="e">
        <f>IF(ISBLANK(NMRPrep[[#This Row],[Total (uL) ]]), 0, NMRPrep[[#This Row],[1mM Maleic Acid (uL) ]]/NMRPrep[[#This Row],[Total (uL) ]])</f>
        <v>#DIV/0!</v>
      </c>
      <c r="I386">
        <f>2</f>
        <v>2</v>
      </c>
      <c r="J386">
        <f>4</f>
        <v>4</v>
      </c>
      <c r="K386">
        <f>1</f>
        <v>1</v>
      </c>
    </row>
    <row r="387" spans="1:11" hidden="1" x14ac:dyDescent="0.25">
      <c r="A387" s="1">
        <f>Sampling!D385</f>
        <v>0</v>
      </c>
      <c r="B387" t="str" cm="1">
        <f t="array" ref="B387">IF(ISBLANK(INDEX(SampleList[NMR],ROW()-1)),"Not Requested",INDEX(SampleList[Experiment ID],ROW()-1))</f>
        <v>Not Requested</v>
      </c>
      <c r="C387">
        <f>Sampling!E385</f>
        <v>0</v>
      </c>
      <c r="D387">
        <f>NMRPrep[[#This Row],['#]]</f>
        <v>0</v>
      </c>
      <c r="G3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7" t="e">
        <f>IF(ISBLANK(NMRPrep[[#This Row],[Total (uL) ]]), 0, NMRPrep[[#This Row],[1mM Maleic Acid (uL) ]]/NMRPrep[[#This Row],[Total (uL) ]])</f>
        <v>#DIV/0!</v>
      </c>
      <c r="I387">
        <f>2</f>
        <v>2</v>
      </c>
      <c r="J387">
        <f>4</f>
        <v>4</v>
      </c>
      <c r="K387">
        <f>1</f>
        <v>1</v>
      </c>
    </row>
    <row r="388" spans="1:11" hidden="1" x14ac:dyDescent="0.25">
      <c r="A388" s="1">
        <f>Sampling!D386</f>
        <v>0</v>
      </c>
      <c r="B388" t="str" cm="1">
        <f t="array" ref="B388">IF(ISBLANK(INDEX(SampleList[NMR],ROW()-1)),"Not Requested",INDEX(SampleList[Experiment ID],ROW()-1))</f>
        <v>Not Requested</v>
      </c>
      <c r="C388">
        <f>Sampling!E386</f>
        <v>0</v>
      </c>
      <c r="D388">
        <f>NMRPrep[[#This Row],['#]]</f>
        <v>0</v>
      </c>
      <c r="G3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8" t="e">
        <f>IF(ISBLANK(NMRPrep[[#This Row],[Total (uL) ]]), 0, NMRPrep[[#This Row],[1mM Maleic Acid (uL) ]]/NMRPrep[[#This Row],[Total (uL) ]])</f>
        <v>#DIV/0!</v>
      </c>
      <c r="I388">
        <f>2</f>
        <v>2</v>
      </c>
      <c r="J388">
        <f>4</f>
        <v>4</v>
      </c>
      <c r="K388">
        <f>1</f>
        <v>1</v>
      </c>
    </row>
    <row r="389" spans="1:11" hidden="1" x14ac:dyDescent="0.25">
      <c r="A389" s="1">
        <f>Sampling!D387</f>
        <v>0</v>
      </c>
      <c r="B389" t="str" cm="1">
        <f t="array" ref="B389">IF(ISBLANK(INDEX(SampleList[NMR],ROW()-1)),"Not Requested",INDEX(SampleList[Experiment ID],ROW()-1))</f>
        <v>Not Requested</v>
      </c>
      <c r="C389">
        <f>Sampling!E387</f>
        <v>0</v>
      </c>
      <c r="D389">
        <f>NMRPrep[[#This Row],['#]]</f>
        <v>0</v>
      </c>
      <c r="G3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89" t="e">
        <f>IF(ISBLANK(NMRPrep[[#This Row],[Total (uL) ]]), 0, NMRPrep[[#This Row],[1mM Maleic Acid (uL) ]]/NMRPrep[[#This Row],[Total (uL) ]])</f>
        <v>#DIV/0!</v>
      </c>
      <c r="I389">
        <f>2</f>
        <v>2</v>
      </c>
      <c r="J389">
        <f>4</f>
        <v>4</v>
      </c>
      <c r="K389">
        <f>1</f>
        <v>1</v>
      </c>
    </row>
    <row r="390" spans="1:11" hidden="1" x14ac:dyDescent="0.25">
      <c r="A390" s="1">
        <f>Sampling!D388</f>
        <v>0</v>
      </c>
      <c r="B390" t="str" cm="1">
        <f t="array" ref="B390">IF(ISBLANK(INDEX(SampleList[NMR],ROW()-1)),"Not Requested",INDEX(SampleList[Experiment ID],ROW()-1))</f>
        <v>Not Requested</v>
      </c>
      <c r="C390">
        <f>Sampling!E388</f>
        <v>0</v>
      </c>
      <c r="D390">
        <f>NMRPrep[[#This Row],['#]]</f>
        <v>0</v>
      </c>
      <c r="G3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0" t="e">
        <f>IF(ISBLANK(NMRPrep[[#This Row],[Total (uL) ]]), 0, NMRPrep[[#This Row],[1mM Maleic Acid (uL) ]]/NMRPrep[[#This Row],[Total (uL) ]])</f>
        <v>#DIV/0!</v>
      </c>
      <c r="I390">
        <f>2</f>
        <v>2</v>
      </c>
      <c r="J390">
        <f>4</f>
        <v>4</v>
      </c>
      <c r="K390">
        <f>1</f>
        <v>1</v>
      </c>
    </row>
    <row r="391" spans="1:11" hidden="1" x14ac:dyDescent="0.25">
      <c r="A391" s="1">
        <f>Sampling!D389</f>
        <v>0</v>
      </c>
      <c r="B391" t="str" cm="1">
        <f t="array" ref="B391">IF(ISBLANK(INDEX(SampleList[NMR],ROW()-1)),"Not Requested",INDEX(SampleList[Experiment ID],ROW()-1))</f>
        <v>Not Requested</v>
      </c>
      <c r="C391">
        <f>Sampling!E389</f>
        <v>0</v>
      </c>
      <c r="D391">
        <f>NMRPrep[[#This Row],['#]]</f>
        <v>0</v>
      </c>
      <c r="G3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1" t="e">
        <f>IF(ISBLANK(NMRPrep[[#This Row],[Total (uL) ]]), 0, NMRPrep[[#This Row],[1mM Maleic Acid (uL) ]]/NMRPrep[[#This Row],[Total (uL) ]])</f>
        <v>#DIV/0!</v>
      </c>
      <c r="I391">
        <f>2</f>
        <v>2</v>
      </c>
      <c r="J391">
        <f>4</f>
        <v>4</v>
      </c>
      <c r="K391">
        <f>1</f>
        <v>1</v>
      </c>
    </row>
    <row r="392" spans="1:11" hidden="1" x14ac:dyDescent="0.25">
      <c r="A392" s="1">
        <f>Sampling!D390</f>
        <v>0</v>
      </c>
      <c r="B392" t="str" cm="1">
        <f t="array" ref="B392">IF(ISBLANK(INDEX(SampleList[NMR],ROW()-1)),"Not Requested",INDEX(SampleList[Experiment ID],ROW()-1))</f>
        <v>Not Requested</v>
      </c>
      <c r="C392">
        <f>Sampling!E390</f>
        <v>0</v>
      </c>
      <c r="D392">
        <f>NMRPrep[[#This Row],['#]]</f>
        <v>0</v>
      </c>
      <c r="G3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2" t="e">
        <f>IF(ISBLANK(NMRPrep[[#This Row],[Total (uL) ]]), 0, NMRPrep[[#This Row],[1mM Maleic Acid (uL) ]]/NMRPrep[[#This Row],[Total (uL) ]])</f>
        <v>#DIV/0!</v>
      </c>
      <c r="I392">
        <f>2</f>
        <v>2</v>
      </c>
      <c r="J392">
        <f>4</f>
        <v>4</v>
      </c>
      <c r="K392">
        <f>1</f>
        <v>1</v>
      </c>
    </row>
    <row r="393" spans="1:11" hidden="1" x14ac:dyDescent="0.25">
      <c r="A393" s="1">
        <f>Sampling!D391</f>
        <v>0</v>
      </c>
      <c r="B393" t="str" cm="1">
        <f t="array" ref="B393">IF(ISBLANK(INDEX(SampleList[NMR],ROW()-1)),"Not Requested",INDEX(SampleList[Experiment ID],ROW()-1))</f>
        <v>Not Requested</v>
      </c>
      <c r="C393">
        <f>Sampling!E391</f>
        <v>0</v>
      </c>
      <c r="D393">
        <f>NMRPrep[[#This Row],['#]]</f>
        <v>0</v>
      </c>
      <c r="G3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3" t="e">
        <f>IF(ISBLANK(NMRPrep[[#This Row],[Total (uL) ]]), 0, NMRPrep[[#This Row],[1mM Maleic Acid (uL) ]]/NMRPrep[[#This Row],[Total (uL) ]])</f>
        <v>#DIV/0!</v>
      </c>
      <c r="I393">
        <f>2</f>
        <v>2</v>
      </c>
      <c r="J393">
        <f>4</f>
        <v>4</v>
      </c>
      <c r="K393">
        <f>1</f>
        <v>1</v>
      </c>
    </row>
    <row r="394" spans="1:11" hidden="1" x14ac:dyDescent="0.25">
      <c r="A394" s="1">
        <f>Sampling!D392</f>
        <v>0</v>
      </c>
      <c r="B394" t="str" cm="1">
        <f t="array" ref="B394">IF(ISBLANK(INDEX(SampleList[NMR],ROW()-1)),"Not Requested",INDEX(SampleList[Experiment ID],ROW()-1))</f>
        <v>Not Requested</v>
      </c>
      <c r="C394">
        <f>Sampling!E392</f>
        <v>0</v>
      </c>
      <c r="D394">
        <f>NMRPrep[[#This Row],['#]]</f>
        <v>0</v>
      </c>
      <c r="G3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4" t="e">
        <f>IF(ISBLANK(NMRPrep[[#This Row],[Total (uL) ]]), 0, NMRPrep[[#This Row],[1mM Maleic Acid (uL) ]]/NMRPrep[[#This Row],[Total (uL) ]])</f>
        <v>#DIV/0!</v>
      </c>
      <c r="I394">
        <f>2</f>
        <v>2</v>
      </c>
      <c r="J394">
        <f>4</f>
        <v>4</v>
      </c>
      <c r="K394">
        <f>1</f>
        <v>1</v>
      </c>
    </row>
    <row r="395" spans="1:11" hidden="1" x14ac:dyDescent="0.25">
      <c r="A395" s="1">
        <f>Sampling!D393</f>
        <v>0</v>
      </c>
      <c r="B395" t="str" cm="1">
        <f t="array" ref="B395">IF(ISBLANK(INDEX(SampleList[NMR],ROW()-1)),"Not Requested",INDEX(SampleList[Experiment ID],ROW()-1))</f>
        <v>Not Requested</v>
      </c>
      <c r="C395">
        <f>Sampling!E393</f>
        <v>0</v>
      </c>
      <c r="D395">
        <f>NMRPrep[[#This Row],['#]]</f>
        <v>0</v>
      </c>
      <c r="G3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5" t="e">
        <f>IF(ISBLANK(NMRPrep[[#This Row],[Total (uL) ]]), 0, NMRPrep[[#This Row],[1mM Maleic Acid (uL) ]]/NMRPrep[[#This Row],[Total (uL) ]])</f>
        <v>#DIV/0!</v>
      </c>
      <c r="I395">
        <f>2</f>
        <v>2</v>
      </c>
      <c r="J395">
        <f>4</f>
        <v>4</v>
      </c>
      <c r="K395">
        <f>1</f>
        <v>1</v>
      </c>
    </row>
    <row r="396" spans="1:11" hidden="1" x14ac:dyDescent="0.25">
      <c r="A396" s="1">
        <f>Sampling!D394</f>
        <v>0</v>
      </c>
      <c r="B396" t="str" cm="1">
        <f t="array" ref="B396">IF(ISBLANK(INDEX(SampleList[NMR],ROW()-1)),"Not Requested",INDEX(SampleList[Experiment ID],ROW()-1))</f>
        <v>Not Requested</v>
      </c>
      <c r="C396">
        <f>Sampling!E394</f>
        <v>0</v>
      </c>
      <c r="D396">
        <f>NMRPrep[[#This Row],['#]]</f>
        <v>0</v>
      </c>
      <c r="G3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6" t="e">
        <f>IF(ISBLANK(NMRPrep[[#This Row],[Total (uL) ]]), 0, NMRPrep[[#This Row],[1mM Maleic Acid (uL) ]]/NMRPrep[[#This Row],[Total (uL) ]])</f>
        <v>#DIV/0!</v>
      </c>
      <c r="I396">
        <f>2</f>
        <v>2</v>
      </c>
      <c r="J396">
        <f>4</f>
        <v>4</v>
      </c>
      <c r="K396">
        <f>1</f>
        <v>1</v>
      </c>
    </row>
    <row r="397" spans="1:11" hidden="1" x14ac:dyDescent="0.25">
      <c r="A397" s="1">
        <f>Sampling!D395</f>
        <v>0</v>
      </c>
      <c r="B397" t="str" cm="1">
        <f t="array" ref="B397">IF(ISBLANK(INDEX(SampleList[NMR],ROW()-1)),"Not Requested",INDEX(SampleList[Experiment ID],ROW()-1))</f>
        <v>Not Requested</v>
      </c>
      <c r="C397">
        <f>Sampling!E395</f>
        <v>0</v>
      </c>
      <c r="D397">
        <f>NMRPrep[[#This Row],['#]]</f>
        <v>0</v>
      </c>
      <c r="G3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7" t="e">
        <f>IF(ISBLANK(NMRPrep[[#This Row],[Total (uL) ]]), 0, NMRPrep[[#This Row],[1mM Maleic Acid (uL) ]]/NMRPrep[[#This Row],[Total (uL) ]])</f>
        <v>#DIV/0!</v>
      </c>
      <c r="I397">
        <f>2</f>
        <v>2</v>
      </c>
      <c r="J397">
        <f>4</f>
        <v>4</v>
      </c>
      <c r="K397">
        <f>1</f>
        <v>1</v>
      </c>
    </row>
    <row r="398" spans="1:11" hidden="1" x14ac:dyDescent="0.25">
      <c r="A398" s="1">
        <f>Sampling!D396</f>
        <v>0</v>
      </c>
      <c r="B398" t="str" cm="1">
        <f t="array" ref="B398">IF(ISBLANK(INDEX(SampleList[NMR],ROW()-1)),"Not Requested",INDEX(SampleList[Experiment ID],ROW()-1))</f>
        <v>Not Requested</v>
      </c>
      <c r="C398">
        <f>Sampling!E396</f>
        <v>0</v>
      </c>
      <c r="D398">
        <f>NMRPrep[[#This Row],['#]]</f>
        <v>0</v>
      </c>
      <c r="G3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8" t="e">
        <f>IF(ISBLANK(NMRPrep[[#This Row],[Total (uL) ]]), 0, NMRPrep[[#This Row],[1mM Maleic Acid (uL) ]]/NMRPrep[[#This Row],[Total (uL) ]])</f>
        <v>#DIV/0!</v>
      </c>
      <c r="I398">
        <f>2</f>
        <v>2</v>
      </c>
      <c r="J398">
        <f>4</f>
        <v>4</v>
      </c>
      <c r="K398">
        <f>1</f>
        <v>1</v>
      </c>
    </row>
    <row r="399" spans="1:11" hidden="1" x14ac:dyDescent="0.25">
      <c r="A399" s="1">
        <f>Sampling!D397</f>
        <v>0</v>
      </c>
      <c r="B399" t="str" cm="1">
        <f t="array" ref="B399">IF(ISBLANK(INDEX(SampleList[NMR],ROW()-1)),"Not Requested",INDEX(SampleList[Experiment ID],ROW()-1))</f>
        <v>Not Requested</v>
      </c>
      <c r="C399">
        <f>Sampling!E397</f>
        <v>0</v>
      </c>
      <c r="D399">
        <f>NMRPrep[[#This Row],['#]]</f>
        <v>0</v>
      </c>
      <c r="G3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399" t="e">
        <f>IF(ISBLANK(NMRPrep[[#This Row],[Total (uL) ]]), 0, NMRPrep[[#This Row],[1mM Maleic Acid (uL) ]]/NMRPrep[[#This Row],[Total (uL) ]])</f>
        <v>#DIV/0!</v>
      </c>
      <c r="I399">
        <f>2</f>
        <v>2</v>
      </c>
      <c r="J399">
        <f>4</f>
        <v>4</v>
      </c>
      <c r="K399">
        <f>1</f>
        <v>1</v>
      </c>
    </row>
    <row r="400" spans="1:11" hidden="1" x14ac:dyDescent="0.25">
      <c r="A400" s="1">
        <f>Sampling!D398</f>
        <v>0</v>
      </c>
      <c r="B400" t="str" cm="1">
        <f t="array" ref="B400">IF(ISBLANK(INDEX(SampleList[NMR],ROW()-1)),"Not Requested",INDEX(SampleList[Experiment ID],ROW()-1))</f>
        <v>Not Requested</v>
      </c>
      <c r="C400">
        <f>Sampling!E398</f>
        <v>0</v>
      </c>
      <c r="D400">
        <f>NMRPrep[[#This Row],['#]]</f>
        <v>0</v>
      </c>
      <c r="G4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0" t="e">
        <f>IF(ISBLANK(NMRPrep[[#This Row],[Total (uL) ]]), 0, NMRPrep[[#This Row],[1mM Maleic Acid (uL) ]]/NMRPrep[[#This Row],[Total (uL) ]])</f>
        <v>#DIV/0!</v>
      </c>
      <c r="I400">
        <f>2</f>
        <v>2</v>
      </c>
      <c r="J400">
        <f>4</f>
        <v>4</v>
      </c>
      <c r="K400">
        <f>1</f>
        <v>1</v>
      </c>
    </row>
    <row r="401" spans="1:11" hidden="1" x14ac:dyDescent="0.25">
      <c r="A401" s="1">
        <f>Sampling!D399</f>
        <v>0</v>
      </c>
      <c r="B401" t="str" cm="1">
        <f t="array" ref="B401">IF(ISBLANK(INDEX(SampleList[NMR],ROW()-1)),"Not Requested",INDEX(SampleList[Experiment ID],ROW()-1))</f>
        <v>Not Requested</v>
      </c>
      <c r="C401">
        <f>Sampling!E399</f>
        <v>0</v>
      </c>
      <c r="D401">
        <f>NMRPrep[[#This Row],['#]]</f>
        <v>0</v>
      </c>
      <c r="G4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1" t="e">
        <f>IF(ISBLANK(NMRPrep[[#This Row],[Total (uL) ]]), 0, NMRPrep[[#This Row],[1mM Maleic Acid (uL) ]]/NMRPrep[[#This Row],[Total (uL) ]])</f>
        <v>#DIV/0!</v>
      </c>
      <c r="I401">
        <f>2</f>
        <v>2</v>
      </c>
      <c r="J401">
        <f>4</f>
        <v>4</v>
      </c>
      <c r="K401">
        <f>1</f>
        <v>1</v>
      </c>
    </row>
    <row r="402" spans="1:11" hidden="1" x14ac:dyDescent="0.25">
      <c r="A402" s="1">
        <f>Sampling!D400</f>
        <v>0</v>
      </c>
      <c r="B402" t="str" cm="1">
        <f t="array" ref="B402">IF(ISBLANK(INDEX(SampleList[NMR],ROW()-1)),"Not Requested",INDEX(SampleList[Experiment ID],ROW()-1))</f>
        <v>Not Requested</v>
      </c>
      <c r="C402">
        <f>Sampling!E400</f>
        <v>0</v>
      </c>
      <c r="D402">
        <f>NMRPrep[[#This Row],['#]]</f>
        <v>0</v>
      </c>
      <c r="G4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2" t="e">
        <f>IF(ISBLANK(NMRPrep[[#This Row],[Total (uL) ]]), 0, NMRPrep[[#This Row],[1mM Maleic Acid (uL) ]]/NMRPrep[[#This Row],[Total (uL) ]])</f>
        <v>#DIV/0!</v>
      </c>
      <c r="I402">
        <f>2</f>
        <v>2</v>
      </c>
      <c r="J402">
        <f>4</f>
        <v>4</v>
      </c>
      <c r="K402">
        <f>1</f>
        <v>1</v>
      </c>
    </row>
    <row r="403" spans="1:11" hidden="1" x14ac:dyDescent="0.25">
      <c r="A403" s="1">
        <f>Sampling!D401</f>
        <v>0</v>
      </c>
      <c r="B403" t="str" cm="1">
        <f t="array" ref="B403">IF(ISBLANK(INDEX(SampleList[NMR],ROW()-1)),"Not Requested",INDEX(SampleList[Experiment ID],ROW()-1))</f>
        <v>Not Requested</v>
      </c>
      <c r="C403">
        <f>Sampling!E401</f>
        <v>0</v>
      </c>
      <c r="D403">
        <f>NMRPrep[[#This Row],['#]]</f>
        <v>0</v>
      </c>
      <c r="G4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3" t="e">
        <f>IF(ISBLANK(NMRPrep[[#This Row],[Total (uL) ]]), 0, NMRPrep[[#This Row],[1mM Maleic Acid (uL) ]]/NMRPrep[[#This Row],[Total (uL) ]])</f>
        <v>#DIV/0!</v>
      </c>
      <c r="I403">
        <f>2</f>
        <v>2</v>
      </c>
      <c r="J403">
        <f>4</f>
        <v>4</v>
      </c>
      <c r="K403">
        <f>1</f>
        <v>1</v>
      </c>
    </row>
    <row r="404" spans="1:11" hidden="1" x14ac:dyDescent="0.25">
      <c r="A404" s="1">
        <f>Sampling!D402</f>
        <v>0</v>
      </c>
      <c r="B404" t="str" cm="1">
        <f t="array" ref="B404">IF(ISBLANK(INDEX(SampleList[NMR],ROW()-1)),"Not Requested",INDEX(SampleList[Experiment ID],ROW()-1))</f>
        <v>Not Requested</v>
      </c>
      <c r="C404">
        <f>Sampling!E402</f>
        <v>0</v>
      </c>
      <c r="D404">
        <f>NMRPrep[[#This Row],['#]]</f>
        <v>0</v>
      </c>
      <c r="G4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4" t="e">
        <f>IF(ISBLANK(NMRPrep[[#This Row],[Total (uL) ]]), 0, NMRPrep[[#This Row],[1mM Maleic Acid (uL) ]]/NMRPrep[[#This Row],[Total (uL) ]])</f>
        <v>#DIV/0!</v>
      </c>
      <c r="I404">
        <f>2</f>
        <v>2</v>
      </c>
      <c r="J404">
        <f>4</f>
        <v>4</v>
      </c>
      <c r="K404">
        <f>1</f>
        <v>1</v>
      </c>
    </row>
    <row r="405" spans="1:11" hidden="1" x14ac:dyDescent="0.25">
      <c r="A405" s="1">
        <f>Sampling!D403</f>
        <v>0</v>
      </c>
      <c r="B405" t="str" cm="1">
        <f t="array" ref="B405">IF(ISBLANK(INDEX(SampleList[NMR],ROW()-1)),"Not Requested",INDEX(SampleList[Experiment ID],ROW()-1))</f>
        <v>Not Requested</v>
      </c>
      <c r="C405">
        <f>Sampling!E403</f>
        <v>0</v>
      </c>
      <c r="D405">
        <f>NMRPrep[[#This Row],['#]]</f>
        <v>0</v>
      </c>
      <c r="G4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5" t="e">
        <f>IF(ISBLANK(NMRPrep[[#This Row],[Total (uL) ]]), 0, NMRPrep[[#This Row],[1mM Maleic Acid (uL) ]]/NMRPrep[[#This Row],[Total (uL) ]])</f>
        <v>#DIV/0!</v>
      </c>
      <c r="I405">
        <f>2</f>
        <v>2</v>
      </c>
      <c r="J405">
        <f>4</f>
        <v>4</v>
      </c>
      <c r="K405">
        <f>1</f>
        <v>1</v>
      </c>
    </row>
    <row r="406" spans="1:11" hidden="1" x14ac:dyDescent="0.25">
      <c r="A406" s="1">
        <f>Sampling!D404</f>
        <v>0</v>
      </c>
      <c r="B406" t="str" cm="1">
        <f t="array" ref="B406">IF(ISBLANK(INDEX(SampleList[NMR],ROW()-1)),"Not Requested",INDEX(SampleList[Experiment ID],ROW()-1))</f>
        <v>Not Requested</v>
      </c>
      <c r="C406">
        <f>Sampling!E404</f>
        <v>0</v>
      </c>
      <c r="D406">
        <f>NMRPrep[[#This Row],['#]]</f>
        <v>0</v>
      </c>
      <c r="G4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6" t="e">
        <f>IF(ISBLANK(NMRPrep[[#This Row],[Total (uL) ]]), 0, NMRPrep[[#This Row],[1mM Maleic Acid (uL) ]]/NMRPrep[[#This Row],[Total (uL) ]])</f>
        <v>#DIV/0!</v>
      </c>
      <c r="I406">
        <f>2</f>
        <v>2</v>
      </c>
      <c r="J406">
        <f>4</f>
        <v>4</v>
      </c>
      <c r="K406">
        <f>1</f>
        <v>1</v>
      </c>
    </row>
    <row r="407" spans="1:11" hidden="1" x14ac:dyDescent="0.25">
      <c r="A407" s="1">
        <f>Sampling!D405</f>
        <v>0</v>
      </c>
      <c r="B407" t="str" cm="1">
        <f t="array" ref="B407">IF(ISBLANK(INDEX(SampleList[NMR],ROW()-1)),"Not Requested",INDEX(SampleList[Experiment ID],ROW()-1))</f>
        <v>Not Requested</v>
      </c>
      <c r="C407">
        <f>Sampling!E405</f>
        <v>0</v>
      </c>
      <c r="D407">
        <f>NMRPrep[[#This Row],['#]]</f>
        <v>0</v>
      </c>
      <c r="G4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7" t="e">
        <f>IF(ISBLANK(NMRPrep[[#This Row],[Total (uL) ]]), 0, NMRPrep[[#This Row],[1mM Maleic Acid (uL) ]]/NMRPrep[[#This Row],[Total (uL) ]])</f>
        <v>#DIV/0!</v>
      </c>
      <c r="I407">
        <f>2</f>
        <v>2</v>
      </c>
      <c r="J407">
        <f>4</f>
        <v>4</v>
      </c>
      <c r="K407">
        <f>1</f>
        <v>1</v>
      </c>
    </row>
    <row r="408" spans="1:11" hidden="1" x14ac:dyDescent="0.25">
      <c r="A408" s="1">
        <f>Sampling!D406</f>
        <v>0</v>
      </c>
      <c r="B408" t="str" cm="1">
        <f t="array" ref="B408">IF(ISBLANK(INDEX(SampleList[NMR],ROW()-1)),"Not Requested",INDEX(SampleList[Experiment ID],ROW()-1))</f>
        <v>Not Requested</v>
      </c>
      <c r="C408">
        <f>Sampling!E406</f>
        <v>0</v>
      </c>
      <c r="D408">
        <f>NMRPrep[[#This Row],['#]]</f>
        <v>0</v>
      </c>
      <c r="G4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8" t="e">
        <f>IF(ISBLANK(NMRPrep[[#This Row],[Total (uL) ]]), 0, NMRPrep[[#This Row],[1mM Maleic Acid (uL) ]]/NMRPrep[[#This Row],[Total (uL) ]])</f>
        <v>#DIV/0!</v>
      </c>
      <c r="I408">
        <f>2</f>
        <v>2</v>
      </c>
      <c r="J408">
        <f>4</f>
        <v>4</v>
      </c>
      <c r="K408">
        <f>1</f>
        <v>1</v>
      </c>
    </row>
    <row r="409" spans="1:11" hidden="1" x14ac:dyDescent="0.25">
      <c r="A409" s="1">
        <f>Sampling!D407</f>
        <v>0</v>
      </c>
      <c r="B409" t="str" cm="1">
        <f t="array" ref="B409">IF(ISBLANK(INDEX(SampleList[NMR],ROW()-1)),"Not Requested",INDEX(SampleList[Experiment ID],ROW()-1))</f>
        <v>Not Requested</v>
      </c>
      <c r="C409">
        <f>Sampling!E407</f>
        <v>0</v>
      </c>
      <c r="D409">
        <f>NMRPrep[[#This Row],['#]]</f>
        <v>0</v>
      </c>
      <c r="G4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09" t="e">
        <f>IF(ISBLANK(NMRPrep[[#This Row],[Total (uL) ]]), 0, NMRPrep[[#This Row],[1mM Maleic Acid (uL) ]]/NMRPrep[[#This Row],[Total (uL) ]])</f>
        <v>#DIV/0!</v>
      </c>
      <c r="I409">
        <f>2</f>
        <v>2</v>
      </c>
      <c r="J409">
        <f>4</f>
        <v>4</v>
      </c>
      <c r="K409">
        <f>1</f>
        <v>1</v>
      </c>
    </row>
    <row r="410" spans="1:11" hidden="1" x14ac:dyDescent="0.25">
      <c r="A410" s="1">
        <f>Sampling!D408</f>
        <v>0</v>
      </c>
      <c r="B410" t="str" cm="1">
        <f t="array" ref="B410">IF(ISBLANK(INDEX(SampleList[NMR],ROW()-1)),"Not Requested",INDEX(SampleList[Experiment ID],ROW()-1))</f>
        <v>Not Requested</v>
      </c>
      <c r="C410">
        <f>Sampling!E408</f>
        <v>0</v>
      </c>
      <c r="D410">
        <f>NMRPrep[[#This Row],['#]]</f>
        <v>0</v>
      </c>
      <c r="G4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0" t="e">
        <f>IF(ISBLANK(NMRPrep[[#This Row],[Total (uL) ]]), 0, NMRPrep[[#This Row],[1mM Maleic Acid (uL) ]]/NMRPrep[[#This Row],[Total (uL) ]])</f>
        <v>#DIV/0!</v>
      </c>
      <c r="I410">
        <f>2</f>
        <v>2</v>
      </c>
      <c r="J410">
        <f>4</f>
        <v>4</v>
      </c>
      <c r="K410">
        <f>1</f>
        <v>1</v>
      </c>
    </row>
    <row r="411" spans="1:11" hidden="1" x14ac:dyDescent="0.25">
      <c r="A411" s="1">
        <f>Sampling!D409</f>
        <v>0</v>
      </c>
      <c r="B411" t="str" cm="1">
        <f t="array" ref="B411">IF(ISBLANK(INDEX(SampleList[NMR],ROW()-1)),"Not Requested",INDEX(SampleList[Experiment ID],ROW()-1))</f>
        <v>Not Requested</v>
      </c>
      <c r="C411">
        <f>Sampling!E409</f>
        <v>0</v>
      </c>
      <c r="D411">
        <f>NMRPrep[[#This Row],['#]]</f>
        <v>0</v>
      </c>
      <c r="G4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1" t="e">
        <f>IF(ISBLANK(NMRPrep[[#This Row],[Total (uL) ]]), 0, NMRPrep[[#This Row],[1mM Maleic Acid (uL) ]]/NMRPrep[[#This Row],[Total (uL) ]])</f>
        <v>#DIV/0!</v>
      </c>
      <c r="I411">
        <f>2</f>
        <v>2</v>
      </c>
      <c r="J411">
        <f>4</f>
        <v>4</v>
      </c>
      <c r="K411">
        <f>1</f>
        <v>1</v>
      </c>
    </row>
    <row r="412" spans="1:11" hidden="1" x14ac:dyDescent="0.25">
      <c r="A412" s="1">
        <f>Sampling!D410</f>
        <v>0</v>
      </c>
      <c r="B412" t="str" cm="1">
        <f t="array" ref="B412">IF(ISBLANK(INDEX(SampleList[NMR],ROW()-1)),"Not Requested",INDEX(SampleList[Experiment ID],ROW()-1))</f>
        <v>Not Requested</v>
      </c>
      <c r="C412">
        <f>Sampling!E410</f>
        <v>0</v>
      </c>
      <c r="D412">
        <f>NMRPrep[[#This Row],['#]]</f>
        <v>0</v>
      </c>
      <c r="G4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2" t="e">
        <f>IF(ISBLANK(NMRPrep[[#This Row],[Total (uL) ]]), 0, NMRPrep[[#This Row],[1mM Maleic Acid (uL) ]]/NMRPrep[[#This Row],[Total (uL) ]])</f>
        <v>#DIV/0!</v>
      </c>
      <c r="I412">
        <f>2</f>
        <v>2</v>
      </c>
      <c r="J412">
        <f>4</f>
        <v>4</v>
      </c>
      <c r="K412">
        <f>1</f>
        <v>1</v>
      </c>
    </row>
    <row r="413" spans="1:11" hidden="1" x14ac:dyDescent="0.25">
      <c r="A413" s="1">
        <f>Sampling!D411</f>
        <v>0</v>
      </c>
      <c r="B413" t="str" cm="1">
        <f t="array" ref="B413">IF(ISBLANK(INDEX(SampleList[NMR],ROW()-1)),"Not Requested",INDEX(SampleList[Experiment ID],ROW()-1))</f>
        <v>Not Requested</v>
      </c>
      <c r="C413">
        <f>Sampling!E411</f>
        <v>0</v>
      </c>
      <c r="D413">
        <f>NMRPrep[[#This Row],['#]]</f>
        <v>0</v>
      </c>
      <c r="G4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3" t="e">
        <f>IF(ISBLANK(NMRPrep[[#This Row],[Total (uL) ]]), 0, NMRPrep[[#This Row],[1mM Maleic Acid (uL) ]]/NMRPrep[[#This Row],[Total (uL) ]])</f>
        <v>#DIV/0!</v>
      </c>
      <c r="I413">
        <f>2</f>
        <v>2</v>
      </c>
      <c r="J413">
        <f>4</f>
        <v>4</v>
      </c>
      <c r="K413">
        <f>1</f>
        <v>1</v>
      </c>
    </row>
    <row r="414" spans="1:11" hidden="1" x14ac:dyDescent="0.25">
      <c r="A414" s="1">
        <f>Sampling!D412</f>
        <v>0</v>
      </c>
      <c r="B414" t="str" cm="1">
        <f t="array" ref="B414">IF(ISBLANK(INDEX(SampleList[NMR],ROW()-1)),"Not Requested",INDEX(SampleList[Experiment ID],ROW()-1))</f>
        <v>Not Requested</v>
      </c>
      <c r="C414">
        <f>Sampling!E412</f>
        <v>0</v>
      </c>
      <c r="D414">
        <f>NMRPrep[[#This Row],['#]]</f>
        <v>0</v>
      </c>
      <c r="G4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4" t="e">
        <f>IF(ISBLANK(NMRPrep[[#This Row],[Total (uL) ]]), 0, NMRPrep[[#This Row],[1mM Maleic Acid (uL) ]]/NMRPrep[[#This Row],[Total (uL) ]])</f>
        <v>#DIV/0!</v>
      </c>
      <c r="I414">
        <f>2</f>
        <v>2</v>
      </c>
      <c r="J414">
        <f>4</f>
        <v>4</v>
      </c>
      <c r="K414">
        <f>1</f>
        <v>1</v>
      </c>
    </row>
    <row r="415" spans="1:11" hidden="1" x14ac:dyDescent="0.25">
      <c r="A415" s="1">
        <f>Sampling!D413</f>
        <v>0</v>
      </c>
      <c r="B415" t="str" cm="1">
        <f t="array" ref="B415">IF(ISBLANK(INDEX(SampleList[NMR],ROW()-1)),"Not Requested",INDEX(SampleList[Experiment ID],ROW()-1))</f>
        <v>Not Requested</v>
      </c>
      <c r="C415">
        <f>Sampling!E413</f>
        <v>0</v>
      </c>
      <c r="D415">
        <f>NMRPrep[[#This Row],['#]]</f>
        <v>0</v>
      </c>
      <c r="G4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5" t="e">
        <f>IF(ISBLANK(NMRPrep[[#This Row],[Total (uL) ]]), 0, NMRPrep[[#This Row],[1mM Maleic Acid (uL) ]]/NMRPrep[[#This Row],[Total (uL) ]])</f>
        <v>#DIV/0!</v>
      </c>
      <c r="I415">
        <f>2</f>
        <v>2</v>
      </c>
      <c r="J415">
        <f>4</f>
        <v>4</v>
      </c>
      <c r="K415">
        <f>1</f>
        <v>1</v>
      </c>
    </row>
    <row r="416" spans="1:11" hidden="1" x14ac:dyDescent="0.25">
      <c r="A416" s="1">
        <f>Sampling!D414</f>
        <v>0</v>
      </c>
      <c r="B416" t="str" cm="1">
        <f t="array" ref="B416">IF(ISBLANK(INDEX(SampleList[NMR],ROW()-1)),"Not Requested",INDEX(SampleList[Experiment ID],ROW()-1))</f>
        <v>Not Requested</v>
      </c>
      <c r="C416">
        <f>Sampling!E414</f>
        <v>0</v>
      </c>
      <c r="D416">
        <f>NMRPrep[[#This Row],['#]]</f>
        <v>0</v>
      </c>
      <c r="G4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6" t="e">
        <f>IF(ISBLANK(NMRPrep[[#This Row],[Total (uL) ]]), 0, NMRPrep[[#This Row],[1mM Maleic Acid (uL) ]]/NMRPrep[[#This Row],[Total (uL) ]])</f>
        <v>#DIV/0!</v>
      </c>
      <c r="I416">
        <f>2</f>
        <v>2</v>
      </c>
      <c r="J416">
        <f>4</f>
        <v>4</v>
      </c>
      <c r="K416">
        <f>1</f>
        <v>1</v>
      </c>
    </row>
    <row r="417" spans="1:11" hidden="1" x14ac:dyDescent="0.25">
      <c r="A417" s="1">
        <f>Sampling!D415</f>
        <v>0</v>
      </c>
      <c r="B417" t="str" cm="1">
        <f t="array" ref="B417">IF(ISBLANK(INDEX(SampleList[NMR],ROW()-1)),"Not Requested",INDEX(SampleList[Experiment ID],ROW()-1))</f>
        <v>Not Requested</v>
      </c>
      <c r="C417">
        <f>Sampling!E415</f>
        <v>0</v>
      </c>
      <c r="D417">
        <f>NMRPrep[[#This Row],['#]]</f>
        <v>0</v>
      </c>
      <c r="G4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7" t="e">
        <f>IF(ISBLANK(NMRPrep[[#This Row],[Total (uL) ]]), 0, NMRPrep[[#This Row],[1mM Maleic Acid (uL) ]]/NMRPrep[[#This Row],[Total (uL) ]])</f>
        <v>#DIV/0!</v>
      </c>
      <c r="I417">
        <f>2</f>
        <v>2</v>
      </c>
      <c r="J417">
        <f>4</f>
        <v>4</v>
      </c>
      <c r="K417">
        <f>1</f>
        <v>1</v>
      </c>
    </row>
    <row r="418" spans="1:11" hidden="1" x14ac:dyDescent="0.25">
      <c r="A418" s="1">
        <f>Sampling!D416</f>
        <v>0</v>
      </c>
      <c r="B418" t="str" cm="1">
        <f t="array" ref="B418">IF(ISBLANK(INDEX(SampleList[NMR],ROW()-1)),"Not Requested",INDEX(SampleList[Experiment ID],ROW()-1))</f>
        <v>Not Requested</v>
      </c>
      <c r="C418">
        <f>Sampling!E416</f>
        <v>0</v>
      </c>
      <c r="D418">
        <f>NMRPrep[[#This Row],['#]]</f>
        <v>0</v>
      </c>
      <c r="G4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8" t="e">
        <f>IF(ISBLANK(NMRPrep[[#This Row],[Total (uL) ]]), 0, NMRPrep[[#This Row],[1mM Maleic Acid (uL) ]]/NMRPrep[[#This Row],[Total (uL) ]])</f>
        <v>#DIV/0!</v>
      </c>
      <c r="I418">
        <f>2</f>
        <v>2</v>
      </c>
      <c r="J418">
        <f>4</f>
        <v>4</v>
      </c>
      <c r="K418">
        <f>1</f>
        <v>1</v>
      </c>
    </row>
    <row r="419" spans="1:11" hidden="1" x14ac:dyDescent="0.25">
      <c r="A419" s="1">
        <f>Sampling!D417</f>
        <v>0</v>
      </c>
      <c r="B419" t="str" cm="1">
        <f t="array" ref="B419">IF(ISBLANK(INDEX(SampleList[NMR],ROW()-1)),"Not Requested",INDEX(SampleList[Experiment ID],ROW()-1))</f>
        <v>Not Requested</v>
      </c>
      <c r="C419">
        <f>Sampling!E417</f>
        <v>0</v>
      </c>
      <c r="D419">
        <f>NMRPrep[[#This Row],['#]]</f>
        <v>0</v>
      </c>
      <c r="G4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19" t="e">
        <f>IF(ISBLANK(NMRPrep[[#This Row],[Total (uL) ]]), 0, NMRPrep[[#This Row],[1mM Maleic Acid (uL) ]]/NMRPrep[[#This Row],[Total (uL) ]])</f>
        <v>#DIV/0!</v>
      </c>
      <c r="I419">
        <f>2</f>
        <v>2</v>
      </c>
      <c r="J419">
        <f>4</f>
        <v>4</v>
      </c>
      <c r="K419">
        <f>1</f>
        <v>1</v>
      </c>
    </row>
    <row r="420" spans="1:11" hidden="1" x14ac:dyDescent="0.25">
      <c r="A420" s="1">
        <f>Sampling!D418</f>
        <v>0</v>
      </c>
      <c r="B420" t="str" cm="1">
        <f t="array" ref="B420">IF(ISBLANK(INDEX(SampleList[NMR],ROW()-1)),"Not Requested",INDEX(SampleList[Experiment ID],ROW()-1))</f>
        <v>Not Requested</v>
      </c>
      <c r="C420">
        <f>Sampling!E418</f>
        <v>0</v>
      </c>
      <c r="D420">
        <f>NMRPrep[[#This Row],['#]]</f>
        <v>0</v>
      </c>
      <c r="G4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0" t="e">
        <f>IF(ISBLANK(NMRPrep[[#This Row],[Total (uL) ]]), 0, NMRPrep[[#This Row],[1mM Maleic Acid (uL) ]]/NMRPrep[[#This Row],[Total (uL) ]])</f>
        <v>#DIV/0!</v>
      </c>
      <c r="I420">
        <f>2</f>
        <v>2</v>
      </c>
      <c r="J420">
        <f>4</f>
        <v>4</v>
      </c>
      <c r="K420">
        <f>1</f>
        <v>1</v>
      </c>
    </row>
    <row r="421" spans="1:11" hidden="1" x14ac:dyDescent="0.25">
      <c r="A421" s="1">
        <f>Sampling!D419</f>
        <v>0</v>
      </c>
      <c r="B421" t="str" cm="1">
        <f t="array" ref="B421">IF(ISBLANK(INDEX(SampleList[NMR],ROW()-1)),"Not Requested",INDEX(SampleList[Experiment ID],ROW()-1))</f>
        <v>Not Requested</v>
      </c>
      <c r="C421">
        <f>Sampling!E419</f>
        <v>0</v>
      </c>
      <c r="D421">
        <f>NMRPrep[[#This Row],['#]]</f>
        <v>0</v>
      </c>
      <c r="G4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1" t="e">
        <f>IF(ISBLANK(NMRPrep[[#This Row],[Total (uL) ]]), 0, NMRPrep[[#This Row],[1mM Maleic Acid (uL) ]]/NMRPrep[[#This Row],[Total (uL) ]])</f>
        <v>#DIV/0!</v>
      </c>
      <c r="I421">
        <f>2</f>
        <v>2</v>
      </c>
      <c r="J421">
        <f>4</f>
        <v>4</v>
      </c>
      <c r="K421">
        <f>1</f>
        <v>1</v>
      </c>
    </row>
    <row r="422" spans="1:11" hidden="1" x14ac:dyDescent="0.25">
      <c r="A422" s="1">
        <f>Sampling!D420</f>
        <v>0</v>
      </c>
      <c r="B422" t="str" cm="1">
        <f t="array" ref="B422">IF(ISBLANK(INDEX(SampleList[NMR],ROW()-1)),"Not Requested",INDEX(SampleList[Experiment ID],ROW()-1))</f>
        <v>Not Requested</v>
      </c>
      <c r="C422">
        <f>Sampling!E420</f>
        <v>0</v>
      </c>
      <c r="D422">
        <f>NMRPrep[[#This Row],['#]]</f>
        <v>0</v>
      </c>
      <c r="G4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2" t="e">
        <f>IF(ISBLANK(NMRPrep[[#This Row],[Total (uL) ]]), 0, NMRPrep[[#This Row],[1mM Maleic Acid (uL) ]]/NMRPrep[[#This Row],[Total (uL) ]])</f>
        <v>#DIV/0!</v>
      </c>
      <c r="I422">
        <f>2</f>
        <v>2</v>
      </c>
      <c r="J422">
        <f>4</f>
        <v>4</v>
      </c>
      <c r="K422">
        <f>1</f>
        <v>1</v>
      </c>
    </row>
    <row r="423" spans="1:11" hidden="1" x14ac:dyDescent="0.25">
      <c r="A423" s="1">
        <f>Sampling!D421</f>
        <v>0</v>
      </c>
      <c r="B423" t="str" cm="1">
        <f t="array" ref="B423">IF(ISBLANK(INDEX(SampleList[NMR],ROW()-1)),"Not Requested",INDEX(SampleList[Experiment ID],ROW()-1))</f>
        <v>Not Requested</v>
      </c>
      <c r="C423">
        <f>Sampling!E421</f>
        <v>0</v>
      </c>
      <c r="D423">
        <f>NMRPrep[[#This Row],['#]]</f>
        <v>0</v>
      </c>
      <c r="G4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3" t="e">
        <f>IF(ISBLANK(NMRPrep[[#This Row],[Total (uL) ]]), 0, NMRPrep[[#This Row],[1mM Maleic Acid (uL) ]]/NMRPrep[[#This Row],[Total (uL) ]])</f>
        <v>#DIV/0!</v>
      </c>
      <c r="I423">
        <f>2</f>
        <v>2</v>
      </c>
      <c r="J423">
        <f>4</f>
        <v>4</v>
      </c>
      <c r="K423">
        <f>1</f>
        <v>1</v>
      </c>
    </row>
    <row r="424" spans="1:11" hidden="1" x14ac:dyDescent="0.25">
      <c r="A424" s="1">
        <f>Sampling!D422</f>
        <v>0</v>
      </c>
      <c r="B424" t="str" cm="1">
        <f t="array" ref="B424">IF(ISBLANK(INDEX(SampleList[NMR],ROW()-1)),"Not Requested",INDEX(SampleList[Experiment ID],ROW()-1))</f>
        <v>Not Requested</v>
      </c>
      <c r="C424">
        <f>Sampling!E422</f>
        <v>0</v>
      </c>
      <c r="D424">
        <f>NMRPrep[[#This Row],['#]]</f>
        <v>0</v>
      </c>
      <c r="G4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4" t="e">
        <f>IF(ISBLANK(NMRPrep[[#This Row],[Total (uL) ]]), 0, NMRPrep[[#This Row],[1mM Maleic Acid (uL) ]]/NMRPrep[[#This Row],[Total (uL) ]])</f>
        <v>#DIV/0!</v>
      </c>
      <c r="I424">
        <f>2</f>
        <v>2</v>
      </c>
      <c r="J424">
        <f>4</f>
        <v>4</v>
      </c>
      <c r="K424">
        <f>1</f>
        <v>1</v>
      </c>
    </row>
    <row r="425" spans="1:11" hidden="1" x14ac:dyDescent="0.25">
      <c r="A425" s="1">
        <f>Sampling!D423</f>
        <v>0</v>
      </c>
      <c r="B425" t="str" cm="1">
        <f t="array" ref="B425">IF(ISBLANK(INDEX(SampleList[NMR],ROW()-1)),"Not Requested",INDEX(SampleList[Experiment ID],ROW()-1))</f>
        <v>Not Requested</v>
      </c>
      <c r="C425">
        <f>Sampling!E423</f>
        <v>0</v>
      </c>
      <c r="D425">
        <f>NMRPrep[[#This Row],['#]]</f>
        <v>0</v>
      </c>
      <c r="G4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5" t="e">
        <f>IF(ISBLANK(NMRPrep[[#This Row],[Total (uL) ]]), 0, NMRPrep[[#This Row],[1mM Maleic Acid (uL) ]]/NMRPrep[[#This Row],[Total (uL) ]])</f>
        <v>#DIV/0!</v>
      </c>
      <c r="I425">
        <f>2</f>
        <v>2</v>
      </c>
      <c r="J425">
        <f>4</f>
        <v>4</v>
      </c>
      <c r="K425">
        <f>1</f>
        <v>1</v>
      </c>
    </row>
    <row r="426" spans="1:11" hidden="1" x14ac:dyDescent="0.25">
      <c r="A426" s="1">
        <f>Sampling!D424</f>
        <v>0</v>
      </c>
      <c r="B426" t="str" cm="1">
        <f t="array" ref="B426">IF(ISBLANK(INDEX(SampleList[NMR],ROW()-1)),"Not Requested",INDEX(SampleList[Experiment ID],ROW()-1))</f>
        <v>Not Requested</v>
      </c>
      <c r="C426">
        <f>Sampling!E424</f>
        <v>0</v>
      </c>
      <c r="D426">
        <f>NMRPrep[[#This Row],['#]]</f>
        <v>0</v>
      </c>
      <c r="G4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6" t="e">
        <f>IF(ISBLANK(NMRPrep[[#This Row],[Total (uL) ]]), 0, NMRPrep[[#This Row],[1mM Maleic Acid (uL) ]]/NMRPrep[[#This Row],[Total (uL) ]])</f>
        <v>#DIV/0!</v>
      </c>
      <c r="I426">
        <f>2</f>
        <v>2</v>
      </c>
      <c r="J426">
        <f>4</f>
        <v>4</v>
      </c>
      <c r="K426">
        <f>1</f>
        <v>1</v>
      </c>
    </row>
    <row r="427" spans="1:11" hidden="1" x14ac:dyDescent="0.25">
      <c r="A427" s="1">
        <f>Sampling!D425</f>
        <v>0</v>
      </c>
      <c r="B427" t="str" cm="1">
        <f t="array" ref="B427">IF(ISBLANK(INDEX(SampleList[NMR],ROW()-1)),"Not Requested",INDEX(SampleList[Experiment ID],ROW()-1))</f>
        <v>Not Requested</v>
      </c>
      <c r="C427">
        <f>Sampling!E425</f>
        <v>0</v>
      </c>
      <c r="D427">
        <f>NMRPrep[[#This Row],['#]]</f>
        <v>0</v>
      </c>
      <c r="G4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7" t="e">
        <f>IF(ISBLANK(NMRPrep[[#This Row],[Total (uL) ]]), 0, NMRPrep[[#This Row],[1mM Maleic Acid (uL) ]]/NMRPrep[[#This Row],[Total (uL) ]])</f>
        <v>#DIV/0!</v>
      </c>
      <c r="I427">
        <f>2</f>
        <v>2</v>
      </c>
      <c r="J427">
        <f>4</f>
        <v>4</v>
      </c>
      <c r="K427">
        <f>1</f>
        <v>1</v>
      </c>
    </row>
    <row r="428" spans="1:11" hidden="1" x14ac:dyDescent="0.25">
      <c r="A428" s="1">
        <f>Sampling!D426</f>
        <v>0</v>
      </c>
      <c r="B428" t="str" cm="1">
        <f t="array" ref="B428">IF(ISBLANK(INDEX(SampleList[NMR],ROW()-1)),"Not Requested",INDEX(SampleList[Experiment ID],ROW()-1))</f>
        <v>Not Requested</v>
      </c>
      <c r="C428">
        <f>Sampling!E426</f>
        <v>0</v>
      </c>
      <c r="D428">
        <f>NMRPrep[[#This Row],['#]]</f>
        <v>0</v>
      </c>
      <c r="G4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8" t="e">
        <f>IF(ISBLANK(NMRPrep[[#This Row],[Total (uL) ]]), 0, NMRPrep[[#This Row],[1mM Maleic Acid (uL) ]]/NMRPrep[[#This Row],[Total (uL) ]])</f>
        <v>#DIV/0!</v>
      </c>
      <c r="I428">
        <f>2</f>
        <v>2</v>
      </c>
      <c r="J428">
        <f>4</f>
        <v>4</v>
      </c>
      <c r="K428">
        <f>1</f>
        <v>1</v>
      </c>
    </row>
    <row r="429" spans="1:11" hidden="1" x14ac:dyDescent="0.25">
      <c r="A429" s="1">
        <f>Sampling!D427</f>
        <v>0</v>
      </c>
      <c r="B429" t="str" cm="1">
        <f t="array" ref="B429">IF(ISBLANK(INDEX(SampleList[NMR],ROW()-1)),"Not Requested",INDEX(SampleList[Experiment ID],ROW()-1))</f>
        <v>Not Requested</v>
      </c>
      <c r="C429">
        <f>Sampling!E427</f>
        <v>0</v>
      </c>
      <c r="D429">
        <f>NMRPrep[[#This Row],['#]]</f>
        <v>0</v>
      </c>
      <c r="G4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29" t="e">
        <f>IF(ISBLANK(NMRPrep[[#This Row],[Total (uL) ]]), 0, NMRPrep[[#This Row],[1mM Maleic Acid (uL) ]]/NMRPrep[[#This Row],[Total (uL) ]])</f>
        <v>#DIV/0!</v>
      </c>
      <c r="I429">
        <f>2</f>
        <v>2</v>
      </c>
      <c r="J429">
        <f>4</f>
        <v>4</v>
      </c>
      <c r="K429">
        <f>1</f>
        <v>1</v>
      </c>
    </row>
    <row r="430" spans="1:11" hidden="1" x14ac:dyDescent="0.25">
      <c r="A430" s="1">
        <f>Sampling!D428</f>
        <v>0</v>
      </c>
      <c r="B430" t="str" cm="1">
        <f t="array" ref="B430">IF(ISBLANK(INDEX(SampleList[NMR],ROW()-1)),"Not Requested",INDEX(SampleList[Experiment ID],ROW()-1))</f>
        <v>Not Requested</v>
      </c>
      <c r="C430">
        <f>Sampling!E428</f>
        <v>0</v>
      </c>
      <c r="D430">
        <f>NMRPrep[[#This Row],['#]]</f>
        <v>0</v>
      </c>
      <c r="G4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0" t="e">
        <f>IF(ISBLANK(NMRPrep[[#This Row],[Total (uL) ]]), 0, NMRPrep[[#This Row],[1mM Maleic Acid (uL) ]]/NMRPrep[[#This Row],[Total (uL) ]])</f>
        <v>#DIV/0!</v>
      </c>
      <c r="I430">
        <f>2</f>
        <v>2</v>
      </c>
      <c r="J430">
        <f>4</f>
        <v>4</v>
      </c>
      <c r="K430">
        <f>1</f>
        <v>1</v>
      </c>
    </row>
    <row r="431" spans="1:11" hidden="1" x14ac:dyDescent="0.25">
      <c r="A431" s="1">
        <f>Sampling!D429</f>
        <v>0</v>
      </c>
      <c r="B431" t="str" cm="1">
        <f t="array" ref="B431">IF(ISBLANK(INDEX(SampleList[NMR],ROW()-1)),"Not Requested",INDEX(SampleList[Experiment ID],ROW()-1))</f>
        <v>Not Requested</v>
      </c>
      <c r="C431">
        <f>Sampling!E429</f>
        <v>0</v>
      </c>
      <c r="D431">
        <f>NMRPrep[[#This Row],['#]]</f>
        <v>0</v>
      </c>
      <c r="G4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1" t="e">
        <f>IF(ISBLANK(NMRPrep[[#This Row],[Total (uL) ]]), 0, NMRPrep[[#This Row],[1mM Maleic Acid (uL) ]]/NMRPrep[[#This Row],[Total (uL) ]])</f>
        <v>#DIV/0!</v>
      </c>
      <c r="I431">
        <f>2</f>
        <v>2</v>
      </c>
      <c r="J431">
        <f>4</f>
        <v>4</v>
      </c>
      <c r="K431">
        <f>1</f>
        <v>1</v>
      </c>
    </row>
    <row r="432" spans="1:11" hidden="1" x14ac:dyDescent="0.25">
      <c r="A432" s="1">
        <f>Sampling!D430</f>
        <v>0</v>
      </c>
      <c r="B432" t="str" cm="1">
        <f t="array" ref="B432">IF(ISBLANK(INDEX(SampleList[NMR],ROW()-1)),"Not Requested",INDEX(SampleList[Experiment ID],ROW()-1))</f>
        <v>Not Requested</v>
      </c>
      <c r="C432">
        <f>Sampling!E430</f>
        <v>0</v>
      </c>
      <c r="D432">
        <f>NMRPrep[[#This Row],['#]]</f>
        <v>0</v>
      </c>
      <c r="G4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2" t="e">
        <f>IF(ISBLANK(NMRPrep[[#This Row],[Total (uL) ]]), 0, NMRPrep[[#This Row],[1mM Maleic Acid (uL) ]]/NMRPrep[[#This Row],[Total (uL) ]])</f>
        <v>#DIV/0!</v>
      </c>
      <c r="I432">
        <f>2</f>
        <v>2</v>
      </c>
      <c r="J432">
        <f>4</f>
        <v>4</v>
      </c>
      <c r="K432">
        <f>1</f>
        <v>1</v>
      </c>
    </row>
    <row r="433" spans="1:11" hidden="1" x14ac:dyDescent="0.25">
      <c r="A433" s="1">
        <f>Sampling!D431</f>
        <v>0</v>
      </c>
      <c r="B433" t="str" cm="1">
        <f t="array" ref="B433">IF(ISBLANK(INDEX(SampleList[NMR],ROW()-1)),"Not Requested",INDEX(SampleList[Experiment ID],ROW()-1))</f>
        <v>Not Requested</v>
      </c>
      <c r="C433">
        <f>Sampling!E431</f>
        <v>0</v>
      </c>
      <c r="D433">
        <f>NMRPrep[[#This Row],['#]]</f>
        <v>0</v>
      </c>
      <c r="G4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3" t="e">
        <f>IF(ISBLANK(NMRPrep[[#This Row],[Total (uL) ]]), 0, NMRPrep[[#This Row],[1mM Maleic Acid (uL) ]]/NMRPrep[[#This Row],[Total (uL) ]])</f>
        <v>#DIV/0!</v>
      </c>
      <c r="I433">
        <f>2</f>
        <v>2</v>
      </c>
      <c r="J433">
        <f>4</f>
        <v>4</v>
      </c>
      <c r="K433">
        <f>1</f>
        <v>1</v>
      </c>
    </row>
    <row r="434" spans="1:11" hidden="1" x14ac:dyDescent="0.25">
      <c r="A434" s="1">
        <f>Sampling!D432</f>
        <v>0</v>
      </c>
      <c r="B434" t="str" cm="1">
        <f t="array" ref="B434">IF(ISBLANK(INDEX(SampleList[NMR],ROW()-1)),"Not Requested",INDEX(SampleList[Experiment ID],ROW()-1))</f>
        <v>Not Requested</v>
      </c>
      <c r="C434">
        <f>Sampling!E432</f>
        <v>0</v>
      </c>
      <c r="D434">
        <f>NMRPrep[[#This Row],['#]]</f>
        <v>0</v>
      </c>
      <c r="G4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4" t="e">
        <f>IF(ISBLANK(NMRPrep[[#This Row],[Total (uL) ]]), 0, NMRPrep[[#This Row],[1mM Maleic Acid (uL) ]]/NMRPrep[[#This Row],[Total (uL) ]])</f>
        <v>#DIV/0!</v>
      </c>
      <c r="I434">
        <f>2</f>
        <v>2</v>
      </c>
      <c r="J434">
        <f>4</f>
        <v>4</v>
      </c>
      <c r="K434">
        <f>1</f>
        <v>1</v>
      </c>
    </row>
    <row r="435" spans="1:11" hidden="1" x14ac:dyDescent="0.25">
      <c r="A435" s="1">
        <f>Sampling!D433</f>
        <v>0</v>
      </c>
      <c r="B435" t="str" cm="1">
        <f t="array" ref="B435">IF(ISBLANK(INDEX(SampleList[NMR],ROW()-1)),"Not Requested",INDEX(SampleList[Experiment ID],ROW()-1))</f>
        <v>Not Requested</v>
      </c>
      <c r="C435">
        <f>Sampling!E433</f>
        <v>0</v>
      </c>
      <c r="D435">
        <f>NMRPrep[[#This Row],['#]]</f>
        <v>0</v>
      </c>
      <c r="G4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5" t="e">
        <f>IF(ISBLANK(NMRPrep[[#This Row],[Total (uL) ]]), 0, NMRPrep[[#This Row],[1mM Maleic Acid (uL) ]]/NMRPrep[[#This Row],[Total (uL) ]])</f>
        <v>#DIV/0!</v>
      </c>
      <c r="I435">
        <f>2</f>
        <v>2</v>
      </c>
      <c r="J435">
        <f>4</f>
        <v>4</v>
      </c>
      <c r="K435">
        <f>1</f>
        <v>1</v>
      </c>
    </row>
    <row r="436" spans="1:11" hidden="1" x14ac:dyDescent="0.25">
      <c r="A436" s="1">
        <f>Sampling!D434</f>
        <v>0</v>
      </c>
      <c r="B436" t="str" cm="1">
        <f t="array" ref="B436">IF(ISBLANK(INDEX(SampleList[NMR],ROW()-1)),"Not Requested",INDEX(SampleList[Experiment ID],ROW()-1))</f>
        <v>Not Requested</v>
      </c>
      <c r="C436">
        <f>Sampling!E434</f>
        <v>0</v>
      </c>
      <c r="D436">
        <f>NMRPrep[[#This Row],['#]]</f>
        <v>0</v>
      </c>
      <c r="G4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6" t="e">
        <f>IF(ISBLANK(NMRPrep[[#This Row],[Total (uL) ]]), 0, NMRPrep[[#This Row],[1mM Maleic Acid (uL) ]]/NMRPrep[[#This Row],[Total (uL) ]])</f>
        <v>#DIV/0!</v>
      </c>
      <c r="I436">
        <f>2</f>
        <v>2</v>
      </c>
      <c r="J436">
        <f>4</f>
        <v>4</v>
      </c>
      <c r="K436">
        <f>1</f>
        <v>1</v>
      </c>
    </row>
    <row r="437" spans="1:11" hidden="1" x14ac:dyDescent="0.25">
      <c r="A437" s="1">
        <f>Sampling!D435</f>
        <v>0</v>
      </c>
      <c r="B437" t="str" cm="1">
        <f t="array" ref="B437">IF(ISBLANK(INDEX(SampleList[NMR],ROW()-1)),"Not Requested",INDEX(SampleList[Experiment ID],ROW()-1))</f>
        <v>Not Requested</v>
      </c>
      <c r="C437">
        <f>Sampling!E435</f>
        <v>0</v>
      </c>
      <c r="D437">
        <f>NMRPrep[[#This Row],['#]]</f>
        <v>0</v>
      </c>
      <c r="G4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7" t="e">
        <f>IF(ISBLANK(NMRPrep[[#This Row],[Total (uL) ]]), 0, NMRPrep[[#This Row],[1mM Maleic Acid (uL) ]]/NMRPrep[[#This Row],[Total (uL) ]])</f>
        <v>#DIV/0!</v>
      </c>
      <c r="I437">
        <f>2</f>
        <v>2</v>
      </c>
      <c r="J437">
        <f>4</f>
        <v>4</v>
      </c>
      <c r="K437">
        <f>1</f>
        <v>1</v>
      </c>
    </row>
    <row r="438" spans="1:11" hidden="1" x14ac:dyDescent="0.25">
      <c r="A438" s="1">
        <f>Sampling!D436</f>
        <v>0</v>
      </c>
      <c r="B438" t="str" cm="1">
        <f t="array" ref="B438">IF(ISBLANK(INDEX(SampleList[NMR],ROW()-1)),"Not Requested",INDEX(SampleList[Experiment ID],ROW()-1))</f>
        <v>Not Requested</v>
      </c>
      <c r="C438">
        <f>Sampling!E436</f>
        <v>0</v>
      </c>
      <c r="D438">
        <f>NMRPrep[[#This Row],['#]]</f>
        <v>0</v>
      </c>
      <c r="G4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8" t="e">
        <f>IF(ISBLANK(NMRPrep[[#This Row],[Total (uL) ]]), 0, NMRPrep[[#This Row],[1mM Maleic Acid (uL) ]]/NMRPrep[[#This Row],[Total (uL) ]])</f>
        <v>#DIV/0!</v>
      </c>
      <c r="I438">
        <f>2</f>
        <v>2</v>
      </c>
      <c r="J438">
        <f>4</f>
        <v>4</v>
      </c>
      <c r="K438">
        <f>1</f>
        <v>1</v>
      </c>
    </row>
    <row r="439" spans="1:11" hidden="1" x14ac:dyDescent="0.25">
      <c r="A439" s="1">
        <f>Sampling!D437</f>
        <v>0</v>
      </c>
      <c r="B439" t="str" cm="1">
        <f t="array" ref="B439">IF(ISBLANK(INDEX(SampleList[NMR],ROW()-1)),"Not Requested",INDEX(SampleList[Experiment ID],ROW()-1))</f>
        <v>Not Requested</v>
      </c>
      <c r="C439">
        <f>Sampling!E437</f>
        <v>0</v>
      </c>
      <c r="D439">
        <f>NMRPrep[[#This Row],['#]]</f>
        <v>0</v>
      </c>
      <c r="G4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39" t="e">
        <f>IF(ISBLANK(NMRPrep[[#This Row],[Total (uL) ]]), 0, NMRPrep[[#This Row],[1mM Maleic Acid (uL) ]]/NMRPrep[[#This Row],[Total (uL) ]])</f>
        <v>#DIV/0!</v>
      </c>
      <c r="I439">
        <f>2</f>
        <v>2</v>
      </c>
      <c r="J439">
        <f>4</f>
        <v>4</v>
      </c>
      <c r="K439">
        <f>1</f>
        <v>1</v>
      </c>
    </row>
    <row r="440" spans="1:11" hidden="1" x14ac:dyDescent="0.25">
      <c r="A440" s="1">
        <f>Sampling!D438</f>
        <v>0</v>
      </c>
      <c r="B440" t="str" cm="1">
        <f t="array" ref="B440">IF(ISBLANK(INDEX(SampleList[NMR],ROW()-1)),"Not Requested",INDEX(SampleList[Experiment ID],ROW()-1))</f>
        <v>Not Requested</v>
      </c>
      <c r="C440">
        <f>Sampling!E438</f>
        <v>0</v>
      </c>
      <c r="D440">
        <f>NMRPrep[[#This Row],['#]]</f>
        <v>0</v>
      </c>
      <c r="G4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0" t="e">
        <f>IF(ISBLANK(NMRPrep[[#This Row],[Total (uL) ]]), 0, NMRPrep[[#This Row],[1mM Maleic Acid (uL) ]]/NMRPrep[[#This Row],[Total (uL) ]])</f>
        <v>#DIV/0!</v>
      </c>
      <c r="I440">
        <f>2</f>
        <v>2</v>
      </c>
      <c r="J440">
        <f>4</f>
        <v>4</v>
      </c>
      <c r="K440">
        <f>1</f>
        <v>1</v>
      </c>
    </row>
    <row r="441" spans="1:11" hidden="1" x14ac:dyDescent="0.25">
      <c r="A441" s="1">
        <f>Sampling!D439</f>
        <v>0</v>
      </c>
      <c r="B441" t="str" cm="1">
        <f t="array" ref="B441">IF(ISBLANK(INDEX(SampleList[NMR],ROW()-1)),"Not Requested",INDEX(SampleList[Experiment ID],ROW()-1))</f>
        <v>Not Requested</v>
      </c>
      <c r="C441">
        <f>Sampling!E439</f>
        <v>0</v>
      </c>
      <c r="D441">
        <f>NMRPrep[[#This Row],['#]]</f>
        <v>0</v>
      </c>
      <c r="G4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1" t="e">
        <f>IF(ISBLANK(NMRPrep[[#This Row],[Total (uL) ]]), 0, NMRPrep[[#This Row],[1mM Maleic Acid (uL) ]]/NMRPrep[[#This Row],[Total (uL) ]])</f>
        <v>#DIV/0!</v>
      </c>
      <c r="I441">
        <f>2</f>
        <v>2</v>
      </c>
      <c r="J441">
        <f>4</f>
        <v>4</v>
      </c>
      <c r="K441">
        <f>1</f>
        <v>1</v>
      </c>
    </row>
    <row r="442" spans="1:11" hidden="1" x14ac:dyDescent="0.25">
      <c r="A442" s="1">
        <f>Sampling!D440</f>
        <v>0</v>
      </c>
      <c r="B442" t="str" cm="1">
        <f t="array" ref="B442">IF(ISBLANK(INDEX(SampleList[NMR],ROW()-1)),"Not Requested",INDEX(SampleList[Experiment ID],ROW()-1))</f>
        <v>Not Requested</v>
      </c>
      <c r="C442">
        <f>Sampling!E440</f>
        <v>0</v>
      </c>
      <c r="D442">
        <f>NMRPrep[[#This Row],['#]]</f>
        <v>0</v>
      </c>
      <c r="G4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2" t="e">
        <f>IF(ISBLANK(NMRPrep[[#This Row],[Total (uL) ]]), 0, NMRPrep[[#This Row],[1mM Maleic Acid (uL) ]]/NMRPrep[[#This Row],[Total (uL) ]])</f>
        <v>#DIV/0!</v>
      </c>
      <c r="I442">
        <f>2</f>
        <v>2</v>
      </c>
      <c r="J442">
        <f>4</f>
        <v>4</v>
      </c>
      <c r="K442">
        <f>1</f>
        <v>1</v>
      </c>
    </row>
    <row r="443" spans="1:11" hidden="1" x14ac:dyDescent="0.25">
      <c r="A443" s="1">
        <f>Sampling!D441</f>
        <v>0</v>
      </c>
      <c r="B443" t="str" cm="1">
        <f t="array" ref="B443">IF(ISBLANK(INDEX(SampleList[NMR],ROW()-1)),"Not Requested",INDEX(SampleList[Experiment ID],ROW()-1))</f>
        <v>Not Requested</v>
      </c>
      <c r="C443">
        <f>Sampling!E441</f>
        <v>0</v>
      </c>
      <c r="D443">
        <f>NMRPrep[[#This Row],['#]]</f>
        <v>0</v>
      </c>
      <c r="G4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3" t="e">
        <f>IF(ISBLANK(NMRPrep[[#This Row],[Total (uL) ]]), 0, NMRPrep[[#This Row],[1mM Maleic Acid (uL) ]]/NMRPrep[[#This Row],[Total (uL) ]])</f>
        <v>#DIV/0!</v>
      </c>
      <c r="I443">
        <f>2</f>
        <v>2</v>
      </c>
      <c r="J443">
        <f>4</f>
        <v>4</v>
      </c>
      <c r="K443">
        <f>1</f>
        <v>1</v>
      </c>
    </row>
    <row r="444" spans="1:11" hidden="1" x14ac:dyDescent="0.25">
      <c r="A444" s="1">
        <f>Sampling!D442</f>
        <v>0</v>
      </c>
      <c r="B444" t="str" cm="1">
        <f t="array" ref="B444">IF(ISBLANK(INDEX(SampleList[NMR],ROW()-1)),"Not Requested",INDEX(SampleList[Experiment ID],ROW()-1))</f>
        <v>Not Requested</v>
      </c>
      <c r="C444">
        <f>Sampling!E442</f>
        <v>0</v>
      </c>
      <c r="D444">
        <f>NMRPrep[[#This Row],['#]]</f>
        <v>0</v>
      </c>
      <c r="G4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4" t="e">
        <f>IF(ISBLANK(NMRPrep[[#This Row],[Total (uL) ]]), 0, NMRPrep[[#This Row],[1mM Maleic Acid (uL) ]]/NMRPrep[[#This Row],[Total (uL) ]])</f>
        <v>#DIV/0!</v>
      </c>
      <c r="I444">
        <f>2</f>
        <v>2</v>
      </c>
      <c r="J444">
        <f>4</f>
        <v>4</v>
      </c>
      <c r="K444">
        <f>1</f>
        <v>1</v>
      </c>
    </row>
    <row r="445" spans="1:11" hidden="1" x14ac:dyDescent="0.25">
      <c r="A445" s="1">
        <f>Sampling!D443</f>
        <v>0</v>
      </c>
      <c r="B445" t="str" cm="1">
        <f t="array" ref="B445">IF(ISBLANK(INDEX(SampleList[NMR],ROW()-1)),"Not Requested",INDEX(SampleList[Experiment ID],ROW()-1))</f>
        <v>Not Requested</v>
      </c>
      <c r="C445">
        <f>Sampling!E443</f>
        <v>0</v>
      </c>
      <c r="D445">
        <f>NMRPrep[[#This Row],['#]]</f>
        <v>0</v>
      </c>
      <c r="G4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5" t="e">
        <f>IF(ISBLANK(NMRPrep[[#This Row],[Total (uL) ]]), 0, NMRPrep[[#This Row],[1mM Maleic Acid (uL) ]]/NMRPrep[[#This Row],[Total (uL) ]])</f>
        <v>#DIV/0!</v>
      </c>
      <c r="I445">
        <f>2</f>
        <v>2</v>
      </c>
      <c r="J445">
        <f>4</f>
        <v>4</v>
      </c>
      <c r="K445">
        <f>1</f>
        <v>1</v>
      </c>
    </row>
    <row r="446" spans="1:11" hidden="1" x14ac:dyDescent="0.25">
      <c r="A446" s="1">
        <f>Sampling!D444</f>
        <v>0</v>
      </c>
      <c r="B446" t="str" cm="1">
        <f t="array" ref="B446">IF(ISBLANK(INDEX(SampleList[NMR],ROW()-1)),"Not Requested",INDEX(SampleList[Experiment ID],ROW()-1))</f>
        <v>Not Requested</v>
      </c>
      <c r="C446">
        <f>Sampling!E444</f>
        <v>0</v>
      </c>
      <c r="D446">
        <f>NMRPrep[[#This Row],['#]]</f>
        <v>0</v>
      </c>
      <c r="G4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6" t="e">
        <f>IF(ISBLANK(NMRPrep[[#This Row],[Total (uL) ]]), 0, NMRPrep[[#This Row],[1mM Maleic Acid (uL) ]]/NMRPrep[[#This Row],[Total (uL) ]])</f>
        <v>#DIV/0!</v>
      </c>
      <c r="I446">
        <f>2</f>
        <v>2</v>
      </c>
      <c r="J446">
        <f>4</f>
        <v>4</v>
      </c>
      <c r="K446">
        <f>1</f>
        <v>1</v>
      </c>
    </row>
    <row r="447" spans="1:11" hidden="1" x14ac:dyDescent="0.25">
      <c r="A447" s="1">
        <f>Sampling!D445</f>
        <v>0</v>
      </c>
      <c r="B447" t="str" cm="1">
        <f t="array" ref="B447">IF(ISBLANK(INDEX(SampleList[NMR],ROW()-1)),"Not Requested",INDEX(SampleList[Experiment ID],ROW()-1))</f>
        <v>Not Requested</v>
      </c>
      <c r="C447">
        <f>Sampling!E445</f>
        <v>0</v>
      </c>
      <c r="D447">
        <f>NMRPrep[[#This Row],['#]]</f>
        <v>0</v>
      </c>
      <c r="G4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7" t="e">
        <f>IF(ISBLANK(NMRPrep[[#This Row],[Total (uL) ]]), 0, NMRPrep[[#This Row],[1mM Maleic Acid (uL) ]]/NMRPrep[[#This Row],[Total (uL) ]])</f>
        <v>#DIV/0!</v>
      </c>
      <c r="I447">
        <f>2</f>
        <v>2</v>
      </c>
      <c r="J447">
        <f>4</f>
        <v>4</v>
      </c>
      <c r="K447">
        <f>1</f>
        <v>1</v>
      </c>
    </row>
    <row r="448" spans="1:11" hidden="1" x14ac:dyDescent="0.25">
      <c r="A448" s="1">
        <f>Sampling!D446</f>
        <v>0</v>
      </c>
      <c r="B448" t="str" cm="1">
        <f t="array" ref="B448">IF(ISBLANK(INDEX(SampleList[NMR],ROW()-1)),"Not Requested",INDEX(SampleList[Experiment ID],ROW()-1))</f>
        <v>Not Requested</v>
      </c>
      <c r="C448">
        <f>Sampling!E446</f>
        <v>0</v>
      </c>
      <c r="D448">
        <f>NMRPrep[[#This Row],['#]]</f>
        <v>0</v>
      </c>
      <c r="G4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8" t="e">
        <f>IF(ISBLANK(NMRPrep[[#This Row],[Total (uL) ]]), 0, NMRPrep[[#This Row],[1mM Maleic Acid (uL) ]]/NMRPrep[[#This Row],[Total (uL) ]])</f>
        <v>#DIV/0!</v>
      </c>
      <c r="I448">
        <f>2</f>
        <v>2</v>
      </c>
      <c r="J448">
        <f>4</f>
        <v>4</v>
      </c>
      <c r="K448">
        <f>1</f>
        <v>1</v>
      </c>
    </row>
    <row r="449" spans="1:11" hidden="1" x14ac:dyDescent="0.25">
      <c r="A449" s="1">
        <f>Sampling!D447</f>
        <v>0</v>
      </c>
      <c r="B449" t="str" cm="1">
        <f t="array" ref="B449">IF(ISBLANK(INDEX(SampleList[NMR],ROW()-1)),"Not Requested",INDEX(SampleList[Experiment ID],ROW()-1))</f>
        <v>Not Requested</v>
      </c>
      <c r="C449">
        <f>Sampling!E447</f>
        <v>0</v>
      </c>
      <c r="D449">
        <f>NMRPrep[[#This Row],['#]]</f>
        <v>0</v>
      </c>
      <c r="G4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49" t="e">
        <f>IF(ISBLANK(NMRPrep[[#This Row],[Total (uL) ]]), 0, NMRPrep[[#This Row],[1mM Maleic Acid (uL) ]]/NMRPrep[[#This Row],[Total (uL) ]])</f>
        <v>#DIV/0!</v>
      </c>
      <c r="I449">
        <f>2</f>
        <v>2</v>
      </c>
      <c r="J449">
        <f>4</f>
        <v>4</v>
      </c>
      <c r="K449">
        <f>1</f>
        <v>1</v>
      </c>
    </row>
    <row r="450" spans="1:11" hidden="1" x14ac:dyDescent="0.25">
      <c r="A450" s="1">
        <f>Sampling!D448</f>
        <v>0</v>
      </c>
      <c r="B450" t="str" cm="1">
        <f t="array" ref="B450">IF(ISBLANK(INDEX(SampleList[NMR],ROW()-1)),"Not Requested",INDEX(SampleList[Experiment ID],ROW()-1))</f>
        <v>Not Requested</v>
      </c>
      <c r="C450">
        <f>Sampling!E448</f>
        <v>0</v>
      </c>
      <c r="D450">
        <f>NMRPrep[[#This Row],['#]]</f>
        <v>0</v>
      </c>
      <c r="G4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0" t="e">
        <f>IF(ISBLANK(NMRPrep[[#This Row],[Total (uL) ]]), 0, NMRPrep[[#This Row],[1mM Maleic Acid (uL) ]]/NMRPrep[[#This Row],[Total (uL) ]])</f>
        <v>#DIV/0!</v>
      </c>
      <c r="I450">
        <f>2</f>
        <v>2</v>
      </c>
      <c r="J450">
        <f>4</f>
        <v>4</v>
      </c>
      <c r="K450">
        <f>1</f>
        <v>1</v>
      </c>
    </row>
    <row r="451" spans="1:11" hidden="1" x14ac:dyDescent="0.25">
      <c r="A451" s="1">
        <f>Sampling!D449</f>
        <v>0</v>
      </c>
      <c r="B451" t="str" cm="1">
        <f t="array" ref="B451">IF(ISBLANK(INDEX(SampleList[NMR],ROW()-1)),"Not Requested",INDEX(SampleList[Experiment ID],ROW()-1))</f>
        <v>Not Requested</v>
      </c>
      <c r="C451">
        <f>Sampling!E449</f>
        <v>0</v>
      </c>
      <c r="D451">
        <f>NMRPrep[[#This Row],['#]]</f>
        <v>0</v>
      </c>
      <c r="G4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1" t="e">
        <f>IF(ISBLANK(NMRPrep[[#This Row],[Total (uL) ]]), 0, NMRPrep[[#This Row],[1mM Maleic Acid (uL) ]]/NMRPrep[[#This Row],[Total (uL) ]])</f>
        <v>#DIV/0!</v>
      </c>
      <c r="I451">
        <f>2</f>
        <v>2</v>
      </c>
      <c r="J451">
        <f>4</f>
        <v>4</v>
      </c>
      <c r="K451">
        <f>1</f>
        <v>1</v>
      </c>
    </row>
    <row r="452" spans="1:11" hidden="1" x14ac:dyDescent="0.25">
      <c r="A452" s="1">
        <f>Sampling!D450</f>
        <v>0</v>
      </c>
      <c r="B452" t="str" cm="1">
        <f t="array" ref="B452">IF(ISBLANK(INDEX(SampleList[NMR],ROW()-1)),"Not Requested",INDEX(SampleList[Experiment ID],ROW()-1))</f>
        <v>Not Requested</v>
      </c>
      <c r="C452">
        <f>Sampling!E450</f>
        <v>0</v>
      </c>
      <c r="D452">
        <f>NMRPrep[[#This Row],['#]]</f>
        <v>0</v>
      </c>
      <c r="G4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2" t="e">
        <f>IF(ISBLANK(NMRPrep[[#This Row],[Total (uL) ]]), 0, NMRPrep[[#This Row],[1mM Maleic Acid (uL) ]]/NMRPrep[[#This Row],[Total (uL) ]])</f>
        <v>#DIV/0!</v>
      </c>
      <c r="I452">
        <f>2</f>
        <v>2</v>
      </c>
      <c r="J452">
        <f>4</f>
        <v>4</v>
      </c>
      <c r="K452">
        <f>1</f>
        <v>1</v>
      </c>
    </row>
    <row r="453" spans="1:11" hidden="1" x14ac:dyDescent="0.25">
      <c r="A453" s="1">
        <f>Sampling!D451</f>
        <v>0</v>
      </c>
      <c r="B453" t="str" cm="1">
        <f t="array" ref="B453">IF(ISBLANK(INDEX(SampleList[NMR],ROW()-1)),"Not Requested",INDEX(SampleList[Experiment ID],ROW()-1))</f>
        <v>Not Requested</v>
      </c>
      <c r="C453">
        <f>Sampling!E451</f>
        <v>0</v>
      </c>
      <c r="D453">
        <f>NMRPrep[[#This Row],['#]]</f>
        <v>0</v>
      </c>
      <c r="G4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3" t="e">
        <f>IF(ISBLANK(NMRPrep[[#This Row],[Total (uL) ]]), 0, NMRPrep[[#This Row],[1mM Maleic Acid (uL) ]]/NMRPrep[[#This Row],[Total (uL) ]])</f>
        <v>#DIV/0!</v>
      </c>
      <c r="I453">
        <f>2</f>
        <v>2</v>
      </c>
      <c r="J453">
        <f>4</f>
        <v>4</v>
      </c>
      <c r="K453">
        <f>1</f>
        <v>1</v>
      </c>
    </row>
    <row r="454" spans="1:11" hidden="1" x14ac:dyDescent="0.25">
      <c r="A454" s="1">
        <f>Sampling!D452</f>
        <v>0</v>
      </c>
      <c r="B454" t="str" cm="1">
        <f t="array" ref="B454">IF(ISBLANK(INDEX(SampleList[NMR],ROW()-1)),"Not Requested",INDEX(SampleList[Experiment ID],ROW()-1))</f>
        <v>Not Requested</v>
      </c>
      <c r="C454">
        <f>Sampling!E452</f>
        <v>0</v>
      </c>
      <c r="D454">
        <f>NMRPrep[[#This Row],['#]]</f>
        <v>0</v>
      </c>
      <c r="G4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4" t="e">
        <f>IF(ISBLANK(NMRPrep[[#This Row],[Total (uL) ]]), 0, NMRPrep[[#This Row],[1mM Maleic Acid (uL) ]]/NMRPrep[[#This Row],[Total (uL) ]])</f>
        <v>#DIV/0!</v>
      </c>
      <c r="I454">
        <f>2</f>
        <v>2</v>
      </c>
      <c r="J454">
        <f>4</f>
        <v>4</v>
      </c>
      <c r="K454">
        <f>1</f>
        <v>1</v>
      </c>
    </row>
    <row r="455" spans="1:11" hidden="1" x14ac:dyDescent="0.25">
      <c r="A455" s="1">
        <f>Sampling!D453</f>
        <v>0</v>
      </c>
      <c r="B455" t="str" cm="1">
        <f t="array" ref="B455">IF(ISBLANK(INDEX(SampleList[NMR],ROW()-1)),"Not Requested",INDEX(SampleList[Experiment ID],ROW()-1))</f>
        <v>Not Requested</v>
      </c>
      <c r="C455">
        <f>Sampling!E453</f>
        <v>0</v>
      </c>
      <c r="D455">
        <f>NMRPrep[[#This Row],['#]]</f>
        <v>0</v>
      </c>
      <c r="G4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5" t="e">
        <f>IF(ISBLANK(NMRPrep[[#This Row],[Total (uL) ]]), 0, NMRPrep[[#This Row],[1mM Maleic Acid (uL) ]]/NMRPrep[[#This Row],[Total (uL) ]])</f>
        <v>#DIV/0!</v>
      </c>
      <c r="I455">
        <f>2</f>
        <v>2</v>
      </c>
      <c r="J455">
        <f>4</f>
        <v>4</v>
      </c>
      <c r="K455">
        <f>1</f>
        <v>1</v>
      </c>
    </row>
    <row r="456" spans="1:11" hidden="1" x14ac:dyDescent="0.25">
      <c r="A456" s="1">
        <f>Sampling!D454</f>
        <v>0</v>
      </c>
      <c r="B456" t="str" cm="1">
        <f t="array" ref="B456">IF(ISBLANK(INDEX(SampleList[NMR],ROW()-1)),"Not Requested",INDEX(SampleList[Experiment ID],ROW()-1))</f>
        <v>Not Requested</v>
      </c>
      <c r="C456">
        <f>Sampling!E454</f>
        <v>0</v>
      </c>
      <c r="D456">
        <f>NMRPrep[[#This Row],['#]]</f>
        <v>0</v>
      </c>
      <c r="G4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6" t="e">
        <f>IF(ISBLANK(NMRPrep[[#This Row],[Total (uL) ]]), 0, NMRPrep[[#This Row],[1mM Maleic Acid (uL) ]]/NMRPrep[[#This Row],[Total (uL) ]])</f>
        <v>#DIV/0!</v>
      </c>
      <c r="I456">
        <f>2</f>
        <v>2</v>
      </c>
      <c r="J456">
        <f>4</f>
        <v>4</v>
      </c>
      <c r="K456">
        <f>1</f>
        <v>1</v>
      </c>
    </row>
    <row r="457" spans="1:11" hidden="1" x14ac:dyDescent="0.25">
      <c r="A457" s="1">
        <f>Sampling!D455</f>
        <v>0</v>
      </c>
      <c r="B457" t="str" cm="1">
        <f t="array" ref="B457">IF(ISBLANK(INDEX(SampleList[NMR],ROW()-1)),"Not Requested",INDEX(SampleList[Experiment ID],ROW()-1))</f>
        <v>Not Requested</v>
      </c>
      <c r="C457">
        <f>Sampling!E455</f>
        <v>0</v>
      </c>
      <c r="D457">
        <f>NMRPrep[[#This Row],['#]]</f>
        <v>0</v>
      </c>
      <c r="G4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7" t="e">
        <f>IF(ISBLANK(NMRPrep[[#This Row],[Total (uL) ]]), 0, NMRPrep[[#This Row],[1mM Maleic Acid (uL) ]]/NMRPrep[[#This Row],[Total (uL) ]])</f>
        <v>#DIV/0!</v>
      </c>
      <c r="I457">
        <f>2</f>
        <v>2</v>
      </c>
      <c r="J457">
        <f>4</f>
        <v>4</v>
      </c>
      <c r="K457">
        <f>1</f>
        <v>1</v>
      </c>
    </row>
    <row r="458" spans="1:11" hidden="1" x14ac:dyDescent="0.25">
      <c r="A458" s="1">
        <f>Sampling!D456</f>
        <v>0</v>
      </c>
      <c r="B458" t="str" cm="1">
        <f t="array" ref="B458">IF(ISBLANK(INDEX(SampleList[NMR],ROW()-1)),"Not Requested",INDEX(SampleList[Experiment ID],ROW()-1))</f>
        <v>Not Requested</v>
      </c>
      <c r="C458">
        <f>Sampling!E456</f>
        <v>0</v>
      </c>
      <c r="D458">
        <f>NMRPrep[[#This Row],['#]]</f>
        <v>0</v>
      </c>
      <c r="G4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8" t="e">
        <f>IF(ISBLANK(NMRPrep[[#This Row],[Total (uL) ]]), 0, NMRPrep[[#This Row],[1mM Maleic Acid (uL) ]]/NMRPrep[[#This Row],[Total (uL) ]])</f>
        <v>#DIV/0!</v>
      </c>
      <c r="I458">
        <f>2</f>
        <v>2</v>
      </c>
      <c r="J458">
        <f>4</f>
        <v>4</v>
      </c>
      <c r="K458">
        <f>1</f>
        <v>1</v>
      </c>
    </row>
    <row r="459" spans="1:11" hidden="1" x14ac:dyDescent="0.25">
      <c r="A459" s="1">
        <f>Sampling!D457</f>
        <v>0</v>
      </c>
      <c r="B459" t="str" cm="1">
        <f t="array" ref="B459">IF(ISBLANK(INDEX(SampleList[NMR],ROW()-1)),"Not Requested",INDEX(SampleList[Experiment ID],ROW()-1))</f>
        <v>Not Requested</v>
      </c>
      <c r="C459">
        <f>Sampling!E457</f>
        <v>0</v>
      </c>
      <c r="D459">
        <f>NMRPrep[[#This Row],['#]]</f>
        <v>0</v>
      </c>
      <c r="G4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59" t="e">
        <f>IF(ISBLANK(NMRPrep[[#This Row],[Total (uL) ]]), 0, NMRPrep[[#This Row],[1mM Maleic Acid (uL) ]]/NMRPrep[[#This Row],[Total (uL) ]])</f>
        <v>#DIV/0!</v>
      </c>
      <c r="I459">
        <f>2</f>
        <v>2</v>
      </c>
      <c r="J459">
        <f>4</f>
        <v>4</v>
      </c>
      <c r="K459">
        <f>1</f>
        <v>1</v>
      </c>
    </row>
    <row r="460" spans="1:11" hidden="1" x14ac:dyDescent="0.25">
      <c r="A460" s="1">
        <f>Sampling!D458</f>
        <v>0</v>
      </c>
      <c r="B460" t="str" cm="1">
        <f t="array" ref="B460">IF(ISBLANK(INDEX(SampleList[NMR],ROW()-1)),"Not Requested",INDEX(SampleList[Experiment ID],ROW()-1))</f>
        <v>Not Requested</v>
      </c>
      <c r="C460">
        <f>Sampling!E458</f>
        <v>0</v>
      </c>
      <c r="D460">
        <f>NMRPrep[[#This Row],['#]]</f>
        <v>0</v>
      </c>
      <c r="G4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0" t="e">
        <f>IF(ISBLANK(NMRPrep[[#This Row],[Total (uL) ]]), 0, NMRPrep[[#This Row],[1mM Maleic Acid (uL) ]]/NMRPrep[[#This Row],[Total (uL) ]])</f>
        <v>#DIV/0!</v>
      </c>
      <c r="I460">
        <f>2</f>
        <v>2</v>
      </c>
      <c r="J460">
        <f>4</f>
        <v>4</v>
      </c>
      <c r="K460">
        <f>1</f>
        <v>1</v>
      </c>
    </row>
    <row r="461" spans="1:11" hidden="1" x14ac:dyDescent="0.25">
      <c r="A461" s="1">
        <f>Sampling!D459</f>
        <v>0</v>
      </c>
      <c r="B461" t="str" cm="1">
        <f t="array" ref="B461">IF(ISBLANK(INDEX(SampleList[NMR],ROW()-1)),"Not Requested",INDEX(SampleList[Experiment ID],ROW()-1))</f>
        <v>Not Requested</v>
      </c>
      <c r="C461">
        <f>Sampling!E459</f>
        <v>0</v>
      </c>
      <c r="D461">
        <f>NMRPrep[[#This Row],['#]]</f>
        <v>0</v>
      </c>
      <c r="G4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1" t="e">
        <f>IF(ISBLANK(NMRPrep[[#This Row],[Total (uL) ]]), 0, NMRPrep[[#This Row],[1mM Maleic Acid (uL) ]]/NMRPrep[[#This Row],[Total (uL) ]])</f>
        <v>#DIV/0!</v>
      </c>
      <c r="I461">
        <f>2</f>
        <v>2</v>
      </c>
      <c r="J461">
        <f>4</f>
        <v>4</v>
      </c>
      <c r="K461">
        <f>1</f>
        <v>1</v>
      </c>
    </row>
    <row r="462" spans="1:11" hidden="1" x14ac:dyDescent="0.25">
      <c r="A462" s="1">
        <f>Sampling!D460</f>
        <v>0</v>
      </c>
      <c r="B462" t="str" cm="1">
        <f t="array" ref="B462">IF(ISBLANK(INDEX(SampleList[NMR],ROW()-1)),"Not Requested",INDEX(SampleList[Experiment ID],ROW()-1))</f>
        <v>Not Requested</v>
      </c>
      <c r="C462">
        <f>Sampling!E460</f>
        <v>0</v>
      </c>
      <c r="D462">
        <f>NMRPrep[[#This Row],['#]]</f>
        <v>0</v>
      </c>
      <c r="G4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2" t="e">
        <f>IF(ISBLANK(NMRPrep[[#This Row],[Total (uL) ]]), 0, NMRPrep[[#This Row],[1mM Maleic Acid (uL) ]]/NMRPrep[[#This Row],[Total (uL) ]])</f>
        <v>#DIV/0!</v>
      </c>
      <c r="I462">
        <f>2</f>
        <v>2</v>
      </c>
      <c r="J462">
        <f>4</f>
        <v>4</v>
      </c>
      <c r="K462">
        <f>1</f>
        <v>1</v>
      </c>
    </row>
    <row r="463" spans="1:11" hidden="1" x14ac:dyDescent="0.25">
      <c r="A463" s="1">
        <f>Sampling!D461</f>
        <v>0</v>
      </c>
      <c r="B463" t="str" cm="1">
        <f t="array" ref="B463">IF(ISBLANK(INDEX(SampleList[NMR],ROW()-1)),"Not Requested",INDEX(SampleList[Experiment ID],ROW()-1))</f>
        <v>Not Requested</v>
      </c>
      <c r="C463">
        <f>Sampling!E461</f>
        <v>0</v>
      </c>
      <c r="D463">
        <f>NMRPrep[[#This Row],['#]]</f>
        <v>0</v>
      </c>
      <c r="G4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3" t="e">
        <f>IF(ISBLANK(NMRPrep[[#This Row],[Total (uL) ]]), 0, NMRPrep[[#This Row],[1mM Maleic Acid (uL) ]]/NMRPrep[[#This Row],[Total (uL) ]])</f>
        <v>#DIV/0!</v>
      </c>
      <c r="I463">
        <f>2</f>
        <v>2</v>
      </c>
      <c r="J463">
        <f>4</f>
        <v>4</v>
      </c>
      <c r="K463">
        <f>1</f>
        <v>1</v>
      </c>
    </row>
    <row r="464" spans="1:11" hidden="1" x14ac:dyDescent="0.25">
      <c r="A464" s="1">
        <f>Sampling!D462</f>
        <v>0</v>
      </c>
      <c r="B464" t="str" cm="1">
        <f t="array" ref="B464">IF(ISBLANK(INDEX(SampleList[NMR],ROW()-1)),"Not Requested",INDEX(SampleList[Experiment ID],ROW()-1))</f>
        <v>Not Requested</v>
      </c>
      <c r="C464">
        <f>Sampling!E462</f>
        <v>0</v>
      </c>
      <c r="D464">
        <f>NMRPrep[[#This Row],['#]]</f>
        <v>0</v>
      </c>
      <c r="G4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4" t="e">
        <f>IF(ISBLANK(NMRPrep[[#This Row],[Total (uL) ]]), 0, NMRPrep[[#This Row],[1mM Maleic Acid (uL) ]]/NMRPrep[[#This Row],[Total (uL) ]])</f>
        <v>#DIV/0!</v>
      </c>
      <c r="I464">
        <f>2</f>
        <v>2</v>
      </c>
      <c r="J464">
        <f>4</f>
        <v>4</v>
      </c>
      <c r="K464">
        <f>1</f>
        <v>1</v>
      </c>
    </row>
    <row r="465" spans="1:11" hidden="1" x14ac:dyDescent="0.25">
      <c r="A465" s="1">
        <f>Sampling!D463</f>
        <v>0</v>
      </c>
      <c r="B465" t="str" cm="1">
        <f t="array" ref="B465">IF(ISBLANK(INDEX(SampleList[NMR],ROW()-1)),"Not Requested",INDEX(SampleList[Experiment ID],ROW()-1))</f>
        <v>Not Requested</v>
      </c>
      <c r="C465">
        <f>Sampling!E463</f>
        <v>0</v>
      </c>
      <c r="D465">
        <f>NMRPrep[[#This Row],['#]]</f>
        <v>0</v>
      </c>
      <c r="G4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5" t="e">
        <f>IF(ISBLANK(NMRPrep[[#This Row],[Total (uL) ]]), 0, NMRPrep[[#This Row],[1mM Maleic Acid (uL) ]]/NMRPrep[[#This Row],[Total (uL) ]])</f>
        <v>#DIV/0!</v>
      </c>
      <c r="I465">
        <f>2</f>
        <v>2</v>
      </c>
      <c r="J465">
        <f>4</f>
        <v>4</v>
      </c>
      <c r="K465">
        <f>1</f>
        <v>1</v>
      </c>
    </row>
    <row r="466" spans="1:11" hidden="1" x14ac:dyDescent="0.25">
      <c r="A466" s="1">
        <f>Sampling!D464</f>
        <v>0</v>
      </c>
      <c r="B466" t="str" cm="1">
        <f t="array" ref="B466">IF(ISBLANK(INDEX(SampleList[NMR],ROW()-1)),"Not Requested",INDEX(SampleList[Experiment ID],ROW()-1))</f>
        <v>Not Requested</v>
      </c>
      <c r="C466">
        <f>Sampling!E464</f>
        <v>0</v>
      </c>
      <c r="D466">
        <f>NMRPrep[[#This Row],['#]]</f>
        <v>0</v>
      </c>
      <c r="G4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6" t="e">
        <f>IF(ISBLANK(NMRPrep[[#This Row],[Total (uL) ]]), 0, NMRPrep[[#This Row],[1mM Maleic Acid (uL) ]]/NMRPrep[[#This Row],[Total (uL) ]])</f>
        <v>#DIV/0!</v>
      </c>
      <c r="I466">
        <f>2</f>
        <v>2</v>
      </c>
      <c r="J466">
        <f>4</f>
        <v>4</v>
      </c>
      <c r="K466">
        <f>1</f>
        <v>1</v>
      </c>
    </row>
    <row r="467" spans="1:11" hidden="1" x14ac:dyDescent="0.25">
      <c r="A467" s="1">
        <f>Sampling!D465</f>
        <v>0</v>
      </c>
      <c r="B467" t="str" cm="1">
        <f t="array" ref="B467">IF(ISBLANK(INDEX(SampleList[NMR],ROW()-1)),"Not Requested",INDEX(SampleList[Experiment ID],ROW()-1))</f>
        <v>Not Requested</v>
      </c>
      <c r="C467">
        <f>Sampling!E465</f>
        <v>0</v>
      </c>
      <c r="D467">
        <f>NMRPrep[[#This Row],['#]]</f>
        <v>0</v>
      </c>
      <c r="G4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7" t="e">
        <f>IF(ISBLANK(NMRPrep[[#This Row],[Total (uL) ]]), 0, NMRPrep[[#This Row],[1mM Maleic Acid (uL) ]]/NMRPrep[[#This Row],[Total (uL) ]])</f>
        <v>#DIV/0!</v>
      </c>
      <c r="I467">
        <f>2</f>
        <v>2</v>
      </c>
      <c r="J467">
        <f>4</f>
        <v>4</v>
      </c>
      <c r="K467">
        <f>1</f>
        <v>1</v>
      </c>
    </row>
    <row r="468" spans="1:11" hidden="1" x14ac:dyDescent="0.25">
      <c r="A468" s="1">
        <f>Sampling!D466</f>
        <v>0</v>
      </c>
      <c r="B468" t="str" cm="1">
        <f t="array" ref="B468">IF(ISBLANK(INDEX(SampleList[NMR],ROW()-1)),"Not Requested",INDEX(SampleList[Experiment ID],ROW()-1))</f>
        <v>Not Requested</v>
      </c>
      <c r="C468">
        <f>Sampling!E466</f>
        <v>0</v>
      </c>
      <c r="D468">
        <f>NMRPrep[[#This Row],['#]]</f>
        <v>0</v>
      </c>
      <c r="G4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8" t="e">
        <f>IF(ISBLANK(NMRPrep[[#This Row],[Total (uL) ]]), 0, NMRPrep[[#This Row],[1mM Maleic Acid (uL) ]]/NMRPrep[[#This Row],[Total (uL) ]])</f>
        <v>#DIV/0!</v>
      </c>
      <c r="I468">
        <f>2</f>
        <v>2</v>
      </c>
      <c r="J468">
        <f>4</f>
        <v>4</v>
      </c>
      <c r="K468">
        <f>1</f>
        <v>1</v>
      </c>
    </row>
    <row r="469" spans="1:11" hidden="1" x14ac:dyDescent="0.25">
      <c r="A469" s="1">
        <f>Sampling!D467</f>
        <v>0</v>
      </c>
      <c r="B469" t="str" cm="1">
        <f t="array" ref="B469">IF(ISBLANK(INDEX(SampleList[NMR],ROW()-1)),"Not Requested",INDEX(SampleList[Experiment ID],ROW()-1))</f>
        <v>Not Requested</v>
      </c>
      <c r="C469">
        <f>Sampling!E467</f>
        <v>0</v>
      </c>
      <c r="D469">
        <f>NMRPrep[[#This Row],['#]]</f>
        <v>0</v>
      </c>
      <c r="G4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69" t="e">
        <f>IF(ISBLANK(NMRPrep[[#This Row],[Total (uL) ]]), 0, NMRPrep[[#This Row],[1mM Maleic Acid (uL) ]]/NMRPrep[[#This Row],[Total (uL) ]])</f>
        <v>#DIV/0!</v>
      </c>
      <c r="I469">
        <f>2</f>
        <v>2</v>
      </c>
      <c r="J469">
        <f>4</f>
        <v>4</v>
      </c>
      <c r="K469">
        <f>1</f>
        <v>1</v>
      </c>
    </row>
    <row r="470" spans="1:11" hidden="1" x14ac:dyDescent="0.25">
      <c r="A470" s="1">
        <f>Sampling!D468</f>
        <v>0</v>
      </c>
      <c r="B470" t="str" cm="1">
        <f t="array" ref="B470">IF(ISBLANK(INDEX(SampleList[NMR],ROW()-1)),"Not Requested",INDEX(SampleList[Experiment ID],ROW()-1))</f>
        <v>Not Requested</v>
      </c>
      <c r="C470">
        <f>Sampling!E468</f>
        <v>0</v>
      </c>
      <c r="D470">
        <f>NMRPrep[[#This Row],['#]]</f>
        <v>0</v>
      </c>
      <c r="G4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0" t="e">
        <f>IF(ISBLANK(NMRPrep[[#This Row],[Total (uL) ]]), 0, NMRPrep[[#This Row],[1mM Maleic Acid (uL) ]]/NMRPrep[[#This Row],[Total (uL) ]])</f>
        <v>#DIV/0!</v>
      </c>
      <c r="I470">
        <f>2</f>
        <v>2</v>
      </c>
      <c r="J470">
        <f>4</f>
        <v>4</v>
      </c>
      <c r="K470">
        <f>1</f>
        <v>1</v>
      </c>
    </row>
    <row r="471" spans="1:11" hidden="1" x14ac:dyDescent="0.25">
      <c r="A471" s="1">
        <f>Sampling!D469</f>
        <v>0</v>
      </c>
      <c r="B471" t="str" cm="1">
        <f t="array" ref="B471">IF(ISBLANK(INDEX(SampleList[NMR],ROW()-1)),"Not Requested",INDEX(SampleList[Experiment ID],ROW()-1))</f>
        <v>Not Requested</v>
      </c>
      <c r="C471">
        <f>Sampling!E469</f>
        <v>0</v>
      </c>
      <c r="D471">
        <f>NMRPrep[[#This Row],['#]]</f>
        <v>0</v>
      </c>
      <c r="G4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1" t="e">
        <f>IF(ISBLANK(NMRPrep[[#This Row],[Total (uL) ]]), 0, NMRPrep[[#This Row],[1mM Maleic Acid (uL) ]]/NMRPrep[[#This Row],[Total (uL) ]])</f>
        <v>#DIV/0!</v>
      </c>
      <c r="I471">
        <f>2</f>
        <v>2</v>
      </c>
      <c r="J471">
        <f>4</f>
        <v>4</v>
      </c>
      <c r="K471">
        <f>1</f>
        <v>1</v>
      </c>
    </row>
    <row r="472" spans="1:11" hidden="1" x14ac:dyDescent="0.25">
      <c r="A472" s="1">
        <f>Sampling!D470</f>
        <v>0</v>
      </c>
      <c r="B472" t="str" cm="1">
        <f t="array" ref="B472">IF(ISBLANK(INDEX(SampleList[NMR],ROW()-1)),"Not Requested",INDEX(SampleList[Experiment ID],ROW()-1))</f>
        <v>Not Requested</v>
      </c>
      <c r="C472">
        <f>Sampling!E470</f>
        <v>0</v>
      </c>
      <c r="D472">
        <f>NMRPrep[[#This Row],['#]]</f>
        <v>0</v>
      </c>
      <c r="G4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2" t="e">
        <f>IF(ISBLANK(NMRPrep[[#This Row],[Total (uL) ]]), 0, NMRPrep[[#This Row],[1mM Maleic Acid (uL) ]]/NMRPrep[[#This Row],[Total (uL) ]])</f>
        <v>#DIV/0!</v>
      </c>
      <c r="I472">
        <f>2</f>
        <v>2</v>
      </c>
      <c r="J472">
        <f>4</f>
        <v>4</v>
      </c>
      <c r="K472">
        <f>1</f>
        <v>1</v>
      </c>
    </row>
    <row r="473" spans="1:11" hidden="1" x14ac:dyDescent="0.25">
      <c r="A473" s="1">
        <f>Sampling!D471</f>
        <v>0</v>
      </c>
      <c r="B473" t="str" cm="1">
        <f t="array" ref="B473">IF(ISBLANK(INDEX(SampleList[NMR],ROW()-1)),"Not Requested",INDEX(SampleList[Experiment ID],ROW()-1))</f>
        <v>Not Requested</v>
      </c>
      <c r="C473">
        <f>Sampling!E471</f>
        <v>0</v>
      </c>
      <c r="D473">
        <f>NMRPrep[[#This Row],['#]]</f>
        <v>0</v>
      </c>
      <c r="G4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3" t="e">
        <f>IF(ISBLANK(NMRPrep[[#This Row],[Total (uL) ]]), 0, NMRPrep[[#This Row],[1mM Maleic Acid (uL) ]]/NMRPrep[[#This Row],[Total (uL) ]])</f>
        <v>#DIV/0!</v>
      </c>
      <c r="I473">
        <f>2</f>
        <v>2</v>
      </c>
      <c r="J473">
        <f>4</f>
        <v>4</v>
      </c>
      <c r="K473">
        <f>1</f>
        <v>1</v>
      </c>
    </row>
    <row r="474" spans="1:11" hidden="1" x14ac:dyDescent="0.25">
      <c r="A474" s="1">
        <f>Sampling!D472</f>
        <v>0</v>
      </c>
      <c r="B474" t="str" cm="1">
        <f t="array" ref="B474">IF(ISBLANK(INDEX(SampleList[NMR],ROW()-1)),"Not Requested",INDEX(SampleList[Experiment ID],ROW()-1))</f>
        <v>Not Requested</v>
      </c>
      <c r="C474">
        <f>Sampling!E472</f>
        <v>0</v>
      </c>
      <c r="D474">
        <f>NMRPrep[[#This Row],['#]]</f>
        <v>0</v>
      </c>
      <c r="G4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4" t="e">
        <f>IF(ISBLANK(NMRPrep[[#This Row],[Total (uL) ]]), 0, NMRPrep[[#This Row],[1mM Maleic Acid (uL) ]]/NMRPrep[[#This Row],[Total (uL) ]])</f>
        <v>#DIV/0!</v>
      </c>
      <c r="I474">
        <f>2</f>
        <v>2</v>
      </c>
      <c r="J474">
        <f>4</f>
        <v>4</v>
      </c>
      <c r="K474">
        <f>1</f>
        <v>1</v>
      </c>
    </row>
    <row r="475" spans="1:11" hidden="1" x14ac:dyDescent="0.25">
      <c r="A475" s="1">
        <f>Sampling!D473</f>
        <v>0</v>
      </c>
      <c r="B475" t="str" cm="1">
        <f t="array" ref="B475">IF(ISBLANK(INDEX(SampleList[NMR],ROW()-1)),"Not Requested",INDEX(SampleList[Experiment ID],ROW()-1))</f>
        <v>Not Requested</v>
      </c>
      <c r="C475">
        <f>Sampling!E473</f>
        <v>0</v>
      </c>
      <c r="D475">
        <f>NMRPrep[[#This Row],['#]]</f>
        <v>0</v>
      </c>
      <c r="G4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5" t="e">
        <f>IF(ISBLANK(NMRPrep[[#This Row],[Total (uL) ]]), 0, NMRPrep[[#This Row],[1mM Maleic Acid (uL) ]]/NMRPrep[[#This Row],[Total (uL) ]])</f>
        <v>#DIV/0!</v>
      </c>
      <c r="I475">
        <f>2</f>
        <v>2</v>
      </c>
      <c r="J475">
        <f>4</f>
        <v>4</v>
      </c>
      <c r="K475">
        <f>1</f>
        <v>1</v>
      </c>
    </row>
    <row r="476" spans="1:11" hidden="1" x14ac:dyDescent="0.25">
      <c r="A476" s="1">
        <f>Sampling!D474</f>
        <v>0</v>
      </c>
      <c r="B476" t="str" cm="1">
        <f t="array" ref="B476">IF(ISBLANK(INDEX(SampleList[NMR],ROW()-1)),"Not Requested",INDEX(SampleList[Experiment ID],ROW()-1))</f>
        <v>Not Requested</v>
      </c>
      <c r="C476">
        <f>Sampling!E474</f>
        <v>0</v>
      </c>
      <c r="D476">
        <f>NMRPrep[[#This Row],['#]]</f>
        <v>0</v>
      </c>
      <c r="G4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6" t="e">
        <f>IF(ISBLANK(NMRPrep[[#This Row],[Total (uL) ]]), 0, NMRPrep[[#This Row],[1mM Maleic Acid (uL) ]]/NMRPrep[[#This Row],[Total (uL) ]])</f>
        <v>#DIV/0!</v>
      </c>
      <c r="I476">
        <f>2</f>
        <v>2</v>
      </c>
      <c r="J476">
        <f>4</f>
        <v>4</v>
      </c>
      <c r="K476">
        <f>1</f>
        <v>1</v>
      </c>
    </row>
    <row r="477" spans="1:11" hidden="1" x14ac:dyDescent="0.25">
      <c r="A477" s="1">
        <f>Sampling!D475</f>
        <v>0</v>
      </c>
      <c r="B477" t="str" cm="1">
        <f t="array" ref="B477">IF(ISBLANK(INDEX(SampleList[NMR],ROW()-1)),"Not Requested",INDEX(SampleList[Experiment ID],ROW()-1))</f>
        <v>Not Requested</v>
      </c>
      <c r="C477">
        <f>Sampling!E475</f>
        <v>0</v>
      </c>
      <c r="D477">
        <f>NMRPrep[[#This Row],['#]]</f>
        <v>0</v>
      </c>
      <c r="G4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7" t="e">
        <f>IF(ISBLANK(NMRPrep[[#This Row],[Total (uL) ]]), 0, NMRPrep[[#This Row],[1mM Maleic Acid (uL) ]]/NMRPrep[[#This Row],[Total (uL) ]])</f>
        <v>#DIV/0!</v>
      </c>
      <c r="I477">
        <f>2</f>
        <v>2</v>
      </c>
      <c r="J477">
        <f>4</f>
        <v>4</v>
      </c>
      <c r="K477">
        <f>1</f>
        <v>1</v>
      </c>
    </row>
    <row r="478" spans="1:11" hidden="1" x14ac:dyDescent="0.25">
      <c r="A478" s="1">
        <f>Sampling!D476</f>
        <v>0</v>
      </c>
      <c r="B478" t="str" cm="1">
        <f t="array" ref="B478">IF(ISBLANK(INDEX(SampleList[NMR],ROW()-1)),"Not Requested",INDEX(SampleList[Experiment ID],ROW()-1))</f>
        <v>Not Requested</v>
      </c>
      <c r="C478">
        <f>Sampling!E476</f>
        <v>0</v>
      </c>
      <c r="D478">
        <f>NMRPrep[[#This Row],['#]]</f>
        <v>0</v>
      </c>
      <c r="G4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8" t="e">
        <f>IF(ISBLANK(NMRPrep[[#This Row],[Total (uL) ]]), 0, NMRPrep[[#This Row],[1mM Maleic Acid (uL) ]]/NMRPrep[[#This Row],[Total (uL) ]])</f>
        <v>#DIV/0!</v>
      </c>
      <c r="I478">
        <f>2</f>
        <v>2</v>
      </c>
      <c r="J478">
        <f>4</f>
        <v>4</v>
      </c>
      <c r="K478">
        <f>1</f>
        <v>1</v>
      </c>
    </row>
    <row r="479" spans="1:11" hidden="1" x14ac:dyDescent="0.25">
      <c r="A479" s="1">
        <f>Sampling!D477</f>
        <v>0</v>
      </c>
      <c r="B479" t="str" cm="1">
        <f t="array" ref="B479">IF(ISBLANK(INDEX(SampleList[NMR],ROW()-1)),"Not Requested",INDEX(SampleList[Experiment ID],ROW()-1))</f>
        <v>Not Requested</v>
      </c>
      <c r="C479">
        <f>Sampling!E477</f>
        <v>0</v>
      </c>
      <c r="D479">
        <f>NMRPrep[[#This Row],['#]]</f>
        <v>0</v>
      </c>
      <c r="G4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79" t="e">
        <f>IF(ISBLANK(NMRPrep[[#This Row],[Total (uL) ]]), 0, NMRPrep[[#This Row],[1mM Maleic Acid (uL) ]]/NMRPrep[[#This Row],[Total (uL) ]])</f>
        <v>#DIV/0!</v>
      </c>
      <c r="I479">
        <f>2</f>
        <v>2</v>
      </c>
      <c r="J479">
        <f>4</f>
        <v>4</v>
      </c>
      <c r="K479">
        <f>1</f>
        <v>1</v>
      </c>
    </row>
    <row r="480" spans="1:11" hidden="1" x14ac:dyDescent="0.25">
      <c r="A480" s="1">
        <f>Sampling!D478</f>
        <v>0</v>
      </c>
      <c r="B480" t="str" cm="1">
        <f t="array" ref="B480">IF(ISBLANK(INDEX(SampleList[NMR],ROW()-1)),"Not Requested",INDEX(SampleList[Experiment ID],ROW()-1))</f>
        <v>Not Requested</v>
      </c>
      <c r="C480">
        <f>Sampling!E478</f>
        <v>0</v>
      </c>
      <c r="D480">
        <f>NMRPrep[[#This Row],['#]]</f>
        <v>0</v>
      </c>
      <c r="G4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0" t="e">
        <f>IF(ISBLANK(NMRPrep[[#This Row],[Total (uL) ]]), 0, NMRPrep[[#This Row],[1mM Maleic Acid (uL) ]]/NMRPrep[[#This Row],[Total (uL) ]])</f>
        <v>#DIV/0!</v>
      </c>
      <c r="I480">
        <f>2</f>
        <v>2</v>
      </c>
      <c r="J480">
        <f>4</f>
        <v>4</v>
      </c>
      <c r="K480">
        <f>1</f>
        <v>1</v>
      </c>
    </row>
    <row r="481" spans="1:11" hidden="1" x14ac:dyDescent="0.25">
      <c r="A481" s="1">
        <f>Sampling!D479</f>
        <v>0</v>
      </c>
      <c r="B481" t="str" cm="1">
        <f t="array" ref="B481">IF(ISBLANK(INDEX(SampleList[NMR],ROW()-1)),"Not Requested",INDEX(SampleList[Experiment ID],ROW()-1))</f>
        <v>Not Requested</v>
      </c>
      <c r="C481">
        <f>Sampling!E479</f>
        <v>0</v>
      </c>
      <c r="D481">
        <f>NMRPrep[[#This Row],['#]]</f>
        <v>0</v>
      </c>
      <c r="G4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1" t="e">
        <f>IF(ISBLANK(NMRPrep[[#This Row],[Total (uL) ]]), 0, NMRPrep[[#This Row],[1mM Maleic Acid (uL) ]]/NMRPrep[[#This Row],[Total (uL) ]])</f>
        <v>#DIV/0!</v>
      </c>
      <c r="I481">
        <f>2</f>
        <v>2</v>
      </c>
      <c r="J481">
        <f>4</f>
        <v>4</v>
      </c>
      <c r="K481">
        <f>1</f>
        <v>1</v>
      </c>
    </row>
    <row r="482" spans="1:11" hidden="1" x14ac:dyDescent="0.25">
      <c r="A482" s="1">
        <f>Sampling!D480</f>
        <v>0</v>
      </c>
      <c r="B482" t="str" cm="1">
        <f t="array" ref="B482">IF(ISBLANK(INDEX(SampleList[NMR],ROW()-1)),"Not Requested",INDEX(SampleList[Experiment ID],ROW()-1))</f>
        <v>Not Requested</v>
      </c>
      <c r="C482">
        <f>Sampling!E480</f>
        <v>0</v>
      </c>
      <c r="D482">
        <f>NMRPrep[[#This Row],['#]]</f>
        <v>0</v>
      </c>
      <c r="G4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2" t="e">
        <f>IF(ISBLANK(NMRPrep[[#This Row],[Total (uL) ]]), 0, NMRPrep[[#This Row],[1mM Maleic Acid (uL) ]]/NMRPrep[[#This Row],[Total (uL) ]])</f>
        <v>#DIV/0!</v>
      </c>
      <c r="I482">
        <f>2</f>
        <v>2</v>
      </c>
      <c r="J482">
        <f>4</f>
        <v>4</v>
      </c>
      <c r="K482">
        <f>1</f>
        <v>1</v>
      </c>
    </row>
    <row r="483" spans="1:11" hidden="1" x14ac:dyDescent="0.25">
      <c r="A483" s="1">
        <f>Sampling!D481</f>
        <v>0</v>
      </c>
      <c r="B483" t="str" cm="1">
        <f t="array" ref="B483">IF(ISBLANK(INDEX(SampleList[NMR],ROW()-1)),"Not Requested",INDEX(SampleList[Experiment ID],ROW()-1))</f>
        <v>Not Requested</v>
      </c>
      <c r="C483">
        <f>Sampling!E481</f>
        <v>0</v>
      </c>
      <c r="D483">
        <f>NMRPrep[[#This Row],['#]]</f>
        <v>0</v>
      </c>
      <c r="G4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3" t="e">
        <f>IF(ISBLANK(NMRPrep[[#This Row],[Total (uL) ]]), 0, NMRPrep[[#This Row],[1mM Maleic Acid (uL) ]]/NMRPrep[[#This Row],[Total (uL) ]])</f>
        <v>#DIV/0!</v>
      </c>
      <c r="I483">
        <f>2</f>
        <v>2</v>
      </c>
      <c r="J483">
        <f>4</f>
        <v>4</v>
      </c>
      <c r="K483">
        <f>1</f>
        <v>1</v>
      </c>
    </row>
    <row r="484" spans="1:11" hidden="1" x14ac:dyDescent="0.25">
      <c r="A484" s="1">
        <f>Sampling!D482</f>
        <v>0</v>
      </c>
      <c r="B484" t="str" cm="1">
        <f t="array" ref="B484">IF(ISBLANK(INDEX(SampleList[NMR],ROW()-1)),"Not Requested",INDEX(SampleList[Experiment ID],ROW()-1))</f>
        <v>Not Requested</v>
      </c>
      <c r="C484">
        <f>Sampling!E482</f>
        <v>0</v>
      </c>
      <c r="D484">
        <f>NMRPrep[[#This Row],['#]]</f>
        <v>0</v>
      </c>
      <c r="G4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4" t="e">
        <f>IF(ISBLANK(NMRPrep[[#This Row],[Total (uL) ]]), 0, NMRPrep[[#This Row],[1mM Maleic Acid (uL) ]]/NMRPrep[[#This Row],[Total (uL) ]])</f>
        <v>#DIV/0!</v>
      </c>
      <c r="I484">
        <f>2</f>
        <v>2</v>
      </c>
      <c r="J484">
        <f>4</f>
        <v>4</v>
      </c>
      <c r="K484">
        <f>1</f>
        <v>1</v>
      </c>
    </row>
    <row r="485" spans="1:11" hidden="1" x14ac:dyDescent="0.25">
      <c r="A485" s="1">
        <f>Sampling!D483</f>
        <v>0</v>
      </c>
      <c r="B485" t="str" cm="1">
        <f t="array" ref="B485">IF(ISBLANK(INDEX(SampleList[NMR],ROW()-1)),"Not Requested",INDEX(SampleList[Experiment ID],ROW()-1))</f>
        <v>Not Requested</v>
      </c>
      <c r="C485">
        <f>Sampling!E483</f>
        <v>0</v>
      </c>
      <c r="D485">
        <f>NMRPrep[[#This Row],['#]]</f>
        <v>0</v>
      </c>
      <c r="G4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5" t="e">
        <f>IF(ISBLANK(NMRPrep[[#This Row],[Total (uL) ]]), 0, NMRPrep[[#This Row],[1mM Maleic Acid (uL) ]]/NMRPrep[[#This Row],[Total (uL) ]])</f>
        <v>#DIV/0!</v>
      </c>
      <c r="I485">
        <f>2</f>
        <v>2</v>
      </c>
      <c r="J485">
        <f>4</f>
        <v>4</v>
      </c>
      <c r="K485">
        <f>1</f>
        <v>1</v>
      </c>
    </row>
    <row r="486" spans="1:11" hidden="1" x14ac:dyDescent="0.25">
      <c r="A486" s="1">
        <f>Sampling!D484</f>
        <v>0</v>
      </c>
      <c r="B486" t="str" cm="1">
        <f t="array" ref="B486">IF(ISBLANK(INDEX(SampleList[NMR],ROW()-1)),"Not Requested",INDEX(SampleList[Experiment ID],ROW()-1))</f>
        <v>Not Requested</v>
      </c>
      <c r="C486">
        <f>Sampling!E484</f>
        <v>0</v>
      </c>
      <c r="D486">
        <f>NMRPrep[[#This Row],['#]]</f>
        <v>0</v>
      </c>
      <c r="G4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6" t="e">
        <f>IF(ISBLANK(NMRPrep[[#This Row],[Total (uL) ]]), 0, NMRPrep[[#This Row],[1mM Maleic Acid (uL) ]]/NMRPrep[[#This Row],[Total (uL) ]])</f>
        <v>#DIV/0!</v>
      </c>
      <c r="I486">
        <f>2</f>
        <v>2</v>
      </c>
      <c r="J486">
        <f>4</f>
        <v>4</v>
      </c>
      <c r="K486">
        <f>1</f>
        <v>1</v>
      </c>
    </row>
    <row r="487" spans="1:11" hidden="1" x14ac:dyDescent="0.25">
      <c r="A487" s="1">
        <f>Sampling!D485</f>
        <v>0</v>
      </c>
      <c r="B487" t="str" cm="1">
        <f t="array" ref="B487">IF(ISBLANK(INDEX(SampleList[NMR],ROW()-1)),"Not Requested",INDEX(SampleList[Experiment ID],ROW()-1))</f>
        <v>Not Requested</v>
      </c>
      <c r="C487">
        <f>Sampling!E485</f>
        <v>0</v>
      </c>
      <c r="D487">
        <f>NMRPrep[[#This Row],['#]]</f>
        <v>0</v>
      </c>
      <c r="G4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7" t="e">
        <f>IF(ISBLANK(NMRPrep[[#This Row],[Total (uL) ]]), 0, NMRPrep[[#This Row],[1mM Maleic Acid (uL) ]]/NMRPrep[[#This Row],[Total (uL) ]])</f>
        <v>#DIV/0!</v>
      </c>
      <c r="I487">
        <f>2</f>
        <v>2</v>
      </c>
      <c r="J487">
        <f>4</f>
        <v>4</v>
      </c>
      <c r="K487">
        <f>1</f>
        <v>1</v>
      </c>
    </row>
    <row r="488" spans="1:11" hidden="1" x14ac:dyDescent="0.25">
      <c r="A488" s="1">
        <f>Sampling!D486</f>
        <v>0</v>
      </c>
      <c r="B488" t="str" cm="1">
        <f t="array" ref="B488">IF(ISBLANK(INDEX(SampleList[NMR],ROW()-1)),"Not Requested",INDEX(SampleList[Experiment ID],ROW()-1))</f>
        <v>Not Requested</v>
      </c>
      <c r="C488">
        <f>Sampling!E486</f>
        <v>0</v>
      </c>
      <c r="D488">
        <f>NMRPrep[[#This Row],['#]]</f>
        <v>0</v>
      </c>
      <c r="G4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8" t="e">
        <f>IF(ISBLANK(NMRPrep[[#This Row],[Total (uL) ]]), 0, NMRPrep[[#This Row],[1mM Maleic Acid (uL) ]]/NMRPrep[[#This Row],[Total (uL) ]])</f>
        <v>#DIV/0!</v>
      </c>
      <c r="I488">
        <f>2</f>
        <v>2</v>
      </c>
      <c r="J488">
        <f>4</f>
        <v>4</v>
      </c>
      <c r="K488">
        <f>1</f>
        <v>1</v>
      </c>
    </row>
    <row r="489" spans="1:11" hidden="1" x14ac:dyDescent="0.25">
      <c r="A489" s="1">
        <f>Sampling!D487</f>
        <v>0</v>
      </c>
      <c r="B489" t="str" cm="1">
        <f t="array" ref="B489">IF(ISBLANK(INDEX(SampleList[NMR],ROW()-1)),"Not Requested",INDEX(SampleList[Experiment ID],ROW()-1))</f>
        <v>Not Requested</v>
      </c>
      <c r="C489">
        <f>Sampling!E487</f>
        <v>0</v>
      </c>
      <c r="D489">
        <f>NMRPrep[[#This Row],['#]]</f>
        <v>0</v>
      </c>
      <c r="G4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89" t="e">
        <f>IF(ISBLANK(NMRPrep[[#This Row],[Total (uL) ]]), 0, NMRPrep[[#This Row],[1mM Maleic Acid (uL) ]]/NMRPrep[[#This Row],[Total (uL) ]])</f>
        <v>#DIV/0!</v>
      </c>
      <c r="I489">
        <f>2</f>
        <v>2</v>
      </c>
      <c r="J489">
        <f>4</f>
        <v>4</v>
      </c>
      <c r="K489">
        <f>1</f>
        <v>1</v>
      </c>
    </row>
    <row r="490" spans="1:11" hidden="1" x14ac:dyDescent="0.25">
      <c r="A490" s="1">
        <f>Sampling!D488</f>
        <v>0</v>
      </c>
      <c r="B490" t="str" cm="1">
        <f t="array" ref="B490">IF(ISBLANK(INDEX(SampleList[NMR],ROW()-1)),"Not Requested",INDEX(SampleList[Experiment ID],ROW()-1))</f>
        <v>Not Requested</v>
      </c>
      <c r="C490">
        <f>Sampling!E488</f>
        <v>0</v>
      </c>
      <c r="D490">
        <f>NMRPrep[[#This Row],['#]]</f>
        <v>0</v>
      </c>
      <c r="G4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0" t="e">
        <f>IF(ISBLANK(NMRPrep[[#This Row],[Total (uL) ]]), 0, NMRPrep[[#This Row],[1mM Maleic Acid (uL) ]]/NMRPrep[[#This Row],[Total (uL) ]])</f>
        <v>#DIV/0!</v>
      </c>
      <c r="I490">
        <f>2</f>
        <v>2</v>
      </c>
      <c r="J490">
        <f>4</f>
        <v>4</v>
      </c>
      <c r="K490">
        <f>1</f>
        <v>1</v>
      </c>
    </row>
    <row r="491" spans="1:11" hidden="1" x14ac:dyDescent="0.25">
      <c r="A491" s="1">
        <f>Sampling!D489</f>
        <v>0</v>
      </c>
      <c r="B491" t="str" cm="1">
        <f t="array" ref="B491">IF(ISBLANK(INDEX(SampleList[NMR],ROW()-1)),"Not Requested",INDEX(SampleList[Experiment ID],ROW()-1))</f>
        <v>Not Requested</v>
      </c>
      <c r="C491">
        <f>Sampling!E489</f>
        <v>0</v>
      </c>
      <c r="D491">
        <f>NMRPrep[[#This Row],['#]]</f>
        <v>0</v>
      </c>
      <c r="G4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1" t="e">
        <f>IF(ISBLANK(NMRPrep[[#This Row],[Total (uL) ]]), 0, NMRPrep[[#This Row],[1mM Maleic Acid (uL) ]]/NMRPrep[[#This Row],[Total (uL) ]])</f>
        <v>#DIV/0!</v>
      </c>
      <c r="I491">
        <f>2</f>
        <v>2</v>
      </c>
      <c r="J491">
        <f>4</f>
        <v>4</v>
      </c>
      <c r="K491">
        <f>1</f>
        <v>1</v>
      </c>
    </row>
    <row r="492" spans="1:11" hidden="1" x14ac:dyDescent="0.25">
      <c r="A492" s="1">
        <f>Sampling!D490</f>
        <v>0</v>
      </c>
      <c r="B492" t="str" cm="1">
        <f t="array" ref="B492">IF(ISBLANK(INDEX(SampleList[NMR],ROW()-1)),"Not Requested",INDEX(SampleList[Experiment ID],ROW()-1))</f>
        <v>Not Requested</v>
      </c>
      <c r="C492">
        <f>Sampling!E490</f>
        <v>0</v>
      </c>
      <c r="D492">
        <f>NMRPrep[[#This Row],['#]]</f>
        <v>0</v>
      </c>
      <c r="G4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2" t="e">
        <f>IF(ISBLANK(NMRPrep[[#This Row],[Total (uL) ]]), 0, NMRPrep[[#This Row],[1mM Maleic Acid (uL) ]]/NMRPrep[[#This Row],[Total (uL) ]])</f>
        <v>#DIV/0!</v>
      </c>
      <c r="I492">
        <f>2</f>
        <v>2</v>
      </c>
      <c r="J492">
        <f>4</f>
        <v>4</v>
      </c>
      <c r="K492">
        <f>1</f>
        <v>1</v>
      </c>
    </row>
    <row r="493" spans="1:11" hidden="1" x14ac:dyDescent="0.25">
      <c r="A493" s="1">
        <f>Sampling!D491</f>
        <v>0</v>
      </c>
      <c r="B493" t="str" cm="1">
        <f t="array" ref="B493">IF(ISBLANK(INDEX(SampleList[NMR],ROW()-1)),"Not Requested",INDEX(SampleList[Experiment ID],ROW()-1))</f>
        <v>Not Requested</v>
      </c>
      <c r="C493">
        <f>Sampling!E491</f>
        <v>0</v>
      </c>
      <c r="D493">
        <f>NMRPrep[[#This Row],['#]]</f>
        <v>0</v>
      </c>
      <c r="G4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3" t="e">
        <f>IF(ISBLANK(NMRPrep[[#This Row],[Total (uL) ]]), 0, NMRPrep[[#This Row],[1mM Maleic Acid (uL) ]]/NMRPrep[[#This Row],[Total (uL) ]])</f>
        <v>#DIV/0!</v>
      </c>
      <c r="I493">
        <f>2</f>
        <v>2</v>
      </c>
      <c r="J493">
        <f>4</f>
        <v>4</v>
      </c>
      <c r="K493">
        <f>1</f>
        <v>1</v>
      </c>
    </row>
    <row r="494" spans="1:11" hidden="1" x14ac:dyDescent="0.25">
      <c r="A494" s="1">
        <f>Sampling!D492</f>
        <v>0</v>
      </c>
      <c r="B494" t="str" cm="1">
        <f t="array" ref="B494">IF(ISBLANK(INDEX(SampleList[NMR],ROW()-1)),"Not Requested",INDEX(SampleList[Experiment ID],ROW()-1))</f>
        <v>Not Requested</v>
      </c>
      <c r="C494">
        <f>Sampling!E492</f>
        <v>0</v>
      </c>
      <c r="D494">
        <f>NMRPrep[[#This Row],['#]]</f>
        <v>0</v>
      </c>
      <c r="G4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4" t="e">
        <f>IF(ISBLANK(NMRPrep[[#This Row],[Total (uL) ]]), 0, NMRPrep[[#This Row],[1mM Maleic Acid (uL) ]]/NMRPrep[[#This Row],[Total (uL) ]])</f>
        <v>#DIV/0!</v>
      </c>
      <c r="I494">
        <f>2</f>
        <v>2</v>
      </c>
      <c r="J494">
        <f>4</f>
        <v>4</v>
      </c>
      <c r="K494">
        <f>1</f>
        <v>1</v>
      </c>
    </row>
    <row r="495" spans="1:11" hidden="1" x14ac:dyDescent="0.25">
      <c r="A495" s="1">
        <f>Sampling!D493</f>
        <v>0</v>
      </c>
      <c r="B495" t="str" cm="1">
        <f t="array" ref="B495">IF(ISBLANK(INDEX(SampleList[NMR],ROW()-1)),"Not Requested",INDEX(SampleList[Experiment ID],ROW()-1))</f>
        <v>Not Requested</v>
      </c>
      <c r="C495">
        <f>Sampling!E493</f>
        <v>0</v>
      </c>
      <c r="D495">
        <f>NMRPrep[[#This Row],['#]]</f>
        <v>0</v>
      </c>
      <c r="G4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5" t="e">
        <f>IF(ISBLANK(NMRPrep[[#This Row],[Total (uL) ]]), 0, NMRPrep[[#This Row],[1mM Maleic Acid (uL) ]]/NMRPrep[[#This Row],[Total (uL) ]])</f>
        <v>#DIV/0!</v>
      </c>
      <c r="I495">
        <f>2</f>
        <v>2</v>
      </c>
      <c r="J495">
        <f>4</f>
        <v>4</v>
      </c>
      <c r="K495">
        <f>1</f>
        <v>1</v>
      </c>
    </row>
    <row r="496" spans="1:11" hidden="1" x14ac:dyDescent="0.25">
      <c r="A496" s="1">
        <f>Sampling!D494</f>
        <v>0</v>
      </c>
      <c r="B496" t="str" cm="1">
        <f t="array" ref="B496">IF(ISBLANK(INDEX(SampleList[NMR],ROW()-1)),"Not Requested",INDEX(SampleList[Experiment ID],ROW()-1))</f>
        <v>Not Requested</v>
      </c>
      <c r="C496">
        <f>Sampling!E494</f>
        <v>0</v>
      </c>
      <c r="D496">
        <f>NMRPrep[[#This Row],['#]]</f>
        <v>0</v>
      </c>
      <c r="G4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6" t="e">
        <f>IF(ISBLANK(NMRPrep[[#This Row],[Total (uL) ]]), 0, NMRPrep[[#This Row],[1mM Maleic Acid (uL) ]]/NMRPrep[[#This Row],[Total (uL) ]])</f>
        <v>#DIV/0!</v>
      </c>
      <c r="I496">
        <f>2</f>
        <v>2</v>
      </c>
      <c r="J496">
        <f>4</f>
        <v>4</v>
      </c>
      <c r="K496">
        <f>1</f>
        <v>1</v>
      </c>
    </row>
    <row r="497" spans="1:11" hidden="1" x14ac:dyDescent="0.25">
      <c r="A497" s="1">
        <f>Sampling!D495</f>
        <v>0</v>
      </c>
      <c r="B497" t="str" cm="1">
        <f t="array" ref="B497">IF(ISBLANK(INDEX(SampleList[NMR],ROW()-1)),"Not Requested",INDEX(SampleList[Experiment ID],ROW()-1))</f>
        <v>Not Requested</v>
      </c>
      <c r="C497">
        <f>Sampling!E495</f>
        <v>0</v>
      </c>
      <c r="D497">
        <f>NMRPrep[[#This Row],['#]]</f>
        <v>0</v>
      </c>
      <c r="G4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7" t="e">
        <f>IF(ISBLANK(NMRPrep[[#This Row],[Total (uL) ]]), 0, NMRPrep[[#This Row],[1mM Maleic Acid (uL) ]]/NMRPrep[[#This Row],[Total (uL) ]])</f>
        <v>#DIV/0!</v>
      </c>
      <c r="I497">
        <f>2</f>
        <v>2</v>
      </c>
      <c r="J497">
        <f>4</f>
        <v>4</v>
      </c>
      <c r="K497">
        <f>1</f>
        <v>1</v>
      </c>
    </row>
    <row r="498" spans="1:11" hidden="1" x14ac:dyDescent="0.25">
      <c r="A498" s="1">
        <f>Sampling!D496</f>
        <v>0</v>
      </c>
      <c r="B498" t="str" cm="1">
        <f t="array" ref="B498">IF(ISBLANK(INDEX(SampleList[NMR],ROW()-1)),"Not Requested",INDEX(SampleList[Experiment ID],ROW()-1))</f>
        <v>Not Requested</v>
      </c>
      <c r="C498">
        <f>Sampling!E496</f>
        <v>0</v>
      </c>
      <c r="D498">
        <f>NMRPrep[[#This Row],['#]]</f>
        <v>0</v>
      </c>
      <c r="G4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8" t="e">
        <f>IF(ISBLANK(NMRPrep[[#This Row],[Total (uL) ]]), 0, NMRPrep[[#This Row],[1mM Maleic Acid (uL) ]]/NMRPrep[[#This Row],[Total (uL) ]])</f>
        <v>#DIV/0!</v>
      </c>
      <c r="I498">
        <f>2</f>
        <v>2</v>
      </c>
      <c r="J498">
        <f>4</f>
        <v>4</v>
      </c>
      <c r="K498">
        <f>1</f>
        <v>1</v>
      </c>
    </row>
    <row r="499" spans="1:11" hidden="1" x14ac:dyDescent="0.25">
      <c r="A499" s="1">
        <f>Sampling!D497</f>
        <v>0</v>
      </c>
      <c r="B499" t="str" cm="1">
        <f t="array" ref="B499">IF(ISBLANK(INDEX(SampleList[NMR],ROW()-1)),"Not Requested",INDEX(SampleList[Experiment ID],ROW()-1))</f>
        <v>Not Requested</v>
      </c>
      <c r="C499">
        <f>Sampling!E497</f>
        <v>0</v>
      </c>
      <c r="D499">
        <f>NMRPrep[[#This Row],['#]]</f>
        <v>0</v>
      </c>
      <c r="G4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499" t="e">
        <f>IF(ISBLANK(NMRPrep[[#This Row],[Total (uL) ]]), 0, NMRPrep[[#This Row],[1mM Maleic Acid (uL) ]]/NMRPrep[[#This Row],[Total (uL) ]])</f>
        <v>#DIV/0!</v>
      </c>
      <c r="I499">
        <f>2</f>
        <v>2</v>
      </c>
      <c r="J499">
        <f>4</f>
        <v>4</v>
      </c>
      <c r="K499">
        <f>1</f>
        <v>1</v>
      </c>
    </row>
    <row r="500" spans="1:11" hidden="1" x14ac:dyDescent="0.25">
      <c r="A500" s="1">
        <f>Sampling!D498</f>
        <v>0</v>
      </c>
      <c r="B500" t="str" cm="1">
        <f t="array" ref="B500">IF(ISBLANK(INDEX(SampleList[NMR],ROW()-1)),"Not Requested",INDEX(SampleList[Experiment ID],ROW()-1))</f>
        <v>Not Requested</v>
      </c>
      <c r="C500">
        <f>Sampling!E498</f>
        <v>0</v>
      </c>
      <c r="D500">
        <f>NMRPrep[[#This Row],['#]]</f>
        <v>0</v>
      </c>
      <c r="G5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0" t="e">
        <f>IF(ISBLANK(NMRPrep[[#This Row],[Total (uL) ]]), 0, NMRPrep[[#This Row],[1mM Maleic Acid (uL) ]]/NMRPrep[[#This Row],[Total (uL) ]])</f>
        <v>#DIV/0!</v>
      </c>
      <c r="I500">
        <f>2</f>
        <v>2</v>
      </c>
      <c r="J500">
        <f>4</f>
        <v>4</v>
      </c>
      <c r="K500">
        <f>1</f>
        <v>1</v>
      </c>
    </row>
    <row r="501" spans="1:11" hidden="1" x14ac:dyDescent="0.25">
      <c r="A501" s="1">
        <f>Sampling!D499</f>
        <v>0</v>
      </c>
      <c r="B501" t="str" cm="1">
        <f t="array" ref="B501">IF(ISBLANK(INDEX(SampleList[NMR],ROW()-1)),"Not Requested",INDEX(SampleList[Experiment ID],ROW()-1))</f>
        <v>Not Requested</v>
      </c>
      <c r="C501">
        <f>Sampling!E499</f>
        <v>0</v>
      </c>
      <c r="D501">
        <f>NMRPrep[[#This Row],['#]]</f>
        <v>0</v>
      </c>
      <c r="G5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1" t="e">
        <f>IF(ISBLANK(NMRPrep[[#This Row],[Total (uL) ]]), 0, NMRPrep[[#This Row],[1mM Maleic Acid (uL) ]]/NMRPrep[[#This Row],[Total (uL) ]])</f>
        <v>#DIV/0!</v>
      </c>
      <c r="I501">
        <f>2</f>
        <v>2</v>
      </c>
      <c r="J501">
        <f>4</f>
        <v>4</v>
      </c>
      <c r="K501">
        <f>1</f>
        <v>1</v>
      </c>
    </row>
    <row r="502" spans="1:11" hidden="1" x14ac:dyDescent="0.25">
      <c r="A502" s="1">
        <f>Sampling!D500</f>
        <v>0</v>
      </c>
      <c r="B502" t="str" cm="1">
        <f t="array" ref="B502">IF(ISBLANK(INDEX(SampleList[NMR],ROW()-1)),"Not Requested",INDEX(SampleList[Experiment ID],ROW()-1))</f>
        <v>Not Requested</v>
      </c>
      <c r="C502">
        <f>Sampling!E500</f>
        <v>0</v>
      </c>
      <c r="D502">
        <f>NMRPrep[[#This Row],['#]]</f>
        <v>0</v>
      </c>
      <c r="G5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2" t="e">
        <f>IF(ISBLANK(NMRPrep[[#This Row],[Total (uL) ]]), 0, NMRPrep[[#This Row],[1mM Maleic Acid (uL) ]]/NMRPrep[[#This Row],[Total (uL) ]])</f>
        <v>#DIV/0!</v>
      </c>
      <c r="I502">
        <f>2</f>
        <v>2</v>
      </c>
      <c r="J502">
        <f>4</f>
        <v>4</v>
      </c>
      <c r="K502">
        <f>1</f>
        <v>1</v>
      </c>
    </row>
    <row r="503" spans="1:11" hidden="1" x14ac:dyDescent="0.25">
      <c r="A503" s="1">
        <f>Sampling!D501</f>
        <v>0</v>
      </c>
      <c r="B503" t="str" cm="1">
        <f t="array" ref="B503">IF(ISBLANK(INDEX(SampleList[NMR],ROW()-1)),"Not Requested",INDEX(SampleList[Experiment ID],ROW()-1))</f>
        <v>Not Requested</v>
      </c>
      <c r="C503">
        <f>Sampling!E501</f>
        <v>0</v>
      </c>
      <c r="D503">
        <f>NMRPrep[[#This Row],['#]]</f>
        <v>0</v>
      </c>
      <c r="G5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3" t="e">
        <f>IF(ISBLANK(NMRPrep[[#This Row],[Total (uL) ]]), 0, NMRPrep[[#This Row],[1mM Maleic Acid (uL) ]]/NMRPrep[[#This Row],[Total (uL) ]])</f>
        <v>#DIV/0!</v>
      </c>
      <c r="I503">
        <f>2</f>
        <v>2</v>
      </c>
      <c r="J503">
        <f>4</f>
        <v>4</v>
      </c>
      <c r="K503">
        <f>1</f>
        <v>1</v>
      </c>
    </row>
    <row r="504" spans="1:11" hidden="1" x14ac:dyDescent="0.25">
      <c r="A504" s="1">
        <f>Sampling!D502</f>
        <v>0</v>
      </c>
      <c r="B504" t="str" cm="1">
        <f t="array" ref="B504">IF(ISBLANK(INDEX(SampleList[NMR],ROW()-1)),"Not Requested",INDEX(SampleList[Experiment ID],ROW()-1))</f>
        <v>Not Requested</v>
      </c>
      <c r="C504">
        <f>Sampling!E502</f>
        <v>0</v>
      </c>
      <c r="D504">
        <f>NMRPrep[[#This Row],['#]]</f>
        <v>0</v>
      </c>
      <c r="G5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4" t="e">
        <f>IF(ISBLANK(NMRPrep[[#This Row],[Total (uL) ]]), 0, NMRPrep[[#This Row],[1mM Maleic Acid (uL) ]]/NMRPrep[[#This Row],[Total (uL) ]])</f>
        <v>#DIV/0!</v>
      </c>
      <c r="I504">
        <f>2</f>
        <v>2</v>
      </c>
      <c r="J504">
        <f>4</f>
        <v>4</v>
      </c>
      <c r="K504">
        <f>1</f>
        <v>1</v>
      </c>
    </row>
    <row r="505" spans="1:11" hidden="1" x14ac:dyDescent="0.25">
      <c r="A505" s="1">
        <f>Sampling!D503</f>
        <v>0</v>
      </c>
      <c r="B505" t="str" cm="1">
        <f t="array" ref="B505">IF(ISBLANK(INDEX(SampleList[NMR],ROW()-1)),"Not Requested",INDEX(SampleList[Experiment ID],ROW()-1))</f>
        <v>Not Requested</v>
      </c>
      <c r="C505">
        <f>Sampling!E503</f>
        <v>0</v>
      </c>
      <c r="D505">
        <f>NMRPrep[[#This Row],['#]]</f>
        <v>0</v>
      </c>
      <c r="G5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5" t="e">
        <f>IF(ISBLANK(NMRPrep[[#This Row],[Total (uL) ]]), 0, NMRPrep[[#This Row],[1mM Maleic Acid (uL) ]]/NMRPrep[[#This Row],[Total (uL) ]])</f>
        <v>#DIV/0!</v>
      </c>
      <c r="I505">
        <f>2</f>
        <v>2</v>
      </c>
      <c r="J505">
        <f>4</f>
        <v>4</v>
      </c>
      <c r="K505">
        <f>1</f>
        <v>1</v>
      </c>
    </row>
    <row r="506" spans="1:11" hidden="1" x14ac:dyDescent="0.25">
      <c r="A506" s="1">
        <f>Sampling!D504</f>
        <v>0</v>
      </c>
      <c r="B506" t="str" cm="1">
        <f t="array" ref="B506">IF(ISBLANK(INDEX(SampleList[NMR],ROW()-1)),"Not Requested",INDEX(SampleList[Experiment ID],ROW()-1))</f>
        <v>Not Requested</v>
      </c>
      <c r="C506">
        <f>Sampling!E504</f>
        <v>0</v>
      </c>
      <c r="D506">
        <f>NMRPrep[[#This Row],['#]]</f>
        <v>0</v>
      </c>
      <c r="G5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6" t="e">
        <f>IF(ISBLANK(NMRPrep[[#This Row],[Total (uL) ]]), 0, NMRPrep[[#This Row],[1mM Maleic Acid (uL) ]]/NMRPrep[[#This Row],[Total (uL) ]])</f>
        <v>#DIV/0!</v>
      </c>
      <c r="I506">
        <f>2</f>
        <v>2</v>
      </c>
      <c r="J506">
        <f>4</f>
        <v>4</v>
      </c>
      <c r="K506">
        <f>1</f>
        <v>1</v>
      </c>
    </row>
    <row r="507" spans="1:11" hidden="1" x14ac:dyDescent="0.25">
      <c r="A507" s="1">
        <f>Sampling!D505</f>
        <v>0</v>
      </c>
      <c r="B507" t="str" cm="1">
        <f t="array" ref="B507">IF(ISBLANK(INDEX(SampleList[NMR],ROW()-1)),"Not Requested",INDEX(SampleList[Experiment ID],ROW()-1))</f>
        <v>Not Requested</v>
      </c>
      <c r="C507">
        <f>Sampling!E505</f>
        <v>0</v>
      </c>
      <c r="D507">
        <f>NMRPrep[[#This Row],['#]]</f>
        <v>0</v>
      </c>
      <c r="G5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7" t="e">
        <f>IF(ISBLANK(NMRPrep[[#This Row],[Total (uL) ]]), 0, NMRPrep[[#This Row],[1mM Maleic Acid (uL) ]]/NMRPrep[[#This Row],[Total (uL) ]])</f>
        <v>#DIV/0!</v>
      </c>
      <c r="I507">
        <f>2</f>
        <v>2</v>
      </c>
      <c r="J507">
        <f>4</f>
        <v>4</v>
      </c>
      <c r="K507">
        <f>1</f>
        <v>1</v>
      </c>
    </row>
    <row r="508" spans="1:11" hidden="1" x14ac:dyDescent="0.25">
      <c r="A508" s="1">
        <f>Sampling!D506</f>
        <v>0</v>
      </c>
      <c r="B508" t="str" cm="1">
        <f t="array" ref="B508">IF(ISBLANK(INDEX(SampleList[NMR],ROW()-1)),"Not Requested",INDEX(SampleList[Experiment ID],ROW()-1))</f>
        <v>Not Requested</v>
      </c>
      <c r="C508">
        <f>Sampling!E506</f>
        <v>0</v>
      </c>
      <c r="D508">
        <f>NMRPrep[[#This Row],['#]]</f>
        <v>0</v>
      </c>
      <c r="G5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8" t="e">
        <f>IF(ISBLANK(NMRPrep[[#This Row],[Total (uL) ]]), 0, NMRPrep[[#This Row],[1mM Maleic Acid (uL) ]]/NMRPrep[[#This Row],[Total (uL) ]])</f>
        <v>#DIV/0!</v>
      </c>
      <c r="I508">
        <f>2</f>
        <v>2</v>
      </c>
      <c r="J508">
        <f>4</f>
        <v>4</v>
      </c>
      <c r="K508">
        <f>1</f>
        <v>1</v>
      </c>
    </row>
    <row r="509" spans="1:11" hidden="1" x14ac:dyDescent="0.25">
      <c r="A509" s="1">
        <f>Sampling!D507</f>
        <v>0</v>
      </c>
      <c r="B509" t="str" cm="1">
        <f t="array" ref="B509">IF(ISBLANK(INDEX(SampleList[NMR],ROW()-1)),"Not Requested",INDEX(SampleList[Experiment ID],ROW()-1))</f>
        <v>Not Requested</v>
      </c>
      <c r="C509">
        <f>Sampling!E507</f>
        <v>0</v>
      </c>
      <c r="D509">
        <f>NMRPrep[[#This Row],['#]]</f>
        <v>0</v>
      </c>
      <c r="G5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09" t="e">
        <f>IF(ISBLANK(NMRPrep[[#This Row],[Total (uL) ]]), 0, NMRPrep[[#This Row],[1mM Maleic Acid (uL) ]]/NMRPrep[[#This Row],[Total (uL) ]])</f>
        <v>#DIV/0!</v>
      </c>
      <c r="I509">
        <f>2</f>
        <v>2</v>
      </c>
      <c r="J509">
        <f>4</f>
        <v>4</v>
      </c>
      <c r="K509">
        <f>1</f>
        <v>1</v>
      </c>
    </row>
    <row r="510" spans="1:11" hidden="1" x14ac:dyDescent="0.25">
      <c r="A510" s="1">
        <f>Sampling!D508</f>
        <v>0</v>
      </c>
      <c r="B510" t="str" cm="1">
        <f t="array" ref="B510">IF(ISBLANK(INDEX(SampleList[NMR],ROW()-1)),"Not Requested",INDEX(SampleList[Experiment ID],ROW()-1))</f>
        <v>Not Requested</v>
      </c>
      <c r="C510">
        <f>Sampling!E508</f>
        <v>0</v>
      </c>
      <c r="D510">
        <f>NMRPrep[[#This Row],['#]]</f>
        <v>0</v>
      </c>
      <c r="G5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0" t="e">
        <f>IF(ISBLANK(NMRPrep[[#This Row],[Total (uL) ]]), 0, NMRPrep[[#This Row],[1mM Maleic Acid (uL) ]]/NMRPrep[[#This Row],[Total (uL) ]])</f>
        <v>#DIV/0!</v>
      </c>
      <c r="I510">
        <f>2</f>
        <v>2</v>
      </c>
      <c r="J510">
        <f>4</f>
        <v>4</v>
      </c>
      <c r="K510">
        <f>1</f>
        <v>1</v>
      </c>
    </row>
    <row r="511" spans="1:11" hidden="1" x14ac:dyDescent="0.25">
      <c r="A511" s="1">
        <f>Sampling!D509</f>
        <v>0</v>
      </c>
      <c r="B511" t="str" cm="1">
        <f t="array" ref="B511">IF(ISBLANK(INDEX(SampleList[NMR],ROW()-1)),"Not Requested",INDEX(SampleList[Experiment ID],ROW()-1))</f>
        <v>Not Requested</v>
      </c>
      <c r="C511">
        <f>Sampling!E509</f>
        <v>0</v>
      </c>
      <c r="D511">
        <f>NMRPrep[[#This Row],['#]]</f>
        <v>0</v>
      </c>
      <c r="G5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1" t="e">
        <f>IF(ISBLANK(NMRPrep[[#This Row],[Total (uL) ]]), 0, NMRPrep[[#This Row],[1mM Maleic Acid (uL) ]]/NMRPrep[[#This Row],[Total (uL) ]])</f>
        <v>#DIV/0!</v>
      </c>
      <c r="I511">
        <f>2</f>
        <v>2</v>
      </c>
      <c r="J511">
        <f>4</f>
        <v>4</v>
      </c>
      <c r="K511">
        <f>1</f>
        <v>1</v>
      </c>
    </row>
    <row r="512" spans="1:11" hidden="1" x14ac:dyDescent="0.25">
      <c r="A512" s="1">
        <f>Sampling!D510</f>
        <v>0</v>
      </c>
      <c r="B512" t="str" cm="1">
        <f t="array" ref="B512">IF(ISBLANK(INDEX(SampleList[NMR],ROW()-1)),"Not Requested",INDEX(SampleList[Experiment ID],ROW()-1))</f>
        <v>Not Requested</v>
      </c>
      <c r="C512">
        <f>Sampling!E510</f>
        <v>0</v>
      </c>
      <c r="D512">
        <f>NMRPrep[[#This Row],['#]]</f>
        <v>0</v>
      </c>
      <c r="G5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2" t="e">
        <f>IF(ISBLANK(NMRPrep[[#This Row],[Total (uL) ]]), 0, NMRPrep[[#This Row],[1mM Maleic Acid (uL) ]]/NMRPrep[[#This Row],[Total (uL) ]])</f>
        <v>#DIV/0!</v>
      </c>
      <c r="I512">
        <f>2</f>
        <v>2</v>
      </c>
      <c r="J512">
        <f>4</f>
        <v>4</v>
      </c>
      <c r="K512">
        <f>1</f>
        <v>1</v>
      </c>
    </row>
    <row r="513" spans="1:11" hidden="1" x14ac:dyDescent="0.25">
      <c r="A513" s="1">
        <f>Sampling!D511</f>
        <v>0</v>
      </c>
      <c r="B513" t="str" cm="1">
        <f t="array" ref="B513">IF(ISBLANK(INDEX(SampleList[NMR],ROW()-1)),"Not Requested",INDEX(SampleList[Experiment ID],ROW()-1))</f>
        <v>Not Requested</v>
      </c>
      <c r="C513">
        <f>Sampling!E511</f>
        <v>0</v>
      </c>
      <c r="D513">
        <f>NMRPrep[[#This Row],['#]]</f>
        <v>0</v>
      </c>
      <c r="G5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3" t="e">
        <f>IF(ISBLANK(NMRPrep[[#This Row],[Total (uL) ]]), 0, NMRPrep[[#This Row],[1mM Maleic Acid (uL) ]]/NMRPrep[[#This Row],[Total (uL) ]])</f>
        <v>#DIV/0!</v>
      </c>
      <c r="I513">
        <f>2</f>
        <v>2</v>
      </c>
      <c r="J513">
        <f>4</f>
        <v>4</v>
      </c>
      <c r="K513">
        <f>1</f>
        <v>1</v>
      </c>
    </row>
    <row r="514" spans="1:11" hidden="1" x14ac:dyDescent="0.25">
      <c r="A514" s="1">
        <f>Sampling!D512</f>
        <v>0</v>
      </c>
      <c r="B514" t="str" cm="1">
        <f t="array" ref="B514">IF(ISBLANK(INDEX(SampleList[NMR],ROW()-1)),"Not Requested",INDEX(SampleList[Experiment ID],ROW()-1))</f>
        <v>Not Requested</v>
      </c>
      <c r="C514">
        <f>Sampling!E512</f>
        <v>0</v>
      </c>
      <c r="D514">
        <f>NMRPrep[[#This Row],['#]]</f>
        <v>0</v>
      </c>
      <c r="G5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4" t="e">
        <f>IF(ISBLANK(NMRPrep[[#This Row],[Total (uL) ]]), 0, NMRPrep[[#This Row],[1mM Maleic Acid (uL) ]]/NMRPrep[[#This Row],[Total (uL) ]])</f>
        <v>#DIV/0!</v>
      </c>
      <c r="I514">
        <f>2</f>
        <v>2</v>
      </c>
      <c r="J514">
        <f>4</f>
        <v>4</v>
      </c>
      <c r="K514">
        <f>1</f>
        <v>1</v>
      </c>
    </row>
    <row r="515" spans="1:11" hidden="1" x14ac:dyDescent="0.25">
      <c r="A515" s="1">
        <f>Sampling!D513</f>
        <v>0</v>
      </c>
      <c r="B515" t="str" cm="1">
        <f t="array" ref="B515">IF(ISBLANK(INDEX(SampleList[NMR],ROW()-1)),"Not Requested",INDEX(SampleList[Experiment ID],ROW()-1))</f>
        <v>Not Requested</v>
      </c>
      <c r="C515">
        <f>Sampling!E513</f>
        <v>0</v>
      </c>
      <c r="D515">
        <f>NMRPrep[[#This Row],['#]]</f>
        <v>0</v>
      </c>
      <c r="G5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5" t="e">
        <f>IF(ISBLANK(NMRPrep[[#This Row],[Total (uL) ]]), 0, NMRPrep[[#This Row],[1mM Maleic Acid (uL) ]]/NMRPrep[[#This Row],[Total (uL) ]])</f>
        <v>#DIV/0!</v>
      </c>
      <c r="I515">
        <f>2</f>
        <v>2</v>
      </c>
      <c r="J515">
        <f>4</f>
        <v>4</v>
      </c>
      <c r="K515">
        <f>1</f>
        <v>1</v>
      </c>
    </row>
    <row r="516" spans="1:11" hidden="1" x14ac:dyDescent="0.25">
      <c r="A516" s="1">
        <f>Sampling!D514</f>
        <v>0</v>
      </c>
      <c r="B516" t="str" cm="1">
        <f t="array" ref="B516">IF(ISBLANK(INDEX(SampleList[NMR],ROW()-1)),"Not Requested",INDEX(SampleList[Experiment ID],ROW()-1))</f>
        <v>Not Requested</v>
      </c>
      <c r="C516">
        <f>Sampling!E514</f>
        <v>0</v>
      </c>
      <c r="D516">
        <f>NMRPrep[[#This Row],['#]]</f>
        <v>0</v>
      </c>
      <c r="G5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6" t="e">
        <f>IF(ISBLANK(NMRPrep[[#This Row],[Total (uL) ]]), 0, NMRPrep[[#This Row],[1mM Maleic Acid (uL) ]]/NMRPrep[[#This Row],[Total (uL) ]])</f>
        <v>#DIV/0!</v>
      </c>
      <c r="I516">
        <f>2</f>
        <v>2</v>
      </c>
      <c r="J516">
        <f>4</f>
        <v>4</v>
      </c>
      <c r="K516">
        <f>1</f>
        <v>1</v>
      </c>
    </row>
    <row r="517" spans="1:11" hidden="1" x14ac:dyDescent="0.25">
      <c r="A517" s="1">
        <f>Sampling!D515</f>
        <v>0</v>
      </c>
      <c r="B517" t="str" cm="1">
        <f t="array" ref="B517">IF(ISBLANK(INDEX(SampleList[NMR],ROW()-1)),"Not Requested",INDEX(SampleList[Experiment ID],ROW()-1))</f>
        <v>Not Requested</v>
      </c>
      <c r="C517">
        <f>Sampling!E515</f>
        <v>0</v>
      </c>
      <c r="D517">
        <f>NMRPrep[[#This Row],['#]]</f>
        <v>0</v>
      </c>
      <c r="G5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7" t="e">
        <f>IF(ISBLANK(NMRPrep[[#This Row],[Total (uL) ]]), 0, NMRPrep[[#This Row],[1mM Maleic Acid (uL) ]]/NMRPrep[[#This Row],[Total (uL) ]])</f>
        <v>#DIV/0!</v>
      </c>
      <c r="I517">
        <f>2</f>
        <v>2</v>
      </c>
      <c r="J517">
        <f>4</f>
        <v>4</v>
      </c>
      <c r="K517">
        <f>1</f>
        <v>1</v>
      </c>
    </row>
    <row r="518" spans="1:11" hidden="1" x14ac:dyDescent="0.25">
      <c r="A518" s="1">
        <f>Sampling!D516</f>
        <v>0</v>
      </c>
      <c r="B518" t="str" cm="1">
        <f t="array" ref="B518">IF(ISBLANK(INDEX(SampleList[NMR],ROW()-1)),"Not Requested",INDEX(SampleList[Experiment ID],ROW()-1))</f>
        <v>Not Requested</v>
      </c>
      <c r="C518">
        <f>Sampling!E516</f>
        <v>0</v>
      </c>
      <c r="D518">
        <f>NMRPrep[[#This Row],['#]]</f>
        <v>0</v>
      </c>
      <c r="G5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8" t="e">
        <f>IF(ISBLANK(NMRPrep[[#This Row],[Total (uL) ]]), 0, NMRPrep[[#This Row],[1mM Maleic Acid (uL) ]]/NMRPrep[[#This Row],[Total (uL) ]])</f>
        <v>#DIV/0!</v>
      </c>
      <c r="I518">
        <f>2</f>
        <v>2</v>
      </c>
      <c r="J518">
        <f>4</f>
        <v>4</v>
      </c>
      <c r="K518">
        <f>1</f>
        <v>1</v>
      </c>
    </row>
    <row r="519" spans="1:11" hidden="1" x14ac:dyDescent="0.25">
      <c r="A519" s="1">
        <f>Sampling!D517</f>
        <v>0</v>
      </c>
      <c r="B519" t="str" cm="1">
        <f t="array" ref="B519">IF(ISBLANK(INDEX(SampleList[NMR],ROW()-1)),"Not Requested",INDEX(SampleList[Experiment ID],ROW()-1))</f>
        <v>Not Requested</v>
      </c>
      <c r="C519">
        <f>Sampling!E517</f>
        <v>0</v>
      </c>
      <c r="D519">
        <f>NMRPrep[[#This Row],['#]]</f>
        <v>0</v>
      </c>
      <c r="G5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19" t="e">
        <f>IF(ISBLANK(NMRPrep[[#This Row],[Total (uL) ]]), 0, NMRPrep[[#This Row],[1mM Maleic Acid (uL) ]]/NMRPrep[[#This Row],[Total (uL) ]])</f>
        <v>#DIV/0!</v>
      </c>
      <c r="I519">
        <f>2</f>
        <v>2</v>
      </c>
      <c r="J519">
        <f>4</f>
        <v>4</v>
      </c>
      <c r="K519">
        <f>1</f>
        <v>1</v>
      </c>
    </row>
    <row r="520" spans="1:11" hidden="1" x14ac:dyDescent="0.25">
      <c r="A520" s="1">
        <f>Sampling!D518</f>
        <v>0</v>
      </c>
      <c r="B520" t="str" cm="1">
        <f t="array" ref="B520">IF(ISBLANK(INDEX(SampleList[NMR],ROW()-1)),"Not Requested",INDEX(SampleList[Experiment ID],ROW()-1))</f>
        <v>Not Requested</v>
      </c>
      <c r="C520">
        <f>Sampling!E518</f>
        <v>0</v>
      </c>
      <c r="D520">
        <f>NMRPrep[[#This Row],['#]]</f>
        <v>0</v>
      </c>
      <c r="G5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0" t="e">
        <f>IF(ISBLANK(NMRPrep[[#This Row],[Total (uL) ]]), 0, NMRPrep[[#This Row],[1mM Maleic Acid (uL) ]]/NMRPrep[[#This Row],[Total (uL) ]])</f>
        <v>#DIV/0!</v>
      </c>
      <c r="I520">
        <f>2</f>
        <v>2</v>
      </c>
      <c r="J520">
        <f>4</f>
        <v>4</v>
      </c>
      <c r="K520">
        <f>1</f>
        <v>1</v>
      </c>
    </row>
    <row r="521" spans="1:11" hidden="1" x14ac:dyDescent="0.25">
      <c r="A521" s="1">
        <f>Sampling!D519</f>
        <v>0</v>
      </c>
      <c r="B521" t="str" cm="1">
        <f t="array" ref="B521">IF(ISBLANK(INDEX(SampleList[NMR],ROW()-1)),"Not Requested",INDEX(SampleList[Experiment ID],ROW()-1))</f>
        <v>Not Requested</v>
      </c>
      <c r="C521">
        <f>Sampling!E519</f>
        <v>0</v>
      </c>
      <c r="D521">
        <f>NMRPrep[[#This Row],['#]]</f>
        <v>0</v>
      </c>
      <c r="G5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1" t="e">
        <f>IF(ISBLANK(NMRPrep[[#This Row],[Total (uL) ]]), 0, NMRPrep[[#This Row],[1mM Maleic Acid (uL) ]]/NMRPrep[[#This Row],[Total (uL) ]])</f>
        <v>#DIV/0!</v>
      </c>
      <c r="I521">
        <f>2</f>
        <v>2</v>
      </c>
      <c r="J521">
        <f>4</f>
        <v>4</v>
      </c>
      <c r="K521">
        <f>1</f>
        <v>1</v>
      </c>
    </row>
    <row r="522" spans="1:11" hidden="1" x14ac:dyDescent="0.25">
      <c r="A522" s="1">
        <f>Sampling!D520</f>
        <v>0</v>
      </c>
      <c r="B522" t="str" cm="1">
        <f t="array" ref="B522">IF(ISBLANK(INDEX(SampleList[NMR],ROW()-1)),"Not Requested",INDEX(SampleList[Experiment ID],ROW()-1))</f>
        <v>Not Requested</v>
      </c>
      <c r="C522">
        <f>Sampling!E520</f>
        <v>0</v>
      </c>
      <c r="D522">
        <f>NMRPrep[[#This Row],['#]]</f>
        <v>0</v>
      </c>
      <c r="G5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2" t="e">
        <f>IF(ISBLANK(NMRPrep[[#This Row],[Total (uL) ]]), 0, NMRPrep[[#This Row],[1mM Maleic Acid (uL) ]]/NMRPrep[[#This Row],[Total (uL) ]])</f>
        <v>#DIV/0!</v>
      </c>
      <c r="I522">
        <f>2</f>
        <v>2</v>
      </c>
      <c r="J522">
        <f>4</f>
        <v>4</v>
      </c>
      <c r="K522">
        <f>1</f>
        <v>1</v>
      </c>
    </row>
    <row r="523" spans="1:11" hidden="1" x14ac:dyDescent="0.25">
      <c r="A523" s="1">
        <f>Sampling!D521</f>
        <v>0</v>
      </c>
      <c r="B523" t="str" cm="1">
        <f t="array" ref="B523">IF(ISBLANK(INDEX(SampleList[NMR],ROW()-1)),"Not Requested",INDEX(SampleList[Experiment ID],ROW()-1))</f>
        <v>Not Requested</v>
      </c>
      <c r="C523">
        <f>Sampling!E521</f>
        <v>0</v>
      </c>
      <c r="D523">
        <f>NMRPrep[[#This Row],['#]]</f>
        <v>0</v>
      </c>
      <c r="G5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3" t="e">
        <f>IF(ISBLANK(NMRPrep[[#This Row],[Total (uL) ]]), 0, NMRPrep[[#This Row],[1mM Maleic Acid (uL) ]]/NMRPrep[[#This Row],[Total (uL) ]])</f>
        <v>#DIV/0!</v>
      </c>
      <c r="I523">
        <f>2</f>
        <v>2</v>
      </c>
      <c r="J523">
        <f>4</f>
        <v>4</v>
      </c>
      <c r="K523">
        <f>1</f>
        <v>1</v>
      </c>
    </row>
    <row r="524" spans="1:11" hidden="1" x14ac:dyDescent="0.25">
      <c r="A524" s="1">
        <f>Sampling!D522</f>
        <v>0</v>
      </c>
      <c r="B524" t="str" cm="1">
        <f t="array" ref="B524">IF(ISBLANK(INDEX(SampleList[NMR],ROW()-1)),"Not Requested",INDEX(SampleList[Experiment ID],ROW()-1))</f>
        <v>Not Requested</v>
      </c>
      <c r="C524">
        <f>Sampling!E522</f>
        <v>0</v>
      </c>
      <c r="D524">
        <f>NMRPrep[[#This Row],['#]]</f>
        <v>0</v>
      </c>
      <c r="G5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4" t="e">
        <f>IF(ISBLANK(NMRPrep[[#This Row],[Total (uL) ]]), 0, NMRPrep[[#This Row],[1mM Maleic Acid (uL) ]]/NMRPrep[[#This Row],[Total (uL) ]])</f>
        <v>#DIV/0!</v>
      </c>
      <c r="I524">
        <f>2</f>
        <v>2</v>
      </c>
      <c r="J524">
        <f>4</f>
        <v>4</v>
      </c>
      <c r="K524">
        <f>1</f>
        <v>1</v>
      </c>
    </row>
    <row r="525" spans="1:11" hidden="1" x14ac:dyDescent="0.25">
      <c r="A525" s="1">
        <f>Sampling!D523</f>
        <v>0</v>
      </c>
      <c r="B525" t="str" cm="1">
        <f t="array" ref="B525">IF(ISBLANK(INDEX(SampleList[NMR],ROW()-1)),"Not Requested",INDEX(SampleList[Experiment ID],ROW()-1))</f>
        <v>Not Requested</v>
      </c>
      <c r="C525">
        <f>Sampling!E523</f>
        <v>0</v>
      </c>
      <c r="D525">
        <f>NMRPrep[[#This Row],['#]]</f>
        <v>0</v>
      </c>
      <c r="G5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5" t="e">
        <f>IF(ISBLANK(NMRPrep[[#This Row],[Total (uL) ]]), 0, NMRPrep[[#This Row],[1mM Maleic Acid (uL) ]]/NMRPrep[[#This Row],[Total (uL) ]])</f>
        <v>#DIV/0!</v>
      </c>
      <c r="I525">
        <f>2</f>
        <v>2</v>
      </c>
      <c r="J525">
        <f>4</f>
        <v>4</v>
      </c>
      <c r="K525">
        <f>1</f>
        <v>1</v>
      </c>
    </row>
    <row r="526" spans="1:11" hidden="1" x14ac:dyDescent="0.25">
      <c r="A526" s="1">
        <f>Sampling!D524</f>
        <v>0</v>
      </c>
      <c r="B526" t="str" cm="1">
        <f t="array" ref="B526">IF(ISBLANK(INDEX(SampleList[NMR],ROW()-1)),"Not Requested",INDEX(SampleList[Experiment ID],ROW()-1))</f>
        <v>Not Requested</v>
      </c>
      <c r="C526">
        <f>Sampling!E524</f>
        <v>0</v>
      </c>
      <c r="D526">
        <f>NMRPrep[[#This Row],['#]]</f>
        <v>0</v>
      </c>
      <c r="G5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6" t="e">
        <f>IF(ISBLANK(NMRPrep[[#This Row],[Total (uL) ]]), 0, NMRPrep[[#This Row],[1mM Maleic Acid (uL) ]]/NMRPrep[[#This Row],[Total (uL) ]])</f>
        <v>#DIV/0!</v>
      </c>
      <c r="I526">
        <f>2</f>
        <v>2</v>
      </c>
      <c r="J526">
        <f>4</f>
        <v>4</v>
      </c>
      <c r="K526">
        <f>1</f>
        <v>1</v>
      </c>
    </row>
    <row r="527" spans="1:11" hidden="1" x14ac:dyDescent="0.25">
      <c r="A527" s="1">
        <f>Sampling!D525</f>
        <v>0</v>
      </c>
      <c r="B527" t="str" cm="1">
        <f t="array" ref="B527">IF(ISBLANK(INDEX(SampleList[NMR],ROW()-1)),"Not Requested",INDEX(SampleList[Experiment ID],ROW()-1))</f>
        <v>Not Requested</v>
      </c>
      <c r="C527">
        <f>Sampling!E525</f>
        <v>0</v>
      </c>
      <c r="D527">
        <f>NMRPrep[[#This Row],['#]]</f>
        <v>0</v>
      </c>
      <c r="G5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7" t="e">
        <f>IF(ISBLANK(NMRPrep[[#This Row],[Total (uL) ]]), 0, NMRPrep[[#This Row],[1mM Maleic Acid (uL) ]]/NMRPrep[[#This Row],[Total (uL) ]])</f>
        <v>#DIV/0!</v>
      </c>
      <c r="I527">
        <f>2</f>
        <v>2</v>
      </c>
      <c r="J527">
        <f>4</f>
        <v>4</v>
      </c>
      <c r="K527">
        <f>1</f>
        <v>1</v>
      </c>
    </row>
    <row r="528" spans="1:11" hidden="1" x14ac:dyDescent="0.25">
      <c r="A528" s="1">
        <f>Sampling!D526</f>
        <v>0</v>
      </c>
      <c r="B528" t="str" cm="1">
        <f t="array" ref="B528">IF(ISBLANK(INDEX(SampleList[NMR],ROW()-1)),"Not Requested",INDEX(SampleList[Experiment ID],ROW()-1))</f>
        <v>Not Requested</v>
      </c>
      <c r="C528">
        <f>Sampling!E526</f>
        <v>0</v>
      </c>
      <c r="D528">
        <f>NMRPrep[[#This Row],['#]]</f>
        <v>0</v>
      </c>
      <c r="G5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8" t="e">
        <f>IF(ISBLANK(NMRPrep[[#This Row],[Total (uL) ]]), 0, NMRPrep[[#This Row],[1mM Maleic Acid (uL) ]]/NMRPrep[[#This Row],[Total (uL) ]])</f>
        <v>#DIV/0!</v>
      </c>
      <c r="I528">
        <f>2</f>
        <v>2</v>
      </c>
      <c r="J528">
        <f>4</f>
        <v>4</v>
      </c>
      <c r="K528">
        <f>1</f>
        <v>1</v>
      </c>
    </row>
    <row r="529" spans="1:11" hidden="1" x14ac:dyDescent="0.25">
      <c r="A529" s="1">
        <f>Sampling!D527</f>
        <v>0</v>
      </c>
      <c r="B529" t="str" cm="1">
        <f t="array" ref="B529">IF(ISBLANK(INDEX(SampleList[NMR],ROW()-1)),"Not Requested",INDEX(SampleList[Experiment ID],ROW()-1))</f>
        <v>Not Requested</v>
      </c>
      <c r="C529">
        <f>Sampling!E527</f>
        <v>0</v>
      </c>
      <c r="D529">
        <f>NMRPrep[[#This Row],['#]]</f>
        <v>0</v>
      </c>
      <c r="G5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29" t="e">
        <f>IF(ISBLANK(NMRPrep[[#This Row],[Total (uL) ]]), 0, NMRPrep[[#This Row],[1mM Maleic Acid (uL) ]]/NMRPrep[[#This Row],[Total (uL) ]])</f>
        <v>#DIV/0!</v>
      </c>
      <c r="I529">
        <f>2</f>
        <v>2</v>
      </c>
      <c r="J529">
        <f>4</f>
        <v>4</v>
      </c>
      <c r="K529">
        <f>1</f>
        <v>1</v>
      </c>
    </row>
    <row r="530" spans="1:11" hidden="1" x14ac:dyDescent="0.25">
      <c r="A530" s="1">
        <f>Sampling!D528</f>
        <v>0</v>
      </c>
      <c r="B530" t="str" cm="1">
        <f t="array" ref="B530">IF(ISBLANK(INDEX(SampleList[NMR],ROW()-1)),"Not Requested",INDEX(SampleList[Experiment ID],ROW()-1))</f>
        <v>Not Requested</v>
      </c>
      <c r="C530">
        <f>Sampling!E528</f>
        <v>0</v>
      </c>
      <c r="D530">
        <f>NMRPrep[[#This Row],['#]]</f>
        <v>0</v>
      </c>
      <c r="G5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0" t="e">
        <f>IF(ISBLANK(NMRPrep[[#This Row],[Total (uL) ]]), 0, NMRPrep[[#This Row],[1mM Maleic Acid (uL) ]]/NMRPrep[[#This Row],[Total (uL) ]])</f>
        <v>#DIV/0!</v>
      </c>
      <c r="I530">
        <f>2</f>
        <v>2</v>
      </c>
      <c r="J530">
        <f>4</f>
        <v>4</v>
      </c>
      <c r="K530">
        <f>1</f>
        <v>1</v>
      </c>
    </row>
    <row r="531" spans="1:11" hidden="1" x14ac:dyDescent="0.25">
      <c r="A531" s="1">
        <f>Sampling!D529</f>
        <v>0</v>
      </c>
      <c r="B531" t="str" cm="1">
        <f t="array" ref="B531">IF(ISBLANK(INDEX(SampleList[NMR],ROW()-1)),"Not Requested",INDEX(SampleList[Experiment ID],ROW()-1))</f>
        <v>Not Requested</v>
      </c>
      <c r="C531">
        <f>Sampling!E529</f>
        <v>0</v>
      </c>
      <c r="D531">
        <f>NMRPrep[[#This Row],['#]]</f>
        <v>0</v>
      </c>
      <c r="G5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1" t="e">
        <f>IF(ISBLANK(NMRPrep[[#This Row],[Total (uL) ]]), 0, NMRPrep[[#This Row],[1mM Maleic Acid (uL) ]]/NMRPrep[[#This Row],[Total (uL) ]])</f>
        <v>#DIV/0!</v>
      </c>
      <c r="I531">
        <f>2</f>
        <v>2</v>
      </c>
      <c r="J531">
        <f>4</f>
        <v>4</v>
      </c>
      <c r="K531">
        <f>1</f>
        <v>1</v>
      </c>
    </row>
    <row r="532" spans="1:11" hidden="1" x14ac:dyDescent="0.25">
      <c r="A532" s="1">
        <f>Sampling!D530</f>
        <v>0</v>
      </c>
      <c r="B532" t="str" cm="1">
        <f t="array" ref="B532">IF(ISBLANK(INDEX(SampleList[NMR],ROW()-1)),"Not Requested",INDEX(SampleList[Experiment ID],ROW()-1))</f>
        <v>Not Requested</v>
      </c>
      <c r="C532">
        <f>Sampling!E530</f>
        <v>0</v>
      </c>
      <c r="D532">
        <f>NMRPrep[[#This Row],['#]]</f>
        <v>0</v>
      </c>
      <c r="G5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2" t="e">
        <f>IF(ISBLANK(NMRPrep[[#This Row],[Total (uL) ]]), 0, NMRPrep[[#This Row],[1mM Maleic Acid (uL) ]]/NMRPrep[[#This Row],[Total (uL) ]])</f>
        <v>#DIV/0!</v>
      </c>
      <c r="I532">
        <f>2</f>
        <v>2</v>
      </c>
      <c r="J532">
        <f>4</f>
        <v>4</v>
      </c>
      <c r="K532">
        <f>1</f>
        <v>1</v>
      </c>
    </row>
    <row r="533" spans="1:11" hidden="1" x14ac:dyDescent="0.25">
      <c r="A533" s="1">
        <f>Sampling!D531</f>
        <v>0</v>
      </c>
      <c r="B533" t="str" cm="1">
        <f t="array" ref="B533">IF(ISBLANK(INDEX(SampleList[NMR],ROW()-1)),"Not Requested",INDEX(SampleList[Experiment ID],ROW()-1))</f>
        <v>Not Requested</v>
      </c>
      <c r="C533">
        <f>Sampling!E531</f>
        <v>0</v>
      </c>
      <c r="D533">
        <f>NMRPrep[[#This Row],['#]]</f>
        <v>0</v>
      </c>
      <c r="G5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3" t="e">
        <f>IF(ISBLANK(NMRPrep[[#This Row],[Total (uL) ]]), 0, NMRPrep[[#This Row],[1mM Maleic Acid (uL) ]]/NMRPrep[[#This Row],[Total (uL) ]])</f>
        <v>#DIV/0!</v>
      </c>
      <c r="I533">
        <f>2</f>
        <v>2</v>
      </c>
      <c r="J533">
        <f>4</f>
        <v>4</v>
      </c>
      <c r="K533">
        <f>1</f>
        <v>1</v>
      </c>
    </row>
    <row r="534" spans="1:11" hidden="1" x14ac:dyDescent="0.25">
      <c r="A534" s="1">
        <f>Sampling!D532</f>
        <v>0</v>
      </c>
      <c r="B534" t="str" cm="1">
        <f t="array" ref="B534">IF(ISBLANK(INDEX(SampleList[NMR],ROW()-1)),"Not Requested",INDEX(SampleList[Experiment ID],ROW()-1))</f>
        <v>Not Requested</v>
      </c>
      <c r="C534">
        <f>Sampling!E532</f>
        <v>0</v>
      </c>
      <c r="D534">
        <f>NMRPrep[[#This Row],['#]]</f>
        <v>0</v>
      </c>
      <c r="G5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4" t="e">
        <f>IF(ISBLANK(NMRPrep[[#This Row],[Total (uL) ]]), 0, NMRPrep[[#This Row],[1mM Maleic Acid (uL) ]]/NMRPrep[[#This Row],[Total (uL) ]])</f>
        <v>#DIV/0!</v>
      </c>
      <c r="I534">
        <f>2</f>
        <v>2</v>
      </c>
      <c r="J534">
        <f>4</f>
        <v>4</v>
      </c>
      <c r="K534">
        <f>1</f>
        <v>1</v>
      </c>
    </row>
    <row r="535" spans="1:11" hidden="1" x14ac:dyDescent="0.25">
      <c r="A535" s="1">
        <f>Sampling!D533</f>
        <v>0</v>
      </c>
      <c r="B535" t="str" cm="1">
        <f t="array" ref="B535">IF(ISBLANK(INDEX(SampleList[NMR],ROW()-1)),"Not Requested",INDEX(SampleList[Experiment ID],ROW()-1))</f>
        <v>Not Requested</v>
      </c>
      <c r="C535">
        <f>Sampling!E533</f>
        <v>0</v>
      </c>
      <c r="D535">
        <f>NMRPrep[[#This Row],['#]]</f>
        <v>0</v>
      </c>
      <c r="G5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5" t="e">
        <f>IF(ISBLANK(NMRPrep[[#This Row],[Total (uL) ]]), 0, NMRPrep[[#This Row],[1mM Maleic Acid (uL) ]]/NMRPrep[[#This Row],[Total (uL) ]])</f>
        <v>#DIV/0!</v>
      </c>
      <c r="I535">
        <f>2</f>
        <v>2</v>
      </c>
      <c r="J535">
        <f>4</f>
        <v>4</v>
      </c>
      <c r="K535">
        <f>1</f>
        <v>1</v>
      </c>
    </row>
    <row r="536" spans="1:11" hidden="1" x14ac:dyDescent="0.25">
      <c r="A536" s="1">
        <f>Sampling!D534</f>
        <v>0</v>
      </c>
      <c r="B536" t="str" cm="1">
        <f t="array" ref="B536">IF(ISBLANK(INDEX(SampleList[NMR],ROW()-1)),"Not Requested",INDEX(SampleList[Experiment ID],ROW()-1))</f>
        <v>Not Requested</v>
      </c>
      <c r="C536">
        <f>Sampling!E534</f>
        <v>0</v>
      </c>
      <c r="D536">
        <f>NMRPrep[[#This Row],['#]]</f>
        <v>0</v>
      </c>
      <c r="G5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6" t="e">
        <f>IF(ISBLANK(NMRPrep[[#This Row],[Total (uL) ]]), 0, NMRPrep[[#This Row],[1mM Maleic Acid (uL) ]]/NMRPrep[[#This Row],[Total (uL) ]])</f>
        <v>#DIV/0!</v>
      </c>
      <c r="I536">
        <f>2</f>
        <v>2</v>
      </c>
      <c r="J536">
        <f>4</f>
        <v>4</v>
      </c>
      <c r="K536">
        <f>1</f>
        <v>1</v>
      </c>
    </row>
    <row r="537" spans="1:11" hidden="1" x14ac:dyDescent="0.25">
      <c r="A537" s="1">
        <f>Sampling!D535</f>
        <v>0</v>
      </c>
      <c r="B537" t="str" cm="1">
        <f t="array" ref="B537">IF(ISBLANK(INDEX(SampleList[NMR],ROW()-1)),"Not Requested",INDEX(SampleList[Experiment ID],ROW()-1))</f>
        <v>Not Requested</v>
      </c>
      <c r="C537">
        <f>Sampling!E535</f>
        <v>0</v>
      </c>
      <c r="D537">
        <f>NMRPrep[[#This Row],['#]]</f>
        <v>0</v>
      </c>
      <c r="G5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7" t="e">
        <f>IF(ISBLANK(NMRPrep[[#This Row],[Total (uL) ]]), 0, NMRPrep[[#This Row],[1mM Maleic Acid (uL) ]]/NMRPrep[[#This Row],[Total (uL) ]])</f>
        <v>#DIV/0!</v>
      </c>
      <c r="I537">
        <f>2</f>
        <v>2</v>
      </c>
      <c r="J537">
        <f>4</f>
        <v>4</v>
      </c>
      <c r="K537">
        <f>1</f>
        <v>1</v>
      </c>
    </row>
    <row r="538" spans="1:11" hidden="1" x14ac:dyDescent="0.25">
      <c r="A538" s="1">
        <f>Sampling!D536</f>
        <v>0</v>
      </c>
      <c r="B538" t="str" cm="1">
        <f t="array" ref="B538">IF(ISBLANK(INDEX(SampleList[NMR],ROW()-1)),"Not Requested",INDEX(SampleList[Experiment ID],ROW()-1))</f>
        <v>Not Requested</v>
      </c>
      <c r="C538">
        <f>Sampling!E536</f>
        <v>0</v>
      </c>
      <c r="D538">
        <f>NMRPrep[[#This Row],['#]]</f>
        <v>0</v>
      </c>
      <c r="G5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8" t="e">
        <f>IF(ISBLANK(NMRPrep[[#This Row],[Total (uL) ]]), 0, NMRPrep[[#This Row],[1mM Maleic Acid (uL) ]]/NMRPrep[[#This Row],[Total (uL) ]])</f>
        <v>#DIV/0!</v>
      </c>
      <c r="I538">
        <f>2</f>
        <v>2</v>
      </c>
      <c r="J538">
        <f>4</f>
        <v>4</v>
      </c>
      <c r="K538">
        <f>1</f>
        <v>1</v>
      </c>
    </row>
    <row r="539" spans="1:11" hidden="1" x14ac:dyDescent="0.25">
      <c r="A539" s="1">
        <f>Sampling!D537</f>
        <v>0</v>
      </c>
      <c r="B539" t="str" cm="1">
        <f t="array" ref="B539">IF(ISBLANK(INDEX(SampleList[NMR],ROW()-1)),"Not Requested",INDEX(SampleList[Experiment ID],ROW()-1))</f>
        <v>Not Requested</v>
      </c>
      <c r="C539">
        <f>Sampling!E537</f>
        <v>0</v>
      </c>
      <c r="D539">
        <f>NMRPrep[[#This Row],['#]]</f>
        <v>0</v>
      </c>
      <c r="G5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39" t="e">
        <f>IF(ISBLANK(NMRPrep[[#This Row],[Total (uL) ]]), 0, NMRPrep[[#This Row],[1mM Maleic Acid (uL) ]]/NMRPrep[[#This Row],[Total (uL) ]])</f>
        <v>#DIV/0!</v>
      </c>
      <c r="I539">
        <f>2</f>
        <v>2</v>
      </c>
      <c r="J539">
        <f>4</f>
        <v>4</v>
      </c>
      <c r="K539">
        <f>1</f>
        <v>1</v>
      </c>
    </row>
    <row r="540" spans="1:11" hidden="1" x14ac:dyDescent="0.25">
      <c r="A540" s="1">
        <f>Sampling!D538</f>
        <v>0</v>
      </c>
      <c r="B540" t="str" cm="1">
        <f t="array" ref="B540">IF(ISBLANK(INDEX(SampleList[NMR],ROW()-1)),"Not Requested",INDEX(SampleList[Experiment ID],ROW()-1))</f>
        <v>Not Requested</v>
      </c>
      <c r="C540">
        <f>Sampling!E538</f>
        <v>0</v>
      </c>
      <c r="D540">
        <f>NMRPrep[[#This Row],['#]]</f>
        <v>0</v>
      </c>
      <c r="G5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0" t="e">
        <f>IF(ISBLANK(NMRPrep[[#This Row],[Total (uL) ]]), 0, NMRPrep[[#This Row],[1mM Maleic Acid (uL) ]]/NMRPrep[[#This Row],[Total (uL) ]])</f>
        <v>#DIV/0!</v>
      </c>
      <c r="I540">
        <f>2</f>
        <v>2</v>
      </c>
      <c r="J540">
        <f>4</f>
        <v>4</v>
      </c>
      <c r="K540">
        <f>1</f>
        <v>1</v>
      </c>
    </row>
    <row r="541" spans="1:11" hidden="1" x14ac:dyDescent="0.25">
      <c r="A541" s="1">
        <f>Sampling!D539</f>
        <v>0</v>
      </c>
      <c r="B541" t="str" cm="1">
        <f t="array" ref="B541">IF(ISBLANK(INDEX(SampleList[NMR],ROW()-1)),"Not Requested",INDEX(SampleList[Experiment ID],ROW()-1))</f>
        <v>Not Requested</v>
      </c>
      <c r="C541">
        <f>Sampling!E539</f>
        <v>0</v>
      </c>
      <c r="D541">
        <f>NMRPrep[[#This Row],['#]]</f>
        <v>0</v>
      </c>
      <c r="G5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1" t="e">
        <f>IF(ISBLANK(NMRPrep[[#This Row],[Total (uL) ]]), 0, NMRPrep[[#This Row],[1mM Maleic Acid (uL) ]]/NMRPrep[[#This Row],[Total (uL) ]])</f>
        <v>#DIV/0!</v>
      </c>
      <c r="I541">
        <f>2</f>
        <v>2</v>
      </c>
      <c r="J541">
        <f>4</f>
        <v>4</v>
      </c>
      <c r="K541">
        <f>1</f>
        <v>1</v>
      </c>
    </row>
    <row r="542" spans="1:11" hidden="1" x14ac:dyDescent="0.25">
      <c r="A542" s="1">
        <f>Sampling!D540</f>
        <v>0</v>
      </c>
      <c r="B542" t="str" cm="1">
        <f t="array" ref="B542">IF(ISBLANK(INDEX(SampleList[NMR],ROW()-1)),"Not Requested",INDEX(SampleList[Experiment ID],ROW()-1))</f>
        <v>Not Requested</v>
      </c>
      <c r="C542">
        <f>Sampling!E540</f>
        <v>0</v>
      </c>
      <c r="D542">
        <f>NMRPrep[[#This Row],['#]]</f>
        <v>0</v>
      </c>
      <c r="G5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2" t="e">
        <f>IF(ISBLANK(NMRPrep[[#This Row],[Total (uL) ]]), 0, NMRPrep[[#This Row],[1mM Maleic Acid (uL) ]]/NMRPrep[[#This Row],[Total (uL) ]])</f>
        <v>#DIV/0!</v>
      </c>
      <c r="I542">
        <f>2</f>
        <v>2</v>
      </c>
      <c r="J542">
        <f>4</f>
        <v>4</v>
      </c>
      <c r="K542">
        <f>1</f>
        <v>1</v>
      </c>
    </row>
    <row r="543" spans="1:11" hidden="1" x14ac:dyDescent="0.25">
      <c r="A543" s="1">
        <f>Sampling!D541</f>
        <v>0</v>
      </c>
      <c r="B543" t="str" cm="1">
        <f t="array" ref="B543">IF(ISBLANK(INDEX(SampleList[NMR],ROW()-1)),"Not Requested",INDEX(SampleList[Experiment ID],ROW()-1))</f>
        <v>Not Requested</v>
      </c>
      <c r="C543">
        <f>Sampling!E541</f>
        <v>0</v>
      </c>
      <c r="D543">
        <f>NMRPrep[[#This Row],['#]]</f>
        <v>0</v>
      </c>
      <c r="G5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3" t="e">
        <f>IF(ISBLANK(NMRPrep[[#This Row],[Total (uL) ]]), 0, NMRPrep[[#This Row],[1mM Maleic Acid (uL) ]]/NMRPrep[[#This Row],[Total (uL) ]])</f>
        <v>#DIV/0!</v>
      </c>
      <c r="I543">
        <f>2</f>
        <v>2</v>
      </c>
      <c r="J543">
        <f>4</f>
        <v>4</v>
      </c>
      <c r="K543">
        <f>1</f>
        <v>1</v>
      </c>
    </row>
    <row r="544" spans="1:11" hidden="1" x14ac:dyDescent="0.25">
      <c r="A544" s="1">
        <f>Sampling!D542</f>
        <v>0</v>
      </c>
      <c r="B544" t="str" cm="1">
        <f t="array" ref="B544">IF(ISBLANK(INDEX(SampleList[NMR],ROW()-1)),"Not Requested",INDEX(SampleList[Experiment ID],ROW()-1))</f>
        <v>Not Requested</v>
      </c>
      <c r="C544">
        <f>Sampling!E542</f>
        <v>0</v>
      </c>
      <c r="D544">
        <f>NMRPrep[[#This Row],['#]]</f>
        <v>0</v>
      </c>
      <c r="G5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4" t="e">
        <f>IF(ISBLANK(NMRPrep[[#This Row],[Total (uL) ]]), 0, NMRPrep[[#This Row],[1mM Maleic Acid (uL) ]]/NMRPrep[[#This Row],[Total (uL) ]])</f>
        <v>#DIV/0!</v>
      </c>
      <c r="I544">
        <f>2</f>
        <v>2</v>
      </c>
      <c r="J544">
        <f>4</f>
        <v>4</v>
      </c>
      <c r="K544">
        <f>1</f>
        <v>1</v>
      </c>
    </row>
    <row r="545" spans="1:11" hidden="1" x14ac:dyDescent="0.25">
      <c r="A545" s="1">
        <f>Sampling!D543</f>
        <v>0</v>
      </c>
      <c r="B545" t="str" cm="1">
        <f t="array" ref="B545">IF(ISBLANK(INDEX(SampleList[NMR],ROW()-1)),"Not Requested",INDEX(SampleList[Experiment ID],ROW()-1))</f>
        <v>Not Requested</v>
      </c>
      <c r="C545">
        <f>Sampling!E543</f>
        <v>0</v>
      </c>
      <c r="D545">
        <f>NMRPrep[[#This Row],['#]]</f>
        <v>0</v>
      </c>
      <c r="G5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5" t="e">
        <f>IF(ISBLANK(NMRPrep[[#This Row],[Total (uL) ]]), 0, NMRPrep[[#This Row],[1mM Maleic Acid (uL) ]]/NMRPrep[[#This Row],[Total (uL) ]])</f>
        <v>#DIV/0!</v>
      </c>
      <c r="I545">
        <f>2</f>
        <v>2</v>
      </c>
      <c r="J545">
        <f>4</f>
        <v>4</v>
      </c>
      <c r="K545">
        <f>1</f>
        <v>1</v>
      </c>
    </row>
    <row r="546" spans="1:11" hidden="1" x14ac:dyDescent="0.25">
      <c r="A546" s="1">
        <f>Sampling!D544</f>
        <v>0</v>
      </c>
      <c r="B546" t="str" cm="1">
        <f t="array" ref="B546">IF(ISBLANK(INDEX(SampleList[NMR],ROW()-1)),"Not Requested",INDEX(SampleList[Experiment ID],ROW()-1))</f>
        <v>Not Requested</v>
      </c>
      <c r="C546">
        <f>Sampling!E544</f>
        <v>0</v>
      </c>
      <c r="D546">
        <f>NMRPrep[[#This Row],['#]]</f>
        <v>0</v>
      </c>
      <c r="G5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6" t="e">
        <f>IF(ISBLANK(NMRPrep[[#This Row],[Total (uL) ]]), 0, NMRPrep[[#This Row],[1mM Maleic Acid (uL) ]]/NMRPrep[[#This Row],[Total (uL) ]])</f>
        <v>#DIV/0!</v>
      </c>
      <c r="I546">
        <f>2</f>
        <v>2</v>
      </c>
      <c r="J546">
        <f>4</f>
        <v>4</v>
      </c>
      <c r="K546">
        <f>1</f>
        <v>1</v>
      </c>
    </row>
    <row r="547" spans="1:11" hidden="1" x14ac:dyDescent="0.25">
      <c r="A547" s="1">
        <f>Sampling!D545</f>
        <v>0</v>
      </c>
      <c r="B547" t="str" cm="1">
        <f t="array" ref="B547">IF(ISBLANK(INDEX(SampleList[NMR],ROW()-1)),"Not Requested",INDEX(SampleList[Experiment ID],ROW()-1))</f>
        <v>Not Requested</v>
      </c>
      <c r="C547">
        <f>Sampling!E545</f>
        <v>0</v>
      </c>
      <c r="D547">
        <f>NMRPrep[[#This Row],['#]]</f>
        <v>0</v>
      </c>
      <c r="G5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7" t="e">
        <f>IF(ISBLANK(NMRPrep[[#This Row],[Total (uL) ]]), 0, NMRPrep[[#This Row],[1mM Maleic Acid (uL) ]]/NMRPrep[[#This Row],[Total (uL) ]])</f>
        <v>#DIV/0!</v>
      </c>
      <c r="I547">
        <f>2</f>
        <v>2</v>
      </c>
      <c r="J547">
        <f>4</f>
        <v>4</v>
      </c>
      <c r="K547">
        <f>1</f>
        <v>1</v>
      </c>
    </row>
    <row r="548" spans="1:11" hidden="1" x14ac:dyDescent="0.25">
      <c r="A548" s="1">
        <f>Sampling!D546</f>
        <v>0</v>
      </c>
      <c r="B548" t="str" cm="1">
        <f t="array" ref="B548">IF(ISBLANK(INDEX(SampleList[NMR],ROW()-1)),"Not Requested",INDEX(SampleList[Experiment ID],ROW()-1))</f>
        <v>Not Requested</v>
      </c>
      <c r="C548">
        <f>Sampling!E546</f>
        <v>0</v>
      </c>
      <c r="D548">
        <f>NMRPrep[[#This Row],['#]]</f>
        <v>0</v>
      </c>
      <c r="G5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8" t="e">
        <f>IF(ISBLANK(NMRPrep[[#This Row],[Total (uL) ]]), 0, NMRPrep[[#This Row],[1mM Maleic Acid (uL) ]]/NMRPrep[[#This Row],[Total (uL) ]])</f>
        <v>#DIV/0!</v>
      </c>
      <c r="I548">
        <f>2</f>
        <v>2</v>
      </c>
      <c r="J548">
        <f>4</f>
        <v>4</v>
      </c>
      <c r="K548">
        <f>1</f>
        <v>1</v>
      </c>
    </row>
    <row r="549" spans="1:11" hidden="1" x14ac:dyDescent="0.25">
      <c r="A549" s="1">
        <f>Sampling!D547</f>
        <v>0</v>
      </c>
      <c r="B549" t="str" cm="1">
        <f t="array" ref="B549">IF(ISBLANK(INDEX(SampleList[NMR],ROW()-1)),"Not Requested",INDEX(SampleList[Experiment ID],ROW()-1))</f>
        <v>Not Requested</v>
      </c>
      <c r="C549">
        <f>Sampling!E547</f>
        <v>0</v>
      </c>
      <c r="D549">
        <f>NMRPrep[[#This Row],['#]]</f>
        <v>0</v>
      </c>
      <c r="G5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49" t="e">
        <f>IF(ISBLANK(NMRPrep[[#This Row],[Total (uL) ]]), 0, NMRPrep[[#This Row],[1mM Maleic Acid (uL) ]]/NMRPrep[[#This Row],[Total (uL) ]])</f>
        <v>#DIV/0!</v>
      </c>
      <c r="I549">
        <f>2</f>
        <v>2</v>
      </c>
      <c r="J549">
        <f>4</f>
        <v>4</v>
      </c>
      <c r="K549">
        <f>1</f>
        <v>1</v>
      </c>
    </row>
    <row r="550" spans="1:11" hidden="1" x14ac:dyDescent="0.25">
      <c r="A550" s="1">
        <f>Sampling!D548</f>
        <v>0</v>
      </c>
      <c r="B550" t="str" cm="1">
        <f t="array" ref="B550">IF(ISBLANK(INDEX(SampleList[NMR],ROW()-1)),"Not Requested",INDEX(SampleList[Experiment ID],ROW()-1))</f>
        <v>Not Requested</v>
      </c>
      <c r="C550">
        <f>Sampling!E548</f>
        <v>0</v>
      </c>
      <c r="D550">
        <f>NMRPrep[[#This Row],['#]]</f>
        <v>0</v>
      </c>
      <c r="G5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0" t="e">
        <f>IF(ISBLANK(NMRPrep[[#This Row],[Total (uL) ]]), 0, NMRPrep[[#This Row],[1mM Maleic Acid (uL) ]]/NMRPrep[[#This Row],[Total (uL) ]])</f>
        <v>#DIV/0!</v>
      </c>
      <c r="I550">
        <f>2</f>
        <v>2</v>
      </c>
      <c r="J550">
        <f>4</f>
        <v>4</v>
      </c>
      <c r="K550">
        <f>1</f>
        <v>1</v>
      </c>
    </row>
    <row r="551" spans="1:11" hidden="1" x14ac:dyDescent="0.25">
      <c r="A551" s="1">
        <f>Sampling!D549</f>
        <v>0</v>
      </c>
      <c r="B551" t="str" cm="1">
        <f t="array" ref="B551">IF(ISBLANK(INDEX(SampleList[NMR],ROW()-1)),"Not Requested",INDEX(SampleList[Experiment ID],ROW()-1))</f>
        <v>Not Requested</v>
      </c>
      <c r="C551">
        <f>Sampling!E549</f>
        <v>0</v>
      </c>
      <c r="D551">
        <f>NMRPrep[[#This Row],['#]]</f>
        <v>0</v>
      </c>
      <c r="G5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1" t="e">
        <f>IF(ISBLANK(NMRPrep[[#This Row],[Total (uL) ]]), 0, NMRPrep[[#This Row],[1mM Maleic Acid (uL) ]]/NMRPrep[[#This Row],[Total (uL) ]])</f>
        <v>#DIV/0!</v>
      </c>
      <c r="I551">
        <f>2</f>
        <v>2</v>
      </c>
      <c r="J551">
        <f>4</f>
        <v>4</v>
      </c>
      <c r="K551">
        <f>1</f>
        <v>1</v>
      </c>
    </row>
    <row r="552" spans="1:11" hidden="1" x14ac:dyDescent="0.25">
      <c r="A552" s="1">
        <f>Sampling!D550</f>
        <v>0</v>
      </c>
      <c r="B552" t="str" cm="1">
        <f t="array" ref="B552">IF(ISBLANK(INDEX(SampleList[NMR],ROW()-1)),"Not Requested",INDEX(SampleList[Experiment ID],ROW()-1))</f>
        <v>Not Requested</v>
      </c>
      <c r="C552">
        <f>Sampling!E550</f>
        <v>0</v>
      </c>
      <c r="D552">
        <f>NMRPrep[[#This Row],['#]]</f>
        <v>0</v>
      </c>
      <c r="G5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2" t="e">
        <f>IF(ISBLANK(NMRPrep[[#This Row],[Total (uL) ]]), 0, NMRPrep[[#This Row],[1mM Maleic Acid (uL) ]]/NMRPrep[[#This Row],[Total (uL) ]])</f>
        <v>#DIV/0!</v>
      </c>
      <c r="I552">
        <f>2</f>
        <v>2</v>
      </c>
      <c r="J552">
        <f>4</f>
        <v>4</v>
      </c>
      <c r="K552">
        <f>1</f>
        <v>1</v>
      </c>
    </row>
    <row r="553" spans="1:11" hidden="1" x14ac:dyDescent="0.25">
      <c r="A553" s="1">
        <f>Sampling!D551</f>
        <v>0</v>
      </c>
      <c r="B553" t="str" cm="1">
        <f t="array" ref="B553">IF(ISBLANK(INDEX(SampleList[NMR],ROW()-1)),"Not Requested",INDEX(SampleList[Experiment ID],ROW()-1))</f>
        <v>Not Requested</v>
      </c>
      <c r="C553">
        <f>Sampling!E551</f>
        <v>0</v>
      </c>
      <c r="D553">
        <f>NMRPrep[[#This Row],['#]]</f>
        <v>0</v>
      </c>
      <c r="G5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3" t="e">
        <f>IF(ISBLANK(NMRPrep[[#This Row],[Total (uL) ]]), 0, NMRPrep[[#This Row],[1mM Maleic Acid (uL) ]]/NMRPrep[[#This Row],[Total (uL) ]])</f>
        <v>#DIV/0!</v>
      </c>
      <c r="I553">
        <f>2</f>
        <v>2</v>
      </c>
      <c r="J553">
        <f>4</f>
        <v>4</v>
      </c>
      <c r="K553">
        <f>1</f>
        <v>1</v>
      </c>
    </row>
    <row r="554" spans="1:11" hidden="1" x14ac:dyDescent="0.25">
      <c r="A554" s="1">
        <f>Sampling!D552</f>
        <v>0</v>
      </c>
      <c r="B554" t="str" cm="1">
        <f t="array" ref="B554">IF(ISBLANK(INDEX(SampleList[NMR],ROW()-1)),"Not Requested",INDEX(SampleList[Experiment ID],ROW()-1))</f>
        <v>Not Requested</v>
      </c>
      <c r="C554">
        <f>Sampling!E552</f>
        <v>0</v>
      </c>
      <c r="D554">
        <f>NMRPrep[[#This Row],['#]]</f>
        <v>0</v>
      </c>
      <c r="G5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4" t="e">
        <f>IF(ISBLANK(NMRPrep[[#This Row],[Total (uL) ]]), 0, NMRPrep[[#This Row],[1mM Maleic Acid (uL) ]]/NMRPrep[[#This Row],[Total (uL) ]])</f>
        <v>#DIV/0!</v>
      </c>
      <c r="I554">
        <f>2</f>
        <v>2</v>
      </c>
      <c r="J554">
        <f>4</f>
        <v>4</v>
      </c>
      <c r="K554">
        <f>1</f>
        <v>1</v>
      </c>
    </row>
    <row r="555" spans="1:11" hidden="1" x14ac:dyDescent="0.25">
      <c r="A555" s="1">
        <f>Sampling!D553</f>
        <v>0</v>
      </c>
      <c r="B555" t="str" cm="1">
        <f t="array" ref="B555">IF(ISBLANK(INDEX(SampleList[NMR],ROW()-1)),"Not Requested",INDEX(SampleList[Experiment ID],ROW()-1))</f>
        <v>Not Requested</v>
      </c>
      <c r="C555">
        <f>Sampling!E553</f>
        <v>0</v>
      </c>
      <c r="D555">
        <f>NMRPrep[[#This Row],['#]]</f>
        <v>0</v>
      </c>
      <c r="G5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5" t="e">
        <f>IF(ISBLANK(NMRPrep[[#This Row],[Total (uL) ]]), 0, NMRPrep[[#This Row],[1mM Maleic Acid (uL) ]]/NMRPrep[[#This Row],[Total (uL) ]])</f>
        <v>#DIV/0!</v>
      </c>
      <c r="I555">
        <f>2</f>
        <v>2</v>
      </c>
      <c r="J555">
        <f>4</f>
        <v>4</v>
      </c>
      <c r="K555">
        <f>1</f>
        <v>1</v>
      </c>
    </row>
    <row r="556" spans="1:11" hidden="1" x14ac:dyDescent="0.25">
      <c r="A556" s="1">
        <f>Sampling!D554</f>
        <v>0</v>
      </c>
      <c r="B556" t="str" cm="1">
        <f t="array" ref="B556">IF(ISBLANK(INDEX(SampleList[NMR],ROW()-1)),"Not Requested",INDEX(SampleList[Experiment ID],ROW()-1))</f>
        <v>Not Requested</v>
      </c>
      <c r="C556">
        <f>Sampling!E554</f>
        <v>0</v>
      </c>
      <c r="D556">
        <f>NMRPrep[[#This Row],['#]]</f>
        <v>0</v>
      </c>
      <c r="G5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6" t="e">
        <f>IF(ISBLANK(NMRPrep[[#This Row],[Total (uL) ]]), 0, NMRPrep[[#This Row],[1mM Maleic Acid (uL) ]]/NMRPrep[[#This Row],[Total (uL) ]])</f>
        <v>#DIV/0!</v>
      </c>
      <c r="I556">
        <f>2</f>
        <v>2</v>
      </c>
      <c r="J556">
        <f>4</f>
        <v>4</v>
      </c>
      <c r="K556">
        <f>1</f>
        <v>1</v>
      </c>
    </row>
    <row r="557" spans="1:11" hidden="1" x14ac:dyDescent="0.25">
      <c r="A557" s="1">
        <f>Sampling!D555</f>
        <v>0</v>
      </c>
      <c r="B557" t="str" cm="1">
        <f t="array" ref="B557">IF(ISBLANK(INDEX(SampleList[NMR],ROW()-1)),"Not Requested",INDEX(SampleList[Experiment ID],ROW()-1))</f>
        <v>Not Requested</v>
      </c>
      <c r="C557">
        <f>Sampling!E555</f>
        <v>0</v>
      </c>
      <c r="D557">
        <f>NMRPrep[[#This Row],['#]]</f>
        <v>0</v>
      </c>
      <c r="G5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7" t="e">
        <f>IF(ISBLANK(NMRPrep[[#This Row],[Total (uL) ]]), 0, NMRPrep[[#This Row],[1mM Maleic Acid (uL) ]]/NMRPrep[[#This Row],[Total (uL) ]])</f>
        <v>#DIV/0!</v>
      </c>
      <c r="I557">
        <f>2</f>
        <v>2</v>
      </c>
      <c r="J557">
        <f>4</f>
        <v>4</v>
      </c>
      <c r="K557">
        <f>1</f>
        <v>1</v>
      </c>
    </row>
    <row r="558" spans="1:11" hidden="1" x14ac:dyDescent="0.25">
      <c r="A558" s="1">
        <f>Sampling!D556</f>
        <v>0</v>
      </c>
      <c r="B558" t="str" cm="1">
        <f t="array" ref="B558">IF(ISBLANK(INDEX(SampleList[NMR],ROW()-1)),"Not Requested",INDEX(SampleList[Experiment ID],ROW()-1))</f>
        <v>Not Requested</v>
      </c>
      <c r="C558">
        <f>Sampling!E556</f>
        <v>0</v>
      </c>
      <c r="D558">
        <f>NMRPrep[[#This Row],['#]]</f>
        <v>0</v>
      </c>
      <c r="G5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8" t="e">
        <f>IF(ISBLANK(NMRPrep[[#This Row],[Total (uL) ]]), 0, NMRPrep[[#This Row],[1mM Maleic Acid (uL) ]]/NMRPrep[[#This Row],[Total (uL) ]])</f>
        <v>#DIV/0!</v>
      </c>
      <c r="I558">
        <f>2</f>
        <v>2</v>
      </c>
      <c r="J558">
        <f>4</f>
        <v>4</v>
      </c>
      <c r="K558">
        <f>1</f>
        <v>1</v>
      </c>
    </row>
    <row r="559" spans="1:11" hidden="1" x14ac:dyDescent="0.25">
      <c r="A559" s="1">
        <f>Sampling!D557</f>
        <v>0</v>
      </c>
      <c r="B559" t="str" cm="1">
        <f t="array" ref="B559">IF(ISBLANK(INDEX(SampleList[NMR],ROW()-1)),"Not Requested",INDEX(SampleList[Experiment ID],ROW()-1))</f>
        <v>Not Requested</v>
      </c>
      <c r="C559">
        <f>Sampling!E557</f>
        <v>0</v>
      </c>
      <c r="D559">
        <f>NMRPrep[[#This Row],['#]]</f>
        <v>0</v>
      </c>
      <c r="G5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59" t="e">
        <f>IF(ISBLANK(NMRPrep[[#This Row],[Total (uL) ]]), 0, NMRPrep[[#This Row],[1mM Maleic Acid (uL) ]]/NMRPrep[[#This Row],[Total (uL) ]])</f>
        <v>#DIV/0!</v>
      </c>
      <c r="I559">
        <f>2</f>
        <v>2</v>
      </c>
      <c r="J559">
        <f>4</f>
        <v>4</v>
      </c>
      <c r="K559">
        <f>1</f>
        <v>1</v>
      </c>
    </row>
    <row r="560" spans="1:11" hidden="1" x14ac:dyDescent="0.25">
      <c r="A560" s="1">
        <f>Sampling!D558</f>
        <v>0</v>
      </c>
      <c r="B560" t="str" cm="1">
        <f t="array" ref="B560">IF(ISBLANK(INDEX(SampleList[NMR],ROW()-1)),"Not Requested",INDEX(SampleList[Experiment ID],ROW()-1))</f>
        <v>Not Requested</v>
      </c>
      <c r="C560">
        <f>Sampling!E558</f>
        <v>0</v>
      </c>
      <c r="D560">
        <f>NMRPrep[[#This Row],['#]]</f>
        <v>0</v>
      </c>
      <c r="G5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0" t="e">
        <f>IF(ISBLANK(NMRPrep[[#This Row],[Total (uL) ]]), 0, NMRPrep[[#This Row],[1mM Maleic Acid (uL) ]]/NMRPrep[[#This Row],[Total (uL) ]])</f>
        <v>#DIV/0!</v>
      </c>
      <c r="I560">
        <f>2</f>
        <v>2</v>
      </c>
      <c r="J560">
        <f>4</f>
        <v>4</v>
      </c>
      <c r="K560">
        <f>1</f>
        <v>1</v>
      </c>
    </row>
    <row r="561" spans="1:11" hidden="1" x14ac:dyDescent="0.25">
      <c r="A561" s="1">
        <f>Sampling!D559</f>
        <v>0</v>
      </c>
      <c r="B561" t="str" cm="1">
        <f t="array" ref="B561">IF(ISBLANK(INDEX(SampleList[NMR],ROW()-1)),"Not Requested",INDEX(SampleList[Experiment ID],ROW()-1))</f>
        <v>Not Requested</v>
      </c>
      <c r="C561">
        <f>Sampling!E559</f>
        <v>0</v>
      </c>
      <c r="D561">
        <f>NMRPrep[[#This Row],['#]]</f>
        <v>0</v>
      </c>
      <c r="G5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1" t="e">
        <f>IF(ISBLANK(NMRPrep[[#This Row],[Total (uL) ]]), 0, NMRPrep[[#This Row],[1mM Maleic Acid (uL) ]]/NMRPrep[[#This Row],[Total (uL) ]])</f>
        <v>#DIV/0!</v>
      </c>
      <c r="I561">
        <f>2</f>
        <v>2</v>
      </c>
      <c r="J561">
        <f>4</f>
        <v>4</v>
      </c>
      <c r="K561">
        <f>1</f>
        <v>1</v>
      </c>
    </row>
    <row r="562" spans="1:11" hidden="1" x14ac:dyDescent="0.25">
      <c r="A562" s="1">
        <f>Sampling!D560</f>
        <v>0</v>
      </c>
      <c r="B562" t="str" cm="1">
        <f t="array" ref="B562">IF(ISBLANK(INDEX(SampleList[NMR],ROW()-1)),"Not Requested",INDEX(SampleList[Experiment ID],ROW()-1))</f>
        <v>Not Requested</v>
      </c>
      <c r="C562">
        <f>Sampling!E560</f>
        <v>0</v>
      </c>
      <c r="D562">
        <f>NMRPrep[[#This Row],['#]]</f>
        <v>0</v>
      </c>
      <c r="G5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2" t="e">
        <f>IF(ISBLANK(NMRPrep[[#This Row],[Total (uL) ]]), 0, NMRPrep[[#This Row],[1mM Maleic Acid (uL) ]]/NMRPrep[[#This Row],[Total (uL) ]])</f>
        <v>#DIV/0!</v>
      </c>
      <c r="I562">
        <f>2</f>
        <v>2</v>
      </c>
      <c r="J562">
        <f>4</f>
        <v>4</v>
      </c>
      <c r="K562">
        <f>1</f>
        <v>1</v>
      </c>
    </row>
    <row r="563" spans="1:11" hidden="1" x14ac:dyDescent="0.25">
      <c r="A563" s="1">
        <f>Sampling!D561</f>
        <v>0</v>
      </c>
      <c r="B563" t="str" cm="1">
        <f t="array" ref="B563">IF(ISBLANK(INDEX(SampleList[NMR],ROW()-1)),"Not Requested",INDEX(SampleList[Experiment ID],ROW()-1))</f>
        <v>Not Requested</v>
      </c>
      <c r="C563">
        <f>Sampling!E561</f>
        <v>0</v>
      </c>
      <c r="D563">
        <f>NMRPrep[[#This Row],['#]]</f>
        <v>0</v>
      </c>
      <c r="G5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3" t="e">
        <f>IF(ISBLANK(NMRPrep[[#This Row],[Total (uL) ]]), 0, NMRPrep[[#This Row],[1mM Maleic Acid (uL) ]]/NMRPrep[[#This Row],[Total (uL) ]])</f>
        <v>#DIV/0!</v>
      </c>
      <c r="I563">
        <f>2</f>
        <v>2</v>
      </c>
      <c r="J563">
        <f>4</f>
        <v>4</v>
      </c>
      <c r="K563">
        <f>1</f>
        <v>1</v>
      </c>
    </row>
    <row r="564" spans="1:11" hidden="1" x14ac:dyDescent="0.25">
      <c r="A564" s="1">
        <f>Sampling!D562</f>
        <v>0</v>
      </c>
      <c r="B564" t="str" cm="1">
        <f t="array" ref="B564">IF(ISBLANK(INDEX(SampleList[NMR],ROW()-1)),"Not Requested",INDEX(SampleList[Experiment ID],ROW()-1))</f>
        <v>Not Requested</v>
      </c>
      <c r="C564">
        <f>Sampling!E562</f>
        <v>0</v>
      </c>
      <c r="D564">
        <f>NMRPrep[[#This Row],['#]]</f>
        <v>0</v>
      </c>
      <c r="G5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4" t="e">
        <f>IF(ISBLANK(NMRPrep[[#This Row],[Total (uL) ]]), 0, NMRPrep[[#This Row],[1mM Maleic Acid (uL) ]]/NMRPrep[[#This Row],[Total (uL) ]])</f>
        <v>#DIV/0!</v>
      </c>
      <c r="I564">
        <f>2</f>
        <v>2</v>
      </c>
      <c r="J564">
        <f>4</f>
        <v>4</v>
      </c>
      <c r="K564">
        <f>1</f>
        <v>1</v>
      </c>
    </row>
    <row r="565" spans="1:11" hidden="1" x14ac:dyDescent="0.25">
      <c r="A565" s="1">
        <f>Sampling!D563</f>
        <v>0</v>
      </c>
      <c r="B565" t="str" cm="1">
        <f t="array" ref="B565">IF(ISBLANK(INDEX(SampleList[NMR],ROW()-1)),"Not Requested",INDEX(SampleList[Experiment ID],ROW()-1))</f>
        <v>Not Requested</v>
      </c>
      <c r="C565">
        <f>Sampling!E563</f>
        <v>0</v>
      </c>
      <c r="D565">
        <f>NMRPrep[[#This Row],['#]]</f>
        <v>0</v>
      </c>
      <c r="G5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5" t="e">
        <f>IF(ISBLANK(NMRPrep[[#This Row],[Total (uL) ]]), 0, NMRPrep[[#This Row],[1mM Maleic Acid (uL) ]]/NMRPrep[[#This Row],[Total (uL) ]])</f>
        <v>#DIV/0!</v>
      </c>
      <c r="I565">
        <f>2</f>
        <v>2</v>
      </c>
      <c r="J565">
        <f>4</f>
        <v>4</v>
      </c>
      <c r="K565">
        <f>1</f>
        <v>1</v>
      </c>
    </row>
    <row r="566" spans="1:11" hidden="1" x14ac:dyDescent="0.25">
      <c r="A566" s="1">
        <f>Sampling!D564</f>
        <v>0</v>
      </c>
      <c r="B566" t="str" cm="1">
        <f t="array" ref="B566">IF(ISBLANK(INDEX(SampleList[NMR],ROW()-1)),"Not Requested",INDEX(SampleList[Experiment ID],ROW()-1))</f>
        <v>Not Requested</v>
      </c>
      <c r="C566">
        <f>Sampling!E564</f>
        <v>0</v>
      </c>
      <c r="D566">
        <f>NMRPrep[[#This Row],['#]]</f>
        <v>0</v>
      </c>
      <c r="G5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6" t="e">
        <f>IF(ISBLANK(NMRPrep[[#This Row],[Total (uL) ]]), 0, NMRPrep[[#This Row],[1mM Maleic Acid (uL) ]]/NMRPrep[[#This Row],[Total (uL) ]])</f>
        <v>#DIV/0!</v>
      </c>
      <c r="I566">
        <f>2</f>
        <v>2</v>
      </c>
      <c r="J566">
        <f>4</f>
        <v>4</v>
      </c>
      <c r="K566">
        <f>1</f>
        <v>1</v>
      </c>
    </row>
    <row r="567" spans="1:11" hidden="1" x14ac:dyDescent="0.25">
      <c r="A567" s="1">
        <f>Sampling!D565</f>
        <v>0</v>
      </c>
      <c r="B567" t="str" cm="1">
        <f t="array" ref="B567">IF(ISBLANK(INDEX(SampleList[NMR],ROW()-1)),"Not Requested",INDEX(SampleList[Experiment ID],ROW()-1))</f>
        <v>Not Requested</v>
      </c>
      <c r="C567">
        <f>Sampling!E565</f>
        <v>0</v>
      </c>
      <c r="D567">
        <f>NMRPrep[[#This Row],['#]]</f>
        <v>0</v>
      </c>
      <c r="G5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7" t="e">
        <f>IF(ISBLANK(NMRPrep[[#This Row],[Total (uL) ]]), 0, NMRPrep[[#This Row],[1mM Maleic Acid (uL) ]]/NMRPrep[[#This Row],[Total (uL) ]])</f>
        <v>#DIV/0!</v>
      </c>
      <c r="I567">
        <f>2</f>
        <v>2</v>
      </c>
      <c r="J567">
        <f>4</f>
        <v>4</v>
      </c>
      <c r="K567">
        <f>1</f>
        <v>1</v>
      </c>
    </row>
    <row r="568" spans="1:11" hidden="1" x14ac:dyDescent="0.25">
      <c r="A568" s="1">
        <f>Sampling!D566</f>
        <v>0</v>
      </c>
      <c r="B568" t="str" cm="1">
        <f t="array" ref="B568">IF(ISBLANK(INDEX(SampleList[NMR],ROW()-1)),"Not Requested",INDEX(SampleList[Experiment ID],ROW()-1))</f>
        <v>Not Requested</v>
      </c>
      <c r="C568">
        <f>Sampling!E566</f>
        <v>0</v>
      </c>
      <c r="D568">
        <f>NMRPrep[[#This Row],['#]]</f>
        <v>0</v>
      </c>
      <c r="G5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8" t="e">
        <f>IF(ISBLANK(NMRPrep[[#This Row],[Total (uL) ]]), 0, NMRPrep[[#This Row],[1mM Maleic Acid (uL) ]]/NMRPrep[[#This Row],[Total (uL) ]])</f>
        <v>#DIV/0!</v>
      </c>
      <c r="I568">
        <f>2</f>
        <v>2</v>
      </c>
      <c r="J568">
        <f>4</f>
        <v>4</v>
      </c>
      <c r="K568">
        <f>1</f>
        <v>1</v>
      </c>
    </row>
    <row r="569" spans="1:11" hidden="1" x14ac:dyDescent="0.25">
      <c r="A569" s="1">
        <f>Sampling!D567</f>
        <v>0</v>
      </c>
      <c r="B569" t="str" cm="1">
        <f t="array" ref="B569">IF(ISBLANK(INDEX(SampleList[NMR],ROW()-1)),"Not Requested",INDEX(SampleList[Experiment ID],ROW()-1))</f>
        <v>Not Requested</v>
      </c>
      <c r="C569">
        <f>Sampling!E567</f>
        <v>0</v>
      </c>
      <c r="D569">
        <f>NMRPrep[[#This Row],['#]]</f>
        <v>0</v>
      </c>
      <c r="G5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69" t="e">
        <f>IF(ISBLANK(NMRPrep[[#This Row],[Total (uL) ]]), 0, NMRPrep[[#This Row],[1mM Maleic Acid (uL) ]]/NMRPrep[[#This Row],[Total (uL) ]])</f>
        <v>#DIV/0!</v>
      </c>
      <c r="I569">
        <f>2</f>
        <v>2</v>
      </c>
      <c r="J569">
        <f>4</f>
        <v>4</v>
      </c>
      <c r="K569">
        <f>1</f>
        <v>1</v>
      </c>
    </row>
    <row r="570" spans="1:11" hidden="1" x14ac:dyDescent="0.25">
      <c r="A570" s="1">
        <f>Sampling!D568</f>
        <v>0</v>
      </c>
      <c r="B570" t="str" cm="1">
        <f t="array" ref="B570">IF(ISBLANK(INDEX(SampleList[NMR],ROW()-1)),"Not Requested",INDEX(SampleList[Experiment ID],ROW()-1))</f>
        <v>Not Requested</v>
      </c>
      <c r="C570">
        <f>Sampling!E568</f>
        <v>0</v>
      </c>
      <c r="D570">
        <f>NMRPrep[[#This Row],['#]]</f>
        <v>0</v>
      </c>
      <c r="G5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0" t="e">
        <f>IF(ISBLANK(NMRPrep[[#This Row],[Total (uL) ]]), 0, NMRPrep[[#This Row],[1mM Maleic Acid (uL) ]]/NMRPrep[[#This Row],[Total (uL) ]])</f>
        <v>#DIV/0!</v>
      </c>
      <c r="I570">
        <f>2</f>
        <v>2</v>
      </c>
      <c r="J570">
        <f>4</f>
        <v>4</v>
      </c>
      <c r="K570">
        <f>1</f>
        <v>1</v>
      </c>
    </row>
    <row r="571" spans="1:11" hidden="1" x14ac:dyDescent="0.25">
      <c r="A571" s="1">
        <f>Sampling!D569</f>
        <v>0</v>
      </c>
      <c r="B571" t="str" cm="1">
        <f t="array" ref="B571">IF(ISBLANK(INDEX(SampleList[NMR],ROW()-1)),"Not Requested",INDEX(SampleList[Experiment ID],ROW()-1))</f>
        <v>Not Requested</v>
      </c>
      <c r="C571">
        <f>Sampling!E569</f>
        <v>0</v>
      </c>
      <c r="D571">
        <f>NMRPrep[[#This Row],['#]]</f>
        <v>0</v>
      </c>
      <c r="G5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1" t="e">
        <f>IF(ISBLANK(NMRPrep[[#This Row],[Total (uL) ]]), 0, NMRPrep[[#This Row],[1mM Maleic Acid (uL) ]]/NMRPrep[[#This Row],[Total (uL) ]])</f>
        <v>#DIV/0!</v>
      </c>
      <c r="I571">
        <f>2</f>
        <v>2</v>
      </c>
      <c r="J571">
        <f>4</f>
        <v>4</v>
      </c>
      <c r="K571">
        <f>1</f>
        <v>1</v>
      </c>
    </row>
    <row r="572" spans="1:11" hidden="1" x14ac:dyDescent="0.25">
      <c r="A572" s="1">
        <f>Sampling!D570</f>
        <v>0</v>
      </c>
      <c r="B572" t="str" cm="1">
        <f t="array" ref="B572">IF(ISBLANK(INDEX(SampleList[NMR],ROW()-1)),"Not Requested",INDEX(SampleList[Experiment ID],ROW()-1))</f>
        <v>Not Requested</v>
      </c>
      <c r="C572">
        <f>Sampling!E570</f>
        <v>0</v>
      </c>
      <c r="D572">
        <f>NMRPrep[[#This Row],['#]]</f>
        <v>0</v>
      </c>
      <c r="G5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2" t="e">
        <f>IF(ISBLANK(NMRPrep[[#This Row],[Total (uL) ]]), 0, NMRPrep[[#This Row],[1mM Maleic Acid (uL) ]]/NMRPrep[[#This Row],[Total (uL) ]])</f>
        <v>#DIV/0!</v>
      </c>
      <c r="I572">
        <f>2</f>
        <v>2</v>
      </c>
      <c r="J572">
        <f>4</f>
        <v>4</v>
      </c>
      <c r="K572">
        <f>1</f>
        <v>1</v>
      </c>
    </row>
    <row r="573" spans="1:11" hidden="1" x14ac:dyDescent="0.25">
      <c r="A573" s="1">
        <f>Sampling!D571</f>
        <v>0</v>
      </c>
      <c r="B573" t="str" cm="1">
        <f t="array" ref="B573">IF(ISBLANK(INDEX(SampleList[NMR],ROW()-1)),"Not Requested",INDEX(SampleList[Experiment ID],ROW()-1))</f>
        <v>Not Requested</v>
      </c>
      <c r="C573">
        <f>Sampling!E571</f>
        <v>0</v>
      </c>
      <c r="D573">
        <f>NMRPrep[[#This Row],['#]]</f>
        <v>0</v>
      </c>
      <c r="G5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3" t="e">
        <f>IF(ISBLANK(NMRPrep[[#This Row],[Total (uL) ]]), 0, NMRPrep[[#This Row],[1mM Maleic Acid (uL) ]]/NMRPrep[[#This Row],[Total (uL) ]])</f>
        <v>#DIV/0!</v>
      </c>
      <c r="I573">
        <f>2</f>
        <v>2</v>
      </c>
      <c r="J573">
        <f>4</f>
        <v>4</v>
      </c>
      <c r="K573">
        <f>1</f>
        <v>1</v>
      </c>
    </row>
    <row r="574" spans="1:11" hidden="1" x14ac:dyDescent="0.25">
      <c r="A574" s="1">
        <f>Sampling!D572</f>
        <v>0</v>
      </c>
      <c r="B574" t="str" cm="1">
        <f t="array" ref="B574">IF(ISBLANK(INDEX(SampleList[NMR],ROW()-1)),"Not Requested",INDEX(SampleList[Experiment ID],ROW()-1))</f>
        <v>Not Requested</v>
      </c>
      <c r="C574">
        <f>Sampling!E572</f>
        <v>0</v>
      </c>
      <c r="D574">
        <f>NMRPrep[[#This Row],['#]]</f>
        <v>0</v>
      </c>
      <c r="G5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4" t="e">
        <f>IF(ISBLANK(NMRPrep[[#This Row],[Total (uL) ]]), 0, NMRPrep[[#This Row],[1mM Maleic Acid (uL) ]]/NMRPrep[[#This Row],[Total (uL) ]])</f>
        <v>#DIV/0!</v>
      </c>
      <c r="I574">
        <f>2</f>
        <v>2</v>
      </c>
      <c r="J574">
        <f>4</f>
        <v>4</v>
      </c>
      <c r="K574">
        <f>1</f>
        <v>1</v>
      </c>
    </row>
    <row r="575" spans="1:11" hidden="1" x14ac:dyDescent="0.25">
      <c r="A575" s="1">
        <f>Sampling!D573</f>
        <v>0</v>
      </c>
      <c r="B575" t="str" cm="1">
        <f t="array" ref="B575">IF(ISBLANK(INDEX(SampleList[NMR],ROW()-1)),"Not Requested",INDEX(SampleList[Experiment ID],ROW()-1))</f>
        <v>Not Requested</v>
      </c>
      <c r="C575">
        <f>Sampling!E573</f>
        <v>0</v>
      </c>
      <c r="D575">
        <f>NMRPrep[[#This Row],['#]]</f>
        <v>0</v>
      </c>
      <c r="G5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5" t="e">
        <f>IF(ISBLANK(NMRPrep[[#This Row],[Total (uL) ]]), 0, NMRPrep[[#This Row],[1mM Maleic Acid (uL) ]]/NMRPrep[[#This Row],[Total (uL) ]])</f>
        <v>#DIV/0!</v>
      </c>
      <c r="I575">
        <f>2</f>
        <v>2</v>
      </c>
      <c r="J575">
        <f>4</f>
        <v>4</v>
      </c>
      <c r="K575">
        <f>1</f>
        <v>1</v>
      </c>
    </row>
    <row r="576" spans="1:11" hidden="1" x14ac:dyDescent="0.25">
      <c r="A576" s="1">
        <f>Sampling!D574</f>
        <v>0</v>
      </c>
      <c r="B576" t="str" cm="1">
        <f t="array" ref="B576">IF(ISBLANK(INDEX(SampleList[NMR],ROW()-1)),"Not Requested",INDEX(SampleList[Experiment ID],ROW()-1))</f>
        <v>Not Requested</v>
      </c>
      <c r="C576">
        <f>Sampling!E574</f>
        <v>0</v>
      </c>
      <c r="D576">
        <f>NMRPrep[[#This Row],['#]]</f>
        <v>0</v>
      </c>
      <c r="G5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6" t="e">
        <f>IF(ISBLANK(NMRPrep[[#This Row],[Total (uL) ]]), 0, NMRPrep[[#This Row],[1mM Maleic Acid (uL) ]]/NMRPrep[[#This Row],[Total (uL) ]])</f>
        <v>#DIV/0!</v>
      </c>
      <c r="I576">
        <f>2</f>
        <v>2</v>
      </c>
      <c r="J576">
        <f>4</f>
        <v>4</v>
      </c>
      <c r="K576">
        <f>1</f>
        <v>1</v>
      </c>
    </row>
    <row r="577" spans="1:11" hidden="1" x14ac:dyDescent="0.25">
      <c r="A577" s="1">
        <f>Sampling!D575</f>
        <v>0</v>
      </c>
      <c r="B577" t="str" cm="1">
        <f t="array" ref="B577">IF(ISBLANK(INDEX(SampleList[NMR],ROW()-1)),"Not Requested",INDEX(SampleList[Experiment ID],ROW()-1))</f>
        <v>Not Requested</v>
      </c>
      <c r="C577">
        <f>Sampling!E575</f>
        <v>0</v>
      </c>
      <c r="D577">
        <f>NMRPrep[[#This Row],['#]]</f>
        <v>0</v>
      </c>
      <c r="G5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7" t="e">
        <f>IF(ISBLANK(NMRPrep[[#This Row],[Total (uL) ]]), 0, NMRPrep[[#This Row],[1mM Maleic Acid (uL) ]]/NMRPrep[[#This Row],[Total (uL) ]])</f>
        <v>#DIV/0!</v>
      </c>
      <c r="I577">
        <f>2</f>
        <v>2</v>
      </c>
      <c r="J577">
        <f>4</f>
        <v>4</v>
      </c>
      <c r="K577">
        <f>1</f>
        <v>1</v>
      </c>
    </row>
    <row r="578" spans="1:11" hidden="1" x14ac:dyDescent="0.25">
      <c r="A578" s="1">
        <f>Sampling!D576</f>
        <v>0</v>
      </c>
      <c r="B578" t="str" cm="1">
        <f t="array" ref="B578">IF(ISBLANK(INDEX(SampleList[NMR],ROW()-1)),"Not Requested",INDEX(SampleList[Experiment ID],ROW()-1))</f>
        <v>Not Requested</v>
      </c>
      <c r="C578">
        <f>Sampling!E576</f>
        <v>0</v>
      </c>
      <c r="D578">
        <f>NMRPrep[[#This Row],['#]]</f>
        <v>0</v>
      </c>
      <c r="G5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8" t="e">
        <f>IF(ISBLANK(NMRPrep[[#This Row],[Total (uL) ]]), 0, NMRPrep[[#This Row],[1mM Maleic Acid (uL) ]]/NMRPrep[[#This Row],[Total (uL) ]])</f>
        <v>#DIV/0!</v>
      </c>
      <c r="I578">
        <f>2</f>
        <v>2</v>
      </c>
      <c r="J578">
        <f>4</f>
        <v>4</v>
      </c>
      <c r="K578">
        <f>1</f>
        <v>1</v>
      </c>
    </row>
    <row r="579" spans="1:11" hidden="1" x14ac:dyDescent="0.25">
      <c r="A579" s="1">
        <f>Sampling!D577</f>
        <v>0</v>
      </c>
      <c r="B579" t="str" cm="1">
        <f t="array" ref="B579">IF(ISBLANK(INDEX(SampleList[NMR],ROW()-1)),"Not Requested",INDEX(SampleList[Experiment ID],ROW()-1))</f>
        <v>Not Requested</v>
      </c>
      <c r="C579">
        <f>Sampling!E577</f>
        <v>0</v>
      </c>
      <c r="D579">
        <f>NMRPrep[[#This Row],['#]]</f>
        <v>0</v>
      </c>
      <c r="G5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79" t="e">
        <f>IF(ISBLANK(NMRPrep[[#This Row],[Total (uL) ]]), 0, NMRPrep[[#This Row],[1mM Maleic Acid (uL) ]]/NMRPrep[[#This Row],[Total (uL) ]])</f>
        <v>#DIV/0!</v>
      </c>
      <c r="I579">
        <f>2</f>
        <v>2</v>
      </c>
      <c r="J579">
        <f>4</f>
        <v>4</v>
      </c>
      <c r="K579">
        <f>1</f>
        <v>1</v>
      </c>
    </row>
    <row r="580" spans="1:11" hidden="1" x14ac:dyDescent="0.25">
      <c r="A580" s="1">
        <f>Sampling!D578</f>
        <v>0</v>
      </c>
      <c r="B580" t="str" cm="1">
        <f t="array" ref="B580">IF(ISBLANK(INDEX(SampleList[NMR],ROW()-1)),"Not Requested",INDEX(SampleList[Experiment ID],ROW()-1))</f>
        <v>Not Requested</v>
      </c>
      <c r="C580">
        <f>Sampling!E578</f>
        <v>0</v>
      </c>
      <c r="D580">
        <f>NMRPrep[[#This Row],['#]]</f>
        <v>0</v>
      </c>
      <c r="G5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0" t="e">
        <f>IF(ISBLANK(NMRPrep[[#This Row],[Total (uL) ]]), 0, NMRPrep[[#This Row],[1mM Maleic Acid (uL) ]]/NMRPrep[[#This Row],[Total (uL) ]])</f>
        <v>#DIV/0!</v>
      </c>
      <c r="I580">
        <f>2</f>
        <v>2</v>
      </c>
      <c r="J580">
        <f>4</f>
        <v>4</v>
      </c>
      <c r="K580">
        <f>1</f>
        <v>1</v>
      </c>
    </row>
    <row r="581" spans="1:11" hidden="1" x14ac:dyDescent="0.25">
      <c r="A581" s="1">
        <f>Sampling!D579</f>
        <v>0</v>
      </c>
      <c r="B581" t="str" cm="1">
        <f t="array" ref="B581">IF(ISBLANK(INDEX(SampleList[NMR],ROW()-1)),"Not Requested",INDEX(SampleList[Experiment ID],ROW()-1))</f>
        <v>Not Requested</v>
      </c>
      <c r="C581">
        <f>Sampling!E579</f>
        <v>0</v>
      </c>
      <c r="D581">
        <f>NMRPrep[[#This Row],['#]]</f>
        <v>0</v>
      </c>
      <c r="G5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1" t="e">
        <f>IF(ISBLANK(NMRPrep[[#This Row],[Total (uL) ]]), 0, NMRPrep[[#This Row],[1mM Maleic Acid (uL) ]]/NMRPrep[[#This Row],[Total (uL) ]])</f>
        <v>#DIV/0!</v>
      </c>
      <c r="I581">
        <f>2</f>
        <v>2</v>
      </c>
      <c r="J581">
        <f>4</f>
        <v>4</v>
      </c>
      <c r="K581">
        <f>1</f>
        <v>1</v>
      </c>
    </row>
    <row r="582" spans="1:11" hidden="1" x14ac:dyDescent="0.25">
      <c r="A582" s="1">
        <f>Sampling!D580</f>
        <v>0</v>
      </c>
      <c r="B582" t="str" cm="1">
        <f t="array" ref="B582">IF(ISBLANK(INDEX(SampleList[NMR],ROW()-1)),"Not Requested",INDEX(SampleList[Experiment ID],ROW()-1))</f>
        <v>Not Requested</v>
      </c>
      <c r="C582">
        <f>Sampling!E580</f>
        <v>0</v>
      </c>
      <c r="D582">
        <f>NMRPrep[[#This Row],['#]]</f>
        <v>0</v>
      </c>
      <c r="G5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2" t="e">
        <f>IF(ISBLANK(NMRPrep[[#This Row],[Total (uL) ]]), 0, NMRPrep[[#This Row],[1mM Maleic Acid (uL) ]]/NMRPrep[[#This Row],[Total (uL) ]])</f>
        <v>#DIV/0!</v>
      </c>
      <c r="I582">
        <f>2</f>
        <v>2</v>
      </c>
      <c r="J582">
        <f>4</f>
        <v>4</v>
      </c>
      <c r="K582">
        <f>1</f>
        <v>1</v>
      </c>
    </row>
    <row r="583" spans="1:11" hidden="1" x14ac:dyDescent="0.25">
      <c r="A583" s="1">
        <f>Sampling!D581</f>
        <v>0</v>
      </c>
      <c r="B583" t="str" cm="1">
        <f t="array" ref="B583">IF(ISBLANK(INDEX(SampleList[NMR],ROW()-1)),"Not Requested",INDEX(SampleList[Experiment ID],ROW()-1))</f>
        <v>Not Requested</v>
      </c>
      <c r="C583">
        <f>Sampling!E581</f>
        <v>0</v>
      </c>
      <c r="D583">
        <f>NMRPrep[[#This Row],['#]]</f>
        <v>0</v>
      </c>
      <c r="G5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3" t="e">
        <f>IF(ISBLANK(NMRPrep[[#This Row],[Total (uL) ]]), 0, NMRPrep[[#This Row],[1mM Maleic Acid (uL) ]]/NMRPrep[[#This Row],[Total (uL) ]])</f>
        <v>#DIV/0!</v>
      </c>
      <c r="I583">
        <f>2</f>
        <v>2</v>
      </c>
      <c r="J583">
        <f>4</f>
        <v>4</v>
      </c>
      <c r="K583">
        <f>1</f>
        <v>1</v>
      </c>
    </row>
    <row r="584" spans="1:11" hidden="1" x14ac:dyDescent="0.25">
      <c r="A584" s="1">
        <f>Sampling!D582</f>
        <v>0</v>
      </c>
      <c r="B584" t="str" cm="1">
        <f t="array" ref="B584">IF(ISBLANK(INDEX(SampleList[NMR],ROW()-1)),"Not Requested",INDEX(SampleList[Experiment ID],ROW()-1))</f>
        <v>Not Requested</v>
      </c>
      <c r="C584">
        <f>Sampling!E582</f>
        <v>0</v>
      </c>
      <c r="D584">
        <f>NMRPrep[[#This Row],['#]]</f>
        <v>0</v>
      </c>
      <c r="G5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4" t="e">
        <f>IF(ISBLANK(NMRPrep[[#This Row],[Total (uL) ]]), 0, NMRPrep[[#This Row],[1mM Maleic Acid (uL) ]]/NMRPrep[[#This Row],[Total (uL) ]])</f>
        <v>#DIV/0!</v>
      </c>
      <c r="I584">
        <f>2</f>
        <v>2</v>
      </c>
      <c r="J584">
        <f>4</f>
        <v>4</v>
      </c>
      <c r="K584">
        <f>1</f>
        <v>1</v>
      </c>
    </row>
    <row r="585" spans="1:11" hidden="1" x14ac:dyDescent="0.25">
      <c r="A585" s="1">
        <f>Sampling!D583</f>
        <v>0</v>
      </c>
      <c r="B585" t="str" cm="1">
        <f t="array" ref="B585">IF(ISBLANK(INDEX(SampleList[NMR],ROW()-1)),"Not Requested",INDEX(SampleList[Experiment ID],ROW()-1))</f>
        <v>Not Requested</v>
      </c>
      <c r="C585">
        <f>Sampling!E583</f>
        <v>0</v>
      </c>
      <c r="D585">
        <f>NMRPrep[[#This Row],['#]]</f>
        <v>0</v>
      </c>
      <c r="G5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5" t="e">
        <f>IF(ISBLANK(NMRPrep[[#This Row],[Total (uL) ]]), 0, NMRPrep[[#This Row],[1mM Maleic Acid (uL) ]]/NMRPrep[[#This Row],[Total (uL) ]])</f>
        <v>#DIV/0!</v>
      </c>
      <c r="I585">
        <f>2</f>
        <v>2</v>
      </c>
      <c r="J585">
        <f>4</f>
        <v>4</v>
      </c>
      <c r="K585">
        <f>1</f>
        <v>1</v>
      </c>
    </row>
    <row r="586" spans="1:11" hidden="1" x14ac:dyDescent="0.25">
      <c r="A586" s="1">
        <f>Sampling!D584</f>
        <v>0</v>
      </c>
      <c r="B586" t="str" cm="1">
        <f t="array" ref="B586">IF(ISBLANK(INDEX(SampleList[NMR],ROW()-1)),"Not Requested",INDEX(SampleList[Experiment ID],ROW()-1))</f>
        <v>Not Requested</v>
      </c>
      <c r="C586">
        <f>Sampling!E584</f>
        <v>0</v>
      </c>
      <c r="D586">
        <f>NMRPrep[[#This Row],['#]]</f>
        <v>0</v>
      </c>
      <c r="G5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6" t="e">
        <f>IF(ISBLANK(NMRPrep[[#This Row],[Total (uL) ]]), 0, NMRPrep[[#This Row],[1mM Maleic Acid (uL) ]]/NMRPrep[[#This Row],[Total (uL) ]])</f>
        <v>#DIV/0!</v>
      </c>
      <c r="I586">
        <f>2</f>
        <v>2</v>
      </c>
      <c r="J586">
        <f>4</f>
        <v>4</v>
      </c>
      <c r="K586">
        <f>1</f>
        <v>1</v>
      </c>
    </row>
    <row r="587" spans="1:11" hidden="1" x14ac:dyDescent="0.25">
      <c r="A587" s="1">
        <f>Sampling!D585</f>
        <v>0</v>
      </c>
      <c r="B587" t="str" cm="1">
        <f t="array" ref="B587">IF(ISBLANK(INDEX(SampleList[NMR],ROW()-1)),"Not Requested",INDEX(SampleList[Experiment ID],ROW()-1))</f>
        <v>Not Requested</v>
      </c>
      <c r="C587">
        <f>Sampling!E585</f>
        <v>0</v>
      </c>
      <c r="D587">
        <f>NMRPrep[[#This Row],['#]]</f>
        <v>0</v>
      </c>
      <c r="G5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7" t="e">
        <f>IF(ISBLANK(NMRPrep[[#This Row],[Total (uL) ]]), 0, NMRPrep[[#This Row],[1mM Maleic Acid (uL) ]]/NMRPrep[[#This Row],[Total (uL) ]])</f>
        <v>#DIV/0!</v>
      </c>
      <c r="I587">
        <f>2</f>
        <v>2</v>
      </c>
      <c r="J587">
        <f>4</f>
        <v>4</v>
      </c>
      <c r="K587">
        <f>1</f>
        <v>1</v>
      </c>
    </row>
    <row r="588" spans="1:11" hidden="1" x14ac:dyDescent="0.25">
      <c r="A588" s="1">
        <f>Sampling!D586</f>
        <v>0</v>
      </c>
      <c r="B588" t="str" cm="1">
        <f t="array" ref="B588">IF(ISBLANK(INDEX(SampleList[NMR],ROW()-1)),"Not Requested",INDEX(SampleList[Experiment ID],ROW()-1))</f>
        <v>Not Requested</v>
      </c>
      <c r="C588">
        <f>Sampling!E586</f>
        <v>0</v>
      </c>
      <c r="D588">
        <f>NMRPrep[[#This Row],['#]]</f>
        <v>0</v>
      </c>
      <c r="G5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8" t="e">
        <f>IF(ISBLANK(NMRPrep[[#This Row],[Total (uL) ]]), 0, NMRPrep[[#This Row],[1mM Maleic Acid (uL) ]]/NMRPrep[[#This Row],[Total (uL) ]])</f>
        <v>#DIV/0!</v>
      </c>
      <c r="I588">
        <f>2</f>
        <v>2</v>
      </c>
      <c r="J588">
        <f>4</f>
        <v>4</v>
      </c>
      <c r="K588">
        <f>1</f>
        <v>1</v>
      </c>
    </row>
    <row r="589" spans="1:11" hidden="1" x14ac:dyDescent="0.25">
      <c r="A589" s="1">
        <f>Sampling!D587</f>
        <v>0</v>
      </c>
      <c r="B589" t="str" cm="1">
        <f t="array" ref="B589">IF(ISBLANK(INDEX(SampleList[NMR],ROW()-1)),"Not Requested",INDEX(SampleList[Experiment ID],ROW()-1))</f>
        <v>Not Requested</v>
      </c>
      <c r="C589">
        <f>Sampling!E587</f>
        <v>0</v>
      </c>
      <c r="D589">
        <f>NMRPrep[[#This Row],['#]]</f>
        <v>0</v>
      </c>
      <c r="G5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89" t="e">
        <f>IF(ISBLANK(NMRPrep[[#This Row],[Total (uL) ]]), 0, NMRPrep[[#This Row],[1mM Maleic Acid (uL) ]]/NMRPrep[[#This Row],[Total (uL) ]])</f>
        <v>#DIV/0!</v>
      </c>
      <c r="I589">
        <f>2</f>
        <v>2</v>
      </c>
      <c r="J589">
        <f>4</f>
        <v>4</v>
      </c>
      <c r="K589">
        <f>1</f>
        <v>1</v>
      </c>
    </row>
    <row r="590" spans="1:11" hidden="1" x14ac:dyDescent="0.25">
      <c r="A590" s="1">
        <f>Sampling!D588</f>
        <v>0</v>
      </c>
      <c r="B590" t="str" cm="1">
        <f t="array" ref="B590">IF(ISBLANK(INDEX(SampleList[NMR],ROW()-1)),"Not Requested",INDEX(SampleList[Experiment ID],ROW()-1))</f>
        <v>Not Requested</v>
      </c>
      <c r="C590">
        <f>Sampling!E588</f>
        <v>0</v>
      </c>
      <c r="D590">
        <f>NMRPrep[[#This Row],['#]]</f>
        <v>0</v>
      </c>
      <c r="G5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0" t="e">
        <f>IF(ISBLANK(NMRPrep[[#This Row],[Total (uL) ]]), 0, NMRPrep[[#This Row],[1mM Maleic Acid (uL) ]]/NMRPrep[[#This Row],[Total (uL) ]])</f>
        <v>#DIV/0!</v>
      </c>
      <c r="I590">
        <f>2</f>
        <v>2</v>
      </c>
      <c r="J590">
        <f>4</f>
        <v>4</v>
      </c>
      <c r="K590">
        <f>1</f>
        <v>1</v>
      </c>
    </row>
    <row r="591" spans="1:11" hidden="1" x14ac:dyDescent="0.25">
      <c r="A591" s="1">
        <f>Sampling!D589</f>
        <v>0</v>
      </c>
      <c r="B591" t="str" cm="1">
        <f t="array" ref="B591">IF(ISBLANK(INDEX(SampleList[NMR],ROW()-1)),"Not Requested",INDEX(SampleList[Experiment ID],ROW()-1))</f>
        <v>Not Requested</v>
      </c>
      <c r="C591">
        <f>Sampling!E589</f>
        <v>0</v>
      </c>
      <c r="D591">
        <f>NMRPrep[[#This Row],['#]]</f>
        <v>0</v>
      </c>
      <c r="G5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1" t="e">
        <f>IF(ISBLANK(NMRPrep[[#This Row],[Total (uL) ]]), 0, NMRPrep[[#This Row],[1mM Maleic Acid (uL) ]]/NMRPrep[[#This Row],[Total (uL) ]])</f>
        <v>#DIV/0!</v>
      </c>
      <c r="I591">
        <f>2</f>
        <v>2</v>
      </c>
      <c r="J591">
        <f>4</f>
        <v>4</v>
      </c>
      <c r="K591">
        <f>1</f>
        <v>1</v>
      </c>
    </row>
    <row r="592" spans="1:11" hidden="1" x14ac:dyDescent="0.25">
      <c r="A592" s="1">
        <f>Sampling!D590</f>
        <v>0</v>
      </c>
      <c r="B592" t="str" cm="1">
        <f t="array" ref="B592">IF(ISBLANK(INDEX(SampleList[NMR],ROW()-1)),"Not Requested",INDEX(SampleList[Experiment ID],ROW()-1))</f>
        <v>Not Requested</v>
      </c>
      <c r="C592">
        <f>Sampling!E590</f>
        <v>0</v>
      </c>
      <c r="D592">
        <f>NMRPrep[[#This Row],['#]]</f>
        <v>0</v>
      </c>
      <c r="G5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2" t="e">
        <f>IF(ISBLANK(NMRPrep[[#This Row],[Total (uL) ]]), 0, NMRPrep[[#This Row],[1mM Maleic Acid (uL) ]]/NMRPrep[[#This Row],[Total (uL) ]])</f>
        <v>#DIV/0!</v>
      </c>
      <c r="I592">
        <f>2</f>
        <v>2</v>
      </c>
      <c r="J592">
        <f>4</f>
        <v>4</v>
      </c>
      <c r="K592">
        <f>1</f>
        <v>1</v>
      </c>
    </row>
    <row r="593" spans="1:11" hidden="1" x14ac:dyDescent="0.25">
      <c r="A593" s="1">
        <f>Sampling!D591</f>
        <v>0</v>
      </c>
      <c r="B593" t="str" cm="1">
        <f t="array" ref="B593">IF(ISBLANK(INDEX(SampleList[NMR],ROW()-1)),"Not Requested",INDEX(SampleList[Experiment ID],ROW()-1))</f>
        <v>Not Requested</v>
      </c>
      <c r="C593">
        <f>Sampling!E591</f>
        <v>0</v>
      </c>
      <c r="D593">
        <f>NMRPrep[[#This Row],['#]]</f>
        <v>0</v>
      </c>
      <c r="G5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3" t="e">
        <f>IF(ISBLANK(NMRPrep[[#This Row],[Total (uL) ]]), 0, NMRPrep[[#This Row],[1mM Maleic Acid (uL) ]]/NMRPrep[[#This Row],[Total (uL) ]])</f>
        <v>#DIV/0!</v>
      </c>
      <c r="I593">
        <f>2</f>
        <v>2</v>
      </c>
      <c r="J593">
        <f>4</f>
        <v>4</v>
      </c>
      <c r="K593">
        <f>1</f>
        <v>1</v>
      </c>
    </row>
    <row r="594" spans="1:11" hidden="1" x14ac:dyDescent="0.25">
      <c r="A594" s="1">
        <f>Sampling!D592</f>
        <v>0</v>
      </c>
      <c r="B594" t="str" cm="1">
        <f t="array" ref="B594">IF(ISBLANK(INDEX(SampleList[NMR],ROW()-1)),"Not Requested",INDEX(SampleList[Experiment ID],ROW()-1))</f>
        <v>Not Requested</v>
      </c>
      <c r="C594">
        <f>Sampling!E592</f>
        <v>0</v>
      </c>
      <c r="D594">
        <f>NMRPrep[[#This Row],['#]]</f>
        <v>0</v>
      </c>
      <c r="G5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4" t="e">
        <f>IF(ISBLANK(NMRPrep[[#This Row],[Total (uL) ]]), 0, NMRPrep[[#This Row],[1mM Maleic Acid (uL) ]]/NMRPrep[[#This Row],[Total (uL) ]])</f>
        <v>#DIV/0!</v>
      </c>
      <c r="I594">
        <f>2</f>
        <v>2</v>
      </c>
      <c r="J594">
        <f>4</f>
        <v>4</v>
      </c>
      <c r="K594">
        <f>1</f>
        <v>1</v>
      </c>
    </row>
    <row r="595" spans="1:11" hidden="1" x14ac:dyDescent="0.25">
      <c r="A595" s="1">
        <f>Sampling!D593</f>
        <v>0</v>
      </c>
      <c r="B595" t="str" cm="1">
        <f t="array" ref="B595">IF(ISBLANK(INDEX(SampleList[NMR],ROW()-1)),"Not Requested",INDEX(SampleList[Experiment ID],ROW()-1))</f>
        <v>Not Requested</v>
      </c>
      <c r="C595">
        <f>Sampling!E593</f>
        <v>0</v>
      </c>
      <c r="D595">
        <f>NMRPrep[[#This Row],['#]]</f>
        <v>0</v>
      </c>
      <c r="G5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5" t="e">
        <f>IF(ISBLANK(NMRPrep[[#This Row],[Total (uL) ]]), 0, NMRPrep[[#This Row],[1mM Maleic Acid (uL) ]]/NMRPrep[[#This Row],[Total (uL) ]])</f>
        <v>#DIV/0!</v>
      </c>
      <c r="I595">
        <f>2</f>
        <v>2</v>
      </c>
      <c r="J595">
        <f>4</f>
        <v>4</v>
      </c>
      <c r="K595">
        <f>1</f>
        <v>1</v>
      </c>
    </row>
    <row r="596" spans="1:11" hidden="1" x14ac:dyDescent="0.25">
      <c r="A596" s="1">
        <f>Sampling!D594</f>
        <v>0</v>
      </c>
      <c r="B596" t="str" cm="1">
        <f t="array" ref="B596">IF(ISBLANK(INDEX(SampleList[NMR],ROW()-1)),"Not Requested",INDEX(SampleList[Experiment ID],ROW()-1))</f>
        <v>Not Requested</v>
      </c>
      <c r="C596">
        <f>Sampling!E594</f>
        <v>0</v>
      </c>
      <c r="D596">
        <f>NMRPrep[[#This Row],['#]]</f>
        <v>0</v>
      </c>
      <c r="G5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6" t="e">
        <f>IF(ISBLANK(NMRPrep[[#This Row],[Total (uL) ]]), 0, NMRPrep[[#This Row],[1mM Maleic Acid (uL) ]]/NMRPrep[[#This Row],[Total (uL) ]])</f>
        <v>#DIV/0!</v>
      </c>
      <c r="I596">
        <f>2</f>
        <v>2</v>
      </c>
      <c r="J596">
        <f>4</f>
        <v>4</v>
      </c>
      <c r="K596">
        <f>1</f>
        <v>1</v>
      </c>
    </row>
    <row r="597" spans="1:11" hidden="1" x14ac:dyDescent="0.25">
      <c r="A597" s="1">
        <f>Sampling!D595</f>
        <v>0</v>
      </c>
      <c r="B597" t="str" cm="1">
        <f t="array" ref="B597">IF(ISBLANK(INDEX(SampleList[NMR],ROW()-1)),"Not Requested",INDEX(SampleList[Experiment ID],ROW()-1))</f>
        <v>Not Requested</v>
      </c>
      <c r="C597">
        <f>Sampling!E595</f>
        <v>0</v>
      </c>
      <c r="D597">
        <f>NMRPrep[[#This Row],['#]]</f>
        <v>0</v>
      </c>
      <c r="G5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7" t="e">
        <f>IF(ISBLANK(NMRPrep[[#This Row],[Total (uL) ]]), 0, NMRPrep[[#This Row],[1mM Maleic Acid (uL) ]]/NMRPrep[[#This Row],[Total (uL) ]])</f>
        <v>#DIV/0!</v>
      </c>
      <c r="I597">
        <f>2</f>
        <v>2</v>
      </c>
      <c r="J597">
        <f>4</f>
        <v>4</v>
      </c>
      <c r="K597">
        <f>1</f>
        <v>1</v>
      </c>
    </row>
    <row r="598" spans="1:11" hidden="1" x14ac:dyDescent="0.25">
      <c r="A598" s="1">
        <f>Sampling!D596</f>
        <v>0</v>
      </c>
      <c r="B598" t="str" cm="1">
        <f t="array" ref="B598">IF(ISBLANK(INDEX(SampleList[NMR],ROW()-1)),"Not Requested",INDEX(SampleList[Experiment ID],ROW()-1))</f>
        <v>Not Requested</v>
      </c>
      <c r="C598">
        <f>Sampling!E596</f>
        <v>0</v>
      </c>
      <c r="D598">
        <f>NMRPrep[[#This Row],['#]]</f>
        <v>0</v>
      </c>
      <c r="G5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8" t="e">
        <f>IF(ISBLANK(NMRPrep[[#This Row],[Total (uL) ]]), 0, NMRPrep[[#This Row],[1mM Maleic Acid (uL) ]]/NMRPrep[[#This Row],[Total (uL) ]])</f>
        <v>#DIV/0!</v>
      </c>
      <c r="I598">
        <f>2</f>
        <v>2</v>
      </c>
      <c r="J598">
        <f>4</f>
        <v>4</v>
      </c>
      <c r="K598">
        <f>1</f>
        <v>1</v>
      </c>
    </row>
    <row r="599" spans="1:11" hidden="1" x14ac:dyDescent="0.25">
      <c r="A599" s="1">
        <f>Sampling!D597</f>
        <v>0</v>
      </c>
      <c r="B599" t="str" cm="1">
        <f t="array" ref="B599">IF(ISBLANK(INDEX(SampleList[NMR],ROW()-1)),"Not Requested",INDEX(SampleList[Experiment ID],ROW()-1))</f>
        <v>Not Requested</v>
      </c>
      <c r="C599">
        <f>Sampling!E597</f>
        <v>0</v>
      </c>
      <c r="D599">
        <f>NMRPrep[[#This Row],['#]]</f>
        <v>0</v>
      </c>
      <c r="G5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599" t="e">
        <f>IF(ISBLANK(NMRPrep[[#This Row],[Total (uL) ]]), 0, NMRPrep[[#This Row],[1mM Maleic Acid (uL) ]]/NMRPrep[[#This Row],[Total (uL) ]])</f>
        <v>#DIV/0!</v>
      </c>
      <c r="I599">
        <f>2</f>
        <v>2</v>
      </c>
      <c r="J599">
        <f>4</f>
        <v>4</v>
      </c>
      <c r="K599">
        <f>1</f>
        <v>1</v>
      </c>
    </row>
    <row r="600" spans="1:11" hidden="1" x14ac:dyDescent="0.25">
      <c r="A600" s="1">
        <f>Sampling!D598</f>
        <v>0</v>
      </c>
      <c r="B600" t="str" cm="1">
        <f t="array" ref="B600">IF(ISBLANK(INDEX(SampleList[NMR],ROW()-1)),"Not Requested",INDEX(SampleList[Experiment ID],ROW()-1))</f>
        <v>Not Requested</v>
      </c>
      <c r="C600">
        <f>Sampling!E598</f>
        <v>0</v>
      </c>
      <c r="D600">
        <f>NMRPrep[[#This Row],['#]]</f>
        <v>0</v>
      </c>
      <c r="G6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0" t="e">
        <f>IF(ISBLANK(NMRPrep[[#This Row],[Total (uL) ]]), 0, NMRPrep[[#This Row],[1mM Maleic Acid (uL) ]]/NMRPrep[[#This Row],[Total (uL) ]])</f>
        <v>#DIV/0!</v>
      </c>
      <c r="I600">
        <f>2</f>
        <v>2</v>
      </c>
      <c r="J600">
        <f>4</f>
        <v>4</v>
      </c>
      <c r="K600">
        <f>1</f>
        <v>1</v>
      </c>
    </row>
    <row r="601" spans="1:11" hidden="1" x14ac:dyDescent="0.25">
      <c r="A601" s="1">
        <f>Sampling!D599</f>
        <v>0</v>
      </c>
      <c r="B601" t="str" cm="1">
        <f t="array" ref="B601">IF(ISBLANK(INDEX(SampleList[NMR],ROW()-1)),"Not Requested",INDEX(SampleList[Experiment ID],ROW()-1))</f>
        <v>Not Requested</v>
      </c>
      <c r="C601">
        <f>Sampling!E599</f>
        <v>0</v>
      </c>
      <c r="D601">
        <f>NMRPrep[[#This Row],['#]]</f>
        <v>0</v>
      </c>
      <c r="G6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1" t="e">
        <f>IF(ISBLANK(NMRPrep[[#This Row],[Total (uL) ]]), 0, NMRPrep[[#This Row],[1mM Maleic Acid (uL) ]]/NMRPrep[[#This Row],[Total (uL) ]])</f>
        <v>#DIV/0!</v>
      </c>
      <c r="I601">
        <f>2</f>
        <v>2</v>
      </c>
      <c r="J601">
        <f>4</f>
        <v>4</v>
      </c>
      <c r="K601">
        <f>1</f>
        <v>1</v>
      </c>
    </row>
    <row r="602" spans="1:11" hidden="1" x14ac:dyDescent="0.25">
      <c r="A602" s="1">
        <f>Sampling!D600</f>
        <v>0</v>
      </c>
      <c r="B602" t="str" cm="1">
        <f t="array" ref="B602">IF(ISBLANK(INDEX(SampleList[NMR],ROW()-1)),"Not Requested",INDEX(SampleList[Experiment ID],ROW()-1))</f>
        <v>Not Requested</v>
      </c>
      <c r="C602">
        <f>Sampling!E600</f>
        <v>0</v>
      </c>
      <c r="D602">
        <f>NMRPrep[[#This Row],['#]]</f>
        <v>0</v>
      </c>
      <c r="G6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2" t="e">
        <f>IF(ISBLANK(NMRPrep[[#This Row],[Total (uL) ]]), 0, NMRPrep[[#This Row],[1mM Maleic Acid (uL) ]]/NMRPrep[[#This Row],[Total (uL) ]])</f>
        <v>#DIV/0!</v>
      </c>
      <c r="I602">
        <f>2</f>
        <v>2</v>
      </c>
      <c r="J602">
        <f>4</f>
        <v>4</v>
      </c>
      <c r="K602">
        <f>1</f>
        <v>1</v>
      </c>
    </row>
    <row r="603" spans="1:11" hidden="1" x14ac:dyDescent="0.25">
      <c r="A603" s="1">
        <f>Sampling!D601</f>
        <v>0</v>
      </c>
      <c r="B603" t="str" cm="1">
        <f t="array" ref="B603">IF(ISBLANK(INDEX(SampleList[NMR],ROW()-1)),"Not Requested",INDEX(SampleList[Experiment ID],ROW()-1))</f>
        <v>Not Requested</v>
      </c>
      <c r="C603">
        <f>Sampling!E601</f>
        <v>0</v>
      </c>
      <c r="D603">
        <f>NMRPrep[[#This Row],['#]]</f>
        <v>0</v>
      </c>
      <c r="G6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3" t="e">
        <f>IF(ISBLANK(NMRPrep[[#This Row],[Total (uL) ]]), 0, NMRPrep[[#This Row],[1mM Maleic Acid (uL) ]]/NMRPrep[[#This Row],[Total (uL) ]])</f>
        <v>#DIV/0!</v>
      </c>
      <c r="I603">
        <f>2</f>
        <v>2</v>
      </c>
      <c r="J603">
        <f>4</f>
        <v>4</v>
      </c>
      <c r="K603">
        <f>1</f>
        <v>1</v>
      </c>
    </row>
    <row r="604" spans="1:11" hidden="1" x14ac:dyDescent="0.25">
      <c r="A604" s="1">
        <f>Sampling!D602</f>
        <v>0</v>
      </c>
      <c r="B604" t="str" cm="1">
        <f t="array" ref="B604">IF(ISBLANK(INDEX(SampleList[NMR],ROW()-1)),"Not Requested",INDEX(SampleList[Experiment ID],ROW()-1))</f>
        <v>Not Requested</v>
      </c>
      <c r="C604">
        <f>Sampling!E602</f>
        <v>0</v>
      </c>
      <c r="D604">
        <f>NMRPrep[[#This Row],['#]]</f>
        <v>0</v>
      </c>
      <c r="G6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4" t="e">
        <f>IF(ISBLANK(NMRPrep[[#This Row],[Total (uL) ]]), 0, NMRPrep[[#This Row],[1mM Maleic Acid (uL) ]]/NMRPrep[[#This Row],[Total (uL) ]])</f>
        <v>#DIV/0!</v>
      </c>
      <c r="I604">
        <f>2</f>
        <v>2</v>
      </c>
      <c r="J604">
        <f>4</f>
        <v>4</v>
      </c>
      <c r="K604">
        <f>1</f>
        <v>1</v>
      </c>
    </row>
    <row r="605" spans="1:11" hidden="1" x14ac:dyDescent="0.25">
      <c r="A605" s="1">
        <f>Sampling!D603</f>
        <v>0</v>
      </c>
      <c r="B605" t="str" cm="1">
        <f t="array" ref="B605">IF(ISBLANK(INDEX(SampleList[NMR],ROW()-1)),"Not Requested",INDEX(SampleList[Experiment ID],ROW()-1))</f>
        <v>Not Requested</v>
      </c>
      <c r="C605">
        <f>Sampling!E603</f>
        <v>0</v>
      </c>
      <c r="D605">
        <f>NMRPrep[[#This Row],['#]]</f>
        <v>0</v>
      </c>
      <c r="G6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5" t="e">
        <f>IF(ISBLANK(NMRPrep[[#This Row],[Total (uL) ]]), 0, NMRPrep[[#This Row],[1mM Maleic Acid (uL) ]]/NMRPrep[[#This Row],[Total (uL) ]])</f>
        <v>#DIV/0!</v>
      </c>
      <c r="I605">
        <f>2</f>
        <v>2</v>
      </c>
      <c r="J605">
        <f>4</f>
        <v>4</v>
      </c>
      <c r="K605">
        <f>1</f>
        <v>1</v>
      </c>
    </row>
    <row r="606" spans="1:11" hidden="1" x14ac:dyDescent="0.25">
      <c r="A606" s="1">
        <f>Sampling!D604</f>
        <v>0</v>
      </c>
      <c r="B606" t="str" cm="1">
        <f t="array" ref="B606">IF(ISBLANK(INDEX(SampleList[NMR],ROW()-1)),"Not Requested",INDEX(SampleList[Experiment ID],ROW()-1))</f>
        <v>Not Requested</v>
      </c>
      <c r="C606">
        <f>Sampling!E604</f>
        <v>0</v>
      </c>
      <c r="D606">
        <f>NMRPrep[[#This Row],['#]]</f>
        <v>0</v>
      </c>
      <c r="G6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6" t="e">
        <f>IF(ISBLANK(NMRPrep[[#This Row],[Total (uL) ]]), 0, NMRPrep[[#This Row],[1mM Maleic Acid (uL) ]]/NMRPrep[[#This Row],[Total (uL) ]])</f>
        <v>#DIV/0!</v>
      </c>
      <c r="I606">
        <f>2</f>
        <v>2</v>
      </c>
      <c r="J606">
        <f>4</f>
        <v>4</v>
      </c>
      <c r="K606">
        <f>1</f>
        <v>1</v>
      </c>
    </row>
    <row r="607" spans="1:11" hidden="1" x14ac:dyDescent="0.25">
      <c r="A607" s="1">
        <f>Sampling!D605</f>
        <v>0</v>
      </c>
      <c r="B607" t="str" cm="1">
        <f t="array" ref="B607">IF(ISBLANK(INDEX(SampleList[NMR],ROW()-1)),"Not Requested",INDEX(SampleList[Experiment ID],ROW()-1))</f>
        <v>Not Requested</v>
      </c>
      <c r="C607">
        <f>Sampling!E605</f>
        <v>0</v>
      </c>
      <c r="D607">
        <f>NMRPrep[[#This Row],['#]]</f>
        <v>0</v>
      </c>
      <c r="G6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7" t="e">
        <f>IF(ISBLANK(NMRPrep[[#This Row],[Total (uL) ]]), 0, NMRPrep[[#This Row],[1mM Maleic Acid (uL) ]]/NMRPrep[[#This Row],[Total (uL) ]])</f>
        <v>#DIV/0!</v>
      </c>
      <c r="I607">
        <f>2</f>
        <v>2</v>
      </c>
      <c r="J607">
        <f>4</f>
        <v>4</v>
      </c>
      <c r="K607">
        <f>1</f>
        <v>1</v>
      </c>
    </row>
    <row r="608" spans="1:11" hidden="1" x14ac:dyDescent="0.25">
      <c r="A608" s="1">
        <f>Sampling!D606</f>
        <v>0</v>
      </c>
      <c r="B608" t="str" cm="1">
        <f t="array" ref="B608">IF(ISBLANK(INDEX(SampleList[NMR],ROW()-1)),"Not Requested",INDEX(SampleList[Experiment ID],ROW()-1))</f>
        <v>Not Requested</v>
      </c>
      <c r="C608">
        <f>Sampling!E606</f>
        <v>0</v>
      </c>
      <c r="D608">
        <f>NMRPrep[[#This Row],['#]]</f>
        <v>0</v>
      </c>
      <c r="G6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8" t="e">
        <f>IF(ISBLANK(NMRPrep[[#This Row],[Total (uL) ]]), 0, NMRPrep[[#This Row],[1mM Maleic Acid (uL) ]]/NMRPrep[[#This Row],[Total (uL) ]])</f>
        <v>#DIV/0!</v>
      </c>
      <c r="I608">
        <f>2</f>
        <v>2</v>
      </c>
      <c r="J608">
        <f>4</f>
        <v>4</v>
      </c>
      <c r="K608">
        <f>1</f>
        <v>1</v>
      </c>
    </row>
    <row r="609" spans="1:11" hidden="1" x14ac:dyDescent="0.25">
      <c r="A609" s="1">
        <f>Sampling!D607</f>
        <v>0</v>
      </c>
      <c r="B609" t="str" cm="1">
        <f t="array" ref="B609">IF(ISBLANK(INDEX(SampleList[NMR],ROW()-1)),"Not Requested",INDEX(SampleList[Experiment ID],ROW()-1))</f>
        <v>Not Requested</v>
      </c>
      <c r="C609">
        <f>Sampling!E607</f>
        <v>0</v>
      </c>
      <c r="D609">
        <f>NMRPrep[[#This Row],['#]]</f>
        <v>0</v>
      </c>
      <c r="G6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09" t="e">
        <f>IF(ISBLANK(NMRPrep[[#This Row],[Total (uL) ]]), 0, NMRPrep[[#This Row],[1mM Maleic Acid (uL) ]]/NMRPrep[[#This Row],[Total (uL) ]])</f>
        <v>#DIV/0!</v>
      </c>
      <c r="I609">
        <f>2</f>
        <v>2</v>
      </c>
      <c r="J609">
        <f>4</f>
        <v>4</v>
      </c>
      <c r="K609">
        <f>1</f>
        <v>1</v>
      </c>
    </row>
    <row r="610" spans="1:11" hidden="1" x14ac:dyDescent="0.25">
      <c r="A610" s="1">
        <f>Sampling!D608</f>
        <v>0</v>
      </c>
      <c r="B610" t="str" cm="1">
        <f t="array" ref="B610">IF(ISBLANK(INDEX(SampleList[NMR],ROW()-1)),"Not Requested",INDEX(SampleList[Experiment ID],ROW()-1))</f>
        <v>Not Requested</v>
      </c>
      <c r="C610">
        <f>Sampling!E608</f>
        <v>0</v>
      </c>
      <c r="D610">
        <f>NMRPrep[[#This Row],['#]]</f>
        <v>0</v>
      </c>
      <c r="G6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0" t="e">
        <f>IF(ISBLANK(NMRPrep[[#This Row],[Total (uL) ]]), 0, NMRPrep[[#This Row],[1mM Maleic Acid (uL) ]]/NMRPrep[[#This Row],[Total (uL) ]])</f>
        <v>#DIV/0!</v>
      </c>
      <c r="I610">
        <f>2</f>
        <v>2</v>
      </c>
      <c r="J610">
        <f>4</f>
        <v>4</v>
      </c>
      <c r="K610">
        <f>1</f>
        <v>1</v>
      </c>
    </row>
    <row r="611" spans="1:11" hidden="1" x14ac:dyDescent="0.25">
      <c r="A611" s="1">
        <f>Sampling!D609</f>
        <v>0</v>
      </c>
      <c r="B611" t="str" cm="1">
        <f t="array" ref="B611">IF(ISBLANK(INDEX(SampleList[NMR],ROW()-1)),"Not Requested",INDEX(SampleList[Experiment ID],ROW()-1))</f>
        <v>Not Requested</v>
      </c>
      <c r="C611">
        <f>Sampling!E609</f>
        <v>0</v>
      </c>
      <c r="D611">
        <f>NMRPrep[[#This Row],['#]]</f>
        <v>0</v>
      </c>
      <c r="G6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1" t="e">
        <f>IF(ISBLANK(NMRPrep[[#This Row],[Total (uL) ]]), 0, NMRPrep[[#This Row],[1mM Maleic Acid (uL) ]]/NMRPrep[[#This Row],[Total (uL) ]])</f>
        <v>#DIV/0!</v>
      </c>
      <c r="I611">
        <f>2</f>
        <v>2</v>
      </c>
      <c r="J611">
        <f>4</f>
        <v>4</v>
      </c>
      <c r="K611">
        <f>1</f>
        <v>1</v>
      </c>
    </row>
    <row r="612" spans="1:11" hidden="1" x14ac:dyDescent="0.25">
      <c r="A612" s="1">
        <f>Sampling!D610</f>
        <v>0</v>
      </c>
      <c r="B612" t="str" cm="1">
        <f t="array" ref="B612">IF(ISBLANK(INDEX(SampleList[NMR],ROW()-1)),"Not Requested",INDEX(SampleList[Experiment ID],ROW()-1))</f>
        <v>Not Requested</v>
      </c>
      <c r="C612">
        <f>Sampling!E610</f>
        <v>0</v>
      </c>
      <c r="D612">
        <f>NMRPrep[[#This Row],['#]]</f>
        <v>0</v>
      </c>
      <c r="G6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2" t="e">
        <f>IF(ISBLANK(NMRPrep[[#This Row],[Total (uL) ]]), 0, NMRPrep[[#This Row],[1mM Maleic Acid (uL) ]]/NMRPrep[[#This Row],[Total (uL) ]])</f>
        <v>#DIV/0!</v>
      </c>
      <c r="I612">
        <f>2</f>
        <v>2</v>
      </c>
      <c r="J612">
        <f>4</f>
        <v>4</v>
      </c>
      <c r="K612">
        <f>1</f>
        <v>1</v>
      </c>
    </row>
    <row r="613" spans="1:11" hidden="1" x14ac:dyDescent="0.25">
      <c r="A613" s="1">
        <f>Sampling!D611</f>
        <v>0</v>
      </c>
      <c r="B613" t="str" cm="1">
        <f t="array" ref="B613">IF(ISBLANK(INDEX(SampleList[NMR],ROW()-1)),"Not Requested",INDEX(SampleList[Experiment ID],ROW()-1))</f>
        <v>Not Requested</v>
      </c>
      <c r="C613">
        <f>Sampling!E611</f>
        <v>0</v>
      </c>
      <c r="D613">
        <f>NMRPrep[[#This Row],['#]]</f>
        <v>0</v>
      </c>
      <c r="G6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3" t="e">
        <f>IF(ISBLANK(NMRPrep[[#This Row],[Total (uL) ]]), 0, NMRPrep[[#This Row],[1mM Maleic Acid (uL) ]]/NMRPrep[[#This Row],[Total (uL) ]])</f>
        <v>#DIV/0!</v>
      </c>
      <c r="I613">
        <f>2</f>
        <v>2</v>
      </c>
      <c r="J613">
        <f>4</f>
        <v>4</v>
      </c>
      <c r="K613">
        <f>1</f>
        <v>1</v>
      </c>
    </row>
    <row r="614" spans="1:11" hidden="1" x14ac:dyDescent="0.25">
      <c r="A614" s="1">
        <f>Sampling!D612</f>
        <v>0</v>
      </c>
      <c r="B614" t="str" cm="1">
        <f t="array" ref="B614">IF(ISBLANK(INDEX(SampleList[NMR],ROW()-1)),"Not Requested",INDEX(SampleList[Experiment ID],ROW()-1))</f>
        <v>Not Requested</v>
      </c>
      <c r="C614">
        <f>Sampling!E612</f>
        <v>0</v>
      </c>
      <c r="D614">
        <f>NMRPrep[[#This Row],['#]]</f>
        <v>0</v>
      </c>
      <c r="G6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4" t="e">
        <f>IF(ISBLANK(NMRPrep[[#This Row],[Total (uL) ]]), 0, NMRPrep[[#This Row],[1mM Maleic Acid (uL) ]]/NMRPrep[[#This Row],[Total (uL) ]])</f>
        <v>#DIV/0!</v>
      </c>
      <c r="I614">
        <f>2</f>
        <v>2</v>
      </c>
      <c r="J614">
        <f>4</f>
        <v>4</v>
      </c>
      <c r="K614">
        <f>1</f>
        <v>1</v>
      </c>
    </row>
    <row r="615" spans="1:11" hidden="1" x14ac:dyDescent="0.25">
      <c r="A615" s="1">
        <f>Sampling!D613</f>
        <v>0</v>
      </c>
      <c r="B615" t="str" cm="1">
        <f t="array" ref="B615">IF(ISBLANK(INDEX(SampleList[NMR],ROW()-1)),"Not Requested",INDEX(SampleList[Experiment ID],ROW()-1))</f>
        <v>Not Requested</v>
      </c>
      <c r="C615">
        <f>Sampling!E613</f>
        <v>0</v>
      </c>
      <c r="D615">
        <f>NMRPrep[[#This Row],['#]]</f>
        <v>0</v>
      </c>
      <c r="G6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5" t="e">
        <f>IF(ISBLANK(NMRPrep[[#This Row],[Total (uL) ]]), 0, NMRPrep[[#This Row],[1mM Maleic Acid (uL) ]]/NMRPrep[[#This Row],[Total (uL) ]])</f>
        <v>#DIV/0!</v>
      </c>
      <c r="I615">
        <f>2</f>
        <v>2</v>
      </c>
      <c r="J615">
        <f>4</f>
        <v>4</v>
      </c>
      <c r="K615">
        <f>1</f>
        <v>1</v>
      </c>
    </row>
    <row r="616" spans="1:11" hidden="1" x14ac:dyDescent="0.25">
      <c r="A616" s="1">
        <f>Sampling!D614</f>
        <v>0</v>
      </c>
      <c r="B616" t="str" cm="1">
        <f t="array" ref="B616">IF(ISBLANK(INDEX(SampleList[NMR],ROW()-1)),"Not Requested",INDEX(SampleList[Experiment ID],ROW()-1))</f>
        <v>Not Requested</v>
      </c>
      <c r="C616">
        <f>Sampling!E614</f>
        <v>0</v>
      </c>
      <c r="D616">
        <f>NMRPrep[[#This Row],['#]]</f>
        <v>0</v>
      </c>
      <c r="G6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6" t="e">
        <f>IF(ISBLANK(NMRPrep[[#This Row],[Total (uL) ]]), 0, NMRPrep[[#This Row],[1mM Maleic Acid (uL) ]]/NMRPrep[[#This Row],[Total (uL) ]])</f>
        <v>#DIV/0!</v>
      </c>
      <c r="I616">
        <f>2</f>
        <v>2</v>
      </c>
      <c r="J616">
        <f>4</f>
        <v>4</v>
      </c>
      <c r="K616">
        <f>1</f>
        <v>1</v>
      </c>
    </row>
    <row r="617" spans="1:11" hidden="1" x14ac:dyDescent="0.25">
      <c r="A617" s="1">
        <f>Sampling!D615</f>
        <v>0</v>
      </c>
      <c r="B617" t="str" cm="1">
        <f t="array" ref="B617">IF(ISBLANK(INDEX(SampleList[NMR],ROW()-1)),"Not Requested",INDEX(SampleList[Experiment ID],ROW()-1))</f>
        <v>Not Requested</v>
      </c>
      <c r="C617">
        <f>Sampling!E615</f>
        <v>0</v>
      </c>
      <c r="D617">
        <f>NMRPrep[[#This Row],['#]]</f>
        <v>0</v>
      </c>
      <c r="G6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7" t="e">
        <f>IF(ISBLANK(NMRPrep[[#This Row],[Total (uL) ]]), 0, NMRPrep[[#This Row],[1mM Maleic Acid (uL) ]]/NMRPrep[[#This Row],[Total (uL) ]])</f>
        <v>#DIV/0!</v>
      </c>
      <c r="I617">
        <f>2</f>
        <v>2</v>
      </c>
      <c r="J617">
        <f>4</f>
        <v>4</v>
      </c>
      <c r="K617">
        <f>1</f>
        <v>1</v>
      </c>
    </row>
    <row r="618" spans="1:11" hidden="1" x14ac:dyDescent="0.25">
      <c r="A618" s="1">
        <f>Sampling!D616</f>
        <v>0</v>
      </c>
      <c r="B618" t="str" cm="1">
        <f t="array" ref="B618">IF(ISBLANK(INDEX(SampleList[NMR],ROW()-1)),"Not Requested",INDEX(SampleList[Experiment ID],ROW()-1))</f>
        <v>Not Requested</v>
      </c>
      <c r="C618">
        <f>Sampling!E616</f>
        <v>0</v>
      </c>
      <c r="D618">
        <f>NMRPrep[[#This Row],['#]]</f>
        <v>0</v>
      </c>
      <c r="G6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8" t="e">
        <f>IF(ISBLANK(NMRPrep[[#This Row],[Total (uL) ]]), 0, NMRPrep[[#This Row],[1mM Maleic Acid (uL) ]]/NMRPrep[[#This Row],[Total (uL) ]])</f>
        <v>#DIV/0!</v>
      </c>
      <c r="I618">
        <f>2</f>
        <v>2</v>
      </c>
      <c r="J618">
        <f>4</f>
        <v>4</v>
      </c>
      <c r="K618">
        <f>1</f>
        <v>1</v>
      </c>
    </row>
    <row r="619" spans="1:11" hidden="1" x14ac:dyDescent="0.25">
      <c r="A619" s="1">
        <f>Sampling!D617</f>
        <v>0</v>
      </c>
      <c r="B619" t="str" cm="1">
        <f t="array" ref="B619">IF(ISBLANK(INDEX(SampleList[NMR],ROW()-1)),"Not Requested",INDEX(SampleList[Experiment ID],ROW()-1))</f>
        <v>Not Requested</v>
      </c>
      <c r="C619">
        <f>Sampling!E617</f>
        <v>0</v>
      </c>
      <c r="D619">
        <f>NMRPrep[[#This Row],['#]]</f>
        <v>0</v>
      </c>
      <c r="G6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19" t="e">
        <f>IF(ISBLANK(NMRPrep[[#This Row],[Total (uL) ]]), 0, NMRPrep[[#This Row],[1mM Maleic Acid (uL) ]]/NMRPrep[[#This Row],[Total (uL) ]])</f>
        <v>#DIV/0!</v>
      </c>
      <c r="I619">
        <f>2</f>
        <v>2</v>
      </c>
      <c r="J619">
        <f>4</f>
        <v>4</v>
      </c>
      <c r="K619">
        <f>1</f>
        <v>1</v>
      </c>
    </row>
    <row r="620" spans="1:11" hidden="1" x14ac:dyDescent="0.25">
      <c r="A620" s="1">
        <f>Sampling!D618</f>
        <v>0</v>
      </c>
      <c r="B620" t="str" cm="1">
        <f t="array" ref="B620">IF(ISBLANK(INDEX(SampleList[NMR],ROW()-1)),"Not Requested",INDEX(SampleList[Experiment ID],ROW()-1))</f>
        <v>Not Requested</v>
      </c>
      <c r="C620">
        <f>Sampling!E618</f>
        <v>0</v>
      </c>
      <c r="D620">
        <f>NMRPrep[[#This Row],['#]]</f>
        <v>0</v>
      </c>
      <c r="G6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0" t="e">
        <f>IF(ISBLANK(NMRPrep[[#This Row],[Total (uL) ]]), 0, NMRPrep[[#This Row],[1mM Maleic Acid (uL) ]]/NMRPrep[[#This Row],[Total (uL) ]])</f>
        <v>#DIV/0!</v>
      </c>
      <c r="I620">
        <f>2</f>
        <v>2</v>
      </c>
      <c r="J620">
        <f>4</f>
        <v>4</v>
      </c>
      <c r="K620">
        <f>1</f>
        <v>1</v>
      </c>
    </row>
    <row r="621" spans="1:11" hidden="1" x14ac:dyDescent="0.25">
      <c r="A621" s="1">
        <f>Sampling!D619</f>
        <v>0</v>
      </c>
      <c r="B621" t="str" cm="1">
        <f t="array" ref="B621">IF(ISBLANK(INDEX(SampleList[NMR],ROW()-1)),"Not Requested",INDEX(SampleList[Experiment ID],ROW()-1))</f>
        <v>Not Requested</v>
      </c>
      <c r="C621">
        <f>Sampling!E619</f>
        <v>0</v>
      </c>
      <c r="D621">
        <f>NMRPrep[[#This Row],['#]]</f>
        <v>0</v>
      </c>
      <c r="G6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1" t="e">
        <f>IF(ISBLANK(NMRPrep[[#This Row],[Total (uL) ]]), 0, NMRPrep[[#This Row],[1mM Maleic Acid (uL) ]]/NMRPrep[[#This Row],[Total (uL) ]])</f>
        <v>#DIV/0!</v>
      </c>
      <c r="I621">
        <f>2</f>
        <v>2</v>
      </c>
      <c r="J621">
        <f>4</f>
        <v>4</v>
      </c>
      <c r="K621">
        <f>1</f>
        <v>1</v>
      </c>
    </row>
    <row r="622" spans="1:11" hidden="1" x14ac:dyDescent="0.25">
      <c r="A622" s="1">
        <f>Sampling!D620</f>
        <v>0</v>
      </c>
      <c r="B622" t="str" cm="1">
        <f t="array" ref="B622">IF(ISBLANK(INDEX(SampleList[NMR],ROW()-1)),"Not Requested",INDEX(SampleList[Experiment ID],ROW()-1))</f>
        <v>Not Requested</v>
      </c>
      <c r="C622">
        <f>Sampling!E620</f>
        <v>0</v>
      </c>
      <c r="D622">
        <f>NMRPrep[[#This Row],['#]]</f>
        <v>0</v>
      </c>
      <c r="G6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2" t="e">
        <f>IF(ISBLANK(NMRPrep[[#This Row],[Total (uL) ]]), 0, NMRPrep[[#This Row],[1mM Maleic Acid (uL) ]]/NMRPrep[[#This Row],[Total (uL) ]])</f>
        <v>#DIV/0!</v>
      </c>
      <c r="I622">
        <f>2</f>
        <v>2</v>
      </c>
      <c r="J622">
        <f>4</f>
        <v>4</v>
      </c>
      <c r="K622">
        <f>1</f>
        <v>1</v>
      </c>
    </row>
    <row r="623" spans="1:11" hidden="1" x14ac:dyDescent="0.25">
      <c r="A623" s="1">
        <f>Sampling!D621</f>
        <v>0</v>
      </c>
      <c r="B623" t="str" cm="1">
        <f t="array" ref="B623">IF(ISBLANK(INDEX(SampleList[NMR],ROW()-1)),"Not Requested",INDEX(SampleList[Experiment ID],ROW()-1))</f>
        <v>Not Requested</v>
      </c>
      <c r="C623">
        <f>Sampling!E621</f>
        <v>0</v>
      </c>
      <c r="D623">
        <f>NMRPrep[[#This Row],['#]]</f>
        <v>0</v>
      </c>
      <c r="G6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3" t="e">
        <f>IF(ISBLANK(NMRPrep[[#This Row],[Total (uL) ]]), 0, NMRPrep[[#This Row],[1mM Maleic Acid (uL) ]]/NMRPrep[[#This Row],[Total (uL) ]])</f>
        <v>#DIV/0!</v>
      </c>
      <c r="I623">
        <f>2</f>
        <v>2</v>
      </c>
      <c r="J623">
        <f>4</f>
        <v>4</v>
      </c>
      <c r="K623">
        <f>1</f>
        <v>1</v>
      </c>
    </row>
    <row r="624" spans="1:11" hidden="1" x14ac:dyDescent="0.25">
      <c r="A624" s="1">
        <f>Sampling!D622</f>
        <v>0</v>
      </c>
      <c r="B624" t="str" cm="1">
        <f t="array" ref="B624">IF(ISBLANK(INDEX(SampleList[NMR],ROW()-1)),"Not Requested",INDEX(SampleList[Experiment ID],ROW()-1))</f>
        <v>Not Requested</v>
      </c>
      <c r="C624">
        <f>Sampling!E622</f>
        <v>0</v>
      </c>
      <c r="D624">
        <f>NMRPrep[[#This Row],['#]]</f>
        <v>0</v>
      </c>
      <c r="G6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4" t="e">
        <f>IF(ISBLANK(NMRPrep[[#This Row],[Total (uL) ]]), 0, NMRPrep[[#This Row],[1mM Maleic Acid (uL) ]]/NMRPrep[[#This Row],[Total (uL) ]])</f>
        <v>#DIV/0!</v>
      </c>
      <c r="I624">
        <f>2</f>
        <v>2</v>
      </c>
      <c r="J624">
        <f>4</f>
        <v>4</v>
      </c>
      <c r="K624">
        <f>1</f>
        <v>1</v>
      </c>
    </row>
    <row r="625" spans="1:11" hidden="1" x14ac:dyDescent="0.25">
      <c r="A625" s="1">
        <f>Sampling!D623</f>
        <v>0</v>
      </c>
      <c r="B625" t="str" cm="1">
        <f t="array" ref="B625">IF(ISBLANK(INDEX(SampleList[NMR],ROW()-1)),"Not Requested",INDEX(SampleList[Experiment ID],ROW()-1))</f>
        <v>Not Requested</v>
      </c>
      <c r="C625">
        <f>Sampling!E623</f>
        <v>0</v>
      </c>
      <c r="D625">
        <f>NMRPrep[[#This Row],['#]]</f>
        <v>0</v>
      </c>
      <c r="G6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5" t="e">
        <f>IF(ISBLANK(NMRPrep[[#This Row],[Total (uL) ]]), 0, NMRPrep[[#This Row],[1mM Maleic Acid (uL) ]]/NMRPrep[[#This Row],[Total (uL) ]])</f>
        <v>#DIV/0!</v>
      </c>
      <c r="I625">
        <f>2</f>
        <v>2</v>
      </c>
      <c r="J625">
        <f>4</f>
        <v>4</v>
      </c>
      <c r="K625">
        <f>1</f>
        <v>1</v>
      </c>
    </row>
    <row r="626" spans="1:11" hidden="1" x14ac:dyDescent="0.25">
      <c r="A626" s="1">
        <f>Sampling!D624</f>
        <v>0</v>
      </c>
      <c r="B626" t="str" cm="1">
        <f t="array" ref="B626">IF(ISBLANK(INDEX(SampleList[NMR],ROW()-1)),"Not Requested",INDEX(SampleList[Experiment ID],ROW()-1))</f>
        <v>Not Requested</v>
      </c>
      <c r="C626">
        <f>Sampling!E624</f>
        <v>0</v>
      </c>
      <c r="D626">
        <f>NMRPrep[[#This Row],['#]]</f>
        <v>0</v>
      </c>
      <c r="G6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6" t="e">
        <f>IF(ISBLANK(NMRPrep[[#This Row],[Total (uL) ]]), 0, NMRPrep[[#This Row],[1mM Maleic Acid (uL) ]]/NMRPrep[[#This Row],[Total (uL) ]])</f>
        <v>#DIV/0!</v>
      </c>
      <c r="I626">
        <f>2</f>
        <v>2</v>
      </c>
      <c r="J626">
        <f>4</f>
        <v>4</v>
      </c>
      <c r="K626">
        <f>1</f>
        <v>1</v>
      </c>
    </row>
    <row r="627" spans="1:11" hidden="1" x14ac:dyDescent="0.25">
      <c r="A627" s="1">
        <f>Sampling!D625</f>
        <v>0</v>
      </c>
      <c r="B627" t="str" cm="1">
        <f t="array" ref="B627">IF(ISBLANK(INDEX(SampleList[NMR],ROW()-1)),"Not Requested",INDEX(SampleList[Experiment ID],ROW()-1))</f>
        <v>Not Requested</v>
      </c>
      <c r="C627">
        <f>Sampling!E625</f>
        <v>0</v>
      </c>
      <c r="D627">
        <f>NMRPrep[[#This Row],['#]]</f>
        <v>0</v>
      </c>
      <c r="G6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7" t="e">
        <f>IF(ISBLANK(NMRPrep[[#This Row],[Total (uL) ]]), 0, NMRPrep[[#This Row],[1mM Maleic Acid (uL) ]]/NMRPrep[[#This Row],[Total (uL) ]])</f>
        <v>#DIV/0!</v>
      </c>
      <c r="I627">
        <f>2</f>
        <v>2</v>
      </c>
      <c r="J627">
        <f>4</f>
        <v>4</v>
      </c>
      <c r="K627">
        <f>1</f>
        <v>1</v>
      </c>
    </row>
    <row r="628" spans="1:11" hidden="1" x14ac:dyDescent="0.25">
      <c r="A628" s="1">
        <f>Sampling!D626</f>
        <v>0</v>
      </c>
      <c r="B628" t="str" cm="1">
        <f t="array" ref="B628">IF(ISBLANK(INDEX(SampleList[NMR],ROW()-1)),"Not Requested",INDEX(SampleList[Experiment ID],ROW()-1))</f>
        <v>Not Requested</v>
      </c>
      <c r="C628">
        <f>Sampling!E626</f>
        <v>0</v>
      </c>
      <c r="D628">
        <f>NMRPrep[[#This Row],['#]]</f>
        <v>0</v>
      </c>
      <c r="G6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8" t="e">
        <f>IF(ISBLANK(NMRPrep[[#This Row],[Total (uL) ]]), 0, NMRPrep[[#This Row],[1mM Maleic Acid (uL) ]]/NMRPrep[[#This Row],[Total (uL) ]])</f>
        <v>#DIV/0!</v>
      </c>
      <c r="I628">
        <f>2</f>
        <v>2</v>
      </c>
      <c r="J628">
        <f>4</f>
        <v>4</v>
      </c>
      <c r="K628">
        <f>1</f>
        <v>1</v>
      </c>
    </row>
    <row r="629" spans="1:11" hidden="1" x14ac:dyDescent="0.25">
      <c r="A629" s="1">
        <f>Sampling!D627</f>
        <v>0</v>
      </c>
      <c r="B629" t="str" cm="1">
        <f t="array" ref="B629">IF(ISBLANK(INDEX(SampleList[NMR],ROW()-1)),"Not Requested",INDEX(SampleList[Experiment ID],ROW()-1))</f>
        <v>Not Requested</v>
      </c>
      <c r="C629">
        <f>Sampling!E627</f>
        <v>0</v>
      </c>
      <c r="D629">
        <f>NMRPrep[[#This Row],['#]]</f>
        <v>0</v>
      </c>
      <c r="G6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29" t="e">
        <f>IF(ISBLANK(NMRPrep[[#This Row],[Total (uL) ]]), 0, NMRPrep[[#This Row],[1mM Maleic Acid (uL) ]]/NMRPrep[[#This Row],[Total (uL) ]])</f>
        <v>#DIV/0!</v>
      </c>
      <c r="I629">
        <f>2</f>
        <v>2</v>
      </c>
      <c r="J629">
        <f>4</f>
        <v>4</v>
      </c>
      <c r="K629">
        <f>1</f>
        <v>1</v>
      </c>
    </row>
    <row r="630" spans="1:11" hidden="1" x14ac:dyDescent="0.25">
      <c r="A630" s="1">
        <f>Sampling!D628</f>
        <v>0</v>
      </c>
      <c r="B630" t="str" cm="1">
        <f t="array" ref="B630">IF(ISBLANK(INDEX(SampleList[NMR],ROW()-1)),"Not Requested",INDEX(SampleList[Experiment ID],ROW()-1))</f>
        <v>Not Requested</v>
      </c>
      <c r="C630">
        <f>Sampling!E628</f>
        <v>0</v>
      </c>
      <c r="D630">
        <f>NMRPrep[[#This Row],['#]]</f>
        <v>0</v>
      </c>
      <c r="G6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0" t="e">
        <f>IF(ISBLANK(NMRPrep[[#This Row],[Total (uL) ]]), 0, NMRPrep[[#This Row],[1mM Maleic Acid (uL) ]]/NMRPrep[[#This Row],[Total (uL) ]])</f>
        <v>#DIV/0!</v>
      </c>
      <c r="I630">
        <f>2</f>
        <v>2</v>
      </c>
      <c r="J630">
        <f>4</f>
        <v>4</v>
      </c>
      <c r="K630">
        <f>1</f>
        <v>1</v>
      </c>
    </row>
    <row r="631" spans="1:11" hidden="1" x14ac:dyDescent="0.25">
      <c r="A631" s="1">
        <f>Sampling!D629</f>
        <v>0</v>
      </c>
      <c r="B631" t="str" cm="1">
        <f t="array" ref="B631">IF(ISBLANK(INDEX(SampleList[NMR],ROW()-1)),"Not Requested",INDEX(SampleList[Experiment ID],ROW()-1))</f>
        <v>Not Requested</v>
      </c>
      <c r="C631">
        <f>Sampling!E629</f>
        <v>0</v>
      </c>
      <c r="D631">
        <f>NMRPrep[[#This Row],['#]]</f>
        <v>0</v>
      </c>
      <c r="G6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1" t="e">
        <f>IF(ISBLANK(NMRPrep[[#This Row],[Total (uL) ]]), 0, NMRPrep[[#This Row],[1mM Maleic Acid (uL) ]]/NMRPrep[[#This Row],[Total (uL) ]])</f>
        <v>#DIV/0!</v>
      </c>
      <c r="I631">
        <f>2</f>
        <v>2</v>
      </c>
      <c r="J631">
        <f>4</f>
        <v>4</v>
      </c>
      <c r="K631">
        <f>1</f>
        <v>1</v>
      </c>
    </row>
    <row r="632" spans="1:11" hidden="1" x14ac:dyDescent="0.25">
      <c r="A632" s="1">
        <f>Sampling!D630</f>
        <v>0</v>
      </c>
      <c r="B632" t="str" cm="1">
        <f t="array" ref="B632">IF(ISBLANK(INDEX(SampleList[NMR],ROW()-1)),"Not Requested",INDEX(SampleList[Experiment ID],ROW()-1))</f>
        <v>Not Requested</v>
      </c>
      <c r="C632">
        <f>Sampling!E630</f>
        <v>0</v>
      </c>
      <c r="D632">
        <f>NMRPrep[[#This Row],['#]]</f>
        <v>0</v>
      </c>
      <c r="G6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2" t="e">
        <f>IF(ISBLANK(NMRPrep[[#This Row],[Total (uL) ]]), 0, NMRPrep[[#This Row],[1mM Maleic Acid (uL) ]]/NMRPrep[[#This Row],[Total (uL) ]])</f>
        <v>#DIV/0!</v>
      </c>
      <c r="I632">
        <f>2</f>
        <v>2</v>
      </c>
      <c r="J632">
        <f>4</f>
        <v>4</v>
      </c>
      <c r="K632">
        <f>1</f>
        <v>1</v>
      </c>
    </row>
    <row r="633" spans="1:11" hidden="1" x14ac:dyDescent="0.25">
      <c r="A633" s="1">
        <f>Sampling!D631</f>
        <v>0</v>
      </c>
      <c r="B633" t="str" cm="1">
        <f t="array" ref="B633">IF(ISBLANK(INDEX(SampleList[NMR],ROW()-1)),"Not Requested",INDEX(SampleList[Experiment ID],ROW()-1))</f>
        <v>Not Requested</v>
      </c>
      <c r="C633">
        <f>Sampling!E631</f>
        <v>0</v>
      </c>
      <c r="D633">
        <f>NMRPrep[[#This Row],['#]]</f>
        <v>0</v>
      </c>
      <c r="G6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3" t="e">
        <f>IF(ISBLANK(NMRPrep[[#This Row],[Total (uL) ]]), 0, NMRPrep[[#This Row],[1mM Maleic Acid (uL) ]]/NMRPrep[[#This Row],[Total (uL) ]])</f>
        <v>#DIV/0!</v>
      </c>
      <c r="I633">
        <f>2</f>
        <v>2</v>
      </c>
      <c r="J633">
        <f>4</f>
        <v>4</v>
      </c>
      <c r="K633">
        <f>1</f>
        <v>1</v>
      </c>
    </row>
    <row r="634" spans="1:11" hidden="1" x14ac:dyDescent="0.25">
      <c r="A634" s="1">
        <f>Sampling!D632</f>
        <v>0</v>
      </c>
      <c r="B634" t="str" cm="1">
        <f t="array" ref="B634">IF(ISBLANK(INDEX(SampleList[NMR],ROW()-1)),"Not Requested",INDEX(SampleList[Experiment ID],ROW()-1))</f>
        <v>Not Requested</v>
      </c>
      <c r="C634">
        <f>Sampling!E632</f>
        <v>0</v>
      </c>
      <c r="D634">
        <f>NMRPrep[[#This Row],['#]]</f>
        <v>0</v>
      </c>
      <c r="G6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4" t="e">
        <f>IF(ISBLANK(NMRPrep[[#This Row],[Total (uL) ]]), 0, NMRPrep[[#This Row],[1mM Maleic Acid (uL) ]]/NMRPrep[[#This Row],[Total (uL) ]])</f>
        <v>#DIV/0!</v>
      </c>
      <c r="I634">
        <f>2</f>
        <v>2</v>
      </c>
      <c r="J634">
        <f>4</f>
        <v>4</v>
      </c>
      <c r="K634">
        <f>1</f>
        <v>1</v>
      </c>
    </row>
    <row r="635" spans="1:11" hidden="1" x14ac:dyDescent="0.25">
      <c r="A635" s="1">
        <f>Sampling!D633</f>
        <v>0</v>
      </c>
      <c r="B635" t="str" cm="1">
        <f t="array" ref="B635">IF(ISBLANK(INDEX(SampleList[NMR],ROW()-1)),"Not Requested",INDEX(SampleList[Experiment ID],ROW()-1))</f>
        <v>Not Requested</v>
      </c>
      <c r="C635">
        <f>Sampling!E633</f>
        <v>0</v>
      </c>
      <c r="D635">
        <f>NMRPrep[[#This Row],['#]]</f>
        <v>0</v>
      </c>
      <c r="G6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5" t="e">
        <f>IF(ISBLANK(NMRPrep[[#This Row],[Total (uL) ]]), 0, NMRPrep[[#This Row],[1mM Maleic Acid (uL) ]]/NMRPrep[[#This Row],[Total (uL) ]])</f>
        <v>#DIV/0!</v>
      </c>
      <c r="I635">
        <f>2</f>
        <v>2</v>
      </c>
      <c r="J635">
        <f>4</f>
        <v>4</v>
      </c>
      <c r="K635">
        <f>1</f>
        <v>1</v>
      </c>
    </row>
    <row r="636" spans="1:11" hidden="1" x14ac:dyDescent="0.25">
      <c r="A636" s="1">
        <f>Sampling!D634</f>
        <v>0</v>
      </c>
      <c r="B636" t="str" cm="1">
        <f t="array" ref="B636">IF(ISBLANK(INDEX(SampleList[NMR],ROW()-1)),"Not Requested",INDEX(SampleList[Experiment ID],ROW()-1))</f>
        <v>Not Requested</v>
      </c>
      <c r="C636">
        <f>Sampling!E634</f>
        <v>0</v>
      </c>
      <c r="D636">
        <f>NMRPrep[[#This Row],['#]]</f>
        <v>0</v>
      </c>
      <c r="G6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6" t="e">
        <f>IF(ISBLANK(NMRPrep[[#This Row],[Total (uL) ]]), 0, NMRPrep[[#This Row],[1mM Maleic Acid (uL) ]]/NMRPrep[[#This Row],[Total (uL) ]])</f>
        <v>#DIV/0!</v>
      </c>
      <c r="I636">
        <f>2</f>
        <v>2</v>
      </c>
      <c r="J636">
        <f>4</f>
        <v>4</v>
      </c>
      <c r="K636">
        <f>1</f>
        <v>1</v>
      </c>
    </row>
    <row r="637" spans="1:11" hidden="1" x14ac:dyDescent="0.25">
      <c r="A637" s="1">
        <f>Sampling!D635</f>
        <v>0</v>
      </c>
      <c r="B637" t="str" cm="1">
        <f t="array" ref="B637">IF(ISBLANK(INDEX(SampleList[NMR],ROW()-1)),"Not Requested",INDEX(SampleList[Experiment ID],ROW()-1))</f>
        <v>Not Requested</v>
      </c>
      <c r="C637">
        <f>Sampling!E635</f>
        <v>0</v>
      </c>
      <c r="D637">
        <f>NMRPrep[[#This Row],['#]]</f>
        <v>0</v>
      </c>
      <c r="G6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7" t="e">
        <f>IF(ISBLANK(NMRPrep[[#This Row],[Total (uL) ]]), 0, NMRPrep[[#This Row],[1mM Maleic Acid (uL) ]]/NMRPrep[[#This Row],[Total (uL) ]])</f>
        <v>#DIV/0!</v>
      </c>
      <c r="I637">
        <f>2</f>
        <v>2</v>
      </c>
      <c r="J637">
        <f>4</f>
        <v>4</v>
      </c>
      <c r="K637">
        <f>1</f>
        <v>1</v>
      </c>
    </row>
    <row r="638" spans="1:11" hidden="1" x14ac:dyDescent="0.25">
      <c r="A638" s="1">
        <f>Sampling!D636</f>
        <v>0</v>
      </c>
      <c r="B638" t="str" cm="1">
        <f t="array" ref="B638">IF(ISBLANK(INDEX(SampleList[NMR],ROW()-1)),"Not Requested",INDEX(SampleList[Experiment ID],ROW()-1))</f>
        <v>Not Requested</v>
      </c>
      <c r="C638">
        <f>Sampling!E636</f>
        <v>0</v>
      </c>
      <c r="D638">
        <f>NMRPrep[[#This Row],['#]]</f>
        <v>0</v>
      </c>
      <c r="G6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8" t="e">
        <f>IF(ISBLANK(NMRPrep[[#This Row],[Total (uL) ]]), 0, NMRPrep[[#This Row],[1mM Maleic Acid (uL) ]]/NMRPrep[[#This Row],[Total (uL) ]])</f>
        <v>#DIV/0!</v>
      </c>
      <c r="I638">
        <f>2</f>
        <v>2</v>
      </c>
      <c r="J638">
        <f>4</f>
        <v>4</v>
      </c>
      <c r="K638">
        <f>1</f>
        <v>1</v>
      </c>
    </row>
    <row r="639" spans="1:11" hidden="1" x14ac:dyDescent="0.25">
      <c r="A639" s="1">
        <f>Sampling!D637</f>
        <v>0</v>
      </c>
      <c r="B639" t="str" cm="1">
        <f t="array" ref="B639">IF(ISBLANK(INDEX(SampleList[NMR],ROW()-1)),"Not Requested",INDEX(SampleList[Experiment ID],ROW()-1))</f>
        <v>Not Requested</v>
      </c>
      <c r="C639">
        <f>Sampling!E637</f>
        <v>0</v>
      </c>
      <c r="D639">
        <f>NMRPrep[[#This Row],['#]]</f>
        <v>0</v>
      </c>
      <c r="G6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39" t="e">
        <f>IF(ISBLANK(NMRPrep[[#This Row],[Total (uL) ]]), 0, NMRPrep[[#This Row],[1mM Maleic Acid (uL) ]]/NMRPrep[[#This Row],[Total (uL) ]])</f>
        <v>#DIV/0!</v>
      </c>
      <c r="I639">
        <f>2</f>
        <v>2</v>
      </c>
      <c r="J639">
        <f>4</f>
        <v>4</v>
      </c>
      <c r="K639">
        <f>1</f>
        <v>1</v>
      </c>
    </row>
    <row r="640" spans="1:11" hidden="1" x14ac:dyDescent="0.25">
      <c r="A640" s="1">
        <f>Sampling!D638</f>
        <v>0</v>
      </c>
      <c r="B640" t="str" cm="1">
        <f t="array" ref="B640">IF(ISBLANK(INDEX(SampleList[NMR],ROW()-1)),"Not Requested",INDEX(SampleList[Experiment ID],ROW()-1))</f>
        <v>Not Requested</v>
      </c>
      <c r="C640">
        <f>Sampling!E638</f>
        <v>0</v>
      </c>
      <c r="D640">
        <f>NMRPrep[[#This Row],['#]]</f>
        <v>0</v>
      </c>
      <c r="G6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0" t="e">
        <f>IF(ISBLANK(NMRPrep[[#This Row],[Total (uL) ]]), 0, NMRPrep[[#This Row],[1mM Maleic Acid (uL) ]]/NMRPrep[[#This Row],[Total (uL) ]])</f>
        <v>#DIV/0!</v>
      </c>
      <c r="I640">
        <f>2</f>
        <v>2</v>
      </c>
      <c r="J640">
        <f>4</f>
        <v>4</v>
      </c>
      <c r="K640">
        <f>1</f>
        <v>1</v>
      </c>
    </row>
    <row r="641" spans="1:11" hidden="1" x14ac:dyDescent="0.25">
      <c r="A641" s="1">
        <f>Sampling!D639</f>
        <v>0</v>
      </c>
      <c r="B641" t="str" cm="1">
        <f t="array" ref="B641">IF(ISBLANK(INDEX(SampleList[NMR],ROW()-1)),"Not Requested",INDEX(SampleList[Experiment ID],ROW()-1))</f>
        <v>Not Requested</v>
      </c>
      <c r="C641">
        <f>Sampling!E639</f>
        <v>0</v>
      </c>
      <c r="D641">
        <f>NMRPrep[[#This Row],['#]]</f>
        <v>0</v>
      </c>
      <c r="G6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1" t="e">
        <f>IF(ISBLANK(NMRPrep[[#This Row],[Total (uL) ]]), 0, NMRPrep[[#This Row],[1mM Maleic Acid (uL) ]]/NMRPrep[[#This Row],[Total (uL) ]])</f>
        <v>#DIV/0!</v>
      </c>
      <c r="I641">
        <f>2</f>
        <v>2</v>
      </c>
      <c r="J641">
        <f>4</f>
        <v>4</v>
      </c>
      <c r="K641">
        <f>1</f>
        <v>1</v>
      </c>
    </row>
    <row r="642" spans="1:11" hidden="1" x14ac:dyDescent="0.25">
      <c r="A642" s="1">
        <f>Sampling!D640</f>
        <v>0</v>
      </c>
      <c r="B642" t="str" cm="1">
        <f t="array" ref="B642">IF(ISBLANK(INDEX(SampleList[NMR],ROW()-1)),"Not Requested",INDEX(SampleList[Experiment ID],ROW()-1))</f>
        <v>Not Requested</v>
      </c>
      <c r="C642">
        <f>Sampling!E640</f>
        <v>0</v>
      </c>
      <c r="D642">
        <f>NMRPrep[[#This Row],['#]]</f>
        <v>0</v>
      </c>
      <c r="G6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2" t="e">
        <f>IF(ISBLANK(NMRPrep[[#This Row],[Total (uL) ]]), 0, NMRPrep[[#This Row],[1mM Maleic Acid (uL) ]]/NMRPrep[[#This Row],[Total (uL) ]])</f>
        <v>#DIV/0!</v>
      </c>
      <c r="I642">
        <f>2</f>
        <v>2</v>
      </c>
      <c r="J642">
        <f>4</f>
        <v>4</v>
      </c>
      <c r="K642">
        <f>1</f>
        <v>1</v>
      </c>
    </row>
    <row r="643" spans="1:11" hidden="1" x14ac:dyDescent="0.25">
      <c r="A643" s="1">
        <f>Sampling!D641</f>
        <v>0</v>
      </c>
      <c r="B643" t="str" cm="1">
        <f t="array" ref="B643">IF(ISBLANK(INDEX(SampleList[NMR],ROW()-1)),"Not Requested",INDEX(SampleList[Experiment ID],ROW()-1))</f>
        <v>Not Requested</v>
      </c>
      <c r="C643">
        <f>Sampling!E641</f>
        <v>0</v>
      </c>
      <c r="D643">
        <f>NMRPrep[[#This Row],['#]]</f>
        <v>0</v>
      </c>
      <c r="G6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3" t="e">
        <f>IF(ISBLANK(NMRPrep[[#This Row],[Total (uL) ]]), 0, NMRPrep[[#This Row],[1mM Maleic Acid (uL) ]]/NMRPrep[[#This Row],[Total (uL) ]])</f>
        <v>#DIV/0!</v>
      </c>
      <c r="I643">
        <f>2</f>
        <v>2</v>
      </c>
      <c r="J643">
        <f>4</f>
        <v>4</v>
      </c>
      <c r="K643">
        <f>1</f>
        <v>1</v>
      </c>
    </row>
    <row r="644" spans="1:11" hidden="1" x14ac:dyDescent="0.25">
      <c r="A644" s="1">
        <f>Sampling!D642</f>
        <v>0</v>
      </c>
      <c r="B644" t="str" cm="1">
        <f t="array" ref="B644">IF(ISBLANK(INDEX(SampleList[NMR],ROW()-1)),"Not Requested",INDEX(SampleList[Experiment ID],ROW()-1))</f>
        <v>Not Requested</v>
      </c>
      <c r="C644">
        <f>Sampling!E642</f>
        <v>0</v>
      </c>
      <c r="D644">
        <f>NMRPrep[[#This Row],['#]]</f>
        <v>0</v>
      </c>
      <c r="G6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4" t="e">
        <f>IF(ISBLANK(NMRPrep[[#This Row],[Total (uL) ]]), 0, NMRPrep[[#This Row],[1mM Maleic Acid (uL) ]]/NMRPrep[[#This Row],[Total (uL) ]])</f>
        <v>#DIV/0!</v>
      </c>
      <c r="I644">
        <f>2</f>
        <v>2</v>
      </c>
      <c r="J644">
        <f>4</f>
        <v>4</v>
      </c>
      <c r="K644">
        <f>1</f>
        <v>1</v>
      </c>
    </row>
    <row r="645" spans="1:11" hidden="1" x14ac:dyDescent="0.25">
      <c r="A645" s="1">
        <f>Sampling!D643</f>
        <v>0</v>
      </c>
      <c r="B645" t="str" cm="1">
        <f t="array" ref="B645">IF(ISBLANK(INDEX(SampleList[NMR],ROW()-1)),"Not Requested",INDEX(SampleList[Experiment ID],ROW()-1))</f>
        <v>Not Requested</v>
      </c>
      <c r="C645">
        <f>Sampling!E643</f>
        <v>0</v>
      </c>
      <c r="D645">
        <f>NMRPrep[[#This Row],['#]]</f>
        <v>0</v>
      </c>
      <c r="G6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5" t="e">
        <f>IF(ISBLANK(NMRPrep[[#This Row],[Total (uL) ]]), 0, NMRPrep[[#This Row],[1mM Maleic Acid (uL) ]]/NMRPrep[[#This Row],[Total (uL) ]])</f>
        <v>#DIV/0!</v>
      </c>
      <c r="I645">
        <f>2</f>
        <v>2</v>
      </c>
      <c r="J645">
        <f>4</f>
        <v>4</v>
      </c>
      <c r="K645">
        <f>1</f>
        <v>1</v>
      </c>
    </row>
    <row r="646" spans="1:11" hidden="1" x14ac:dyDescent="0.25">
      <c r="A646" s="1">
        <f>Sampling!D644</f>
        <v>0</v>
      </c>
      <c r="B646" t="str" cm="1">
        <f t="array" ref="B646">IF(ISBLANK(INDEX(SampleList[NMR],ROW()-1)),"Not Requested",INDEX(SampleList[Experiment ID],ROW()-1))</f>
        <v>Not Requested</v>
      </c>
      <c r="C646">
        <f>Sampling!E644</f>
        <v>0</v>
      </c>
      <c r="D646">
        <f>NMRPrep[[#This Row],['#]]</f>
        <v>0</v>
      </c>
      <c r="G6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6" t="e">
        <f>IF(ISBLANK(NMRPrep[[#This Row],[Total (uL) ]]), 0, NMRPrep[[#This Row],[1mM Maleic Acid (uL) ]]/NMRPrep[[#This Row],[Total (uL) ]])</f>
        <v>#DIV/0!</v>
      </c>
      <c r="I646">
        <f>2</f>
        <v>2</v>
      </c>
      <c r="J646">
        <f>4</f>
        <v>4</v>
      </c>
      <c r="K646">
        <f>1</f>
        <v>1</v>
      </c>
    </row>
    <row r="647" spans="1:11" hidden="1" x14ac:dyDescent="0.25">
      <c r="A647" s="1">
        <f>Sampling!D645</f>
        <v>0</v>
      </c>
      <c r="B647" t="str" cm="1">
        <f t="array" ref="B647">IF(ISBLANK(INDEX(SampleList[NMR],ROW()-1)),"Not Requested",INDEX(SampleList[Experiment ID],ROW()-1))</f>
        <v>Not Requested</v>
      </c>
      <c r="C647">
        <f>Sampling!E645</f>
        <v>0</v>
      </c>
      <c r="D647">
        <f>NMRPrep[[#This Row],['#]]</f>
        <v>0</v>
      </c>
      <c r="G6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7" t="e">
        <f>IF(ISBLANK(NMRPrep[[#This Row],[Total (uL) ]]), 0, NMRPrep[[#This Row],[1mM Maleic Acid (uL) ]]/NMRPrep[[#This Row],[Total (uL) ]])</f>
        <v>#DIV/0!</v>
      </c>
      <c r="I647">
        <f>2</f>
        <v>2</v>
      </c>
      <c r="J647">
        <f>4</f>
        <v>4</v>
      </c>
      <c r="K647">
        <f>1</f>
        <v>1</v>
      </c>
    </row>
    <row r="648" spans="1:11" hidden="1" x14ac:dyDescent="0.25">
      <c r="A648" s="1">
        <f>Sampling!D646</f>
        <v>0</v>
      </c>
      <c r="B648" t="str" cm="1">
        <f t="array" ref="B648">IF(ISBLANK(INDEX(SampleList[NMR],ROW()-1)),"Not Requested",INDEX(SampleList[Experiment ID],ROW()-1))</f>
        <v>Not Requested</v>
      </c>
      <c r="C648">
        <f>Sampling!E646</f>
        <v>0</v>
      </c>
      <c r="D648">
        <f>NMRPrep[[#This Row],['#]]</f>
        <v>0</v>
      </c>
      <c r="G6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8" t="e">
        <f>IF(ISBLANK(NMRPrep[[#This Row],[Total (uL) ]]), 0, NMRPrep[[#This Row],[1mM Maleic Acid (uL) ]]/NMRPrep[[#This Row],[Total (uL) ]])</f>
        <v>#DIV/0!</v>
      </c>
      <c r="I648">
        <f>2</f>
        <v>2</v>
      </c>
      <c r="J648">
        <f>4</f>
        <v>4</v>
      </c>
      <c r="K648">
        <f>1</f>
        <v>1</v>
      </c>
    </row>
    <row r="649" spans="1:11" hidden="1" x14ac:dyDescent="0.25">
      <c r="A649" s="1">
        <f>Sampling!D647</f>
        <v>0</v>
      </c>
      <c r="B649" t="str" cm="1">
        <f t="array" ref="B649">IF(ISBLANK(INDEX(SampleList[NMR],ROW()-1)),"Not Requested",INDEX(SampleList[Experiment ID],ROW()-1))</f>
        <v>Not Requested</v>
      </c>
      <c r="C649">
        <f>Sampling!E647</f>
        <v>0</v>
      </c>
      <c r="D649">
        <f>NMRPrep[[#This Row],['#]]</f>
        <v>0</v>
      </c>
      <c r="G6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49" t="e">
        <f>IF(ISBLANK(NMRPrep[[#This Row],[Total (uL) ]]), 0, NMRPrep[[#This Row],[1mM Maleic Acid (uL) ]]/NMRPrep[[#This Row],[Total (uL) ]])</f>
        <v>#DIV/0!</v>
      </c>
      <c r="I649">
        <f>2</f>
        <v>2</v>
      </c>
      <c r="J649">
        <f>4</f>
        <v>4</v>
      </c>
      <c r="K649">
        <f>1</f>
        <v>1</v>
      </c>
    </row>
    <row r="650" spans="1:11" hidden="1" x14ac:dyDescent="0.25">
      <c r="A650" s="1">
        <f>Sampling!D648</f>
        <v>0</v>
      </c>
      <c r="B650" t="str" cm="1">
        <f t="array" ref="B650">IF(ISBLANK(INDEX(SampleList[NMR],ROW()-1)),"Not Requested",INDEX(SampleList[Experiment ID],ROW()-1))</f>
        <v>Not Requested</v>
      </c>
      <c r="C650">
        <f>Sampling!E648</f>
        <v>0</v>
      </c>
      <c r="D650">
        <f>NMRPrep[[#This Row],['#]]</f>
        <v>0</v>
      </c>
      <c r="G6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0" t="e">
        <f>IF(ISBLANK(NMRPrep[[#This Row],[Total (uL) ]]), 0, NMRPrep[[#This Row],[1mM Maleic Acid (uL) ]]/NMRPrep[[#This Row],[Total (uL) ]])</f>
        <v>#DIV/0!</v>
      </c>
      <c r="I650">
        <f>2</f>
        <v>2</v>
      </c>
      <c r="J650">
        <f>4</f>
        <v>4</v>
      </c>
      <c r="K650">
        <f>1</f>
        <v>1</v>
      </c>
    </row>
    <row r="651" spans="1:11" hidden="1" x14ac:dyDescent="0.25">
      <c r="A651" s="1">
        <f>Sampling!D649</f>
        <v>0</v>
      </c>
      <c r="B651" t="str" cm="1">
        <f t="array" ref="B651">IF(ISBLANK(INDEX(SampleList[NMR],ROW()-1)),"Not Requested",INDEX(SampleList[Experiment ID],ROW()-1))</f>
        <v>Not Requested</v>
      </c>
      <c r="C651">
        <f>Sampling!E649</f>
        <v>0</v>
      </c>
      <c r="D651">
        <f>NMRPrep[[#This Row],['#]]</f>
        <v>0</v>
      </c>
      <c r="G6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1" t="e">
        <f>IF(ISBLANK(NMRPrep[[#This Row],[Total (uL) ]]), 0, NMRPrep[[#This Row],[1mM Maleic Acid (uL) ]]/NMRPrep[[#This Row],[Total (uL) ]])</f>
        <v>#DIV/0!</v>
      </c>
      <c r="I651">
        <f>2</f>
        <v>2</v>
      </c>
      <c r="J651">
        <f>4</f>
        <v>4</v>
      </c>
      <c r="K651">
        <f>1</f>
        <v>1</v>
      </c>
    </row>
    <row r="652" spans="1:11" hidden="1" x14ac:dyDescent="0.25">
      <c r="A652" s="1">
        <f>Sampling!D650</f>
        <v>0</v>
      </c>
      <c r="B652" t="str" cm="1">
        <f t="array" ref="B652">IF(ISBLANK(INDEX(SampleList[NMR],ROW()-1)),"Not Requested",INDEX(SampleList[Experiment ID],ROW()-1))</f>
        <v>Not Requested</v>
      </c>
      <c r="C652">
        <f>Sampling!E650</f>
        <v>0</v>
      </c>
      <c r="D652">
        <f>NMRPrep[[#This Row],['#]]</f>
        <v>0</v>
      </c>
      <c r="G6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2" t="e">
        <f>IF(ISBLANK(NMRPrep[[#This Row],[Total (uL) ]]), 0, NMRPrep[[#This Row],[1mM Maleic Acid (uL) ]]/NMRPrep[[#This Row],[Total (uL) ]])</f>
        <v>#DIV/0!</v>
      </c>
      <c r="I652">
        <f>2</f>
        <v>2</v>
      </c>
      <c r="J652">
        <f>4</f>
        <v>4</v>
      </c>
      <c r="K652">
        <f>1</f>
        <v>1</v>
      </c>
    </row>
    <row r="653" spans="1:11" hidden="1" x14ac:dyDescent="0.25">
      <c r="A653" s="1">
        <f>Sampling!D651</f>
        <v>0</v>
      </c>
      <c r="B653" t="str" cm="1">
        <f t="array" ref="B653">IF(ISBLANK(INDEX(SampleList[NMR],ROW()-1)),"Not Requested",INDEX(SampleList[Experiment ID],ROW()-1))</f>
        <v>Not Requested</v>
      </c>
      <c r="C653">
        <f>Sampling!E651</f>
        <v>0</v>
      </c>
      <c r="D653">
        <f>NMRPrep[[#This Row],['#]]</f>
        <v>0</v>
      </c>
      <c r="G6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3" t="e">
        <f>IF(ISBLANK(NMRPrep[[#This Row],[Total (uL) ]]), 0, NMRPrep[[#This Row],[1mM Maleic Acid (uL) ]]/NMRPrep[[#This Row],[Total (uL) ]])</f>
        <v>#DIV/0!</v>
      </c>
      <c r="I653">
        <f>2</f>
        <v>2</v>
      </c>
      <c r="J653">
        <f>4</f>
        <v>4</v>
      </c>
      <c r="K653">
        <f>1</f>
        <v>1</v>
      </c>
    </row>
    <row r="654" spans="1:11" hidden="1" x14ac:dyDescent="0.25">
      <c r="A654" s="1">
        <f>Sampling!D652</f>
        <v>0</v>
      </c>
      <c r="B654" t="str" cm="1">
        <f t="array" ref="B654">IF(ISBLANK(INDEX(SampleList[NMR],ROW()-1)),"Not Requested",INDEX(SampleList[Experiment ID],ROW()-1))</f>
        <v>Not Requested</v>
      </c>
      <c r="C654">
        <f>Sampling!E652</f>
        <v>0</v>
      </c>
      <c r="D654">
        <f>NMRPrep[[#This Row],['#]]</f>
        <v>0</v>
      </c>
      <c r="G6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4" t="e">
        <f>IF(ISBLANK(NMRPrep[[#This Row],[Total (uL) ]]), 0, NMRPrep[[#This Row],[1mM Maleic Acid (uL) ]]/NMRPrep[[#This Row],[Total (uL) ]])</f>
        <v>#DIV/0!</v>
      </c>
      <c r="I654">
        <f>2</f>
        <v>2</v>
      </c>
      <c r="J654">
        <f>4</f>
        <v>4</v>
      </c>
      <c r="K654">
        <f>1</f>
        <v>1</v>
      </c>
    </row>
    <row r="655" spans="1:11" hidden="1" x14ac:dyDescent="0.25">
      <c r="A655" s="1">
        <f>Sampling!D653</f>
        <v>0</v>
      </c>
      <c r="B655" t="str" cm="1">
        <f t="array" ref="B655">IF(ISBLANK(INDEX(SampleList[NMR],ROW()-1)),"Not Requested",INDEX(SampleList[Experiment ID],ROW()-1))</f>
        <v>Not Requested</v>
      </c>
      <c r="C655">
        <f>Sampling!E653</f>
        <v>0</v>
      </c>
      <c r="D655">
        <f>NMRPrep[[#This Row],['#]]</f>
        <v>0</v>
      </c>
      <c r="G6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5" t="e">
        <f>IF(ISBLANK(NMRPrep[[#This Row],[Total (uL) ]]), 0, NMRPrep[[#This Row],[1mM Maleic Acid (uL) ]]/NMRPrep[[#This Row],[Total (uL) ]])</f>
        <v>#DIV/0!</v>
      </c>
      <c r="I655">
        <f>2</f>
        <v>2</v>
      </c>
      <c r="J655">
        <f>4</f>
        <v>4</v>
      </c>
      <c r="K655">
        <f>1</f>
        <v>1</v>
      </c>
    </row>
    <row r="656" spans="1:11" hidden="1" x14ac:dyDescent="0.25">
      <c r="A656" s="1">
        <f>Sampling!D654</f>
        <v>0</v>
      </c>
      <c r="B656" t="str" cm="1">
        <f t="array" ref="B656">IF(ISBLANK(INDEX(SampleList[NMR],ROW()-1)),"Not Requested",INDEX(SampleList[Experiment ID],ROW()-1))</f>
        <v>Not Requested</v>
      </c>
      <c r="C656">
        <f>Sampling!E654</f>
        <v>0</v>
      </c>
      <c r="D656">
        <f>NMRPrep[[#This Row],['#]]</f>
        <v>0</v>
      </c>
      <c r="G6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6" t="e">
        <f>IF(ISBLANK(NMRPrep[[#This Row],[Total (uL) ]]), 0, NMRPrep[[#This Row],[1mM Maleic Acid (uL) ]]/NMRPrep[[#This Row],[Total (uL) ]])</f>
        <v>#DIV/0!</v>
      </c>
      <c r="I656">
        <f>2</f>
        <v>2</v>
      </c>
      <c r="J656">
        <f>4</f>
        <v>4</v>
      </c>
      <c r="K656">
        <f>1</f>
        <v>1</v>
      </c>
    </row>
    <row r="657" spans="1:11" hidden="1" x14ac:dyDescent="0.25">
      <c r="A657" s="1">
        <f>Sampling!D655</f>
        <v>0</v>
      </c>
      <c r="B657" t="str" cm="1">
        <f t="array" ref="B657">IF(ISBLANK(INDEX(SampleList[NMR],ROW()-1)),"Not Requested",INDEX(SampleList[Experiment ID],ROW()-1))</f>
        <v>Not Requested</v>
      </c>
      <c r="C657">
        <f>Sampling!E655</f>
        <v>0</v>
      </c>
      <c r="D657">
        <f>NMRPrep[[#This Row],['#]]</f>
        <v>0</v>
      </c>
      <c r="G6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7" t="e">
        <f>IF(ISBLANK(NMRPrep[[#This Row],[Total (uL) ]]), 0, NMRPrep[[#This Row],[1mM Maleic Acid (uL) ]]/NMRPrep[[#This Row],[Total (uL) ]])</f>
        <v>#DIV/0!</v>
      </c>
      <c r="I657">
        <f>2</f>
        <v>2</v>
      </c>
      <c r="J657">
        <f>4</f>
        <v>4</v>
      </c>
      <c r="K657">
        <f>1</f>
        <v>1</v>
      </c>
    </row>
    <row r="658" spans="1:11" hidden="1" x14ac:dyDescent="0.25">
      <c r="A658" s="1">
        <f>Sampling!D656</f>
        <v>0</v>
      </c>
      <c r="B658" t="str" cm="1">
        <f t="array" ref="B658">IF(ISBLANK(INDEX(SampleList[NMR],ROW()-1)),"Not Requested",INDEX(SampleList[Experiment ID],ROW()-1))</f>
        <v>Not Requested</v>
      </c>
      <c r="C658">
        <f>Sampling!E656</f>
        <v>0</v>
      </c>
      <c r="D658">
        <f>NMRPrep[[#This Row],['#]]</f>
        <v>0</v>
      </c>
      <c r="G6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8" t="e">
        <f>IF(ISBLANK(NMRPrep[[#This Row],[Total (uL) ]]), 0, NMRPrep[[#This Row],[1mM Maleic Acid (uL) ]]/NMRPrep[[#This Row],[Total (uL) ]])</f>
        <v>#DIV/0!</v>
      </c>
      <c r="I658">
        <f>2</f>
        <v>2</v>
      </c>
      <c r="J658">
        <f>4</f>
        <v>4</v>
      </c>
      <c r="K658">
        <f>1</f>
        <v>1</v>
      </c>
    </row>
    <row r="659" spans="1:11" hidden="1" x14ac:dyDescent="0.25">
      <c r="A659" s="1">
        <f>Sampling!D657</f>
        <v>0</v>
      </c>
      <c r="B659" t="str" cm="1">
        <f t="array" ref="B659">IF(ISBLANK(INDEX(SampleList[NMR],ROW()-1)),"Not Requested",INDEX(SampleList[Experiment ID],ROW()-1))</f>
        <v>Not Requested</v>
      </c>
      <c r="C659">
        <f>Sampling!E657</f>
        <v>0</v>
      </c>
      <c r="D659">
        <f>NMRPrep[[#This Row],['#]]</f>
        <v>0</v>
      </c>
      <c r="G6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59" t="e">
        <f>IF(ISBLANK(NMRPrep[[#This Row],[Total (uL) ]]), 0, NMRPrep[[#This Row],[1mM Maleic Acid (uL) ]]/NMRPrep[[#This Row],[Total (uL) ]])</f>
        <v>#DIV/0!</v>
      </c>
      <c r="I659">
        <f>2</f>
        <v>2</v>
      </c>
      <c r="J659">
        <f>4</f>
        <v>4</v>
      </c>
      <c r="K659">
        <f>1</f>
        <v>1</v>
      </c>
    </row>
    <row r="660" spans="1:11" hidden="1" x14ac:dyDescent="0.25">
      <c r="A660" s="1">
        <f>Sampling!D658</f>
        <v>0</v>
      </c>
      <c r="B660" t="str" cm="1">
        <f t="array" ref="B660">IF(ISBLANK(INDEX(SampleList[NMR],ROW()-1)),"Not Requested",INDEX(SampleList[Experiment ID],ROW()-1))</f>
        <v>Not Requested</v>
      </c>
      <c r="C660">
        <f>Sampling!E658</f>
        <v>0</v>
      </c>
      <c r="D660">
        <f>NMRPrep[[#This Row],['#]]</f>
        <v>0</v>
      </c>
      <c r="G6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0" t="e">
        <f>IF(ISBLANK(NMRPrep[[#This Row],[Total (uL) ]]), 0, NMRPrep[[#This Row],[1mM Maleic Acid (uL) ]]/NMRPrep[[#This Row],[Total (uL) ]])</f>
        <v>#DIV/0!</v>
      </c>
      <c r="I660">
        <f>2</f>
        <v>2</v>
      </c>
      <c r="J660">
        <f>4</f>
        <v>4</v>
      </c>
      <c r="K660">
        <f>1</f>
        <v>1</v>
      </c>
    </row>
    <row r="661" spans="1:11" hidden="1" x14ac:dyDescent="0.25">
      <c r="A661" s="1">
        <f>Sampling!D659</f>
        <v>0</v>
      </c>
      <c r="B661" t="str" cm="1">
        <f t="array" ref="B661">IF(ISBLANK(INDEX(SampleList[NMR],ROW()-1)),"Not Requested",INDEX(SampleList[Experiment ID],ROW()-1))</f>
        <v>Not Requested</v>
      </c>
      <c r="C661">
        <f>Sampling!E659</f>
        <v>0</v>
      </c>
      <c r="D661">
        <f>NMRPrep[[#This Row],['#]]</f>
        <v>0</v>
      </c>
      <c r="G6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1" t="e">
        <f>IF(ISBLANK(NMRPrep[[#This Row],[Total (uL) ]]), 0, NMRPrep[[#This Row],[1mM Maleic Acid (uL) ]]/NMRPrep[[#This Row],[Total (uL) ]])</f>
        <v>#DIV/0!</v>
      </c>
      <c r="I661">
        <f>2</f>
        <v>2</v>
      </c>
      <c r="J661">
        <f>4</f>
        <v>4</v>
      </c>
      <c r="K661">
        <f>1</f>
        <v>1</v>
      </c>
    </row>
    <row r="662" spans="1:11" hidden="1" x14ac:dyDescent="0.25">
      <c r="A662" s="1">
        <f>Sampling!D660</f>
        <v>0</v>
      </c>
      <c r="B662" t="str" cm="1">
        <f t="array" ref="B662">IF(ISBLANK(INDEX(SampleList[NMR],ROW()-1)),"Not Requested",INDEX(SampleList[Experiment ID],ROW()-1))</f>
        <v>Not Requested</v>
      </c>
      <c r="C662">
        <f>Sampling!E660</f>
        <v>0</v>
      </c>
      <c r="D662">
        <f>NMRPrep[[#This Row],['#]]</f>
        <v>0</v>
      </c>
      <c r="G6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2" t="e">
        <f>IF(ISBLANK(NMRPrep[[#This Row],[Total (uL) ]]), 0, NMRPrep[[#This Row],[1mM Maleic Acid (uL) ]]/NMRPrep[[#This Row],[Total (uL) ]])</f>
        <v>#DIV/0!</v>
      </c>
      <c r="I662">
        <f>2</f>
        <v>2</v>
      </c>
      <c r="J662">
        <f>4</f>
        <v>4</v>
      </c>
      <c r="K662">
        <f>1</f>
        <v>1</v>
      </c>
    </row>
    <row r="663" spans="1:11" hidden="1" x14ac:dyDescent="0.25">
      <c r="A663" s="1">
        <f>Sampling!D661</f>
        <v>0</v>
      </c>
      <c r="B663" t="str" cm="1">
        <f t="array" ref="B663">IF(ISBLANK(INDEX(SampleList[NMR],ROW()-1)),"Not Requested",INDEX(SampleList[Experiment ID],ROW()-1))</f>
        <v>Not Requested</v>
      </c>
      <c r="C663">
        <f>Sampling!E661</f>
        <v>0</v>
      </c>
      <c r="D663">
        <f>NMRPrep[[#This Row],['#]]</f>
        <v>0</v>
      </c>
      <c r="G6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3" t="e">
        <f>IF(ISBLANK(NMRPrep[[#This Row],[Total (uL) ]]), 0, NMRPrep[[#This Row],[1mM Maleic Acid (uL) ]]/NMRPrep[[#This Row],[Total (uL) ]])</f>
        <v>#DIV/0!</v>
      </c>
      <c r="I663">
        <f>2</f>
        <v>2</v>
      </c>
      <c r="J663">
        <f>4</f>
        <v>4</v>
      </c>
      <c r="K663">
        <f>1</f>
        <v>1</v>
      </c>
    </row>
    <row r="664" spans="1:11" hidden="1" x14ac:dyDescent="0.25">
      <c r="A664" s="1">
        <f>Sampling!D662</f>
        <v>0</v>
      </c>
      <c r="B664" t="str" cm="1">
        <f t="array" ref="B664">IF(ISBLANK(INDEX(SampleList[NMR],ROW()-1)),"Not Requested",INDEX(SampleList[Experiment ID],ROW()-1))</f>
        <v>Not Requested</v>
      </c>
      <c r="C664">
        <f>Sampling!E662</f>
        <v>0</v>
      </c>
      <c r="D664">
        <f>NMRPrep[[#This Row],['#]]</f>
        <v>0</v>
      </c>
      <c r="G6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4" t="e">
        <f>IF(ISBLANK(NMRPrep[[#This Row],[Total (uL) ]]), 0, NMRPrep[[#This Row],[1mM Maleic Acid (uL) ]]/NMRPrep[[#This Row],[Total (uL) ]])</f>
        <v>#DIV/0!</v>
      </c>
      <c r="I664">
        <f>2</f>
        <v>2</v>
      </c>
      <c r="J664">
        <f>4</f>
        <v>4</v>
      </c>
      <c r="K664">
        <f>1</f>
        <v>1</v>
      </c>
    </row>
    <row r="665" spans="1:11" hidden="1" x14ac:dyDescent="0.25">
      <c r="A665" s="1">
        <f>Sampling!D663</f>
        <v>0</v>
      </c>
      <c r="B665" t="str" cm="1">
        <f t="array" ref="B665">IF(ISBLANK(INDEX(SampleList[NMR],ROW()-1)),"Not Requested",INDEX(SampleList[Experiment ID],ROW()-1))</f>
        <v>Not Requested</v>
      </c>
      <c r="C665">
        <f>Sampling!E663</f>
        <v>0</v>
      </c>
      <c r="D665">
        <f>NMRPrep[[#This Row],['#]]</f>
        <v>0</v>
      </c>
      <c r="G6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5" t="e">
        <f>IF(ISBLANK(NMRPrep[[#This Row],[Total (uL) ]]), 0, NMRPrep[[#This Row],[1mM Maleic Acid (uL) ]]/NMRPrep[[#This Row],[Total (uL) ]])</f>
        <v>#DIV/0!</v>
      </c>
      <c r="I665">
        <f>2</f>
        <v>2</v>
      </c>
      <c r="J665">
        <f>4</f>
        <v>4</v>
      </c>
      <c r="K665">
        <f>1</f>
        <v>1</v>
      </c>
    </row>
    <row r="666" spans="1:11" hidden="1" x14ac:dyDescent="0.25">
      <c r="A666" s="1">
        <f>Sampling!D664</f>
        <v>0</v>
      </c>
      <c r="B666" t="str" cm="1">
        <f t="array" ref="B666">IF(ISBLANK(INDEX(SampleList[NMR],ROW()-1)),"Not Requested",INDEX(SampleList[Experiment ID],ROW()-1))</f>
        <v>Not Requested</v>
      </c>
      <c r="C666">
        <f>Sampling!E664</f>
        <v>0</v>
      </c>
      <c r="D666">
        <f>NMRPrep[[#This Row],['#]]</f>
        <v>0</v>
      </c>
      <c r="G6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6" t="e">
        <f>IF(ISBLANK(NMRPrep[[#This Row],[Total (uL) ]]), 0, NMRPrep[[#This Row],[1mM Maleic Acid (uL) ]]/NMRPrep[[#This Row],[Total (uL) ]])</f>
        <v>#DIV/0!</v>
      </c>
      <c r="I666">
        <f>2</f>
        <v>2</v>
      </c>
      <c r="J666">
        <f>4</f>
        <v>4</v>
      </c>
      <c r="K666">
        <f>1</f>
        <v>1</v>
      </c>
    </row>
    <row r="667" spans="1:11" hidden="1" x14ac:dyDescent="0.25">
      <c r="A667" s="1">
        <f>Sampling!D665</f>
        <v>0</v>
      </c>
      <c r="B667" t="str" cm="1">
        <f t="array" ref="B667">IF(ISBLANK(INDEX(SampleList[NMR],ROW()-1)),"Not Requested",INDEX(SampleList[Experiment ID],ROW()-1))</f>
        <v>Not Requested</v>
      </c>
      <c r="C667">
        <f>Sampling!E665</f>
        <v>0</v>
      </c>
      <c r="D667">
        <f>NMRPrep[[#This Row],['#]]</f>
        <v>0</v>
      </c>
      <c r="G6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7" t="e">
        <f>IF(ISBLANK(NMRPrep[[#This Row],[Total (uL) ]]), 0, NMRPrep[[#This Row],[1mM Maleic Acid (uL) ]]/NMRPrep[[#This Row],[Total (uL) ]])</f>
        <v>#DIV/0!</v>
      </c>
      <c r="I667">
        <f>2</f>
        <v>2</v>
      </c>
      <c r="J667">
        <f>4</f>
        <v>4</v>
      </c>
      <c r="K667">
        <f>1</f>
        <v>1</v>
      </c>
    </row>
    <row r="668" spans="1:11" hidden="1" x14ac:dyDescent="0.25">
      <c r="A668" s="1">
        <f>Sampling!D666</f>
        <v>0</v>
      </c>
      <c r="B668" t="str" cm="1">
        <f t="array" ref="B668">IF(ISBLANK(INDEX(SampleList[NMR],ROW()-1)),"Not Requested",INDEX(SampleList[Experiment ID],ROW()-1))</f>
        <v>Not Requested</v>
      </c>
      <c r="C668">
        <f>Sampling!E666</f>
        <v>0</v>
      </c>
      <c r="D668">
        <f>NMRPrep[[#This Row],['#]]</f>
        <v>0</v>
      </c>
      <c r="G6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8" t="e">
        <f>IF(ISBLANK(NMRPrep[[#This Row],[Total (uL) ]]), 0, NMRPrep[[#This Row],[1mM Maleic Acid (uL) ]]/NMRPrep[[#This Row],[Total (uL) ]])</f>
        <v>#DIV/0!</v>
      </c>
      <c r="I668">
        <f>2</f>
        <v>2</v>
      </c>
      <c r="J668">
        <f>4</f>
        <v>4</v>
      </c>
      <c r="K668">
        <f>1</f>
        <v>1</v>
      </c>
    </row>
    <row r="669" spans="1:11" hidden="1" x14ac:dyDescent="0.25">
      <c r="A669" s="1">
        <f>Sampling!D667</f>
        <v>0</v>
      </c>
      <c r="B669" t="str" cm="1">
        <f t="array" ref="B669">IF(ISBLANK(INDEX(SampleList[NMR],ROW()-1)),"Not Requested",INDEX(SampleList[Experiment ID],ROW()-1))</f>
        <v>Not Requested</v>
      </c>
      <c r="C669">
        <f>Sampling!E667</f>
        <v>0</v>
      </c>
      <c r="D669">
        <f>NMRPrep[[#This Row],['#]]</f>
        <v>0</v>
      </c>
      <c r="G6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69" t="e">
        <f>IF(ISBLANK(NMRPrep[[#This Row],[Total (uL) ]]), 0, NMRPrep[[#This Row],[1mM Maleic Acid (uL) ]]/NMRPrep[[#This Row],[Total (uL) ]])</f>
        <v>#DIV/0!</v>
      </c>
      <c r="I669">
        <f>2</f>
        <v>2</v>
      </c>
      <c r="J669">
        <f>4</f>
        <v>4</v>
      </c>
      <c r="K669">
        <f>1</f>
        <v>1</v>
      </c>
    </row>
    <row r="670" spans="1:11" hidden="1" x14ac:dyDescent="0.25">
      <c r="A670" s="1">
        <f>Sampling!D668</f>
        <v>0</v>
      </c>
      <c r="B670" t="str" cm="1">
        <f t="array" ref="B670">IF(ISBLANK(INDEX(SampleList[NMR],ROW()-1)),"Not Requested",INDEX(SampleList[Experiment ID],ROW()-1))</f>
        <v>Not Requested</v>
      </c>
      <c r="C670">
        <f>Sampling!E668</f>
        <v>0</v>
      </c>
      <c r="D670">
        <f>NMRPrep[[#This Row],['#]]</f>
        <v>0</v>
      </c>
      <c r="G6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0" t="e">
        <f>IF(ISBLANK(NMRPrep[[#This Row],[Total (uL) ]]), 0, NMRPrep[[#This Row],[1mM Maleic Acid (uL) ]]/NMRPrep[[#This Row],[Total (uL) ]])</f>
        <v>#DIV/0!</v>
      </c>
      <c r="I670">
        <f>2</f>
        <v>2</v>
      </c>
      <c r="J670">
        <f>4</f>
        <v>4</v>
      </c>
      <c r="K670">
        <f>1</f>
        <v>1</v>
      </c>
    </row>
    <row r="671" spans="1:11" hidden="1" x14ac:dyDescent="0.25">
      <c r="A671" s="1">
        <f>Sampling!D669</f>
        <v>0</v>
      </c>
      <c r="B671" t="str" cm="1">
        <f t="array" ref="B671">IF(ISBLANK(INDEX(SampleList[NMR],ROW()-1)),"Not Requested",INDEX(SampleList[Experiment ID],ROW()-1))</f>
        <v>Not Requested</v>
      </c>
      <c r="C671">
        <f>Sampling!E669</f>
        <v>0</v>
      </c>
      <c r="D671">
        <f>NMRPrep[[#This Row],['#]]</f>
        <v>0</v>
      </c>
      <c r="G6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1" t="e">
        <f>IF(ISBLANK(NMRPrep[[#This Row],[Total (uL) ]]), 0, NMRPrep[[#This Row],[1mM Maleic Acid (uL) ]]/NMRPrep[[#This Row],[Total (uL) ]])</f>
        <v>#DIV/0!</v>
      </c>
      <c r="I671">
        <f>2</f>
        <v>2</v>
      </c>
      <c r="J671">
        <f>4</f>
        <v>4</v>
      </c>
      <c r="K671">
        <f>1</f>
        <v>1</v>
      </c>
    </row>
    <row r="672" spans="1:11" hidden="1" x14ac:dyDescent="0.25">
      <c r="A672" s="1">
        <f>Sampling!D670</f>
        <v>0</v>
      </c>
      <c r="B672" t="str" cm="1">
        <f t="array" ref="B672">IF(ISBLANK(INDEX(SampleList[NMR],ROW()-1)),"Not Requested",INDEX(SampleList[Experiment ID],ROW()-1))</f>
        <v>Not Requested</v>
      </c>
      <c r="C672">
        <f>Sampling!E670</f>
        <v>0</v>
      </c>
      <c r="D672">
        <f>NMRPrep[[#This Row],['#]]</f>
        <v>0</v>
      </c>
      <c r="G6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2" t="e">
        <f>IF(ISBLANK(NMRPrep[[#This Row],[Total (uL) ]]), 0, NMRPrep[[#This Row],[1mM Maleic Acid (uL) ]]/NMRPrep[[#This Row],[Total (uL) ]])</f>
        <v>#DIV/0!</v>
      </c>
      <c r="I672">
        <f>2</f>
        <v>2</v>
      </c>
      <c r="J672">
        <f>4</f>
        <v>4</v>
      </c>
      <c r="K672">
        <f>1</f>
        <v>1</v>
      </c>
    </row>
    <row r="673" spans="1:11" hidden="1" x14ac:dyDescent="0.25">
      <c r="A673" s="1">
        <f>Sampling!D671</f>
        <v>0</v>
      </c>
      <c r="B673" t="str" cm="1">
        <f t="array" ref="B673">IF(ISBLANK(INDEX(SampleList[NMR],ROW()-1)),"Not Requested",INDEX(SampleList[Experiment ID],ROW()-1))</f>
        <v>Not Requested</v>
      </c>
      <c r="C673">
        <f>Sampling!E671</f>
        <v>0</v>
      </c>
      <c r="D673">
        <f>NMRPrep[[#This Row],['#]]</f>
        <v>0</v>
      </c>
      <c r="G6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3" t="e">
        <f>IF(ISBLANK(NMRPrep[[#This Row],[Total (uL) ]]), 0, NMRPrep[[#This Row],[1mM Maleic Acid (uL) ]]/NMRPrep[[#This Row],[Total (uL) ]])</f>
        <v>#DIV/0!</v>
      </c>
      <c r="I673">
        <f>2</f>
        <v>2</v>
      </c>
      <c r="J673">
        <f>4</f>
        <v>4</v>
      </c>
      <c r="K673">
        <f>1</f>
        <v>1</v>
      </c>
    </row>
    <row r="674" spans="1:11" hidden="1" x14ac:dyDescent="0.25">
      <c r="A674" s="1">
        <f>Sampling!D672</f>
        <v>0</v>
      </c>
      <c r="B674" t="str" cm="1">
        <f t="array" ref="B674">IF(ISBLANK(INDEX(SampleList[NMR],ROW()-1)),"Not Requested",INDEX(SampleList[Experiment ID],ROW()-1))</f>
        <v>Not Requested</v>
      </c>
      <c r="C674">
        <f>Sampling!E672</f>
        <v>0</v>
      </c>
      <c r="D674">
        <f>NMRPrep[[#This Row],['#]]</f>
        <v>0</v>
      </c>
      <c r="G6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4" t="e">
        <f>IF(ISBLANK(NMRPrep[[#This Row],[Total (uL) ]]), 0, NMRPrep[[#This Row],[1mM Maleic Acid (uL) ]]/NMRPrep[[#This Row],[Total (uL) ]])</f>
        <v>#DIV/0!</v>
      </c>
      <c r="I674">
        <f>2</f>
        <v>2</v>
      </c>
      <c r="J674">
        <f>4</f>
        <v>4</v>
      </c>
      <c r="K674">
        <f>1</f>
        <v>1</v>
      </c>
    </row>
    <row r="675" spans="1:11" hidden="1" x14ac:dyDescent="0.25">
      <c r="A675" s="1">
        <f>Sampling!D673</f>
        <v>0</v>
      </c>
      <c r="B675" t="str" cm="1">
        <f t="array" ref="B675">IF(ISBLANK(INDEX(SampleList[NMR],ROW()-1)),"Not Requested",INDEX(SampleList[Experiment ID],ROW()-1))</f>
        <v>Not Requested</v>
      </c>
      <c r="C675">
        <f>Sampling!E673</f>
        <v>0</v>
      </c>
      <c r="D675">
        <f>NMRPrep[[#This Row],['#]]</f>
        <v>0</v>
      </c>
      <c r="G6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5" t="e">
        <f>IF(ISBLANK(NMRPrep[[#This Row],[Total (uL) ]]), 0, NMRPrep[[#This Row],[1mM Maleic Acid (uL) ]]/NMRPrep[[#This Row],[Total (uL) ]])</f>
        <v>#DIV/0!</v>
      </c>
      <c r="I675">
        <f>2</f>
        <v>2</v>
      </c>
      <c r="J675">
        <f>4</f>
        <v>4</v>
      </c>
      <c r="K675">
        <f>1</f>
        <v>1</v>
      </c>
    </row>
    <row r="676" spans="1:11" hidden="1" x14ac:dyDescent="0.25">
      <c r="A676" s="1">
        <f>Sampling!D674</f>
        <v>0</v>
      </c>
      <c r="B676" t="str" cm="1">
        <f t="array" ref="B676">IF(ISBLANK(INDEX(SampleList[NMR],ROW()-1)),"Not Requested",INDEX(SampleList[Experiment ID],ROW()-1))</f>
        <v>Not Requested</v>
      </c>
      <c r="C676">
        <f>Sampling!E674</f>
        <v>0</v>
      </c>
      <c r="D676">
        <f>NMRPrep[[#This Row],['#]]</f>
        <v>0</v>
      </c>
      <c r="G6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6" t="e">
        <f>IF(ISBLANK(NMRPrep[[#This Row],[Total (uL) ]]), 0, NMRPrep[[#This Row],[1mM Maleic Acid (uL) ]]/NMRPrep[[#This Row],[Total (uL) ]])</f>
        <v>#DIV/0!</v>
      </c>
      <c r="I676">
        <f>2</f>
        <v>2</v>
      </c>
      <c r="J676">
        <f>4</f>
        <v>4</v>
      </c>
      <c r="K676">
        <f>1</f>
        <v>1</v>
      </c>
    </row>
    <row r="677" spans="1:11" hidden="1" x14ac:dyDescent="0.25">
      <c r="A677" s="1">
        <f>Sampling!D675</f>
        <v>0</v>
      </c>
      <c r="B677" t="str" cm="1">
        <f t="array" ref="B677">IF(ISBLANK(INDEX(SampleList[NMR],ROW()-1)),"Not Requested",INDEX(SampleList[Experiment ID],ROW()-1))</f>
        <v>Not Requested</v>
      </c>
      <c r="C677">
        <f>Sampling!E675</f>
        <v>0</v>
      </c>
      <c r="D677">
        <f>NMRPrep[[#This Row],['#]]</f>
        <v>0</v>
      </c>
      <c r="G6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7" t="e">
        <f>IF(ISBLANK(NMRPrep[[#This Row],[Total (uL) ]]), 0, NMRPrep[[#This Row],[1mM Maleic Acid (uL) ]]/NMRPrep[[#This Row],[Total (uL) ]])</f>
        <v>#DIV/0!</v>
      </c>
      <c r="I677">
        <f>2</f>
        <v>2</v>
      </c>
      <c r="J677">
        <f>4</f>
        <v>4</v>
      </c>
      <c r="K677">
        <f>1</f>
        <v>1</v>
      </c>
    </row>
    <row r="678" spans="1:11" hidden="1" x14ac:dyDescent="0.25">
      <c r="A678" s="1">
        <f>Sampling!D676</f>
        <v>0</v>
      </c>
      <c r="B678" t="str" cm="1">
        <f t="array" ref="B678">IF(ISBLANK(INDEX(SampleList[NMR],ROW()-1)),"Not Requested",INDEX(SampleList[Experiment ID],ROW()-1))</f>
        <v>Not Requested</v>
      </c>
      <c r="C678">
        <f>Sampling!E676</f>
        <v>0</v>
      </c>
      <c r="D678">
        <f>NMRPrep[[#This Row],['#]]</f>
        <v>0</v>
      </c>
      <c r="G6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8" t="e">
        <f>IF(ISBLANK(NMRPrep[[#This Row],[Total (uL) ]]), 0, NMRPrep[[#This Row],[1mM Maleic Acid (uL) ]]/NMRPrep[[#This Row],[Total (uL) ]])</f>
        <v>#DIV/0!</v>
      </c>
      <c r="I678">
        <f>2</f>
        <v>2</v>
      </c>
      <c r="J678">
        <f>4</f>
        <v>4</v>
      </c>
      <c r="K678">
        <f>1</f>
        <v>1</v>
      </c>
    </row>
    <row r="679" spans="1:11" hidden="1" x14ac:dyDescent="0.25">
      <c r="A679" s="1">
        <f>Sampling!D677</f>
        <v>0</v>
      </c>
      <c r="B679" t="str" cm="1">
        <f t="array" ref="B679">IF(ISBLANK(INDEX(SampleList[NMR],ROW()-1)),"Not Requested",INDEX(SampleList[Experiment ID],ROW()-1))</f>
        <v>Not Requested</v>
      </c>
      <c r="C679">
        <f>Sampling!E677</f>
        <v>0</v>
      </c>
      <c r="D679">
        <f>NMRPrep[[#This Row],['#]]</f>
        <v>0</v>
      </c>
      <c r="G6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79" t="e">
        <f>IF(ISBLANK(NMRPrep[[#This Row],[Total (uL) ]]), 0, NMRPrep[[#This Row],[1mM Maleic Acid (uL) ]]/NMRPrep[[#This Row],[Total (uL) ]])</f>
        <v>#DIV/0!</v>
      </c>
      <c r="I679">
        <f>2</f>
        <v>2</v>
      </c>
      <c r="J679">
        <f>4</f>
        <v>4</v>
      </c>
      <c r="K679">
        <f>1</f>
        <v>1</v>
      </c>
    </row>
    <row r="680" spans="1:11" hidden="1" x14ac:dyDescent="0.25">
      <c r="A680" s="1">
        <f>Sampling!D678</f>
        <v>0</v>
      </c>
      <c r="B680" t="str" cm="1">
        <f t="array" ref="B680">IF(ISBLANK(INDEX(SampleList[NMR],ROW()-1)),"Not Requested",INDEX(SampleList[Experiment ID],ROW()-1))</f>
        <v>Not Requested</v>
      </c>
      <c r="C680">
        <f>Sampling!E678</f>
        <v>0</v>
      </c>
      <c r="D680">
        <f>NMRPrep[[#This Row],['#]]</f>
        <v>0</v>
      </c>
      <c r="G6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0" t="e">
        <f>IF(ISBLANK(NMRPrep[[#This Row],[Total (uL) ]]), 0, NMRPrep[[#This Row],[1mM Maleic Acid (uL) ]]/NMRPrep[[#This Row],[Total (uL) ]])</f>
        <v>#DIV/0!</v>
      </c>
      <c r="I680">
        <f>2</f>
        <v>2</v>
      </c>
      <c r="J680">
        <f>4</f>
        <v>4</v>
      </c>
      <c r="K680">
        <f>1</f>
        <v>1</v>
      </c>
    </row>
    <row r="681" spans="1:11" hidden="1" x14ac:dyDescent="0.25">
      <c r="A681" s="1">
        <f>Sampling!D679</f>
        <v>0</v>
      </c>
      <c r="B681" t="str" cm="1">
        <f t="array" ref="B681">IF(ISBLANK(INDEX(SampleList[NMR],ROW()-1)),"Not Requested",INDEX(SampleList[Experiment ID],ROW()-1))</f>
        <v>Not Requested</v>
      </c>
      <c r="C681">
        <f>Sampling!E679</f>
        <v>0</v>
      </c>
      <c r="D681">
        <f>NMRPrep[[#This Row],['#]]</f>
        <v>0</v>
      </c>
      <c r="G6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1" t="e">
        <f>IF(ISBLANK(NMRPrep[[#This Row],[Total (uL) ]]), 0, NMRPrep[[#This Row],[1mM Maleic Acid (uL) ]]/NMRPrep[[#This Row],[Total (uL) ]])</f>
        <v>#DIV/0!</v>
      </c>
      <c r="I681">
        <f>2</f>
        <v>2</v>
      </c>
      <c r="J681">
        <f>4</f>
        <v>4</v>
      </c>
      <c r="K681">
        <f>1</f>
        <v>1</v>
      </c>
    </row>
    <row r="682" spans="1:11" hidden="1" x14ac:dyDescent="0.25">
      <c r="A682" s="1">
        <f>Sampling!D680</f>
        <v>0</v>
      </c>
      <c r="B682" t="str" cm="1">
        <f t="array" ref="B682">IF(ISBLANK(INDEX(SampleList[NMR],ROW()-1)),"Not Requested",INDEX(SampleList[Experiment ID],ROW()-1))</f>
        <v>Not Requested</v>
      </c>
      <c r="C682">
        <f>Sampling!E680</f>
        <v>0</v>
      </c>
      <c r="D682">
        <f>NMRPrep[[#This Row],['#]]</f>
        <v>0</v>
      </c>
      <c r="G6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2" t="e">
        <f>IF(ISBLANK(NMRPrep[[#This Row],[Total (uL) ]]), 0, NMRPrep[[#This Row],[1mM Maleic Acid (uL) ]]/NMRPrep[[#This Row],[Total (uL) ]])</f>
        <v>#DIV/0!</v>
      </c>
      <c r="I682">
        <f>2</f>
        <v>2</v>
      </c>
      <c r="J682">
        <f>4</f>
        <v>4</v>
      </c>
      <c r="K682">
        <f>1</f>
        <v>1</v>
      </c>
    </row>
    <row r="683" spans="1:11" hidden="1" x14ac:dyDescent="0.25">
      <c r="A683" s="1">
        <f>Sampling!D681</f>
        <v>0</v>
      </c>
      <c r="B683" t="str" cm="1">
        <f t="array" ref="B683">IF(ISBLANK(INDEX(SampleList[NMR],ROW()-1)),"Not Requested",INDEX(SampleList[Experiment ID],ROW()-1))</f>
        <v>Not Requested</v>
      </c>
      <c r="C683">
        <f>Sampling!E681</f>
        <v>0</v>
      </c>
      <c r="D683">
        <f>NMRPrep[[#This Row],['#]]</f>
        <v>0</v>
      </c>
      <c r="G6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3" t="e">
        <f>IF(ISBLANK(NMRPrep[[#This Row],[Total (uL) ]]), 0, NMRPrep[[#This Row],[1mM Maleic Acid (uL) ]]/NMRPrep[[#This Row],[Total (uL) ]])</f>
        <v>#DIV/0!</v>
      </c>
      <c r="I683">
        <f>2</f>
        <v>2</v>
      </c>
      <c r="J683">
        <f>4</f>
        <v>4</v>
      </c>
      <c r="K683">
        <f>1</f>
        <v>1</v>
      </c>
    </row>
    <row r="684" spans="1:11" hidden="1" x14ac:dyDescent="0.25">
      <c r="A684" s="1">
        <f>Sampling!D682</f>
        <v>0</v>
      </c>
      <c r="B684" t="str" cm="1">
        <f t="array" ref="B684">IF(ISBLANK(INDEX(SampleList[NMR],ROW()-1)),"Not Requested",INDEX(SampleList[Experiment ID],ROW()-1))</f>
        <v>Not Requested</v>
      </c>
      <c r="C684">
        <f>Sampling!E682</f>
        <v>0</v>
      </c>
      <c r="D684">
        <f>NMRPrep[[#This Row],['#]]</f>
        <v>0</v>
      </c>
      <c r="G6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4" t="e">
        <f>IF(ISBLANK(NMRPrep[[#This Row],[Total (uL) ]]), 0, NMRPrep[[#This Row],[1mM Maleic Acid (uL) ]]/NMRPrep[[#This Row],[Total (uL) ]])</f>
        <v>#DIV/0!</v>
      </c>
      <c r="I684">
        <f>2</f>
        <v>2</v>
      </c>
      <c r="J684">
        <f>4</f>
        <v>4</v>
      </c>
      <c r="K684">
        <f>1</f>
        <v>1</v>
      </c>
    </row>
    <row r="685" spans="1:11" hidden="1" x14ac:dyDescent="0.25">
      <c r="A685" s="1">
        <f>Sampling!D683</f>
        <v>0</v>
      </c>
      <c r="B685" t="str" cm="1">
        <f t="array" ref="B685">IF(ISBLANK(INDEX(SampleList[NMR],ROW()-1)),"Not Requested",INDEX(SampleList[Experiment ID],ROW()-1))</f>
        <v>Not Requested</v>
      </c>
      <c r="C685">
        <f>Sampling!E683</f>
        <v>0</v>
      </c>
      <c r="D685">
        <f>NMRPrep[[#This Row],['#]]</f>
        <v>0</v>
      </c>
      <c r="G6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5" t="e">
        <f>IF(ISBLANK(NMRPrep[[#This Row],[Total (uL) ]]), 0, NMRPrep[[#This Row],[1mM Maleic Acid (uL) ]]/NMRPrep[[#This Row],[Total (uL) ]])</f>
        <v>#DIV/0!</v>
      </c>
      <c r="I685">
        <f>2</f>
        <v>2</v>
      </c>
      <c r="J685">
        <f>4</f>
        <v>4</v>
      </c>
      <c r="K685">
        <f>1</f>
        <v>1</v>
      </c>
    </row>
    <row r="686" spans="1:11" hidden="1" x14ac:dyDescent="0.25">
      <c r="A686" s="1">
        <f>Sampling!D684</f>
        <v>0</v>
      </c>
      <c r="B686" t="str" cm="1">
        <f t="array" ref="B686">IF(ISBLANK(INDEX(SampleList[NMR],ROW()-1)),"Not Requested",INDEX(SampleList[Experiment ID],ROW()-1))</f>
        <v>Not Requested</v>
      </c>
      <c r="C686">
        <f>Sampling!E684</f>
        <v>0</v>
      </c>
      <c r="D686">
        <f>NMRPrep[[#This Row],['#]]</f>
        <v>0</v>
      </c>
      <c r="G6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6" t="e">
        <f>IF(ISBLANK(NMRPrep[[#This Row],[Total (uL) ]]), 0, NMRPrep[[#This Row],[1mM Maleic Acid (uL) ]]/NMRPrep[[#This Row],[Total (uL) ]])</f>
        <v>#DIV/0!</v>
      </c>
      <c r="I686">
        <f>2</f>
        <v>2</v>
      </c>
      <c r="J686">
        <f>4</f>
        <v>4</v>
      </c>
      <c r="K686">
        <f>1</f>
        <v>1</v>
      </c>
    </row>
    <row r="687" spans="1:11" hidden="1" x14ac:dyDescent="0.25">
      <c r="A687" s="1">
        <f>Sampling!D685</f>
        <v>0</v>
      </c>
      <c r="B687" t="str" cm="1">
        <f t="array" ref="B687">IF(ISBLANK(INDEX(SampleList[NMR],ROW()-1)),"Not Requested",INDEX(SampleList[Experiment ID],ROW()-1))</f>
        <v>Not Requested</v>
      </c>
      <c r="C687">
        <f>Sampling!E685</f>
        <v>0</v>
      </c>
      <c r="D687">
        <f>NMRPrep[[#This Row],['#]]</f>
        <v>0</v>
      </c>
      <c r="G6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7" t="e">
        <f>IF(ISBLANK(NMRPrep[[#This Row],[Total (uL) ]]), 0, NMRPrep[[#This Row],[1mM Maleic Acid (uL) ]]/NMRPrep[[#This Row],[Total (uL) ]])</f>
        <v>#DIV/0!</v>
      </c>
      <c r="I687">
        <f>2</f>
        <v>2</v>
      </c>
      <c r="J687">
        <f>4</f>
        <v>4</v>
      </c>
      <c r="K687">
        <f>1</f>
        <v>1</v>
      </c>
    </row>
    <row r="688" spans="1:11" hidden="1" x14ac:dyDescent="0.25">
      <c r="A688" s="1">
        <f>Sampling!D686</f>
        <v>0</v>
      </c>
      <c r="B688" t="str" cm="1">
        <f t="array" ref="B688">IF(ISBLANK(INDEX(SampleList[NMR],ROW()-1)),"Not Requested",INDEX(SampleList[Experiment ID],ROW()-1))</f>
        <v>Not Requested</v>
      </c>
      <c r="C688">
        <f>Sampling!E686</f>
        <v>0</v>
      </c>
      <c r="D688">
        <f>NMRPrep[[#This Row],['#]]</f>
        <v>0</v>
      </c>
      <c r="G6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8" t="e">
        <f>IF(ISBLANK(NMRPrep[[#This Row],[Total (uL) ]]), 0, NMRPrep[[#This Row],[1mM Maleic Acid (uL) ]]/NMRPrep[[#This Row],[Total (uL) ]])</f>
        <v>#DIV/0!</v>
      </c>
      <c r="I688">
        <f>2</f>
        <v>2</v>
      </c>
      <c r="J688">
        <f>4</f>
        <v>4</v>
      </c>
      <c r="K688">
        <f>1</f>
        <v>1</v>
      </c>
    </row>
    <row r="689" spans="1:11" hidden="1" x14ac:dyDescent="0.25">
      <c r="A689" s="1">
        <f>Sampling!D687</f>
        <v>0</v>
      </c>
      <c r="B689" t="str" cm="1">
        <f t="array" ref="B689">IF(ISBLANK(INDEX(SampleList[NMR],ROW()-1)),"Not Requested",INDEX(SampleList[Experiment ID],ROW()-1))</f>
        <v>Not Requested</v>
      </c>
      <c r="C689">
        <f>Sampling!E687</f>
        <v>0</v>
      </c>
      <c r="D689">
        <f>NMRPrep[[#This Row],['#]]</f>
        <v>0</v>
      </c>
      <c r="G6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89" t="e">
        <f>IF(ISBLANK(NMRPrep[[#This Row],[Total (uL) ]]), 0, NMRPrep[[#This Row],[1mM Maleic Acid (uL) ]]/NMRPrep[[#This Row],[Total (uL) ]])</f>
        <v>#DIV/0!</v>
      </c>
      <c r="I689">
        <f>2</f>
        <v>2</v>
      </c>
      <c r="J689">
        <f>4</f>
        <v>4</v>
      </c>
      <c r="K689">
        <f>1</f>
        <v>1</v>
      </c>
    </row>
    <row r="690" spans="1:11" hidden="1" x14ac:dyDescent="0.25">
      <c r="A690" s="1">
        <f>Sampling!D688</f>
        <v>0</v>
      </c>
      <c r="B690" t="str" cm="1">
        <f t="array" ref="B690">IF(ISBLANK(INDEX(SampleList[NMR],ROW()-1)),"Not Requested",INDEX(SampleList[Experiment ID],ROW()-1))</f>
        <v>Not Requested</v>
      </c>
      <c r="C690">
        <f>Sampling!E688</f>
        <v>0</v>
      </c>
      <c r="D690">
        <f>NMRPrep[[#This Row],['#]]</f>
        <v>0</v>
      </c>
      <c r="G6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0" t="e">
        <f>IF(ISBLANK(NMRPrep[[#This Row],[Total (uL) ]]), 0, NMRPrep[[#This Row],[1mM Maleic Acid (uL) ]]/NMRPrep[[#This Row],[Total (uL) ]])</f>
        <v>#DIV/0!</v>
      </c>
      <c r="I690">
        <f>2</f>
        <v>2</v>
      </c>
      <c r="J690">
        <f>4</f>
        <v>4</v>
      </c>
      <c r="K690">
        <f>1</f>
        <v>1</v>
      </c>
    </row>
    <row r="691" spans="1:11" hidden="1" x14ac:dyDescent="0.25">
      <c r="A691" s="1">
        <f>Sampling!D689</f>
        <v>0</v>
      </c>
      <c r="B691" t="str" cm="1">
        <f t="array" ref="B691">IF(ISBLANK(INDEX(SampleList[NMR],ROW()-1)),"Not Requested",INDEX(SampleList[Experiment ID],ROW()-1))</f>
        <v>Not Requested</v>
      </c>
      <c r="C691">
        <f>Sampling!E689</f>
        <v>0</v>
      </c>
      <c r="D691">
        <f>NMRPrep[[#This Row],['#]]</f>
        <v>0</v>
      </c>
      <c r="G6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1" t="e">
        <f>IF(ISBLANK(NMRPrep[[#This Row],[Total (uL) ]]), 0, NMRPrep[[#This Row],[1mM Maleic Acid (uL) ]]/NMRPrep[[#This Row],[Total (uL) ]])</f>
        <v>#DIV/0!</v>
      </c>
      <c r="I691">
        <f>2</f>
        <v>2</v>
      </c>
      <c r="J691">
        <f>4</f>
        <v>4</v>
      </c>
      <c r="K691">
        <f>1</f>
        <v>1</v>
      </c>
    </row>
    <row r="692" spans="1:11" hidden="1" x14ac:dyDescent="0.25">
      <c r="A692" s="1">
        <f>Sampling!D690</f>
        <v>0</v>
      </c>
      <c r="B692" t="str" cm="1">
        <f t="array" ref="B692">IF(ISBLANK(INDEX(SampleList[NMR],ROW()-1)),"Not Requested",INDEX(SampleList[Experiment ID],ROW()-1))</f>
        <v>Not Requested</v>
      </c>
      <c r="C692">
        <f>Sampling!E690</f>
        <v>0</v>
      </c>
      <c r="D692">
        <f>NMRPrep[[#This Row],['#]]</f>
        <v>0</v>
      </c>
      <c r="G6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2" t="e">
        <f>IF(ISBLANK(NMRPrep[[#This Row],[Total (uL) ]]), 0, NMRPrep[[#This Row],[1mM Maleic Acid (uL) ]]/NMRPrep[[#This Row],[Total (uL) ]])</f>
        <v>#DIV/0!</v>
      </c>
      <c r="I692">
        <f>2</f>
        <v>2</v>
      </c>
      <c r="J692">
        <f>4</f>
        <v>4</v>
      </c>
      <c r="K692">
        <f>1</f>
        <v>1</v>
      </c>
    </row>
    <row r="693" spans="1:11" hidden="1" x14ac:dyDescent="0.25">
      <c r="A693" s="1">
        <f>Sampling!D691</f>
        <v>0</v>
      </c>
      <c r="B693" t="str" cm="1">
        <f t="array" ref="B693">IF(ISBLANK(INDEX(SampleList[NMR],ROW()-1)),"Not Requested",INDEX(SampleList[Experiment ID],ROW()-1))</f>
        <v>Not Requested</v>
      </c>
      <c r="C693">
        <f>Sampling!E691</f>
        <v>0</v>
      </c>
      <c r="D693">
        <f>NMRPrep[[#This Row],['#]]</f>
        <v>0</v>
      </c>
      <c r="G6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3" t="e">
        <f>IF(ISBLANK(NMRPrep[[#This Row],[Total (uL) ]]), 0, NMRPrep[[#This Row],[1mM Maleic Acid (uL) ]]/NMRPrep[[#This Row],[Total (uL) ]])</f>
        <v>#DIV/0!</v>
      </c>
      <c r="I693">
        <f>2</f>
        <v>2</v>
      </c>
      <c r="J693">
        <f>4</f>
        <v>4</v>
      </c>
      <c r="K693">
        <f>1</f>
        <v>1</v>
      </c>
    </row>
    <row r="694" spans="1:11" hidden="1" x14ac:dyDescent="0.25">
      <c r="A694" s="1">
        <f>Sampling!D692</f>
        <v>0</v>
      </c>
      <c r="B694" t="str" cm="1">
        <f t="array" ref="B694">IF(ISBLANK(INDEX(SampleList[NMR],ROW()-1)),"Not Requested",INDEX(SampleList[Experiment ID],ROW()-1))</f>
        <v>Not Requested</v>
      </c>
      <c r="C694">
        <f>Sampling!E692</f>
        <v>0</v>
      </c>
      <c r="D694">
        <f>NMRPrep[[#This Row],['#]]</f>
        <v>0</v>
      </c>
      <c r="G6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4" t="e">
        <f>IF(ISBLANK(NMRPrep[[#This Row],[Total (uL) ]]), 0, NMRPrep[[#This Row],[1mM Maleic Acid (uL) ]]/NMRPrep[[#This Row],[Total (uL) ]])</f>
        <v>#DIV/0!</v>
      </c>
      <c r="I694">
        <f>2</f>
        <v>2</v>
      </c>
      <c r="J694">
        <f>4</f>
        <v>4</v>
      </c>
      <c r="K694">
        <f>1</f>
        <v>1</v>
      </c>
    </row>
    <row r="695" spans="1:11" hidden="1" x14ac:dyDescent="0.25">
      <c r="A695" s="1">
        <f>Sampling!D693</f>
        <v>0</v>
      </c>
      <c r="B695" t="str" cm="1">
        <f t="array" ref="B695">IF(ISBLANK(INDEX(SampleList[NMR],ROW()-1)),"Not Requested",INDEX(SampleList[Experiment ID],ROW()-1))</f>
        <v>Not Requested</v>
      </c>
      <c r="C695">
        <f>Sampling!E693</f>
        <v>0</v>
      </c>
      <c r="D695">
        <f>NMRPrep[[#This Row],['#]]</f>
        <v>0</v>
      </c>
      <c r="G6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5" t="e">
        <f>IF(ISBLANK(NMRPrep[[#This Row],[Total (uL) ]]), 0, NMRPrep[[#This Row],[1mM Maleic Acid (uL) ]]/NMRPrep[[#This Row],[Total (uL) ]])</f>
        <v>#DIV/0!</v>
      </c>
      <c r="I695">
        <f>2</f>
        <v>2</v>
      </c>
      <c r="J695">
        <f>4</f>
        <v>4</v>
      </c>
      <c r="K695">
        <f>1</f>
        <v>1</v>
      </c>
    </row>
    <row r="696" spans="1:11" hidden="1" x14ac:dyDescent="0.25">
      <c r="A696" s="1">
        <f>Sampling!D694</f>
        <v>0</v>
      </c>
      <c r="B696" t="str" cm="1">
        <f t="array" ref="B696">IF(ISBLANK(INDEX(SampleList[NMR],ROW()-1)),"Not Requested",INDEX(SampleList[Experiment ID],ROW()-1))</f>
        <v>Not Requested</v>
      </c>
      <c r="C696">
        <f>Sampling!E694</f>
        <v>0</v>
      </c>
      <c r="D696">
        <f>NMRPrep[[#This Row],['#]]</f>
        <v>0</v>
      </c>
      <c r="G6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6" t="e">
        <f>IF(ISBLANK(NMRPrep[[#This Row],[Total (uL) ]]), 0, NMRPrep[[#This Row],[1mM Maleic Acid (uL) ]]/NMRPrep[[#This Row],[Total (uL) ]])</f>
        <v>#DIV/0!</v>
      </c>
      <c r="I696">
        <f>2</f>
        <v>2</v>
      </c>
      <c r="J696">
        <f>4</f>
        <v>4</v>
      </c>
      <c r="K696">
        <f>1</f>
        <v>1</v>
      </c>
    </row>
    <row r="697" spans="1:11" hidden="1" x14ac:dyDescent="0.25">
      <c r="A697" s="1">
        <f>Sampling!D695</f>
        <v>0</v>
      </c>
      <c r="B697" t="str" cm="1">
        <f t="array" ref="B697">IF(ISBLANK(INDEX(SampleList[NMR],ROW()-1)),"Not Requested",INDEX(SampleList[Experiment ID],ROW()-1))</f>
        <v>Not Requested</v>
      </c>
      <c r="C697">
        <f>Sampling!E695</f>
        <v>0</v>
      </c>
      <c r="D697">
        <f>NMRPrep[[#This Row],['#]]</f>
        <v>0</v>
      </c>
      <c r="G6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7" t="e">
        <f>IF(ISBLANK(NMRPrep[[#This Row],[Total (uL) ]]), 0, NMRPrep[[#This Row],[1mM Maleic Acid (uL) ]]/NMRPrep[[#This Row],[Total (uL) ]])</f>
        <v>#DIV/0!</v>
      </c>
      <c r="I697">
        <f>2</f>
        <v>2</v>
      </c>
      <c r="J697">
        <f>4</f>
        <v>4</v>
      </c>
      <c r="K697">
        <f>1</f>
        <v>1</v>
      </c>
    </row>
    <row r="698" spans="1:11" hidden="1" x14ac:dyDescent="0.25">
      <c r="A698" s="1">
        <f>Sampling!D696</f>
        <v>0</v>
      </c>
      <c r="B698" t="str" cm="1">
        <f t="array" ref="B698">IF(ISBLANK(INDEX(SampleList[NMR],ROW()-1)),"Not Requested",INDEX(SampleList[Experiment ID],ROW()-1))</f>
        <v>Not Requested</v>
      </c>
      <c r="C698">
        <f>Sampling!E696</f>
        <v>0</v>
      </c>
      <c r="D698">
        <f>NMRPrep[[#This Row],['#]]</f>
        <v>0</v>
      </c>
      <c r="G6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8" t="e">
        <f>IF(ISBLANK(NMRPrep[[#This Row],[Total (uL) ]]), 0, NMRPrep[[#This Row],[1mM Maleic Acid (uL) ]]/NMRPrep[[#This Row],[Total (uL) ]])</f>
        <v>#DIV/0!</v>
      </c>
      <c r="I698">
        <f>2</f>
        <v>2</v>
      </c>
      <c r="J698">
        <f>4</f>
        <v>4</v>
      </c>
      <c r="K698">
        <f>1</f>
        <v>1</v>
      </c>
    </row>
    <row r="699" spans="1:11" hidden="1" x14ac:dyDescent="0.25">
      <c r="A699" s="1">
        <f>Sampling!D697</f>
        <v>0</v>
      </c>
      <c r="B699" t="str" cm="1">
        <f t="array" ref="B699">IF(ISBLANK(INDEX(SampleList[NMR],ROW()-1)),"Not Requested",INDEX(SampleList[Experiment ID],ROW()-1))</f>
        <v>Not Requested</v>
      </c>
      <c r="C699">
        <f>Sampling!E697</f>
        <v>0</v>
      </c>
      <c r="D699">
        <f>NMRPrep[[#This Row],['#]]</f>
        <v>0</v>
      </c>
      <c r="G6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699" t="e">
        <f>IF(ISBLANK(NMRPrep[[#This Row],[Total (uL) ]]), 0, NMRPrep[[#This Row],[1mM Maleic Acid (uL) ]]/NMRPrep[[#This Row],[Total (uL) ]])</f>
        <v>#DIV/0!</v>
      </c>
      <c r="I699">
        <f>2</f>
        <v>2</v>
      </c>
      <c r="J699">
        <f>4</f>
        <v>4</v>
      </c>
      <c r="K699">
        <f>1</f>
        <v>1</v>
      </c>
    </row>
    <row r="700" spans="1:11" hidden="1" x14ac:dyDescent="0.25">
      <c r="A700" s="1">
        <f>Sampling!D698</f>
        <v>0</v>
      </c>
      <c r="B700" t="str" cm="1">
        <f t="array" ref="B700">IF(ISBLANK(INDEX(SampleList[NMR],ROW()-1)),"Not Requested",INDEX(SampleList[Experiment ID],ROW()-1))</f>
        <v>Not Requested</v>
      </c>
      <c r="C700">
        <f>Sampling!E698</f>
        <v>0</v>
      </c>
      <c r="D700">
        <f>NMRPrep[[#This Row],['#]]</f>
        <v>0</v>
      </c>
      <c r="G7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0" t="e">
        <f>IF(ISBLANK(NMRPrep[[#This Row],[Total (uL) ]]), 0, NMRPrep[[#This Row],[1mM Maleic Acid (uL) ]]/NMRPrep[[#This Row],[Total (uL) ]])</f>
        <v>#DIV/0!</v>
      </c>
      <c r="I700">
        <f>2</f>
        <v>2</v>
      </c>
      <c r="J700">
        <f>4</f>
        <v>4</v>
      </c>
      <c r="K700">
        <f>1</f>
        <v>1</v>
      </c>
    </row>
    <row r="701" spans="1:11" hidden="1" x14ac:dyDescent="0.25">
      <c r="A701" s="1">
        <f>Sampling!D699</f>
        <v>0</v>
      </c>
      <c r="B701" t="str" cm="1">
        <f t="array" ref="B701">IF(ISBLANK(INDEX(SampleList[NMR],ROW()-1)),"Not Requested",INDEX(SampleList[Experiment ID],ROW()-1))</f>
        <v>Not Requested</v>
      </c>
      <c r="C701">
        <f>Sampling!E699</f>
        <v>0</v>
      </c>
      <c r="D701">
        <f>NMRPrep[[#This Row],['#]]</f>
        <v>0</v>
      </c>
      <c r="G7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1" t="e">
        <f>IF(ISBLANK(NMRPrep[[#This Row],[Total (uL) ]]), 0, NMRPrep[[#This Row],[1mM Maleic Acid (uL) ]]/NMRPrep[[#This Row],[Total (uL) ]])</f>
        <v>#DIV/0!</v>
      </c>
      <c r="I701">
        <f>2</f>
        <v>2</v>
      </c>
      <c r="J701">
        <f>4</f>
        <v>4</v>
      </c>
      <c r="K701">
        <f>1</f>
        <v>1</v>
      </c>
    </row>
    <row r="702" spans="1:11" hidden="1" x14ac:dyDescent="0.25">
      <c r="A702" s="1">
        <f>Sampling!D700</f>
        <v>0</v>
      </c>
      <c r="B702" t="str" cm="1">
        <f t="array" ref="B702">IF(ISBLANK(INDEX(SampleList[NMR],ROW()-1)),"Not Requested",INDEX(SampleList[Experiment ID],ROW()-1))</f>
        <v>Not Requested</v>
      </c>
      <c r="C702">
        <f>Sampling!E700</f>
        <v>0</v>
      </c>
      <c r="D702">
        <f>NMRPrep[[#This Row],['#]]</f>
        <v>0</v>
      </c>
      <c r="G7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2" t="e">
        <f>IF(ISBLANK(NMRPrep[[#This Row],[Total (uL) ]]), 0, NMRPrep[[#This Row],[1mM Maleic Acid (uL) ]]/NMRPrep[[#This Row],[Total (uL) ]])</f>
        <v>#DIV/0!</v>
      </c>
      <c r="I702">
        <f>2</f>
        <v>2</v>
      </c>
      <c r="J702">
        <f>4</f>
        <v>4</v>
      </c>
      <c r="K702">
        <f>1</f>
        <v>1</v>
      </c>
    </row>
    <row r="703" spans="1:11" hidden="1" x14ac:dyDescent="0.25">
      <c r="A703" s="1">
        <f>Sampling!D701</f>
        <v>0</v>
      </c>
      <c r="B703" t="str" cm="1">
        <f t="array" ref="B703">IF(ISBLANK(INDEX(SampleList[NMR],ROW()-1)),"Not Requested",INDEX(SampleList[Experiment ID],ROW()-1))</f>
        <v>Not Requested</v>
      </c>
      <c r="C703">
        <f>Sampling!E701</f>
        <v>0</v>
      </c>
      <c r="D703">
        <f>NMRPrep[[#This Row],['#]]</f>
        <v>0</v>
      </c>
      <c r="G7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3" t="e">
        <f>IF(ISBLANK(NMRPrep[[#This Row],[Total (uL) ]]), 0, NMRPrep[[#This Row],[1mM Maleic Acid (uL) ]]/NMRPrep[[#This Row],[Total (uL) ]])</f>
        <v>#DIV/0!</v>
      </c>
      <c r="I703">
        <f>2</f>
        <v>2</v>
      </c>
      <c r="J703">
        <f>4</f>
        <v>4</v>
      </c>
      <c r="K703">
        <f>1</f>
        <v>1</v>
      </c>
    </row>
    <row r="704" spans="1:11" hidden="1" x14ac:dyDescent="0.25">
      <c r="A704" s="1">
        <f>Sampling!D702</f>
        <v>0</v>
      </c>
      <c r="B704" t="str" cm="1">
        <f t="array" ref="B704">IF(ISBLANK(INDEX(SampleList[NMR],ROW()-1)),"Not Requested",INDEX(SampleList[Experiment ID],ROW()-1))</f>
        <v>Not Requested</v>
      </c>
      <c r="C704">
        <f>Sampling!E702</f>
        <v>0</v>
      </c>
      <c r="D704">
        <f>NMRPrep[[#This Row],['#]]</f>
        <v>0</v>
      </c>
      <c r="G7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4" t="e">
        <f>IF(ISBLANK(NMRPrep[[#This Row],[Total (uL) ]]), 0, NMRPrep[[#This Row],[1mM Maleic Acid (uL) ]]/NMRPrep[[#This Row],[Total (uL) ]])</f>
        <v>#DIV/0!</v>
      </c>
      <c r="I704">
        <f>2</f>
        <v>2</v>
      </c>
      <c r="J704">
        <f>4</f>
        <v>4</v>
      </c>
      <c r="K704">
        <f>1</f>
        <v>1</v>
      </c>
    </row>
    <row r="705" spans="1:11" hidden="1" x14ac:dyDescent="0.25">
      <c r="A705" s="1">
        <f>Sampling!D703</f>
        <v>0</v>
      </c>
      <c r="B705" t="str" cm="1">
        <f t="array" ref="B705">IF(ISBLANK(INDEX(SampleList[NMR],ROW()-1)),"Not Requested",INDEX(SampleList[Experiment ID],ROW()-1))</f>
        <v>Not Requested</v>
      </c>
      <c r="C705">
        <f>Sampling!E703</f>
        <v>0</v>
      </c>
      <c r="D705">
        <f>NMRPrep[[#This Row],['#]]</f>
        <v>0</v>
      </c>
      <c r="G7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5" t="e">
        <f>IF(ISBLANK(NMRPrep[[#This Row],[Total (uL) ]]), 0, NMRPrep[[#This Row],[1mM Maleic Acid (uL) ]]/NMRPrep[[#This Row],[Total (uL) ]])</f>
        <v>#DIV/0!</v>
      </c>
      <c r="I705">
        <f>2</f>
        <v>2</v>
      </c>
      <c r="J705">
        <f>4</f>
        <v>4</v>
      </c>
      <c r="K705">
        <f>1</f>
        <v>1</v>
      </c>
    </row>
    <row r="706" spans="1:11" hidden="1" x14ac:dyDescent="0.25">
      <c r="A706" s="1">
        <f>Sampling!D704</f>
        <v>0</v>
      </c>
      <c r="B706" t="str" cm="1">
        <f t="array" ref="B706">IF(ISBLANK(INDEX(SampleList[NMR],ROW()-1)),"Not Requested",INDEX(SampleList[Experiment ID],ROW()-1))</f>
        <v>Not Requested</v>
      </c>
      <c r="C706">
        <f>Sampling!E704</f>
        <v>0</v>
      </c>
      <c r="D706">
        <f>NMRPrep[[#This Row],['#]]</f>
        <v>0</v>
      </c>
      <c r="G7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6" t="e">
        <f>IF(ISBLANK(NMRPrep[[#This Row],[Total (uL) ]]), 0, NMRPrep[[#This Row],[1mM Maleic Acid (uL) ]]/NMRPrep[[#This Row],[Total (uL) ]])</f>
        <v>#DIV/0!</v>
      </c>
      <c r="I706">
        <f>2</f>
        <v>2</v>
      </c>
      <c r="J706">
        <f>4</f>
        <v>4</v>
      </c>
      <c r="K706">
        <f>1</f>
        <v>1</v>
      </c>
    </row>
    <row r="707" spans="1:11" hidden="1" x14ac:dyDescent="0.25">
      <c r="A707" s="1">
        <f>Sampling!D705</f>
        <v>0</v>
      </c>
      <c r="B707" t="str" cm="1">
        <f t="array" ref="B707">IF(ISBLANK(INDEX(SampleList[NMR],ROW()-1)),"Not Requested",INDEX(SampleList[Experiment ID],ROW()-1))</f>
        <v>Not Requested</v>
      </c>
      <c r="C707">
        <f>Sampling!E705</f>
        <v>0</v>
      </c>
      <c r="D707">
        <f>NMRPrep[[#This Row],['#]]</f>
        <v>0</v>
      </c>
      <c r="G7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7" t="e">
        <f>IF(ISBLANK(NMRPrep[[#This Row],[Total (uL) ]]), 0, NMRPrep[[#This Row],[1mM Maleic Acid (uL) ]]/NMRPrep[[#This Row],[Total (uL) ]])</f>
        <v>#DIV/0!</v>
      </c>
      <c r="I707">
        <f>2</f>
        <v>2</v>
      </c>
      <c r="J707">
        <f>4</f>
        <v>4</v>
      </c>
      <c r="K707">
        <f>1</f>
        <v>1</v>
      </c>
    </row>
    <row r="708" spans="1:11" hidden="1" x14ac:dyDescent="0.25">
      <c r="A708" s="1">
        <f>Sampling!D706</f>
        <v>0</v>
      </c>
      <c r="B708" t="str" cm="1">
        <f t="array" ref="B708">IF(ISBLANK(INDEX(SampleList[NMR],ROW()-1)),"Not Requested",INDEX(SampleList[Experiment ID],ROW()-1))</f>
        <v>Not Requested</v>
      </c>
      <c r="C708">
        <f>Sampling!E706</f>
        <v>0</v>
      </c>
      <c r="D708">
        <f>NMRPrep[[#This Row],['#]]</f>
        <v>0</v>
      </c>
      <c r="G7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8" t="e">
        <f>IF(ISBLANK(NMRPrep[[#This Row],[Total (uL) ]]), 0, NMRPrep[[#This Row],[1mM Maleic Acid (uL) ]]/NMRPrep[[#This Row],[Total (uL) ]])</f>
        <v>#DIV/0!</v>
      </c>
      <c r="I708">
        <f>2</f>
        <v>2</v>
      </c>
      <c r="J708">
        <f>4</f>
        <v>4</v>
      </c>
      <c r="K708">
        <f>1</f>
        <v>1</v>
      </c>
    </row>
    <row r="709" spans="1:11" hidden="1" x14ac:dyDescent="0.25">
      <c r="A709" s="1">
        <f>Sampling!D707</f>
        <v>0</v>
      </c>
      <c r="B709" t="str" cm="1">
        <f t="array" ref="B709">IF(ISBLANK(INDEX(SampleList[NMR],ROW()-1)),"Not Requested",INDEX(SampleList[Experiment ID],ROW()-1))</f>
        <v>Not Requested</v>
      </c>
      <c r="C709">
        <f>Sampling!E707</f>
        <v>0</v>
      </c>
      <c r="D709">
        <f>NMRPrep[[#This Row],['#]]</f>
        <v>0</v>
      </c>
      <c r="G7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09" t="e">
        <f>IF(ISBLANK(NMRPrep[[#This Row],[Total (uL) ]]), 0, NMRPrep[[#This Row],[1mM Maleic Acid (uL) ]]/NMRPrep[[#This Row],[Total (uL) ]])</f>
        <v>#DIV/0!</v>
      </c>
      <c r="I709">
        <f>2</f>
        <v>2</v>
      </c>
      <c r="J709">
        <f>4</f>
        <v>4</v>
      </c>
      <c r="K709">
        <f>1</f>
        <v>1</v>
      </c>
    </row>
    <row r="710" spans="1:11" hidden="1" x14ac:dyDescent="0.25">
      <c r="A710" s="1">
        <f>Sampling!D708</f>
        <v>0</v>
      </c>
      <c r="B710" t="str" cm="1">
        <f t="array" ref="B710">IF(ISBLANK(INDEX(SampleList[NMR],ROW()-1)),"Not Requested",INDEX(SampleList[Experiment ID],ROW()-1))</f>
        <v>Not Requested</v>
      </c>
      <c r="C710">
        <f>Sampling!E708</f>
        <v>0</v>
      </c>
      <c r="D710">
        <f>NMRPrep[[#This Row],['#]]</f>
        <v>0</v>
      </c>
      <c r="G7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0" t="e">
        <f>IF(ISBLANK(NMRPrep[[#This Row],[Total (uL) ]]), 0, NMRPrep[[#This Row],[1mM Maleic Acid (uL) ]]/NMRPrep[[#This Row],[Total (uL) ]])</f>
        <v>#DIV/0!</v>
      </c>
      <c r="I710">
        <f>2</f>
        <v>2</v>
      </c>
      <c r="J710">
        <f>4</f>
        <v>4</v>
      </c>
      <c r="K710">
        <f>1</f>
        <v>1</v>
      </c>
    </row>
    <row r="711" spans="1:11" hidden="1" x14ac:dyDescent="0.25">
      <c r="A711" s="1">
        <f>Sampling!D709</f>
        <v>0</v>
      </c>
      <c r="B711" t="str" cm="1">
        <f t="array" ref="B711">IF(ISBLANK(INDEX(SampleList[NMR],ROW()-1)),"Not Requested",INDEX(SampleList[Experiment ID],ROW()-1))</f>
        <v>Not Requested</v>
      </c>
      <c r="C711">
        <f>Sampling!E709</f>
        <v>0</v>
      </c>
      <c r="D711">
        <f>NMRPrep[[#This Row],['#]]</f>
        <v>0</v>
      </c>
      <c r="G7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1" t="e">
        <f>IF(ISBLANK(NMRPrep[[#This Row],[Total (uL) ]]), 0, NMRPrep[[#This Row],[1mM Maleic Acid (uL) ]]/NMRPrep[[#This Row],[Total (uL) ]])</f>
        <v>#DIV/0!</v>
      </c>
      <c r="I711">
        <f>2</f>
        <v>2</v>
      </c>
      <c r="J711">
        <f>4</f>
        <v>4</v>
      </c>
      <c r="K711">
        <f>1</f>
        <v>1</v>
      </c>
    </row>
    <row r="712" spans="1:11" hidden="1" x14ac:dyDescent="0.25">
      <c r="A712" s="1">
        <f>Sampling!D710</f>
        <v>0</v>
      </c>
      <c r="B712" t="str" cm="1">
        <f t="array" ref="B712">IF(ISBLANK(INDEX(SampleList[NMR],ROW()-1)),"Not Requested",INDEX(SampleList[Experiment ID],ROW()-1))</f>
        <v>Not Requested</v>
      </c>
      <c r="C712">
        <f>Sampling!E710</f>
        <v>0</v>
      </c>
      <c r="D712">
        <f>NMRPrep[[#This Row],['#]]</f>
        <v>0</v>
      </c>
      <c r="G7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2" t="e">
        <f>IF(ISBLANK(NMRPrep[[#This Row],[Total (uL) ]]), 0, NMRPrep[[#This Row],[1mM Maleic Acid (uL) ]]/NMRPrep[[#This Row],[Total (uL) ]])</f>
        <v>#DIV/0!</v>
      </c>
      <c r="I712">
        <f>2</f>
        <v>2</v>
      </c>
      <c r="J712">
        <f>4</f>
        <v>4</v>
      </c>
      <c r="K712">
        <f>1</f>
        <v>1</v>
      </c>
    </row>
    <row r="713" spans="1:11" hidden="1" x14ac:dyDescent="0.25">
      <c r="A713" s="1">
        <f>Sampling!D711</f>
        <v>0</v>
      </c>
      <c r="B713" t="str" cm="1">
        <f t="array" ref="B713">IF(ISBLANK(INDEX(SampleList[NMR],ROW()-1)),"Not Requested",INDEX(SampleList[Experiment ID],ROW()-1))</f>
        <v>Not Requested</v>
      </c>
      <c r="C713">
        <f>Sampling!E711</f>
        <v>0</v>
      </c>
      <c r="D713">
        <f>NMRPrep[[#This Row],['#]]</f>
        <v>0</v>
      </c>
      <c r="G7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3" t="e">
        <f>IF(ISBLANK(NMRPrep[[#This Row],[Total (uL) ]]), 0, NMRPrep[[#This Row],[1mM Maleic Acid (uL) ]]/NMRPrep[[#This Row],[Total (uL) ]])</f>
        <v>#DIV/0!</v>
      </c>
      <c r="I713">
        <f>2</f>
        <v>2</v>
      </c>
      <c r="J713">
        <f>4</f>
        <v>4</v>
      </c>
      <c r="K713">
        <f>1</f>
        <v>1</v>
      </c>
    </row>
    <row r="714" spans="1:11" hidden="1" x14ac:dyDescent="0.25">
      <c r="A714" s="1">
        <f>Sampling!D712</f>
        <v>0</v>
      </c>
      <c r="B714" t="str" cm="1">
        <f t="array" ref="B714">IF(ISBLANK(INDEX(SampleList[NMR],ROW()-1)),"Not Requested",INDEX(SampleList[Experiment ID],ROW()-1))</f>
        <v>Not Requested</v>
      </c>
      <c r="C714">
        <f>Sampling!E712</f>
        <v>0</v>
      </c>
      <c r="D714">
        <f>NMRPrep[[#This Row],['#]]</f>
        <v>0</v>
      </c>
      <c r="G7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4" t="e">
        <f>IF(ISBLANK(NMRPrep[[#This Row],[Total (uL) ]]), 0, NMRPrep[[#This Row],[1mM Maleic Acid (uL) ]]/NMRPrep[[#This Row],[Total (uL) ]])</f>
        <v>#DIV/0!</v>
      </c>
      <c r="I714">
        <f>2</f>
        <v>2</v>
      </c>
      <c r="J714">
        <f>4</f>
        <v>4</v>
      </c>
      <c r="K714">
        <f>1</f>
        <v>1</v>
      </c>
    </row>
    <row r="715" spans="1:11" hidden="1" x14ac:dyDescent="0.25">
      <c r="A715" s="1">
        <f>Sampling!D713</f>
        <v>0</v>
      </c>
      <c r="B715" t="str" cm="1">
        <f t="array" ref="B715">IF(ISBLANK(INDEX(SampleList[NMR],ROW()-1)),"Not Requested",INDEX(SampleList[Experiment ID],ROW()-1))</f>
        <v>Not Requested</v>
      </c>
      <c r="C715">
        <f>Sampling!E713</f>
        <v>0</v>
      </c>
      <c r="D715">
        <f>NMRPrep[[#This Row],['#]]</f>
        <v>0</v>
      </c>
      <c r="G7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5" t="e">
        <f>IF(ISBLANK(NMRPrep[[#This Row],[Total (uL) ]]), 0, NMRPrep[[#This Row],[1mM Maleic Acid (uL) ]]/NMRPrep[[#This Row],[Total (uL) ]])</f>
        <v>#DIV/0!</v>
      </c>
      <c r="I715">
        <f>2</f>
        <v>2</v>
      </c>
      <c r="J715">
        <f>4</f>
        <v>4</v>
      </c>
      <c r="K715">
        <f>1</f>
        <v>1</v>
      </c>
    </row>
    <row r="716" spans="1:11" hidden="1" x14ac:dyDescent="0.25">
      <c r="A716" s="1">
        <f>Sampling!D714</f>
        <v>0</v>
      </c>
      <c r="B716" t="str" cm="1">
        <f t="array" ref="B716">IF(ISBLANK(INDEX(SampleList[NMR],ROW()-1)),"Not Requested",INDEX(SampleList[Experiment ID],ROW()-1))</f>
        <v>Not Requested</v>
      </c>
      <c r="C716">
        <f>Sampling!E714</f>
        <v>0</v>
      </c>
      <c r="D716">
        <f>NMRPrep[[#This Row],['#]]</f>
        <v>0</v>
      </c>
      <c r="G7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6" t="e">
        <f>IF(ISBLANK(NMRPrep[[#This Row],[Total (uL) ]]), 0, NMRPrep[[#This Row],[1mM Maleic Acid (uL) ]]/NMRPrep[[#This Row],[Total (uL) ]])</f>
        <v>#DIV/0!</v>
      </c>
      <c r="I716">
        <f>2</f>
        <v>2</v>
      </c>
      <c r="J716">
        <f>4</f>
        <v>4</v>
      </c>
      <c r="K716">
        <f>1</f>
        <v>1</v>
      </c>
    </row>
    <row r="717" spans="1:11" hidden="1" x14ac:dyDescent="0.25">
      <c r="A717" s="1">
        <f>Sampling!D715</f>
        <v>0</v>
      </c>
      <c r="B717" t="str" cm="1">
        <f t="array" ref="B717">IF(ISBLANK(INDEX(SampleList[NMR],ROW()-1)),"Not Requested",INDEX(SampleList[Experiment ID],ROW()-1))</f>
        <v>Not Requested</v>
      </c>
      <c r="C717">
        <f>Sampling!E715</f>
        <v>0</v>
      </c>
      <c r="D717">
        <f>NMRPrep[[#This Row],['#]]</f>
        <v>0</v>
      </c>
      <c r="G7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7" t="e">
        <f>IF(ISBLANK(NMRPrep[[#This Row],[Total (uL) ]]), 0, NMRPrep[[#This Row],[1mM Maleic Acid (uL) ]]/NMRPrep[[#This Row],[Total (uL) ]])</f>
        <v>#DIV/0!</v>
      </c>
      <c r="I717">
        <f>2</f>
        <v>2</v>
      </c>
      <c r="J717">
        <f>4</f>
        <v>4</v>
      </c>
      <c r="K717">
        <f>1</f>
        <v>1</v>
      </c>
    </row>
    <row r="718" spans="1:11" hidden="1" x14ac:dyDescent="0.25">
      <c r="A718" s="1">
        <f>Sampling!D716</f>
        <v>0</v>
      </c>
      <c r="B718" t="str" cm="1">
        <f t="array" ref="B718">IF(ISBLANK(INDEX(SampleList[NMR],ROW()-1)),"Not Requested",INDEX(SampleList[Experiment ID],ROW()-1))</f>
        <v>Not Requested</v>
      </c>
      <c r="C718">
        <f>Sampling!E716</f>
        <v>0</v>
      </c>
      <c r="D718">
        <f>NMRPrep[[#This Row],['#]]</f>
        <v>0</v>
      </c>
      <c r="G7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8" t="e">
        <f>IF(ISBLANK(NMRPrep[[#This Row],[Total (uL) ]]), 0, NMRPrep[[#This Row],[1mM Maleic Acid (uL) ]]/NMRPrep[[#This Row],[Total (uL) ]])</f>
        <v>#DIV/0!</v>
      </c>
      <c r="I718">
        <f>2</f>
        <v>2</v>
      </c>
      <c r="J718">
        <f>4</f>
        <v>4</v>
      </c>
      <c r="K718">
        <f>1</f>
        <v>1</v>
      </c>
    </row>
    <row r="719" spans="1:11" hidden="1" x14ac:dyDescent="0.25">
      <c r="A719" s="1">
        <f>Sampling!D717</f>
        <v>0</v>
      </c>
      <c r="B719" t="str" cm="1">
        <f t="array" ref="B719">IF(ISBLANK(INDEX(SampleList[NMR],ROW()-1)),"Not Requested",INDEX(SampleList[Experiment ID],ROW()-1))</f>
        <v>Not Requested</v>
      </c>
      <c r="C719">
        <f>Sampling!E717</f>
        <v>0</v>
      </c>
      <c r="D719">
        <f>NMRPrep[[#This Row],['#]]</f>
        <v>0</v>
      </c>
      <c r="G7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19" t="e">
        <f>IF(ISBLANK(NMRPrep[[#This Row],[Total (uL) ]]), 0, NMRPrep[[#This Row],[1mM Maleic Acid (uL) ]]/NMRPrep[[#This Row],[Total (uL) ]])</f>
        <v>#DIV/0!</v>
      </c>
      <c r="I719">
        <f>2</f>
        <v>2</v>
      </c>
      <c r="J719">
        <f>4</f>
        <v>4</v>
      </c>
      <c r="K719">
        <f>1</f>
        <v>1</v>
      </c>
    </row>
    <row r="720" spans="1:11" hidden="1" x14ac:dyDescent="0.25">
      <c r="A720" s="1">
        <f>Sampling!D718</f>
        <v>0</v>
      </c>
      <c r="B720" t="str" cm="1">
        <f t="array" ref="B720">IF(ISBLANK(INDEX(SampleList[NMR],ROW()-1)),"Not Requested",INDEX(SampleList[Experiment ID],ROW()-1))</f>
        <v>Not Requested</v>
      </c>
      <c r="C720">
        <f>Sampling!E718</f>
        <v>0</v>
      </c>
      <c r="D720">
        <f>NMRPrep[[#This Row],['#]]</f>
        <v>0</v>
      </c>
      <c r="G7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0" t="e">
        <f>IF(ISBLANK(NMRPrep[[#This Row],[Total (uL) ]]), 0, NMRPrep[[#This Row],[1mM Maleic Acid (uL) ]]/NMRPrep[[#This Row],[Total (uL) ]])</f>
        <v>#DIV/0!</v>
      </c>
      <c r="I720">
        <f>2</f>
        <v>2</v>
      </c>
      <c r="J720">
        <f>4</f>
        <v>4</v>
      </c>
      <c r="K720">
        <f>1</f>
        <v>1</v>
      </c>
    </row>
    <row r="721" spans="1:11" hidden="1" x14ac:dyDescent="0.25">
      <c r="A721" s="1">
        <f>Sampling!D719</f>
        <v>0</v>
      </c>
      <c r="B721" t="str" cm="1">
        <f t="array" ref="B721">IF(ISBLANK(INDEX(SampleList[NMR],ROW()-1)),"Not Requested",INDEX(SampleList[Experiment ID],ROW()-1))</f>
        <v>Not Requested</v>
      </c>
      <c r="C721">
        <f>Sampling!E719</f>
        <v>0</v>
      </c>
      <c r="D721">
        <f>NMRPrep[[#This Row],['#]]</f>
        <v>0</v>
      </c>
      <c r="G7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1" t="e">
        <f>IF(ISBLANK(NMRPrep[[#This Row],[Total (uL) ]]), 0, NMRPrep[[#This Row],[1mM Maleic Acid (uL) ]]/NMRPrep[[#This Row],[Total (uL) ]])</f>
        <v>#DIV/0!</v>
      </c>
      <c r="I721">
        <f>2</f>
        <v>2</v>
      </c>
      <c r="J721">
        <f>4</f>
        <v>4</v>
      </c>
      <c r="K721">
        <f>1</f>
        <v>1</v>
      </c>
    </row>
    <row r="722" spans="1:11" hidden="1" x14ac:dyDescent="0.25">
      <c r="A722" s="1">
        <f>Sampling!D720</f>
        <v>0</v>
      </c>
      <c r="B722" t="str" cm="1">
        <f t="array" ref="B722">IF(ISBLANK(INDEX(SampleList[NMR],ROW()-1)),"Not Requested",INDEX(SampleList[Experiment ID],ROW()-1))</f>
        <v>Not Requested</v>
      </c>
      <c r="C722">
        <f>Sampling!E720</f>
        <v>0</v>
      </c>
      <c r="D722">
        <f>NMRPrep[[#This Row],['#]]</f>
        <v>0</v>
      </c>
      <c r="G7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2" t="e">
        <f>IF(ISBLANK(NMRPrep[[#This Row],[Total (uL) ]]), 0, NMRPrep[[#This Row],[1mM Maleic Acid (uL) ]]/NMRPrep[[#This Row],[Total (uL) ]])</f>
        <v>#DIV/0!</v>
      </c>
      <c r="I722">
        <f>2</f>
        <v>2</v>
      </c>
      <c r="J722">
        <f>4</f>
        <v>4</v>
      </c>
      <c r="K722">
        <f>1</f>
        <v>1</v>
      </c>
    </row>
    <row r="723" spans="1:11" hidden="1" x14ac:dyDescent="0.25">
      <c r="A723" s="1">
        <f>Sampling!D721</f>
        <v>0</v>
      </c>
      <c r="B723" t="str" cm="1">
        <f t="array" ref="B723">IF(ISBLANK(INDEX(SampleList[NMR],ROW()-1)),"Not Requested",INDEX(SampleList[Experiment ID],ROW()-1))</f>
        <v>Not Requested</v>
      </c>
      <c r="C723">
        <f>Sampling!E721</f>
        <v>0</v>
      </c>
      <c r="D723">
        <f>NMRPrep[[#This Row],['#]]</f>
        <v>0</v>
      </c>
      <c r="G7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3" t="e">
        <f>IF(ISBLANK(NMRPrep[[#This Row],[Total (uL) ]]), 0, NMRPrep[[#This Row],[1mM Maleic Acid (uL) ]]/NMRPrep[[#This Row],[Total (uL) ]])</f>
        <v>#DIV/0!</v>
      </c>
      <c r="I723">
        <f>2</f>
        <v>2</v>
      </c>
      <c r="J723">
        <f>4</f>
        <v>4</v>
      </c>
      <c r="K723">
        <f>1</f>
        <v>1</v>
      </c>
    </row>
    <row r="724" spans="1:11" hidden="1" x14ac:dyDescent="0.25">
      <c r="A724" s="1">
        <f>Sampling!D722</f>
        <v>0</v>
      </c>
      <c r="B724" t="str" cm="1">
        <f t="array" ref="B724">IF(ISBLANK(INDEX(SampleList[NMR],ROW()-1)),"Not Requested",INDEX(SampleList[Experiment ID],ROW()-1))</f>
        <v>Not Requested</v>
      </c>
      <c r="C724">
        <f>Sampling!E722</f>
        <v>0</v>
      </c>
      <c r="D724">
        <f>NMRPrep[[#This Row],['#]]</f>
        <v>0</v>
      </c>
      <c r="G7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4" t="e">
        <f>IF(ISBLANK(NMRPrep[[#This Row],[Total (uL) ]]), 0, NMRPrep[[#This Row],[1mM Maleic Acid (uL) ]]/NMRPrep[[#This Row],[Total (uL) ]])</f>
        <v>#DIV/0!</v>
      </c>
      <c r="I724">
        <f>2</f>
        <v>2</v>
      </c>
      <c r="J724">
        <f>4</f>
        <v>4</v>
      </c>
      <c r="K724">
        <f>1</f>
        <v>1</v>
      </c>
    </row>
    <row r="725" spans="1:11" hidden="1" x14ac:dyDescent="0.25">
      <c r="A725" s="1">
        <f>Sampling!D723</f>
        <v>0</v>
      </c>
      <c r="B725" t="str" cm="1">
        <f t="array" ref="B725">IF(ISBLANK(INDEX(SampleList[NMR],ROW()-1)),"Not Requested",INDEX(SampleList[Experiment ID],ROW()-1))</f>
        <v>Not Requested</v>
      </c>
      <c r="C725">
        <f>Sampling!E723</f>
        <v>0</v>
      </c>
      <c r="D725">
        <f>NMRPrep[[#This Row],['#]]</f>
        <v>0</v>
      </c>
      <c r="G7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5" t="e">
        <f>IF(ISBLANK(NMRPrep[[#This Row],[Total (uL) ]]), 0, NMRPrep[[#This Row],[1mM Maleic Acid (uL) ]]/NMRPrep[[#This Row],[Total (uL) ]])</f>
        <v>#DIV/0!</v>
      </c>
      <c r="I725">
        <f>2</f>
        <v>2</v>
      </c>
      <c r="J725">
        <f>4</f>
        <v>4</v>
      </c>
      <c r="K725">
        <f>1</f>
        <v>1</v>
      </c>
    </row>
    <row r="726" spans="1:11" hidden="1" x14ac:dyDescent="0.25">
      <c r="A726" s="1">
        <f>Sampling!D724</f>
        <v>0</v>
      </c>
      <c r="B726" t="str" cm="1">
        <f t="array" ref="B726">IF(ISBLANK(INDEX(SampleList[NMR],ROW()-1)),"Not Requested",INDEX(SampleList[Experiment ID],ROW()-1))</f>
        <v>Not Requested</v>
      </c>
      <c r="C726">
        <f>Sampling!E724</f>
        <v>0</v>
      </c>
      <c r="D726">
        <f>NMRPrep[[#This Row],['#]]</f>
        <v>0</v>
      </c>
      <c r="G7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6" t="e">
        <f>IF(ISBLANK(NMRPrep[[#This Row],[Total (uL) ]]), 0, NMRPrep[[#This Row],[1mM Maleic Acid (uL) ]]/NMRPrep[[#This Row],[Total (uL) ]])</f>
        <v>#DIV/0!</v>
      </c>
      <c r="I726">
        <f>2</f>
        <v>2</v>
      </c>
      <c r="J726">
        <f>4</f>
        <v>4</v>
      </c>
      <c r="K726">
        <f>1</f>
        <v>1</v>
      </c>
    </row>
    <row r="727" spans="1:11" hidden="1" x14ac:dyDescent="0.25">
      <c r="A727" s="1">
        <f>Sampling!D725</f>
        <v>0</v>
      </c>
      <c r="B727" t="str" cm="1">
        <f t="array" ref="B727">IF(ISBLANK(INDEX(SampleList[NMR],ROW()-1)),"Not Requested",INDEX(SampleList[Experiment ID],ROW()-1))</f>
        <v>Not Requested</v>
      </c>
      <c r="C727">
        <f>Sampling!E725</f>
        <v>0</v>
      </c>
      <c r="D727">
        <f>NMRPrep[[#This Row],['#]]</f>
        <v>0</v>
      </c>
      <c r="G7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7" t="e">
        <f>IF(ISBLANK(NMRPrep[[#This Row],[Total (uL) ]]), 0, NMRPrep[[#This Row],[1mM Maleic Acid (uL) ]]/NMRPrep[[#This Row],[Total (uL) ]])</f>
        <v>#DIV/0!</v>
      </c>
      <c r="I727">
        <f>2</f>
        <v>2</v>
      </c>
      <c r="J727">
        <f>4</f>
        <v>4</v>
      </c>
      <c r="K727">
        <f>1</f>
        <v>1</v>
      </c>
    </row>
    <row r="728" spans="1:11" hidden="1" x14ac:dyDescent="0.25">
      <c r="A728" s="1">
        <f>Sampling!D726</f>
        <v>0</v>
      </c>
      <c r="B728" t="str" cm="1">
        <f t="array" ref="B728">IF(ISBLANK(INDEX(SampleList[NMR],ROW()-1)),"Not Requested",INDEX(SampleList[Experiment ID],ROW()-1))</f>
        <v>Not Requested</v>
      </c>
      <c r="C728">
        <f>Sampling!E726</f>
        <v>0</v>
      </c>
      <c r="D728">
        <f>NMRPrep[[#This Row],['#]]</f>
        <v>0</v>
      </c>
      <c r="G7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8" t="e">
        <f>IF(ISBLANK(NMRPrep[[#This Row],[Total (uL) ]]), 0, NMRPrep[[#This Row],[1mM Maleic Acid (uL) ]]/NMRPrep[[#This Row],[Total (uL) ]])</f>
        <v>#DIV/0!</v>
      </c>
      <c r="I728">
        <f>2</f>
        <v>2</v>
      </c>
      <c r="J728">
        <f>4</f>
        <v>4</v>
      </c>
      <c r="K728">
        <f>1</f>
        <v>1</v>
      </c>
    </row>
    <row r="729" spans="1:11" hidden="1" x14ac:dyDescent="0.25">
      <c r="A729" s="1">
        <f>Sampling!D727</f>
        <v>0</v>
      </c>
      <c r="B729" t="str" cm="1">
        <f t="array" ref="B729">IF(ISBLANK(INDEX(SampleList[NMR],ROW()-1)),"Not Requested",INDEX(SampleList[Experiment ID],ROW()-1))</f>
        <v>Not Requested</v>
      </c>
      <c r="C729">
        <f>Sampling!E727</f>
        <v>0</v>
      </c>
      <c r="D729">
        <f>NMRPrep[[#This Row],['#]]</f>
        <v>0</v>
      </c>
      <c r="G7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29" t="e">
        <f>IF(ISBLANK(NMRPrep[[#This Row],[Total (uL) ]]), 0, NMRPrep[[#This Row],[1mM Maleic Acid (uL) ]]/NMRPrep[[#This Row],[Total (uL) ]])</f>
        <v>#DIV/0!</v>
      </c>
      <c r="I729">
        <f>2</f>
        <v>2</v>
      </c>
      <c r="J729">
        <f>4</f>
        <v>4</v>
      </c>
      <c r="K729">
        <f>1</f>
        <v>1</v>
      </c>
    </row>
    <row r="730" spans="1:11" hidden="1" x14ac:dyDescent="0.25">
      <c r="A730" s="1">
        <f>Sampling!D728</f>
        <v>0</v>
      </c>
      <c r="B730" t="str" cm="1">
        <f t="array" ref="B730">IF(ISBLANK(INDEX(SampleList[NMR],ROW()-1)),"Not Requested",INDEX(SampleList[Experiment ID],ROW()-1))</f>
        <v>Not Requested</v>
      </c>
      <c r="C730">
        <f>Sampling!E728</f>
        <v>0</v>
      </c>
      <c r="D730">
        <f>NMRPrep[[#This Row],['#]]</f>
        <v>0</v>
      </c>
      <c r="G7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0" t="e">
        <f>IF(ISBLANK(NMRPrep[[#This Row],[Total (uL) ]]), 0, NMRPrep[[#This Row],[1mM Maleic Acid (uL) ]]/NMRPrep[[#This Row],[Total (uL) ]])</f>
        <v>#DIV/0!</v>
      </c>
      <c r="I730">
        <f>2</f>
        <v>2</v>
      </c>
      <c r="J730">
        <f>4</f>
        <v>4</v>
      </c>
      <c r="K730">
        <f>1</f>
        <v>1</v>
      </c>
    </row>
    <row r="731" spans="1:11" hidden="1" x14ac:dyDescent="0.25">
      <c r="A731" s="1">
        <f>Sampling!D729</f>
        <v>0</v>
      </c>
      <c r="B731" t="str" cm="1">
        <f t="array" ref="B731">IF(ISBLANK(INDEX(SampleList[NMR],ROW()-1)),"Not Requested",INDEX(SampleList[Experiment ID],ROW()-1))</f>
        <v>Not Requested</v>
      </c>
      <c r="C731">
        <f>Sampling!E729</f>
        <v>0</v>
      </c>
      <c r="D731">
        <f>NMRPrep[[#This Row],['#]]</f>
        <v>0</v>
      </c>
      <c r="G7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1" t="e">
        <f>IF(ISBLANK(NMRPrep[[#This Row],[Total (uL) ]]), 0, NMRPrep[[#This Row],[1mM Maleic Acid (uL) ]]/NMRPrep[[#This Row],[Total (uL) ]])</f>
        <v>#DIV/0!</v>
      </c>
      <c r="I731">
        <f>2</f>
        <v>2</v>
      </c>
      <c r="J731">
        <f>4</f>
        <v>4</v>
      </c>
      <c r="K731">
        <f>1</f>
        <v>1</v>
      </c>
    </row>
    <row r="732" spans="1:11" hidden="1" x14ac:dyDescent="0.25">
      <c r="A732" s="1">
        <f>Sampling!D730</f>
        <v>0</v>
      </c>
      <c r="B732" t="str" cm="1">
        <f t="array" ref="B732">IF(ISBLANK(INDEX(SampleList[NMR],ROW()-1)),"Not Requested",INDEX(SampleList[Experiment ID],ROW()-1))</f>
        <v>Not Requested</v>
      </c>
      <c r="C732">
        <f>Sampling!E730</f>
        <v>0</v>
      </c>
      <c r="D732">
        <f>NMRPrep[[#This Row],['#]]</f>
        <v>0</v>
      </c>
      <c r="G7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2" t="e">
        <f>IF(ISBLANK(NMRPrep[[#This Row],[Total (uL) ]]), 0, NMRPrep[[#This Row],[1mM Maleic Acid (uL) ]]/NMRPrep[[#This Row],[Total (uL) ]])</f>
        <v>#DIV/0!</v>
      </c>
      <c r="I732">
        <f>2</f>
        <v>2</v>
      </c>
      <c r="J732">
        <f>4</f>
        <v>4</v>
      </c>
      <c r="K732">
        <f>1</f>
        <v>1</v>
      </c>
    </row>
    <row r="733" spans="1:11" hidden="1" x14ac:dyDescent="0.25">
      <c r="A733" s="1">
        <f>Sampling!D731</f>
        <v>0</v>
      </c>
      <c r="B733" t="str" cm="1">
        <f t="array" ref="B733">IF(ISBLANK(INDEX(SampleList[NMR],ROW()-1)),"Not Requested",INDEX(SampleList[Experiment ID],ROW()-1))</f>
        <v>Not Requested</v>
      </c>
      <c r="C733">
        <f>Sampling!E731</f>
        <v>0</v>
      </c>
      <c r="D733">
        <f>NMRPrep[[#This Row],['#]]</f>
        <v>0</v>
      </c>
      <c r="G7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3" t="e">
        <f>IF(ISBLANK(NMRPrep[[#This Row],[Total (uL) ]]), 0, NMRPrep[[#This Row],[1mM Maleic Acid (uL) ]]/NMRPrep[[#This Row],[Total (uL) ]])</f>
        <v>#DIV/0!</v>
      </c>
      <c r="I733">
        <f>2</f>
        <v>2</v>
      </c>
      <c r="J733">
        <f>4</f>
        <v>4</v>
      </c>
      <c r="K733">
        <f>1</f>
        <v>1</v>
      </c>
    </row>
    <row r="734" spans="1:11" hidden="1" x14ac:dyDescent="0.25">
      <c r="A734" s="1">
        <f>Sampling!D732</f>
        <v>0</v>
      </c>
      <c r="B734" t="str" cm="1">
        <f t="array" ref="B734">IF(ISBLANK(INDEX(SampleList[NMR],ROW()-1)),"Not Requested",INDEX(SampleList[Experiment ID],ROW()-1))</f>
        <v>Not Requested</v>
      </c>
      <c r="C734">
        <f>Sampling!E732</f>
        <v>0</v>
      </c>
      <c r="D734">
        <f>NMRPrep[[#This Row],['#]]</f>
        <v>0</v>
      </c>
      <c r="G7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4" t="e">
        <f>IF(ISBLANK(NMRPrep[[#This Row],[Total (uL) ]]), 0, NMRPrep[[#This Row],[1mM Maleic Acid (uL) ]]/NMRPrep[[#This Row],[Total (uL) ]])</f>
        <v>#DIV/0!</v>
      </c>
      <c r="I734">
        <f>2</f>
        <v>2</v>
      </c>
      <c r="J734">
        <f>4</f>
        <v>4</v>
      </c>
      <c r="K734">
        <f>1</f>
        <v>1</v>
      </c>
    </row>
    <row r="735" spans="1:11" hidden="1" x14ac:dyDescent="0.25">
      <c r="A735" s="1">
        <f>Sampling!D733</f>
        <v>0</v>
      </c>
      <c r="B735" t="str" cm="1">
        <f t="array" ref="B735">IF(ISBLANK(INDEX(SampleList[NMR],ROW()-1)),"Not Requested",INDEX(SampleList[Experiment ID],ROW()-1))</f>
        <v>Not Requested</v>
      </c>
      <c r="C735">
        <f>Sampling!E733</f>
        <v>0</v>
      </c>
      <c r="D735">
        <f>NMRPrep[[#This Row],['#]]</f>
        <v>0</v>
      </c>
      <c r="G7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5" t="e">
        <f>IF(ISBLANK(NMRPrep[[#This Row],[Total (uL) ]]), 0, NMRPrep[[#This Row],[1mM Maleic Acid (uL) ]]/NMRPrep[[#This Row],[Total (uL) ]])</f>
        <v>#DIV/0!</v>
      </c>
      <c r="I735">
        <f>2</f>
        <v>2</v>
      </c>
      <c r="J735">
        <f>4</f>
        <v>4</v>
      </c>
      <c r="K735">
        <f>1</f>
        <v>1</v>
      </c>
    </row>
    <row r="736" spans="1:11" hidden="1" x14ac:dyDescent="0.25">
      <c r="A736" s="1">
        <f>Sampling!D734</f>
        <v>0</v>
      </c>
      <c r="B736" t="str" cm="1">
        <f t="array" ref="B736">IF(ISBLANK(INDEX(SampleList[NMR],ROW()-1)),"Not Requested",INDEX(SampleList[Experiment ID],ROW()-1))</f>
        <v>Not Requested</v>
      </c>
      <c r="C736">
        <f>Sampling!E734</f>
        <v>0</v>
      </c>
      <c r="D736">
        <f>NMRPrep[[#This Row],['#]]</f>
        <v>0</v>
      </c>
      <c r="G7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6" t="e">
        <f>IF(ISBLANK(NMRPrep[[#This Row],[Total (uL) ]]), 0, NMRPrep[[#This Row],[1mM Maleic Acid (uL) ]]/NMRPrep[[#This Row],[Total (uL) ]])</f>
        <v>#DIV/0!</v>
      </c>
      <c r="I736">
        <f>2</f>
        <v>2</v>
      </c>
      <c r="J736">
        <f>4</f>
        <v>4</v>
      </c>
      <c r="K736">
        <f>1</f>
        <v>1</v>
      </c>
    </row>
    <row r="737" spans="1:11" hidden="1" x14ac:dyDescent="0.25">
      <c r="A737" s="1">
        <f>Sampling!D735</f>
        <v>0</v>
      </c>
      <c r="B737" t="str" cm="1">
        <f t="array" ref="B737">IF(ISBLANK(INDEX(SampleList[NMR],ROW()-1)),"Not Requested",INDEX(SampleList[Experiment ID],ROW()-1))</f>
        <v>Not Requested</v>
      </c>
      <c r="C737">
        <f>Sampling!E735</f>
        <v>0</v>
      </c>
      <c r="D737">
        <f>NMRPrep[[#This Row],['#]]</f>
        <v>0</v>
      </c>
      <c r="G7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7" t="e">
        <f>IF(ISBLANK(NMRPrep[[#This Row],[Total (uL) ]]), 0, NMRPrep[[#This Row],[1mM Maleic Acid (uL) ]]/NMRPrep[[#This Row],[Total (uL) ]])</f>
        <v>#DIV/0!</v>
      </c>
      <c r="I737">
        <f>2</f>
        <v>2</v>
      </c>
      <c r="J737">
        <f>4</f>
        <v>4</v>
      </c>
      <c r="K737">
        <f>1</f>
        <v>1</v>
      </c>
    </row>
    <row r="738" spans="1:11" hidden="1" x14ac:dyDescent="0.25">
      <c r="A738" s="1">
        <f>Sampling!D736</f>
        <v>0</v>
      </c>
      <c r="B738" t="str" cm="1">
        <f t="array" ref="B738">IF(ISBLANK(INDEX(SampleList[NMR],ROW()-1)),"Not Requested",INDEX(SampleList[Experiment ID],ROW()-1))</f>
        <v>Not Requested</v>
      </c>
      <c r="C738">
        <f>Sampling!E736</f>
        <v>0</v>
      </c>
      <c r="D738">
        <f>NMRPrep[[#This Row],['#]]</f>
        <v>0</v>
      </c>
      <c r="G7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8" t="e">
        <f>IF(ISBLANK(NMRPrep[[#This Row],[Total (uL) ]]), 0, NMRPrep[[#This Row],[1mM Maleic Acid (uL) ]]/NMRPrep[[#This Row],[Total (uL) ]])</f>
        <v>#DIV/0!</v>
      </c>
      <c r="I738">
        <f>2</f>
        <v>2</v>
      </c>
      <c r="J738">
        <f>4</f>
        <v>4</v>
      </c>
      <c r="K738">
        <f>1</f>
        <v>1</v>
      </c>
    </row>
    <row r="739" spans="1:11" hidden="1" x14ac:dyDescent="0.25">
      <c r="A739" s="1">
        <f>Sampling!D737</f>
        <v>0</v>
      </c>
      <c r="B739" t="str" cm="1">
        <f t="array" ref="B739">IF(ISBLANK(INDEX(SampleList[NMR],ROW()-1)),"Not Requested",INDEX(SampleList[Experiment ID],ROW()-1))</f>
        <v>Not Requested</v>
      </c>
      <c r="C739">
        <f>Sampling!E737</f>
        <v>0</v>
      </c>
      <c r="D739">
        <f>NMRPrep[[#This Row],['#]]</f>
        <v>0</v>
      </c>
      <c r="G7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39" t="e">
        <f>IF(ISBLANK(NMRPrep[[#This Row],[Total (uL) ]]), 0, NMRPrep[[#This Row],[1mM Maleic Acid (uL) ]]/NMRPrep[[#This Row],[Total (uL) ]])</f>
        <v>#DIV/0!</v>
      </c>
      <c r="I739">
        <f>2</f>
        <v>2</v>
      </c>
      <c r="J739">
        <f>4</f>
        <v>4</v>
      </c>
      <c r="K739">
        <f>1</f>
        <v>1</v>
      </c>
    </row>
    <row r="740" spans="1:11" hidden="1" x14ac:dyDescent="0.25">
      <c r="A740" s="1">
        <f>Sampling!D738</f>
        <v>0</v>
      </c>
      <c r="B740" t="str" cm="1">
        <f t="array" ref="B740">IF(ISBLANK(INDEX(SampleList[NMR],ROW()-1)),"Not Requested",INDEX(SampleList[Experiment ID],ROW()-1))</f>
        <v>Not Requested</v>
      </c>
      <c r="C740">
        <f>Sampling!E738</f>
        <v>0</v>
      </c>
      <c r="D740">
        <f>NMRPrep[[#This Row],['#]]</f>
        <v>0</v>
      </c>
      <c r="G7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0" t="e">
        <f>IF(ISBLANK(NMRPrep[[#This Row],[Total (uL) ]]), 0, NMRPrep[[#This Row],[1mM Maleic Acid (uL) ]]/NMRPrep[[#This Row],[Total (uL) ]])</f>
        <v>#DIV/0!</v>
      </c>
      <c r="I740">
        <f>2</f>
        <v>2</v>
      </c>
      <c r="J740">
        <f>4</f>
        <v>4</v>
      </c>
      <c r="K740">
        <f>1</f>
        <v>1</v>
      </c>
    </row>
    <row r="741" spans="1:11" hidden="1" x14ac:dyDescent="0.25">
      <c r="A741" s="1">
        <f>Sampling!D739</f>
        <v>0</v>
      </c>
      <c r="B741" t="str" cm="1">
        <f t="array" ref="B741">IF(ISBLANK(INDEX(SampleList[NMR],ROW()-1)),"Not Requested",INDEX(SampleList[Experiment ID],ROW()-1))</f>
        <v>Not Requested</v>
      </c>
      <c r="C741">
        <f>Sampling!E739</f>
        <v>0</v>
      </c>
      <c r="D741">
        <f>NMRPrep[[#This Row],['#]]</f>
        <v>0</v>
      </c>
      <c r="G7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1" t="e">
        <f>IF(ISBLANK(NMRPrep[[#This Row],[Total (uL) ]]), 0, NMRPrep[[#This Row],[1mM Maleic Acid (uL) ]]/NMRPrep[[#This Row],[Total (uL) ]])</f>
        <v>#DIV/0!</v>
      </c>
      <c r="I741">
        <f>2</f>
        <v>2</v>
      </c>
      <c r="J741">
        <f>4</f>
        <v>4</v>
      </c>
      <c r="K741">
        <f>1</f>
        <v>1</v>
      </c>
    </row>
    <row r="742" spans="1:11" hidden="1" x14ac:dyDescent="0.25">
      <c r="A742" s="1">
        <f>Sampling!D740</f>
        <v>0</v>
      </c>
      <c r="B742" t="str" cm="1">
        <f t="array" ref="B742">IF(ISBLANK(INDEX(SampleList[NMR],ROW()-1)),"Not Requested",INDEX(SampleList[Experiment ID],ROW()-1))</f>
        <v>Not Requested</v>
      </c>
      <c r="C742">
        <f>Sampling!E740</f>
        <v>0</v>
      </c>
      <c r="D742">
        <f>NMRPrep[[#This Row],['#]]</f>
        <v>0</v>
      </c>
      <c r="G7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2" t="e">
        <f>IF(ISBLANK(NMRPrep[[#This Row],[Total (uL) ]]), 0, NMRPrep[[#This Row],[1mM Maleic Acid (uL) ]]/NMRPrep[[#This Row],[Total (uL) ]])</f>
        <v>#DIV/0!</v>
      </c>
      <c r="I742">
        <f>2</f>
        <v>2</v>
      </c>
      <c r="J742">
        <f>4</f>
        <v>4</v>
      </c>
      <c r="K742">
        <f>1</f>
        <v>1</v>
      </c>
    </row>
    <row r="743" spans="1:11" hidden="1" x14ac:dyDescent="0.25">
      <c r="A743" s="1">
        <f>Sampling!D741</f>
        <v>0</v>
      </c>
      <c r="B743" t="str" cm="1">
        <f t="array" ref="B743">IF(ISBLANK(INDEX(SampleList[NMR],ROW()-1)),"Not Requested",INDEX(SampleList[Experiment ID],ROW()-1))</f>
        <v>Not Requested</v>
      </c>
      <c r="C743">
        <f>Sampling!E741</f>
        <v>0</v>
      </c>
      <c r="D743">
        <f>NMRPrep[[#This Row],['#]]</f>
        <v>0</v>
      </c>
      <c r="G7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3" t="e">
        <f>IF(ISBLANK(NMRPrep[[#This Row],[Total (uL) ]]), 0, NMRPrep[[#This Row],[1mM Maleic Acid (uL) ]]/NMRPrep[[#This Row],[Total (uL) ]])</f>
        <v>#DIV/0!</v>
      </c>
      <c r="I743">
        <f>2</f>
        <v>2</v>
      </c>
      <c r="J743">
        <f>4</f>
        <v>4</v>
      </c>
      <c r="K743">
        <f>1</f>
        <v>1</v>
      </c>
    </row>
    <row r="744" spans="1:11" hidden="1" x14ac:dyDescent="0.25">
      <c r="A744" s="1">
        <f>Sampling!D742</f>
        <v>0</v>
      </c>
      <c r="B744" t="str" cm="1">
        <f t="array" ref="B744">IF(ISBLANK(INDEX(SampleList[NMR],ROW()-1)),"Not Requested",INDEX(SampleList[Experiment ID],ROW()-1))</f>
        <v>Not Requested</v>
      </c>
      <c r="C744">
        <f>Sampling!E742</f>
        <v>0</v>
      </c>
      <c r="D744">
        <f>NMRPrep[[#This Row],['#]]</f>
        <v>1</v>
      </c>
      <c r="G7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4">
        <f>IF(ISBLANK(NMRPrep[[#This Row],[Total (uL) ]]), 0, NMRPrep[[#This Row],[1mM Maleic Acid (uL) ]]/NMRPrep[[#This Row],[Total (uL) ]])</f>
        <v>7.7279752704791344E-2</v>
      </c>
      <c r="I744">
        <f>2</f>
        <v>2</v>
      </c>
      <c r="J744">
        <f>4</f>
        <v>4</v>
      </c>
      <c r="K744">
        <f>1</f>
        <v>1</v>
      </c>
    </row>
    <row r="745" spans="1:11" hidden="1" x14ac:dyDescent="0.25">
      <c r="A745" s="1">
        <f>Sampling!D743</f>
        <v>0</v>
      </c>
      <c r="B745" t="str" cm="1">
        <f t="array" ref="B745">IF(ISBLANK(INDEX(SampleList[NMR],ROW()-1)),"Not Requested",INDEX(SampleList[Experiment ID],ROW()-1))</f>
        <v>Not Requested</v>
      </c>
      <c r="C745">
        <f>Sampling!E743</f>
        <v>0</v>
      </c>
      <c r="D745">
        <f>NMRPrep[[#This Row],['#]]</f>
        <v>2</v>
      </c>
      <c r="G7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5">
        <f>IF(ISBLANK(NMRPrep[[#This Row],[Total (uL) ]]), 0, NMRPrep[[#This Row],[1mM Maleic Acid (uL) ]]/NMRPrep[[#This Row],[Total (uL) ]])</f>
        <v>7.7279752704791344E-2</v>
      </c>
      <c r="I745">
        <f>2</f>
        <v>2</v>
      </c>
      <c r="J745">
        <f>4</f>
        <v>4</v>
      </c>
      <c r="K745">
        <f>1</f>
        <v>1</v>
      </c>
    </row>
    <row r="746" spans="1:11" hidden="1" x14ac:dyDescent="0.25">
      <c r="A746" s="1">
        <f>Sampling!D744</f>
        <v>0</v>
      </c>
      <c r="B746" t="str" cm="1">
        <f t="array" ref="B746">IF(ISBLANK(INDEX(SampleList[NMR],ROW()-1)),"Not Requested",INDEX(SampleList[Experiment ID],ROW()-1))</f>
        <v>Not Requested</v>
      </c>
      <c r="C746">
        <f>Sampling!E744</f>
        <v>0</v>
      </c>
      <c r="D746">
        <f>NMRPrep[[#This Row],['#]]</f>
        <v>3</v>
      </c>
      <c r="G7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6">
        <f>IF(ISBLANK(NMRPrep[[#This Row],[Total (uL) ]]), 0, NMRPrep[[#This Row],[1mM Maleic Acid (uL) ]]/NMRPrep[[#This Row],[Total (uL) ]])</f>
        <v>7.7279752704791344E-2</v>
      </c>
      <c r="I746">
        <f>2</f>
        <v>2</v>
      </c>
      <c r="J746">
        <f>4</f>
        <v>4</v>
      </c>
      <c r="K746">
        <f>1</f>
        <v>1</v>
      </c>
    </row>
    <row r="747" spans="1:11" hidden="1" x14ac:dyDescent="0.25">
      <c r="A747" s="1">
        <f>Sampling!D745</f>
        <v>0</v>
      </c>
      <c r="B747" t="str" cm="1">
        <f t="array" ref="B747">IF(ISBLANK(INDEX(SampleList[NMR],ROW()-1)),"Not Requested",INDEX(SampleList[Experiment ID],ROW()-1))</f>
        <v>Not Requested</v>
      </c>
      <c r="C747">
        <f>Sampling!E745</f>
        <v>0</v>
      </c>
      <c r="D747">
        <f>NMRPrep[[#This Row],['#]]</f>
        <v>4</v>
      </c>
      <c r="G7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7">
        <f>IF(ISBLANK(NMRPrep[[#This Row],[Total (uL) ]]), 0, NMRPrep[[#This Row],[1mM Maleic Acid (uL) ]]/NMRPrep[[#This Row],[Total (uL) ]])</f>
        <v>7.7279752704791344E-2</v>
      </c>
      <c r="I747">
        <f>2</f>
        <v>2</v>
      </c>
      <c r="J747">
        <f>4</f>
        <v>4</v>
      </c>
      <c r="K747">
        <f>1</f>
        <v>1</v>
      </c>
    </row>
    <row r="748" spans="1:11" hidden="1" x14ac:dyDescent="0.25">
      <c r="A748" s="1">
        <f>Sampling!D746</f>
        <v>0</v>
      </c>
      <c r="B748" t="str" cm="1">
        <f t="array" ref="B748">IF(ISBLANK(INDEX(SampleList[NMR],ROW()-1)),"Not Requested",INDEX(SampleList[Experiment ID],ROW()-1))</f>
        <v>Not Requested</v>
      </c>
      <c r="C748">
        <f>Sampling!E746</f>
        <v>0</v>
      </c>
      <c r="D748">
        <f>NMRPrep[[#This Row],['#]]</f>
        <v>6</v>
      </c>
      <c r="G7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8">
        <f>IF(ISBLANK(NMRPrep[[#This Row],[Total (uL) ]]), 0, NMRPrep[[#This Row],[1mM Maleic Acid (uL) ]]/NMRPrep[[#This Row],[Total (uL) ]])</f>
        <v>7.7279752704791344E-2</v>
      </c>
      <c r="I748">
        <f>2</f>
        <v>2</v>
      </c>
      <c r="J748">
        <f>4</f>
        <v>4</v>
      </c>
      <c r="K748">
        <f>1</f>
        <v>1</v>
      </c>
    </row>
    <row r="749" spans="1:11" hidden="1" x14ac:dyDescent="0.25">
      <c r="A749" s="1">
        <f>Sampling!D747</f>
        <v>0</v>
      </c>
      <c r="B749" t="str" cm="1">
        <f t="array" ref="B749">IF(ISBLANK(INDEX(SampleList[NMR],ROW()-1)),"Not Requested",INDEX(SampleList[Experiment ID],ROW()-1))</f>
        <v>Not Requested</v>
      </c>
      <c r="C749">
        <f>Sampling!E747</f>
        <v>0</v>
      </c>
      <c r="D749">
        <f>NMRPrep[[#This Row],['#]]</f>
        <v>5</v>
      </c>
      <c r="G7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49">
        <f>IF(ISBLANK(NMRPrep[[#This Row],[Total (uL) ]]), 0, NMRPrep[[#This Row],[1mM Maleic Acid (uL) ]]/NMRPrep[[#This Row],[Total (uL) ]])</f>
        <v>7.7279752704791344E-2</v>
      </c>
      <c r="I749">
        <f>2</f>
        <v>2</v>
      </c>
      <c r="J749">
        <f>4</f>
        <v>4</v>
      </c>
      <c r="K749">
        <f>1</f>
        <v>1</v>
      </c>
    </row>
    <row r="750" spans="1:11" hidden="1" x14ac:dyDescent="0.25">
      <c r="A750" s="1">
        <f>Sampling!D748</f>
        <v>0</v>
      </c>
      <c r="B750" t="str" cm="1">
        <f t="array" ref="B750">IF(ISBLANK(INDEX(SampleList[NMR],ROW()-1)),"Not Requested",INDEX(SampleList[Experiment ID],ROW()-1))</f>
        <v>Not Requested</v>
      </c>
      <c r="C750">
        <f>Sampling!E748</f>
        <v>0</v>
      </c>
      <c r="D750">
        <f>NMRPrep[[#This Row],['#]]</f>
        <v>7</v>
      </c>
      <c r="G7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0">
        <f>IF(ISBLANK(NMRPrep[[#This Row],[Total (uL) ]]), 0, NMRPrep[[#This Row],[1mM Maleic Acid (uL) ]]/NMRPrep[[#This Row],[Total (uL) ]])</f>
        <v>7.7279752704791344E-2</v>
      </c>
      <c r="I750">
        <f>2</f>
        <v>2</v>
      </c>
      <c r="J750">
        <f>4</f>
        <v>4</v>
      </c>
      <c r="K750">
        <f>1</f>
        <v>1</v>
      </c>
    </row>
    <row r="751" spans="1:11" hidden="1" x14ac:dyDescent="0.25">
      <c r="A751" s="1">
        <f>Sampling!D749</f>
        <v>0</v>
      </c>
      <c r="B751" t="str" cm="1">
        <f t="array" ref="B751">IF(ISBLANK(INDEX(SampleList[NMR],ROW()-1)),"Not Requested",INDEX(SampleList[Experiment ID],ROW()-1))</f>
        <v>Not Requested</v>
      </c>
      <c r="C751">
        <f>Sampling!E749</f>
        <v>0</v>
      </c>
      <c r="D751">
        <f>NMRPrep[[#This Row],['#]]</f>
        <v>8</v>
      </c>
      <c r="G7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1">
        <f>IF(ISBLANK(NMRPrep[[#This Row],[Total (uL) ]]), 0, NMRPrep[[#This Row],[1mM Maleic Acid (uL) ]]/NMRPrep[[#This Row],[Total (uL) ]])</f>
        <v>7.7279752704791344E-2</v>
      </c>
      <c r="I751">
        <f>2</f>
        <v>2</v>
      </c>
      <c r="J751">
        <f>4</f>
        <v>4</v>
      </c>
      <c r="K751">
        <f>1</f>
        <v>1</v>
      </c>
    </row>
    <row r="752" spans="1:11" hidden="1" x14ac:dyDescent="0.25">
      <c r="A752" s="1">
        <f>Sampling!D750</f>
        <v>0</v>
      </c>
      <c r="B752" t="str" cm="1">
        <f t="array" ref="B752">IF(ISBLANK(INDEX(SampleList[NMR],ROW()-1)),"Not Requested",INDEX(SampleList[Experiment ID],ROW()-1))</f>
        <v>Not Requested</v>
      </c>
      <c r="C752">
        <f>Sampling!E750</f>
        <v>0</v>
      </c>
      <c r="D752">
        <f>NMRPrep[[#This Row],['#]]</f>
        <v>9</v>
      </c>
      <c r="G7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2">
        <f>IF(ISBLANK(NMRPrep[[#This Row],[Total (uL) ]]), 0, NMRPrep[[#This Row],[1mM Maleic Acid (uL) ]]/NMRPrep[[#This Row],[Total (uL) ]])</f>
        <v>7.7279752704791344E-2</v>
      </c>
      <c r="I752">
        <f>2</f>
        <v>2</v>
      </c>
      <c r="J752">
        <f>4</f>
        <v>4</v>
      </c>
      <c r="K752">
        <f>1</f>
        <v>1</v>
      </c>
    </row>
    <row r="753" spans="1:11" hidden="1" x14ac:dyDescent="0.25">
      <c r="A753" s="1">
        <f>Sampling!D751</f>
        <v>0</v>
      </c>
      <c r="B753" t="str" cm="1">
        <f t="array" ref="B753">IF(ISBLANK(INDEX(SampleList[NMR],ROW()-1)),"Not Requested",INDEX(SampleList[Experiment ID],ROW()-1))</f>
        <v>Not Requested</v>
      </c>
      <c r="C753">
        <f>Sampling!E751</f>
        <v>0</v>
      </c>
      <c r="D753">
        <f>NMRPrep[[#This Row],['#]]</f>
        <v>10</v>
      </c>
      <c r="G7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3">
        <f>IF(ISBLANK(NMRPrep[[#This Row],[Total (uL) ]]), 0, NMRPrep[[#This Row],[1mM Maleic Acid (uL) ]]/NMRPrep[[#This Row],[Total (uL) ]])</f>
        <v>7.7279752704791344E-2</v>
      </c>
      <c r="I753">
        <f>2</f>
        <v>2</v>
      </c>
      <c r="J753">
        <f>4</f>
        <v>4</v>
      </c>
      <c r="K753">
        <f>1</f>
        <v>1</v>
      </c>
    </row>
    <row r="754" spans="1:11" hidden="1" x14ac:dyDescent="0.25">
      <c r="A754" s="1">
        <f>Sampling!D752</f>
        <v>0</v>
      </c>
      <c r="B754" t="str" cm="1">
        <f t="array" ref="B754">IF(ISBLANK(INDEX(SampleList[NMR],ROW()-1)),"Not Requested",INDEX(SampleList[Experiment ID],ROW()-1))</f>
        <v>Not Requested</v>
      </c>
      <c r="C754">
        <f>Sampling!E752</f>
        <v>0</v>
      </c>
      <c r="D754">
        <f>NMRPrep[[#This Row],['#]]</f>
        <v>11</v>
      </c>
      <c r="G7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4">
        <f>IF(ISBLANK(NMRPrep[[#This Row],[Total (uL) ]]), 0, NMRPrep[[#This Row],[1mM Maleic Acid (uL) ]]/NMRPrep[[#This Row],[Total (uL) ]])</f>
        <v>7.7279752704791344E-2</v>
      </c>
      <c r="I754">
        <f>2</f>
        <v>2</v>
      </c>
      <c r="J754">
        <f>4</f>
        <v>4</v>
      </c>
      <c r="K754">
        <f>1</f>
        <v>1</v>
      </c>
    </row>
    <row r="755" spans="1:11" hidden="1" x14ac:dyDescent="0.25">
      <c r="A755" s="1">
        <f>Sampling!D753</f>
        <v>0</v>
      </c>
      <c r="B755" t="str" cm="1">
        <f t="array" ref="B755">IF(ISBLANK(INDEX(SampleList[NMR],ROW()-1)),"Not Requested",INDEX(SampleList[Experiment ID],ROW()-1))</f>
        <v>Not Requested</v>
      </c>
      <c r="C755">
        <f>Sampling!E753</f>
        <v>0</v>
      </c>
      <c r="D755">
        <f>NMRPrep[[#This Row],['#]]</f>
        <v>12</v>
      </c>
      <c r="G7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5">
        <f>IF(ISBLANK(NMRPrep[[#This Row],[Total (uL) ]]), 0, NMRPrep[[#This Row],[1mM Maleic Acid (uL) ]]/NMRPrep[[#This Row],[Total (uL) ]])</f>
        <v>7.7279752704791344E-2</v>
      </c>
      <c r="I755">
        <f>2</f>
        <v>2</v>
      </c>
      <c r="J755">
        <f>4</f>
        <v>4</v>
      </c>
      <c r="K755">
        <f>1</f>
        <v>1</v>
      </c>
    </row>
    <row r="756" spans="1:11" hidden="1" x14ac:dyDescent="0.25">
      <c r="A756" s="1">
        <f>Sampling!D754</f>
        <v>0</v>
      </c>
      <c r="B756" t="str" cm="1">
        <f t="array" ref="B756">IF(ISBLANK(INDEX(SampleList[NMR],ROW()-1)),"Not Requested",INDEX(SampleList[Experiment ID],ROW()-1))</f>
        <v>Not Requested</v>
      </c>
      <c r="C756">
        <f>Sampling!E754</f>
        <v>0</v>
      </c>
      <c r="D756">
        <f>NMRPrep[[#This Row],['#]]</f>
        <v>0</v>
      </c>
      <c r="G7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6" t="e">
        <f>IF(ISBLANK(NMRPrep[[#This Row],[Total (uL) ]]), 0, NMRPrep[[#This Row],[1mM Maleic Acid (uL) ]]/NMRPrep[[#This Row],[Total (uL) ]])</f>
        <v>#DIV/0!</v>
      </c>
      <c r="I756">
        <f>2</f>
        <v>2</v>
      </c>
      <c r="J756">
        <f>4</f>
        <v>4</v>
      </c>
      <c r="K756">
        <f>1</f>
        <v>1</v>
      </c>
    </row>
    <row r="757" spans="1:11" hidden="1" x14ac:dyDescent="0.25">
      <c r="A757" s="1">
        <f>Sampling!D755</f>
        <v>0</v>
      </c>
      <c r="B757" t="str" cm="1">
        <f t="array" ref="B757">IF(ISBLANK(INDEX(SampleList[NMR],ROW()-1)),"Not Requested",INDEX(SampleList[Experiment ID],ROW()-1))</f>
        <v>Not Requested</v>
      </c>
      <c r="C757">
        <f>Sampling!E755</f>
        <v>0</v>
      </c>
      <c r="D757">
        <f>NMRPrep[[#This Row],['#]]</f>
        <v>0</v>
      </c>
      <c r="G7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7" t="e">
        <f>IF(ISBLANK(NMRPrep[[#This Row],[Total (uL) ]]), 0, NMRPrep[[#This Row],[1mM Maleic Acid (uL) ]]/NMRPrep[[#This Row],[Total (uL) ]])</f>
        <v>#DIV/0!</v>
      </c>
      <c r="I757">
        <f>2</f>
        <v>2</v>
      </c>
      <c r="J757">
        <f>4</f>
        <v>4</v>
      </c>
      <c r="K757">
        <f>1</f>
        <v>1</v>
      </c>
    </row>
    <row r="758" spans="1:11" hidden="1" x14ac:dyDescent="0.25">
      <c r="A758" s="1">
        <f>Sampling!D756</f>
        <v>0</v>
      </c>
      <c r="B758" t="str" cm="1">
        <f t="array" ref="B758">IF(ISBLANK(INDEX(SampleList[NMR],ROW()-1)),"Not Requested",INDEX(SampleList[Experiment ID],ROW()-1))</f>
        <v>Not Requested</v>
      </c>
      <c r="C758">
        <f>Sampling!E756</f>
        <v>0</v>
      </c>
      <c r="D758">
        <f>NMRPrep[[#This Row],['#]]</f>
        <v>0</v>
      </c>
      <c r="G7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8" t="e">
        <f>IF(ISBLANK(NMRPrep[[#This Row],[Total (uL) ]]), 0, NMRPrep[[#This Row],[1mM Maleic Acid (uL) ]]/NMRPrep[[#This Row],[Total (uL) ]])</f>
        <v>#DIV/0!</v>
      </c>
      <c r="I758">
        <f>2</f>
        <v>2</v>
      </c>
      <c r="J758">
        <f>4</f>
        <v>4</v>
      </c>
      <c r="K758">
        <f>1</f>
        <v>1</v>
      </c>
    </row>
    <row r="759" spans="1:11" hidden="1" x14ac:dyDescent="0.25">
      <c r="A759" s="1">
        <f>Sampling!D757</f>
        <v>0</v>
      </c>
      <c r="B759" t="str" cm="1">
        <f t="array" ref="B759">IF(ISBLANK(INDEX(SampleList[NMR],ROW()-1)),"Not Requested",INDEX(SampleList[Experiment ID],ROW()-1))</f>
        <v>Not Requested</v>
      </c>
      <c r="C759">
        <f>Sampling!E757</f>
        <v>0</v>
      </c>
      <c r="D759">
        <f>NMRPrep[[#This Row],['#]]</f>
        <v>0</v>
      </c>
      <c r="G7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59" t="e">
        <f>IF(ISBLANK(NMRPrep[[#This Row],[Total (uL) ]]), 0, NMRPrep[[#This Row],[1mM Maleic Acid (uL) ]]/NMRPrep[[#This Row],[Total (uL) ]])</f>
        <v>#DIV/0!</v>
      </c>
      <c r="I759">
        <f>2</f>
        <v>2</v>
      </c>
      <c r="J759">
        <f>4</f>
        <v>4</v>
      </c>
      <c r="K759">
        <f>1</f>
        <v>1</v>
      </c>
    </row>
    <row r="760" spans="1:11" hidden="1" x14ac:dyDescent="0.25">
      <c r="A760" s="1">
        <f>Sampling!D758</f>
        <v>0</v>
      </c>
      <c r="B760" t="str" cm="1">
        <f t="array" ref="B760">IF(ISBLANK(INDEX(SampleList[NMR],ROW()-1)),"Not Requested",INDEX(SampleList[Experiment ID],ROW()-1))</f>
        <v>Not Requested</v>
      </c>
      <c r="C760">
        <f>Sampling!E758</f>
        <v>0</v>
      </c>
      <c r="D760">
        <f>NMRPrep[[#This Row],['#]]</f>
        <v>0</v>
      </c>
      <c r="G7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0" t="e">
        <f>IF(ISBLANK(NMRPrep[[#This Row],[Total (uL) ]]), 0, NMRPrep[[#This Row],[1mM Maleic Acid (uL) ]]/NMRPrep[[#This Row],[Total (uL) ]])</f>
        <v>#DIV/0!</v>
      </c>
      <c r="I760">
        <f>2</f>
        <v>2</v>
      </c>
      <c r="J760">
        <f>4</f>
        <v>4</v>
      </c>
      <c r="K760">
        <f>1</f>
        <v>1</v>
      </c>
    </row>
    <row r="761" spans="1:11" hidden="1" x14ac:dyDescent="0.25">
      <c r="A761" s="1">
        <f>Sampling!D759</f>
        <v>0</v>
      </c>
      <c r="B761" t="str" cm="1">
        <f t="array" ref="B761">IF(ISBLANK(INDEX(SampleList[NMR],ROW()-1)),"Not Requested",INDEX(SampleList[Experiment ID],ROW()-1))</f>
        <v>Not Requested</v>
      </c>
      <c r="C761">
        <f>Sampling!E759</f>
        <v>0</v>
      </c>
      <c r="D761">
        <f>NMRPrep[[#This Row],['#]]</f>
        <v>0</v>
      </c>
      <c r="G7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1" t="e">
        <f>IF(ISBLANK(NMRPrep[[#This Row],[Total (uL) ]]), 0, NMRPrep[[#This Row],[1mM Maleic Acid (uL) ]]/NMRPrep[[#This Row],[Total (uL) ]])</f>
        <v>#DIV/0!</v>
      </c>
      <c r="I761">
        <f>2</f>
        <v>2</v>
      </c>
      <c r="J761">
        <f>4</f>
        <v>4</v>
      </c>
      <c r="K761">
        <f>1</f>
        <v>1</v>
      </c>
    </row>
    <row r="762" spans="1:11" hidden="1" x14ac:dyDescent="0.25">
      <c r="A762" s="1">
        <f>Sampling!D760</f>
        <v>0</v>
      </c>
      <c r="B762" t="str" cm="1">
        <f t="array" ref="B762">IF(ISBLANK(INDEX(SampleList[NMR],ROW()-1)),"Not Requested",INDEX(SampleList[Experiment ID],ROW()-1))</f>
        <v>Not Requested</v>
      </c>
      <c r="C762">
        <f>Sampling!E760</f>
        <v>0</v>
      </c>
      <c r="D762">
        <f>NMRPrep[[#This Row],['#]]</f>
        <v>0</v>
      </c>
      <c r="G7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2" t="e">
        <f>IF(ISBLANK(NMRPrep[[#This Row],[Total (uL) ]]), 0, NMRPrep[[#This Row],[1mM Maleic Acid (uL) ]]/NMRPrep[[#This Row],[Total (uL) ]])</f>
        <v>#DIV/0!</v>
      </c>
      <c r="I762">
        <f>2</f>
        <v>2</v>
      </c>
      <c r="J762">
        <f>4</f>
        <v>4</v>
      </c>
      <c r="K762">
        <f>1</f>
        <v>1</v>
      </c>
    </row>
    <row r="763" spans="1:11" hidden="1" x14ac:dyDescent="0.25">
      <c r="A763" s="1">
        <f>Sampling!D761</f>
        <v>0</v>
      </c>
      <c r="B763" t="str" cm="1">
        <f t="array" ref="B763">IF(ISBLANK(INDEX(SampleList[NMR],ROW()-1)),"Not Requested",INDEX(SampleList[Experiment ID],ROW()-1))</f>
        <v>Not Requested</v>
      </c>
      <c r="C763">
        <f>Sampling!E761</f>
        <v>0</v>
      </c>
      <c r="D763">
        <f>NMRPrep[[#This Row],['#]]</f>
        <v>0</v>
      </c>
      <c r="G7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3" t="e">
        <f>IF(ISBLANK(NMRPrep[[#This Row],[Total (uL) ]]), 0, NMRPrep[[#This Row],[1mM Maleic Acid (uL) ]]/NMRPrep[[#This Row],[Total (uL) ]])</f>
        <v>#DIV/0!</v>
      </c>
      <c r="I763">
        <f>2</f>
        <v>2</v>
      </c>
      <c r="J763">
        <f>4</f>
        <v>4</v>
      </c>
      <c r="K763">
        <f>1</f>
        <v>1</v>
      </c>
    </row>
    <row r="764" spans="1:11" hidden="1" x14ac:dyDescent="0.25">
      <c r="A764" s="1">
        <f>Sampling!D762</f>
        <v>0</v>
      </c>
      <c r="B764" t="str" cm="1">
        <f t="array" ref="B764">IF(ISBLANK(INDEX(SampleList[NMR],ROW()-1)),"Not Requested",INDEX(SampleList[Experiment ID],ROW()-1))</f>
        <v>Not Requested</v>
      </c>
      <c r="C764">
        <f>Sampling!E762</f>
        <v>0</v>
      </c>
      <c r="D764">
        <f>NMRPrep[[#This Row],['#]]</f>
        <v>0</v>
      </c>
      <c r="G7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4" t="e">
        <f>IF(ISBLANK(NMRPrep[[#This Row],[Total (uL) ]]), 0, NMRPrep[[#This Row],[1mM Maleic Acid (uL) ]]/NMRPrep[[#This Row],[Total (uL) ]])</f>
        <v>#DIV/0!</v>
      </c>
      <c r="I764">
        <f>2</f>
        <v>2</v>
      </c>
      <c r="J764">
        <f>4</f>
        <v>4</v>
      </c>
      <c r="K764">
        <f>1</f>
        <v>1</v>
      </c>
    </row>
    <row r="765" spans="1:11" hidden="1" x14ac:dyDescent="0.25">
      <c r="A765" s="1">
        <f>Sampling!D763</f>
        <v>0</v>
      </c>
      <c r="B765" t="str" cm="1">
        <f t="array" ref="B765">IF(ISBLANK(INDEX(SampleList[NMR],ROW()-1)),"Not Requested",INDEX(SampleList[Experiment ID],ROW()-1))</f>
        <v>Not Requested</v>
      </c>
      <c r="C765">
        <f>Sampling!E763</f>
        <v>0</v>
      </c>
      <c r="D765">
        <f>NMRPrep[[#This Row],['#]]</f>
        <v>0</v>
      </c>
      <c r="G7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5" t="e">
        <f>IF(ISBLANK(NMRPrep[[#This Row],[Total (uL) ]]), 0, NMRPrep[[#This Row],[1mM Maleic Acid (uL) ]]/NMRPrep[[#This Row],[Total (uL) ]])</f>
        <v>#DIV/0!</v>
      </c>
      <c r="I765">
        <f>2</f>
        <v>2</v>
      </c>
      <c r="J765">
        <f>4</f>
        <v>4</v>
      </c>
      <c r="K765">
        <f>1</f>
        <v>1</v>
      </c>
    </row>
    <row r="766" spans="1:11" hidden="1" x14ac:dyDescent="0.25">
      <c r="A766" s="1">
        <f>Sampling!D764</f>
        <v>0</v>
      </c>
      <c r="B766" t="str" cm="1">
        <f t="array" ref="B766">IF(ISBLANK(INDEX(SampleList[NMR],ROW()-1)),"Not Requested",INDEX(SampleList[Experiment ID],ROW()-1))</f>
        <v>Not Requested</v>
      </c>
      <c r="C766">
        <f>Sampling!E764</f>
        <v>0</v>
      </c>
      <c r="D766">
        <f>NMRPrep[[#This Row],['#]]</f>
        <v>0</v>
      </c>
      <c r="G7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6" t="e">
        <f>IF(ISBLANK(NMRPrep[[#This Row],[Total (uL) ]]), 0, NMRPrep[[#This Row],[1mM Maleic Acid (uL) ]]/NMRPrep[[#This Row],[Total (uL) ]])</f>
        <v>#DIV/0!</v>
      </c>
      <c r="I766">
        <f>2</f>
        <v>2</v>
      </c>
      <c r="J766">
        <f>4</f>
        <v>4</v>
      </c>
      <c r="K766">
        <f>1</f>
        <v>1</v>
      </c>
    </row>
    <row r="767" spans="1:11" hidden="1" x14ac:dyDescent="0.25">
      <c r="A767" s="1">
        <f>Sampling!D765</f>
        <v>0</v>
      </c>
      <c r="B767" t="str" cm="1">
        <f t="array" ref="B767">IF(ISBLANK(INDEX(SampleList[NMR],ROW()-1)),"Not Requested",INDEX(SampleList[Experiment ID],ROW()-1))</f>
        <v>Not Requested</v>
      </c>
      <c r="C767">
        <f>Sampling!E765</f>
        <v>0</v>
      </c>
      <c r="D767">
        <f>NMRPrep[[#This Row],['#]]</f>
        <v>0</v>
      </c>
      <c r="G7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7" t="e">
        <f>IF(ISBLANK(NMRPrep[[#This Row],[Total (uL) ]]), 0, NMRPrep[[#This Row],[1mM Maleic Acid (uL) ]]/NMRPrep[[#This Row],[Total (uL) ]])</f>
        <v>#DIV/0!</v>
      </c>
      <c r="I767">
        <f>2</f>
        <v>2</v>
      </c>
      <c r="J767">
        <f>4</f>
        <v>4</v>
      </c>
      <c r="K767">
        <f>1</f>
        <v>1</v>
      </c>
    </row>
    <row r="768" spans="1:11" hidden="1" x14ac:dyDescent="0.25">
      <c r="A768" s="1">
        <f>Sampling!D766</f>
        <v>0</v>
      </c>
      <c r="B768" t="str" cm="1">
        <f t="array" ref="B768">IF(ISBLANK(INDEX(SampleList[NMR],ROW()-1)),"Not Requested",INDEX(SampleList[Experiment ID],ROW()-1))</f>
        <v>Not Requested</v>
      </c>
      <c r="C768">
        <f>Sampling!E766</f>
        <v>0</v>
      </c>
      <c r="D768">
        <f>NMRPrep[[#This Row],['#]]</f>
        <v>0</v>
      </c>
      <c r="G7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8" t="e">
        <f>IF(ISBLANK(NMRPrep[[#This Row],[Total (uL) ]]), 0, NMRPrep[[#This Row],[1mM Maleic Acid (uL) ]]/NMRPrep[[#This Row],[Total (uL) ]])</f>
        <v>#DIV/0!</v>
      </c>
      <c r="I768">
        <f>2</f>
        <v>2</v>
      </c>
      <c r="J768">
        <f>4</f>
        <v>4</v>
      </c>
      <c r="K768">
        <f>1</f>
        <v>1</v>
      </c>
    </row>
    <row r="769" spans="1:11" hidden="1" x14ac:dyDescent="0.25">
      <c r="A769" s="1">
        <f>Sampling!D767</f>
        <v>0</v>
      </c>
      <c r="B769" t="str" cm="1">
        <f t="array" ref="B769">IF(ISBLANK(INDEX(SampleList[NMR],ROW()-1)),"Not Requested",INDEX(SampleList[Experiment ID],ROW()-1))</f>
        <v>Not Requested</v>
      </c>
      <c r="C769">
        <f>Sampling!E767</f>
        <v>0</v>
      </c>
      <c r="D769">
        <f>NMRPrep[[#This Row],['#]]</f>
        <v>0</v>
      </c>
      <c r="G7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69" t="e">
        <f>IF(ISBLANK(NMRPrep[[#This Row],[Total (uL) ]]), 0, NMRPrep[[#This Row],[1mM Maleic Acid (uL) ]]/NMRPrep[[#This Row],[Total (uL) ]])</f>
        <v>#DIV/0!</v>
      </c>
      <c r="I769">
        <f>2</f>
        <v>2</v>
      </c>
      <c r="J769">
        <f>4</f>
        <v>4</v>
      </c>
      <c r="K769">
        <f>1</f>
        <v>1</v>
      </c>
    </row>
    <row r="770" spans="1:11" hidden="1" x14ac:dyDescent="0.25">
      <c r="A770" s="1">
        <f>Sampling!D768</f>
        <v>0</v>
      </c>
      <c r="B770" t="str" cm="1">
        <f t="array" ref="B770">IF(ISBLANK(INDEX(SampleList[NMR],ROW()-1)),"Not Requested",INDEX(SampleList[Experiment ID],ROW()-1))</f>
        <v>Not Requested</v>
      </c>
      <c r="C770">
        <f>Sampling!E768</f>
        <v>0</v>
      </c>
      <c r="D770">
        <f>NMRPrep[[#This Row],['#]]</f>
        <v>0</v>
      </c>
      <c r="G7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0" t="e">
        <f>IF(ISBLANK(NMRPrep[[#This Row],[Total (uL) ]]), 0, NMRPrep[[#This Row],[1mM Maleic Acid (uL) ]]/NMRPrep[[#This Row],[Total (uL) ]])</f>
        <v>#DIV/0!</v>
      </c>
      <c r="I770">
        <f>2</f>
        <v>2</v>
      </c>
      <c r="J770">
        <f>4</f>
        <v>4</v>
      </c>
      <c r="K770">
        <f>1</f>
        <v>1</v>
      </c>
    </row>
    <row r="771" spans="1:11" hidden="1" x14ac:dyDescent="0.25">
      <c r="A771" s="1">
        <f>Sampling!D769</f>
        <v>0</v>
      </c>
      <c r="B771" t="str" cm="1">
        <f t="array" ref="B771">IF(ISBLANK(INDEX(SampleList[NMR],ROW()-1)),"Not Requested",INDEX(SampleList[Experiment ID],ROW()-1))</f>
        <v>Not Requested</v>
      </c>
      <c r="C771">
        <f>Sampling!E769</f>
        <v>0</v>
      </c>
      <c r="D771">
        <f>NMRPrep[[#This Row],['#]]</f>
        <v>0</v>
      </c>
      <c r="G7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1" t="e">
        <f>IF(ISBLANK(NMRPrep[[#This Row],[Total (uL) ]]), 0, NMRPrep[[#This Row],[1mM Maleic Acid (uL) ]]/NMRPrep[[#This Row],[Total (uL) ]])</f>
        <v>#DIV/0!</v>
      </c>
      <c r="I771">
        <f>2</f>
        <v>2</v>
      </c>
      <c r="J771">
        <f>4</f>
        <v>4</v>
      </c>
      <c r="K771">
        <f>1</f>
        <v>1</v>
      </c>
    </row>
    <row r="772" spans="1:11" hidden="1" x14ac:dyDescent="0.25">
      <c r="A772" s="1">
        <f>Sampling!D770</f>
        <v>0</v>
      </c>
      <c r="B772" t="str" cm="1">
        <f t="array" ref="B772">IF(ISBLANK(INDEX(SampleList[NMR],ROW()-1)),"Not Requested",INDEX(SampleList[Experiment ID],ROW()-1))</f>
        <v>Not Requested</v>
      </c>
      <c r="C772">
        <f>Sampling!E770</f>
        <v>0</v>
      </c>
      <c r="D772">
        <f>NMRPrep[[#This Row],['#]]</f>
        <v>0</v>
      </c>
      <c r="G7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2" t="e">
        <f>IF(ISBLANK(NMRPrep[[#This Row],[Total (uL) ]]), 0, NMRPrep[[#This Row],[1mM Maleic Acid (uL) ]]/NMRPrep[[#This Row],[Total (uL) ]])</f>
        <v>#DIV/0!</v>
      </c>
      <c r="I772">
        <f>2</f>
        <v>2</v>
      </c>
      <c r="J772">
        <f>4</f>
        <v>4</v>
      </c>
      <c r="K772">
        <f>1</f>
        <v>1</v>
      </c>
    </row>
    <row r="773" spans="1:11" hidden="1" x14ac:dyDescent="0.25">
      <c r="A773" s="1">
        <f>Sampling!D771</f>
        <v>0</v>
      </c>
      <c r="B773" t="str" cm="1">
        <f t="array" ref="B773">IF(ISBLANK(INDEX(SampleList[NMR],ROW()-1)),"Not Requested",INDEX(SampleList[Experiment ID],ROW()-1))</f>
        <v>Not Requested</v>
      </c>
      <c r="C773">
        <f>Sampling!E771</f>
        <v>0</v>
      </c>
      <c r="D773">
        <f>NMRPrep[[#This Row],['#]]</f>
        <v>0</v>
      </c>
      <c r="G7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3" t="e">
        <f>IF(ISBLANK(NMRPrep[[#This Row],[Total (uL) ]]), 0, NMRPrep[[#This Row],[1mM Maleic Acid (uL) ]]/NMRPrep[[#This Row],[Total (uL) ]])</f>
        <v>#DIV/0!</v>
      </c>
      <c r="I773">
        <f>2</f>
        <v>2</v>
      </c>
      <c r="J773">
        <f>4</f>
        <v>4</v>
      </c>
      <c r="K773">
        <f>1</f>
        <v>1</v>
      </c>
    </row>
    <row r="774" spans="1:11" hidden="1" x14ac:dyDescent="0.25">
      <c r="A774" s="1">
        <f>Sampling!D772</f>
        <v>0</v>
      </c>
      <c r="B774" t="str" cm="1">
        <f t="array" ref="B774">IF(ISBLANK(INDEX(SampleList[NMR],ROW()-1)),"Not Requested",INDEX(SampleList[Experiment ID],ROW()-1))</f>
        <v>Not Requested</v>
      </c>
      <c r="C774">
        <f>Sampling!E772</f>
        <v>0</v>
      </c>
      <c r="D774">
        <f>NMRPrep[[#This Row],['#]]</f>
        <v>0</v>
      </c>
      <c r="G7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4" t="e">
        <f>IF(ISBLANK(NMRPrep[[#This Row],[Total (uL) ]]), 0, NMRPrep[[#This Row],[1mM Maleic Acid (uL) ]]/NMRPrep[[#This Row],[Total (uL) ]])</f>
        <v>#DIV/0!</v>
      </c>
      <c r="I774">
        <f>2</f>
        <v>2</v>
      </c>
      <c r="J774">
        <f>4</f>
        <v>4</v>
      </c>
      <c r="K774">
        <f>1</f>
        <v>1</v>
      </c>
    </row>
    <row r="775" spans="1:11" hidden="1" x14ac:dyDescent="0.25">
      <c r="A775" s="1">
        <f>Sampling!D773</f>
        <v>0</v>
      </c>
      <c r="B775" t="str" cm="1">
        <f t="array" ref="B775">IF(ISBLANK(INDEX(SampleList[NMR],ROW()-1)),"Not Requested",INDEX(SampleList[Experiment ID],ROW()-1))</f>
        <v>Not Requested</v>
      </c>
      <c r="C775">
        <f>Sampling!E773</f>
        <v>0</v>
      </c>
      <c r="D775">
        <f>NMRPrep[[#This Row],['#]]</f>
        <v>0</v>
      </c>
      <c r="G7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5" t="e">
        <f>IF(ISBLANK(NMRPrep[[#This Row],[Total (uL) ]]), 0, NMRPrep[[#This Row],[1mM Maleic Acid (uL) ]]/NMRPrep[[#This Row],[Total (uL) ]])</f>
        <v>#DIV/0!</v>
      </c>
      <c r="I775">
        <f>2</f>
        <v>2</v>
      </c>
      <c r="J775">
        <f>4</f>
        <v>4</v>
      </c>
      <c r="K775">
        <f>1</f>
        <v>1</v>
      </c>
    </row>
    <row r="776" spans="1:11" hidden="1" x14ac:dyDescent="0.25">
      <c r="A776" s="1">
        <f>Sampling!D774</f>
        <v>0</v>
      </c>
      <c r="B776" t="str" cm="1">
        <f t="array" ref="B776">IF(ISBLANK(INDEX(SampleList[NMR],ROW()-1)),"Not Requested",INDEX(SampleList[Experiment ID],ROW()-1))</f>
        <v>Not Requested</v>
      </c>
      <c r="C776">
        <f>Sampling!E774</f>
        <v>0</v>
      </c>
      <c r="D776">
        <f>NMRPrep[[#This Row],['#]]</f>
        <v>0</v>
      </c>
      <c r="G7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6" t="e">
        <f>IF(ISBLANK(NMRPrep[[#This Row],[Total (uL) ]]), 0, NMRPrep[[#This Row],[1mM Maleic Acid (uL) ]]/NMRPrep[[#This Row],[Total (uL) ]])</f>
        <v>#DIV/0!</v>
      </c>
      <c r="I776">
        <f>2</f>
        <v>2</v>
      </c>
      <c r="J776">
        <f>4</f>
        <v>4</v>
      </c>
      <c r="K776">
        <f>1</f>
        <v>1</v>
      </c>
    </row>
    <row r="777" spans="1:11" hidden="1" x14ac:dyDescent="0.25">
      <c r="A777" s="1">
        <f>Sampling!D775</f>
        <v>0</v>
      </c>
      <c r="B777" t="str" cm="1">
        <f t="array" ref="B777">IF(ISBLANK(INDEX(SampleList[NMR],ROW()-1)),"Not Requested",INDEX(SampleList[Experiment ID],ROW()-1))</f>
        <v>Not Requested</v>
      </c>
      <c r="C777">
        <f>Sampling!E775</f>
        <v>0</v>
      </c>
      <c r="D777">
        <f>NMRPrep[[#This Row],['#]]</f>
        <v>0</v>
      </c>
      <c r="G7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7" t="e">
        <f>IF(ISBLANK(NMRPrep[[#This Row],[Total (uL) ]]), 0, NMRPrep[[#This Row],[1mM Maleic Acid (uL) ]]/NMRPrep[[#This Row],[Total (uL) ]])</f>
        <v>#DIV/0!</v>
      </c>
      <c r="I777">
        <f>2</f>
        <v>2</v>
      </c>
      <c r="J777">
        <f>4</f>
        <v>4</v>
      </c>
      <c r="K777">
        <f>1</f>
        <v>1</v>
      </c>
    </row>
    <row r="778" spans="1:11" hidden="1" x14ac:dyDescent="0.25">
      <c r="A778" s="1">
        <f>Sampling!D776</f>
        <v>0</v>
      </c>
      <c r="B778" t="str" cm="1">
        <f t="array" ref="B778">IF(ISBLANK(INDEX(SampleList[NMR],ROW()-1)),"Not Requested",INDEX(SampleList[Experiment ID],ROW()-1))</f>
        <v>Not Requested</v>
      </c>
      <c r="C778">
        <f>Sampling!E776</f>
        <v>0</v>
      </c>
      <c r="D778">
        <f>NMRPrep[[#This Row],['#]]</f>
        <v>0</v>
      </c>
      <c r="G7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8" t="e">
        <f>IF(ISBLANK(NMRPrep[[#This Row],[Total (uL) ]]), 0, NMRPrep[[#This Row],[1mM Maleic Acid (uL) ]]/NMRPrep[[#This Row],[Total (uL) ]])</f>
        <v>#DIV/0!</v>
      </c>
      <c r="I778">
        <f>2</f>
        <v>2</v>
      </c>
      <c r="J778">
        <f>4</f>
        <v>4</v>
      </c>
      <c r="K778">
        <f>1</f>
        <v>1</v>
      </c>
    </row>
    <row r="779" spans="1:11" hidden="1" x14ac:dyDescent="0.25">
      <c r="A779" s="1">
        <f>Sampling!D777</f>
        <v>0</v>
      </c>
      <c r="B779" t="str" cm="1">
        <f t="array" ref="B779">IF(ISBLANK(INDEX(SampleList[NMR],ROW()-1)),"Not Requested",INDEX(SampleList[Experiment ID],ROW()-1))</f>
        <v>Not Requested</v>
      </c>
      <c r="C779">
        <f>Sampling!E777</f>
        <v>0</v>
      </c>
      <c r="D779">
        <f>NMRPrep[[#This Row],['#]]</f>
        <v>0</v>
      </c>
      <c r="G7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79" t="e">
        <f>IF(ISBLANK(NMRPrep[[#This Row],[Total (uL) ]]), 0, NMRPrep[[#This Row],[1mM Maleic Acid (uL) ]]/NMRPrep[[#This Row],[Total (uL) ]])</f>
        <v>#DIV/0!</v>
      </c>
      <c r="I779">
        <f>2</f>
        <v>2</v>
      </c>
      <c r="J779">
        <f>4</f>
        <v>4</v>
      </c>
      <c r="K779">
        <f>1</f>
        <v>1</v>
      </c>
    </row>
    <row r="780" spans="1:11" hidden="1" x14ac:dyDescent="0.25">
      <c r="A780" s="1">
        <f>Sampling!D778</f>
        <v>0</v>
      </c>
      <c r="B780" t="str" cm="1">
        <f t="array" ref="B780">IF(ISBLANK(INDEX(SampleList[NMR],ROW()-1)),"Not Requested",INDEX(SampleList[Experiment ID],ROW()-1))</f>
        <v>Not Requested</v>
      </c>
      <c r="C780">
        <f>Sampling!E778</f>
        <v>0</v>
      </c>
      <c r="D780">
        <f>NMRPrep[[#This Row],['#]]</f>
        <v>0</v>
      </c>
      <c r="G7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0" t="e">
        <f>IF(ISBLANK(NMRPrep[[#This Row],[Total (uL) ]]), 0, NMRPrep[[#This Row],[1mM Maleic Acid (uL) ]]/NMRPrep[[#This Row],[Total (uL) ]])</f>
        <v>#DIV/0!</v>
      </c>
      <c r="I780">
        <f>2</f>
        <v>2</v>
      </c>
      <c r="J780">
        <f>4</f>
        <v>4</v>
      </c>
      <c r="K780">
        <f>1</f>
        <v>1</v>
      </c>
    </row>
    <row r="781" spans="1:11" hidden="1" x14ac:dyDescent="0.25">
      <c r="A781" s="1">
        <f>Sampling!D779</f>
        <v>0</v>
      </c>
      <c r="B781" t="str" cm="1">
        <f t="array" ref="B781">IF(ISBLANK(INDEX(SampleList[NMR],ROW()-1)),"Not Requested",INDEX(SampleList[Experiment ID],ROW()-1))</f>
        <v>Not Requested</v>
      </c>
      <c r="C781">
        <f>Sampling!E779</f>
        <v>0</v>
      </c>
      <c r="D781">
        <f>NMRPrep[[#This Row],['#]]</f>
        <v>0</v>
      </c>
      <c r="G7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1" t="e">
        <f>IF(ISBLANK(NMRPrep[[#This Row],[Total (uL) ]]), 0, NMRPrep[[#This Row],[1mM Maleic Acid (uL) ]]/NMRPrep[[#This Row],[Total (uL) ]])</f>
        <v>#DIV/0!</v>
      </c>
      <c r="I781">
        <f>2</f>
        <v>2</v>
      </c>
      <c r="J781">
        <f>4</f>
        <v>4</v>
      </c>
      <c r="K781">
        <f>1</f>
        <v>1</v>
      </c>
    </row>
    <row r="782" spans="1:11" hidden="1" x14ac:dyDescent="0.25">
      <c r="A782" s="1">
        <f>Sampling!D780</f>
        <v>0</v>
      </c>
      <c r="B782" t="str" cm="1">
        <f t="array" ref="B782">IF(ISBLANK(INDEX(SampleList[NMR],ROW()-1)),"Not Requested",INDEX(SampleList[Experiment ID],ROW()-1))</f>
        <v>Not Requested</v>
      </c>
      <c r="C782">
        <f>Sampling!E780</f>
        <v>0</v>
      </c>
      <c r="D782">
        <f>NMRPrep[[#This Row],['#]]</f>
        <v>0</v>
      </c>
      <c r="G7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2" t="e">
        <f>IF(ISBLANK(NMRPrep[[#This Row],[Total (uL) ]]), 0, NMRPrep[[#This Row],[1mM Maleic Acid (uL) ]]/NMRPrep[[#This Row],[Total (uL) ]])</f>
        <v>#DIV/0!</v>
      </c>
      <c r="I782">
        <f>2</f>
        <v>2</v>
      </c>
      <c r="J782">
        <f>4</f>
        <v>4</v>
      </c>
      <c r="K782">
        <f>1</f>
        <v>1</v>
      </c>
    </row>
    <row r="783" spans="1:11" hidden="1" x14ac:dyDescent="0.25">
      <c r="A783" s="1">
        <f>Sampling!D781</f>
        <v>0</v>
      </c>
      <c r="B783" t="str" cm="1">
        <f t="array" ref="B783">IF(ISBLANK(INDEX(SampleList[NMR],ROW()-1)),"Not Requested",INDEX(SampleList[Experiment ID],ROW()-1))</f>
        <v>Not Requested</v>
      </c>
      <c r="C783">
        <f>Sampling!E781</f>
        <v>0</v>
      </c>
      <c r="D783">
        <f>NMRPrep[[#This Row],['#]]</f>
        <v>0</v>
      </c>
      <c r="G7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3" t="e">
        <f>IF(ISBLANK(NMRPrep[[#This Row],[Total (uL) ]]), 0, NMRPrep[[#This Row],[1mM Maleic Acid (uL) ]]/NMRPrep[[#This Row],[Total (uL) ]])</f>
        <v>#DIV/0!</v>
      </c>
      <c r="I783">
        <f>2</f>
        <v>2</v>
      </c>
      <c r="J783">
        <f>4</f>
        <v>4</v>
      </c>
      <c r="K783">
        <f>1</f>
        <v>1</v>
      </c>
    </row>
    <row r="784" spans="1:11" hidden="1" x14ac:dyDescent="0.25">
      <c r="A784" s="1">
        <f>Sampling!D782</f>
        <v>0</v>
      </c>
      <c r="B784" t="str" cm="1">
        <f t="array" ref="B784">IF(ISBLANK(INDEX(SampleList[NMR],ROW()-1)),"Not Requested",INDEX(SampleList[Experiment ID],ROW()-1))</f>
        <v>Not Requested</v>
      </c>
      <c r="C784">
        <f>Sampling!E782</f>
        <v>0</v>
      </c>
      <c r="D784">
        <f>NMRPrep[[#This Row],['#]]</f>
        <v>0</v>
      </c>
      <c r="G7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4" t="e">
        <f>IF(ISBLANK(NMRPrep[[#This Row],[Total (uL) ]]), 0, NMRPrep[[#This Row],[1mM Maleic Acid (uL) ]]/NMRPrep[[#This Row],[Total (uL) ]])</f>
        <v>#DIV/0!</v>
      </c>
      <c r="I784">
        <f>2</f>
        <v>2</v>
      </c>
      <c r="J784">
        <f>4</f>
        <v>4</v>
      </c>
      <c r="K784">
        <f>1</f>
        <v>1</v>
      </c>
    </row>
    <row r="785" spans="1:11" hidden="1" x14ac:dyDescent="0.25">
      <c r="A785" s="1">
        <f>Sampling!D783</f>
        <v>0</v>
      </c>
      <c r="B785" t="str" cm="1">
        <f t="array" ref="B785">IF(ISBLANK(INDEX(SampleList[NMR],ROW()-1)),"Not Requested",INDEX(SampleList[Experiment ID],ROW()-1))</f>
        <v>Not Requested</v>
      </c>
      <c r="C785">
        <f>Sampling!E783</f>
        <v>0</v>
      </c>
      <c r="D785">
        <f>NMRPrep[[#This Row],['#]]</f>
        <v>0</v>
      </c>
      <c r="G7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5" t="e">
        <f>IF(ISBLANK(NMRPrep[[#This Row],[Total (uL) ]]), 0, NMRPrep[[#This Row],[1mM Maleic Acid (uL) ]]/NMRPrep[[#This Row],[Total (uL) ]])</f>
        <v>#DIV/0!</v>
      </c>
      <c r="I785">
        <f>2</f>
        <v>2</v>
      </c>
      <c r="J785">
        <f>4</f>
        <v>4</v>
      </c>
      <c r="K785">
        <f>1</f>
        <v>1</v>
      </c>
    </row>
    <row r="786" spans="1:11" hidden="1" x14ac:dyDescent="0.25">
      <c r="A786" s="1">
        <f>Sampling!D784</f>
        <v>0</v>
      </c>
      <c r="B786" t="str" cm="1">
        <f t="array" ref="B786">IF(ISBLANK(INDEX(SampleList[NMR],ROW()-1)),"Not Requested",INDEX(SampleList[Experiment ID],ROW()-1))</f>
        <v>Not Requested</v>
      </c>
      <c r="C786">
        <f>Sampling!E784</f>
        <v>0</v>
      </c>
      <c r="D786">
        <f>NMRPrep[[#This Row],['#]]</f>
        <v>0</v>
      </c>
      <c r="G7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6" t="e">
        <f>IF(ISBLANK(NMRPrep[[#This Row],[Total (uL) ]]), 0, NMRPrep[[#This Row],[1mM Maleic Acid (uL) ]]/NMRPrep[[#This Row],[Total (uL) ]])</f>
        <v>#DIV/0!</v>
      </c>
      <c r="I786">
        <f>2</f>
        <v>2</v>
      </c>
      <c r="J786">
        <f>4</f>
        <v>4</v>
      </c>
      <c r="K786">
        <f>1</f>
        <v>1</v>
      </c>
    </row>
    <row r="787" spans="1:11" hidden="1" x14ac:dyDescent="0.25">
      <c r="A787" s="1">
        <f>Sampling!D785</f>
        <v>0</v>
      </c>
      <c r="B787" t="str" cm="1">
        <f t="array" ref="B787">IF(ISBLANK(INDEX(SampleList[NMR],ROW()-1)),"Not Requested",INDEX(SampleList[Experiment ID],ROW()-1))</f>
        <v>Not Requested</v>
      </c>
      <c r="C787">
        <f>Sampling!E785</f>
        <v>0</v>
      </c>
      <c r="D787">
        <f>NMRPrep[[#This Row],['#]]</f>
        <v>0</v>
      </c>
      <c r="G7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7" t="e">
        <f>IF(ISBLANK(NMRPrep[[#This Row],[Total (uL) ]]), 0, NMRPrep[[#This Row],[1mM Maleic Acid (uL) ]]/NMRPrep[[#This Row],[Total (uL) ]])</f>
        <v>#DIV/0!</v>
      </c>
      <c r="I787">
        <f>2</f>
        <v>2</v>
      </c>
      <c r="J787">
        <f>4</f>
        <v>4</v>
      </c>
      <c r="K787">
        <f>1</f>
        <v>1</v>
      </c>
    </row>
    <row r="788" spans="1:11" hidden="1" x14ac:dyDescent="0.25">
      <c r="A788" s="1">
        <f>Sampling!D786</f>
        <v>0</v>
      </c>
      <c r="B788" t="str" cm="1">
        <f t="array" ref="B788">IF(ISBLANK(INDEX(SampleList[NMR],ROW()-1)),"Not Requested",INDEX(SampleList[Experiment ID],ROW()-1))</f>
        <v>Not Requested</v>
      </c>
      <c r="C788">
        <f>Sampling!E786</f>
        <v>0</v>
      </c>
      <c r="D788">
        <f>NMRPrep[[#This Row],['#]]</f>
        <v>0</v>
      </c>
      <c r="G7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8" t="e">
        <f>IF(ISBLANK(NMRPrep[[#This Row],[Total (uL) ]]), 0, NMRPrep[[#This Row],[1mM Maleic Acid (uL) ]]/NMRPrep[[#This Row],[Total (uL) ]])</f>
        <v>#DIV/0!</v>
      </c>
      <c r="I788">
        <f>2</f>
        <v>2</v>
      </c>
      <c r="J788">
        <f>4</f>
        <v>4</v>
      </c>
      <c r="K788">
        <f>1</f>
        <v>1</v>
      </c>
    </row>
    <row r="789" spans="1:11" hidden="1" x14ac:dyDescent="0.25">
      <c r="A789" s="1">
        <f>Sampling!D787</f>
        <v>0</v>
      </c>
      <c r="B789" t="str" cm="1">
        <f t="array" ref="B789">IF(ISBLANK(INDEX(SampleList[NMR],ROW()-1)),"Not Requested",INDEX(SampleList[Experiment ID],ROW()-1))</f>
        <v>Not Requested</v>
      </c>
      <c r="C789">
        <f>Sampling!E787</f>
        <v>0</v>
      </c>
      <c r="D789">
        <f>NMRPrep[[#This Row],['#]]</f>
        <v>0</v>
      </c>
      <c r="G7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89" t="e">
        <f>IF(ISBLANK(NMRPrep[[#This Row],[Total (uL) ]]), 0, NMRPrep[[#This Row],[1mM Maleic Acid (uL) ]]/NMRPrep[[#This Row],[Total (uL) ]])</f>
        <v>#DIV/0!</v>
      </c>
      <c r="I789">
        <f>2</f>
        <v>2</v>
      </c>
      <c r="J789">
        <f>4</f>
        <v>4</v>
      </c>
      <c r="K789">
        <f>1</f>
        <v>1</v>
      </c>
    </row>
    <row r="790" spans="1:11" hidden="1" x14ac:dyDescent="0.25">
      <c r="A790" s="1">
        <f>Sampling!D788</f>
        <v>0</v>
      </c>
      <c r="B790" t="str" cm="1">
        <f t="array" ref="B790">IF(ISBLANK(INDEX(SampleList[NMR],ROW()-1)),"Not Requested",INDEX(SampleList[Experiment ID],ROW()-1))</f>
        <v>Not Requested</v>
      </c>
      <c r="C790">
        <f>Sampling!E788</f>
        <v>0</v>
      </c>
      <c r="D790">
        <f>NMRPrep[[#This Row],['#]]</f>
        <v>0</v>
      </c>
      <c r="G7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0" t="e">
        <f>IF(ISBLANK(NMRPrep[[#This Row],[Total (uL) ]]), 0, NMRPrep[[#This Row],[1mM Maleic Acid (uL) ]]/NMRPrep[[#This Row],[Total (uL) ]])</f>
        <v>#DIV/0!</v>
      </c>
      <c r="I790">
        <f>2</f>
        <v>2</v>
      </c>
      <c r="J790">
        <f>4</f>
        <v>4</v>
      </c>
      <c r="K790">
        <f>1</f>
        <v>1</v>
      </c>
    </row>
    <row r="791" spans="1:11" hidden="1" x14ac:dyDescent="0.25">
      <c r="A791" s="1">
        <f>Sampling!D789</f>
        <v>0</v>
      </c>
      <c r="B791" t="str" cm="1">
        <f t="array" ref="B791">IF(ISBLANK(INDEX(SampleList[NMR],ROW()-1)),"Not Requested",INDEX(SampleList[Experiment ID],ROW()-1))</f>
        <v>Not Requested</v>
      </c>
      <c r="C791">
        <f>Sampling!E789</f>
        <v>0</v>
      </c>
      <c r="D791">
        <f>NMRPrep[[#This Row],['#]]</f>
        <v>0</v>
      </c>
      <c r="G7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1" t="e">
        <f>IF(ISBLANK(NMRPrep[[#This Row],[Total (uL) ]]), 0, NMRPrep[[#This Row],[1mM Maleic Acid (uL) ]]/NMRPrep[[#This Row],[Total (uL) ]])</f>
        <v>#DIV/0!</v>
      </c>
      <c r="I791">
        <f>2</f>
        <v>2</v>
      </c>
      <c r="J791">
        <f>4</f>
        <v>4</v>
      </c>
      <c r="K791">
        <f>1</f>
        <v>1</v>
      </c>
    </row>
    <row r="792" spans="1:11" hidden="1" x14ac:dyDescent="0.25">
      <c r="A792" s="1">
        <f>Sampling!D790</f>
        <v>0</v>
      </c>
      <c r="B792" t="str" cm="1">
        <f t="array" ref="B792">IF(ISBLANK(INDEX(SampleList[NMR],ROW()-1)),"Not Requested",INDEX(SampleList[Experiment ID],ROW()-1))</f>
        <v>Not Requested</v>
      </c>
      <c r="C792">
        <f>Sampling!E790</f>
        <v>0</v>
      </c>
      <c r="D792">
        <f>NMRPrep[[#This Row],['#]]</f>
        <v>0</v>
      </c>
      <c r="G7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2" t="e">
        <f>IF(ISBLANK(NMRPrep[[#This Row],[Total (uL) ]]), 0, NMRPrep[[#This Row],[1mM Maleic Acid (uL) ]]/NMRPrep[[#This Row],[Total (uL) ]])</f>
        <v>#DIV/0!</v>
      </c>
      <c r="I792">
        <f>2</f>
        <v>2</v>
      </c>
      <c r="J792">
        <f>4</f>
        <v>4</v>
      </c>
      <c r="K792">
        <f>1</f>
        <v>1</v>
      </c>
    </row>
    <row r="793" spans="1:11" hidden="1" x14ac:dyDescent="0.25">
      <c r="A793" s="1">
        <f>Sampling!D791</f>
        <v>0</v>
      </c>
      <c r="B793" t="str" cm="1">
        <f t="array" ref="B793">IF(ISBLANK(INDEX(SampleList[NMR],ROW()-1)),"Not Requested",INDEX(SampleList[Experiment ID],ROW()-1))</f>
        <v>Not Requested</v>
      </c>
      <c r="C793">
        <f>Sampling!E791</f>
        <v>0</v>
      </c>
      <c r="D793">
        <f>NMRPrep[[#This Row],['#]]</f>
        <v>0</v>
      </c>
      <c r="G7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3" t="e">
        <f>IF(ISBLANK(NMRPrep[[#This Row],[Total (uL) ]]), 0, NMRPrep[[#This Row],[1mM Maleic Acid (uL) ]]/NMRPrep[[#This Row],[Total (uL) ]])</f>
        <v>#DIV/0!</v>
      </c>
      <c r="I793">
        <f>2</f>
        <v>2</v>
      </c>
      <c r="J793">
        <f>4</f>
        <v>4</v>
      </c>
      <c r="K793">
        <f>1</f>
        <v>1</v>
      </c>
    </row>
    <row r="794" spans="1:11" hidden="1" x14ac:dyDescent="0.25">
      <c r="A794" s="1">
        <f>Sampling!D792</f>
        <v>0</v>
      </c>
      <c r="B794" t="str" cm="1">
        <f t="array" ref="B794">IF(ISBLANK(INDEX(SampleList[NMR],ROW()-1)),"Not Requested",INDEX(SampleList[Experiment ID],ROW()-1))</f>
        <v>Not Requested</v>
      </c>
      <c r="C794">
        <f>Sampling!E792</f>
        <v>0</v>
      </c>
      <c r="D794">
        <f>NMRPrep[[#This Row],['#]]</f>
        <v>0</v>
      </c>
      <c r="G7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4" t="e">
        <f>IF(ISBLANK(NMRPrep[[#This Row],[Total (uL) ]]), 0, NMRPrep[[#This Row],[1mM Maleic Acid (uL) ]]/NMRPrep[[#This Row],[Total (uL) ]])</f>
        <v>#DIV/0!</v>
      </c>
      <c r="I794">
        <f>2</f>
        <v>2</v>
      </c>
      <c r="J794">
        <f>4</f>
        <v>4</v>
      </c>
      <c r="K794">
        <f>1</f>
        <v>1</v>
      </c>
    </row>
    <row r="795" spans="1:11" hidden="1" x14ac:dyDescent="0.25">
      <c r="A795" s="1">
        <f>Sampling!D793</f>
        <v>0</v>
      </c>
      <c r="B795" t="str" cm="1">
        <f t="array" ref="B795">IF(ISBLANK(INDEX(SampleList[NMR],ROW()-1)),"Not Requested",INDEX(SampleList[Experiment ID],ROW()-1))</f>
        <v>Not Requested</v>
      </c>
      <c r="C795">
        <f>Sampling!E793</f>
        <v>0</v>
      </c>
      <c r="D795">
        <f>NMRPrep[[#This Row],['#]]</f>
        <v>0</v>
      </c>
      <c r="G7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5" t="e">
        <f>IF(ISBLANK(NMRPrep[[#This Row],[Total (uL) ]]), 0, NMRPrep[[#This Row],[1mM Maleic Acid (uL) ]]/NMRPrep[[#This Row],[Total (uL) ]])</f>
        <v>#DIV/0!</v>
      </c>
      <c r="I795">
        <f>2</f>
        <v>2</v>
      </c>
      <c r="J795">
        <f>4</f>
        <v>4</v>
      </c>
      <c r="K795">
        <f>1</f>
        <v>1</v>
      </c>
    </row>
    <row r="796" spans="1:11" hidden="1" x14ac:dyDescent="0.25">
      <c r="A796" s="1">
        <f>Sampling!D794</f>
        <v>0</v>
      </c>
      <c r="B796" t="str" cm="1">
        <f t="array" ref="B796">IF(ISBLANK(INDEX(SampleList[NMR],ROW()-1)),"Not Requested",INDEX(SampleList[Experiment ID],ROW()-1))</f>
        <v>Not Requested</v>
      </c>
      <c r="C796">
        <f>Sampling!E794</f>
        <v>0</v>
      </c>
      <c r="D796">
        <f>NMRPrep[[#This Row],['#]]</f>
        <v>0</v>
      </c>
      <c r="G7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6" t="e">
        <f>IF(ISBLANK(NMRPrep[[#This Row],[Total (uL) ]]), 0, NMRPrep[[#This Row],[1mM Maleic Acid (uL) ]]/NMRPrep[[#This Row],[Total (uL) ]])</f>
        <v>#DIV/0!</v>
      </c>
      <c r="I796">
        <f>2</f>
        <v>2</v>
      </c>
      <c r="J796">
        <f>4</f>
        <v>4</v>
      </c>
      <c r="K796">
        <f>1</f>
        <v>1</v>
      </c>
    </row>
    <row r="797" spans="1:11" hidden="1" x14ac:dyDescent="0.25">
      <c r="A797" s="1">
        <f>Sampling!D795</f>
        <v>0</v>
      </c>
      <c r="B797" t="str" cm="1">
        <f t="array" ref="B797">IF(ISBLANK(INDEX(SampleList[NMR],ROW()-1)),"Not Requested",INDEX(SampleList[Experiment ID],ROW()-1))</f>
        <v>Not Requested</v>
      </c>
      <c r="C797">
        <f>Sampling!E795</f>
        <v>0</v>
      </c>
      <c r="D797">
        <f>NMRPrep[[#This Row],['#]]</f>
        <v>0</v>
      </c>
      <c r="G7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7" t="e">
        <f>IF(ISBLANK(NMRPrep[[#This Row],[Total (uL) ]]), 0, NMRPrep[[#This Row],[1mM Maleic Acid (uL) ]]/NMRPrep[[#This Row],[Total (uL) ]])</f>
        <v>#DIV/0!</v>
      </c>
      <c r="I797">
        <f>2</f>
        <v>2</v>
      </c>
      <c r="J797">
        <f>4</f>
        <v>4</v>
      </c>
      <c r="K797">
        <f>1</f>
        <v>1</v>
      </c>
    </row>
    <row r="798" spans="1:11" hidden="1" x14ac:dyDescent="0.25">
      <c r="A798" s="1">
        <f>Sampling!D796</f>
        <v>0</v>
      </c>
      <c r="B798" t="str" cm="1">
        <f t="array" ref="B798">IF(ISBLANK(INDEX(SampleList[NMR],ROW()-1)),"Not Requested",INDEX(SampleList[Experiment ID],ROW()-1))</f>
        <v>Not Requested</v>
      </c>
      <c r="C798">
        <f>Sampling!E796</f>
        <v>0</v>
      </c>
      <c r="D798">
        <f>NMRPrep[[#This Row],['#]]</f>
        <v>0</v>
      </c>
      <c r="G7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8" t="e">
        <f>IF(ISBLANK(NMRPrep[[#This Row],[Total (uL) ]]), 0, NMRPrep[[#This Row],[1mM Maleic Acid (uL) ]]/NMRPrep[[#This Row],[Total (uL) ]])</f>
        <v>#DIV/0!</v>
      </c>
      <c r="I798">
        <f>2</f>
        <v>2</v>
      </c>
      <c r="J798">
        <f>4</f>
        <v>4</v>
      </c>
      <c r="K798">
        <f>1</f>
        <v>1</v>
      </c>
    </row>
    <row r="799" spans="1:11" hidden="1" x14ac:dyDescent="0.25">
      <c r="A799" s="1">
        <f>Sampling!D797</f>
        <v>0</v>
      </c>
      <c r="B799" t="str" cm="1">
        <f t="array" ref="B799">IF(ISBLANK(INDEX(SampleList[NMR],ROW()-1)),"Not Requested",INDEX(SampleList[Experiment ID],ROW()-1))</f>
        <v>Not Requested</v>
      </c>
      <c r="C799">
        <f>Sampling!E797</f>
        <v>0</v>
      </c>
      <c r="D799">
        <f>NMRPrep[[#This Row],['#]]</f>
        <v>0</v>
      </c>
      <c r="G7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799" t="e">
        <f>IF(ISBLANK(NMRPrep[[#This Row],[Total (uL) ]]), 0, NMRPrep[[#This Row],[1mM Maleic Acid (uL) ]]/NMRPrep[[#This Row],[Total (uL) ]])</f>
        <v>#DIV/0!</v>
      </c>
      <c r="I799">
        <f>2</f>
        <v>2</v>
      </c>
      <c r="J799">
        <f>4</f>
        <v>4</v>
      </c>
      <c r="K799">
        <f>1</f>
        <v>1</v>
      </c>
    </row>
    <row r="800" spans="1:11" hidden="1" x14ac:dyDescent="0.25">
      <c r="A800" s="1">
        <f>Sampling!D798</f>
        <v>0</v>
      </c>
      <c r="B800" t="str" cm="1">
        <f t="array" ref="B800">IF(ISBLANK(INDEX(SampleList[NMR],ROW()-1)),"Not Requested",INDEX(SampleList[Experiment ID],ROW()-1))</f>
        <v>Not Requested</v>
      </c>
      <c r="C800">
        <f>Sampling!E798</f>
        <v>0</v>
      </c>
      <c r="D800">
        <f>NMRPrep[[#This Row],['#]]</f>
        <v>0</v>
      </c>
      <c r="G8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0" t="e">
        <f>IF(ISBLANK(NMRPrep[[#This Row],[Total (uL) ]]), 0, NMRPrep[[#This Row],[1mM Maleic Acid (uL) ]]/NMRPrep[[#This Row],[Total (uL) ]])</f>
        <v>#DIV/0!</v>
      </c>
      <c r="I800">
        <f>2</f>
        <v>2</v>
      </c>
      <c r="J800">
        <f>4</f>
        <v>4</v>
      </c>
      <c r="K800">
        <f>1</f>
        <v>1</v>
      </c>
    </row>
    <row r="801" spans="1:11" hidden="1" x14ac:dyDescent="0.25">
      <c r="A801" s="1">
        <f>Sampling!D799</f>
        <v>0</v>
      </c>
      <c r="B801" t="str" cm="1">
        <f t="array" ref="B801">IF(ISBLANK(INDEX(SampleList[NMR],ROW()-1)),"Not Requested",INDEX(SampleList[Experiment ID],ROW()-1))</f>
        <v>Not Requested</v>
      </c>
      <c r="C801">
        <f>Sampling!E799</f>
        <v>0</v>
      </c>
      <c r="D801">
        <f>NMRPrep[[#This Row],['#]]</f>
        <v>0</v>
      </c>
      <c r="G8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1" t="e">
        <f>IF(ISBLANK(NMRPrep[[#This Row],[Total (uL) ]]), 0, NMRPrep[[#This Row],[1mM Maleic Acid (uL) ]]/NMRPrep[[#This Row],[Total (uL) ]])</f>
        <v>#DIV/0!</v>
      </c>
      <c r="I801">
        <f>2</f>
        <v>2</v>
      </c>
      <c r="J801">
        <f>4</f>
        <v>4</v>
      </c>
      <c r="K801">
        <f>1</f>
        <v>1</v>
      </c>
    </row>
    <row r="802" spans="1:11" hidden="1" x14ac:dyDescent="0.25">
      <c r="A802" s="1">
        <f>Sampling!D800</f>
        <v>0</v>
      </c>
      <c r="B802" t="str" cm="1">
        <f t="array" ref="B802">IF(ISBLANK(INDEX(SampleList[NMR],ROW()-1)),"Not Requested",INDEX(SampleList[Experiment ID],ROW()-1))</f>
        <v>Not Requested</v>
      </c>
      <c r="C802">
        <f>Sampling!E800</f>
        <v>0</v>
      </c>
      <c r="D802">
        <f>NMRPrep[[#This Row],['#]]</f>
        <v>0</v>
      </c>
      <c r="G8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2" t="e">
        <f>IF(ISBLANK(NMRPrep[[#This Row],[Total (uL) ]]), 0, NMRPrep[[#This Row],[1mM Maleic Acid (uL) ]]/NMRPrep[[#This Row],[Total (uL) ]])</f>
        <v>#DIV/0!</v>
      </c>
      <c r="I802">
        <f>2</f>
        <v>2</v>
      </c>
      <c r="J802">
        <f>4</f>
        <v>4</v>
      </c>
      <c r="K802">
        <f>1</f>
        <v>1</v>
      </c>
    </row>
    <row r="803" spans="1:11" hidden="1" x14ac:dyDescent="0.25">
      <c r="A803" s="1">
        <f>Sampling!D801</f>
        <v>0</v>
      </c>
      <c r="B803" t="str" cm="1">
        <f t="array" ref="B803">IF(ISBLANK(INDEX(SampleList[NMR],ROW()-1)),"Not Requested",INDEX(SampleList[Experiment ID],ROW()-1))</f>
        <v>Not Requested</v>
      </c>
      <c r="C803">
        <f>Sampling!E801</f>
        <v>0</v>
      </c>
      <c r="D803">
        <f>NMRPrep[[#This Row],['#]]</f>
        <v>0</v>
      </c>
      <c r="G8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3" t="e">
        <f>IF(ISBLANK(NMRPrep[[#This Row],[Total (uL) ]]), 0, NMRPrep[[#This Row],[1mM Maleic Acid (uL) ]]/NMRPrep[[#This Row],[Total (uL) ]])</f>
        <v>#DIV/0!</v>
      </c>
      <c r="I803">
        <f>2</f>
        <v>2</v>
      </c>
      <c r="J803">
        <f>4</f>
        <v>4</v>
      </c>
      <c r="K803">
        <f>1</f>
        <v>1</v>
      </c>
    </row>
    <row r="804" spans="1:11" hidden="1" x14ac:dyDescent="0.25">
      <c r="A804" s="1">
        <f>Sampling!D802</f>
        <v>0</v>
      </c>
      <c r="B804" t="str" cm="1">
        <f t="array" ref="B804">IF(ISBLANK(INDEX(SampleList[NMR],ROW()-1)),"Not Requested",INDEX(SampleList[Experiment ID],ROW()-1))</f>
        <v>Not Requested</v>
      </c>
      <c r="C804">
        <f>Sampling!E802</f>
        <v>0</v>
      </c>
      <c r="D804">
        <f>NMRPrep[[#This Row],['#]]</f>
        <v>0</v>
      </c>
      <c r="G8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4" t="e">
        <f>IF(ISBLANK(NMRPrep[[#This Row],[Total (uL) ]]), 0, NMRPrep[[#This Row],[1mM Maleic Acid (uL) ]]/NMRPrep[[#This Row],[Total (uL) ]])</f>
        <v>#DIV/0!</v>
      </c>
      <c r="I804">
        <f>2</f>
        <v>2</v>
      </c>
      <c r="J804">
        <f>4</f>
        <v>4</v>
      </c>
      <c r="K804">
        <f>1</f>
        <v>1</v>
      </c>
    </row>
    <row r="805" spans="1:11" hidden="1" x14ac:dyDescent="0.25">
      <c r="A805" s="1">
        <f>Sampling!D803</f>
        <v>0</v>
      </c>
      <c r="B805" t="str" cm="1">
        <f t="array" ref="B805">IF(ISBLANK(INDEX(SampleList[NMR],ROW()-1)),"Not Requested",INDEX(SampleList[Experiment ID],ROW()-1))</f>
        <v>Not Requested</v>
      </c>
      <c r="C805">
        <f>Sampling!E803</f>
        <v>0</v>
      </c>
      <c r="D805">
        <f>NMRPrep[[#This Row],['#]]</f>
        <v>0</v>
      </c>
      <c r="G8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5" t="e">
        <f>IF(ISBLANK(NMRPrep[[#This Row],[Total (uL) ]]), 0, NMRPrep[[#This Row],[1mM Maleic Acid (uL) ]]/NMRPrep[[#This Row],[Total (uL) ]])</f>
        <v>#DIV/0!</v>
      </c>
      <c r="I805">
        <f>2</f>
        <v>2</v>
      </c>
      <c r="J805">
        <f>4</f>
        <v>4</v>
      </c>
      <c r="K805">
        <f>1</f>
        <v>1</v>
      </c>
    </row>
    <row r="806" spans="1:11" hidden="1" x14ac:dyDescent="0.25">
      <c r="A806" s="1">
        <f>Sampling!D804</f>
        <v>0</v>
      </c>
      <c r="B806" t="str" cm="1">
        <f t="array" ref="B806">IF(ISBLANK(INDEX(SampleList[NMR],ROW()-1)),"Not Requested",INDEX(SampleList[Experiment ID],ROW()-1))</f>
        <v>Not Requested</v>
      </c>
      <c r="C806">
        <f>Sampling!E804</f>
        <v>0</v>
      </c>
      <c r="D806">
        <f>NMRPrep[[#This Row],['#]]</f>
        <v>0</v>
      </c>
      <c r="G8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6" t="e">
        <f>IF(ISBLANK(NMRPrep[[#This Row],[Total (uL) ]]), 0, NMRPrep[[#This Row],[1mM Maleic Acid (uL) ]]/NMRPrep[[#This Row],[Total (uL) ]])</f>
        <v>#DIV/0!</v>
      </c>
      <c r="I806">
        <f>2</f>
        <v>2</v>
      </c>
      <c r="J806">
        <f>4</f>
        <v>4</v>
      </c>
      <c r="K806">
        <f>1</f>
        <v>1</v>
      </c>
    </row>
    <row r="807" spans="1:11" hidden="1" x14ac:dyDescent="0.25">
      <c r="A807" s="1">
        <f>Sampling!D805</f>
        <v>0</v>
      </c>
      <c r="B807" t="str" cm="1">
        <f t="array" ref="B807">IF(ISBLANK(INDEX(SampleList[NMR],ROW()-1)),"Not Requested",INDEX(SampleList[Experiment ID],ROW()-1))</f>
        <v>Not Requested</v>
      </c>
      <c r="C807">
        <f>Sampling!E805</f>
        <v>0</v>
      </c>
      <c r="D807">
        <f>NMRPrep[[#This Row],['#]]</f>
        <v>0</v>
      </c>
      <c r="G8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7" t="e">
        <f>IF(ISBLANK(NMRPrep[[#This Row],[Total (uL) ]]), 0, NMRPrep[[#This Row],[1mM Maleic Acid (uL) ]]/NMRPrep[[#This Row],[Total (uL) ]])</f>
        <v>#DIV/0!</v>
      </c>
      <c r="I807">
        <f>2</f>
        <v>2</v>
      </c>
      <c r="J807">
        <f>4</f>
        <v>4</v>
      </c>
      <c r="K807">
        <f>1</f>
        <v>1</v>
      </c>
    </row>
    <row r="808" spans="1:11" hidden="1" x14ac:dyDescent="0.25">
      <c r="A808" s="1">
        <f>Sampling!D806</f>
        <v>0</v>
      </c>
      <c r="B808" t="str" cm="1">
        <f t="array" ref="B808">IF(ISBLANK(INDEX(SampleList[NMR],ROW()-1)),"Not Requested",INDEX(SampleList[Experiment ID],ROW()-1))</f>
        <v>Not Requested</v>
      </c>
      <c r="C808">
        <f>Sampling!E806</f>
        <v>0</v>
      </c>
      <c r="D808">
        <f>NMRPrep[[#This Row],['#]]</f>
        <v>0</v>
      </c>
      <c r="G8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8" t="e">
        <f>IF(ISBLANK(NMRPrep[[#This Row],[Total (uL) ]]), 0, NMRPrep[[#This Row],[1mM Maleic Acid (uL) ]]/NMRPrep[[#This Row],[Total (uL) ]])</f>
        <v>#DIV/0!</v>
      </c>
      <c r="I808">
        <f>2</f>
        <v>2</v>
      </c>
      <c r="J808">
        <f>4</f>
        <v>4</v>
      </c>
      <c r="K808">
        <f>1</f>
        <v>1</v>
      </c>
    </row>
    <row r="809" spans="1:11" hidden="1" x14ac:dyDescent="0.25">
      <c r="A809" s="1">
        <f>Sampling!D807</f>
        <v>0</v>
      </c>
      <c r="B809" t="str" cm="1">
        <f t="array" ref="B809">IF(ISBLANK(INDEX(SampleList[NMR],ROW()-1)),"Not Requested",INDEX(SampleList[Experiment ID],ROW()-1))</f>
        <v>Not Requested</v>
      </c>
      <c r="C809">
        <f>Sampling!E807</f>
        <v>0</v>
      </c>
      <c r="D809">
        <f>NMRPrep[[#This Row],['#]]</f>
        <v>0</v>
      </c>
      <c r="G8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09" t="e">
        <f>IF(ISBLANK(NMRPrep[[#This Row],[Total (uL) ]]), 0, NMRPrep[[#This Row],[1mM Maleic Acid (uL) ]]/NMRPrep[[#This Row],[Total (uL) ]])</f>
        <v>#DIV/0!</v>
      </c>
      <c r="I809">
        <f>2</f>
        <v>2</v>
      </c>
      <c r="J809">
        <f>4</f>
        <v>4</v>
      </c>
      <c r="K809">
        <f>1</f>
        <v>1</v>
      </c>
    </row>
    <row r="810" spans="1:11" hidden="1" x14ac:dyDescent="0.25">
      <c r="A810" s="1">
        <f>Sampling!D808</f>
        <v>0</v>
      </c>
      <c r="B810" t="str" cm="1">
        <f t="array" ref="B810">IF(ISBLANK(INDEX(SampleList[NMR],ROW()-1)),"Not Requested",INDEX(SampleList[Experiment ID],ROW()-1))</f>
        <v>Not Requested</v>
      </c>
      <c r="C810">
        <f>Sampling!E808</f>
        <v>0</v>
      </c>
      <c r="D810">
        <f>NMRPrep[[#This Row],['#]]</f>
        <v>0</v>
      </c>
      <c r="G8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0" t="e">
        <f>IF(ISBLANK(NMRPrep[[#This Row],[Total (uL) ]]), 0, NMRPrep[[#This Row],[1mM Maleic Acid (uL) ]]/NMRPrep[[#This Row],[Total (uL) ]])</f>
        <v>#DIV/0!</v>
      </c>
      <c r="I810">
        <f>2</f>
        <v>2</v>
      </c>
      <c r="J810">
        <f>4</f>
        <v>4</v>
      </c>
      <c r="K810">
        <f>1</f>
        <v>1</v>
      </c>
    </row>
    <row r="811" spans="1:11" hidden="1" x14ac:dyDescent="0.25">
      <c r="A811" s="1">
        <f>Sampling!D809</f>
        <v>0</v>
      </c>
      <c r="B811" t="str" cm="1">
        <f t="array" ref="B811">IF(ISBLANK(INDEX(SampleList[NMR],ROW()-1)),"Not Requested",INDEX(SampleList[Experiment ID],ROW()-1))</f>
        <v>Not Requested</v>
      </c>
      <c r="C811">
        <f>Sampling!E809</f>
        <v>0</v>
      </c>
      <c r="D811">
        <f>NMRPrep[[#This Row],['#]]</f>
        <v>0</v>
      </c>
      <c r="G8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1" t="e">
        <f>IF(ISBLANK(NMRPrep[[#This Row],[Total (uL) ]]), 0, NMRPrep[[#This Row],[1mM Maleic Acid (uL) ]]/NMRPrep[[#This Row],[Total (uL) ]])</f>
        <v>#DIV/0!</v>
      </c>
      <c r="I811">
        <f>2</f>
        <v>2</v>
      </c>
      <c r="J811">
        <f>4</f>
        <v>4</v>
      </c>
      <c r="K811">
        <f>1</f>
        <v>1</v>
      </c>
    </row>
    <row r="812" spans="1:11" hidden="1" x14ac:dyDescent="0.25">
      <c r="A812" s="1">
        <f>Sampling!D810</f>
        <v>0</v>
      </c>
      <c r="B812" t="str" cm="1">
        <f t="array" ref="B812">IF(ISBLANK(INDEX(SampleList[NMR],ROW()-1)),"Not Requested",INDEX(SampleList[Experiment ID],ROW()-1))</f>
        <v>Not Requested</v>
      </c>
      <c r="C812">
        <f>Sampling!E810</f>
        <v>0</v>
      </c>
      <c r="D812">
        <f>NMRPrep[[#This Row],['#]]</f>
        <v>0</v>
      </c>
      <c r="G8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2" t="e">
        <f>IF(ISBLANK(NMRPrep[[#This Row],[Total (uL) ]]), 0, NMRPrep[[#This Row],[1mM Maleic Acid (uL) ]]/NMRPrep[[#This Row],[Total (uL) ]])</f>
        <v>#DIV/0!</v>
      </c>
      <c r="I812">
        <f>2</f>
        <v>2</v>
      </c>
      <c r="J812">
        <f>4</f>
        <v>4</v>
      </c>
      <c r="K812">
        <f>1</f>
        <v>1</v>
      </c>
    </row>
    <row r="813" spans="1:11" hidden="1" x14ac:dyDescent="0.25">
      <c r="A813" s="1">
        <f>Sampling!D811</f>
        <v>0</v>
      </c>
      <c r="B813" t="str" cm="1">
        <f t="array" ref="B813">IF(ISBLANK(INDEX(SampleList[NMR],ROW()-1)),"Not Requested",INDEX(SampleList[Experiment ID],ROW()-1))</f>
        <v>Not Requested</v>
      </c>
      <c r="C813">
        <f>Sampling!E811</f>
        <v>0</v>
      </c>
      <c r="D813">
        <f>NMRPrep[[#This Row],['#]]</f>
        <v>0</v>
      </c>
      <c r="G8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3" t="e">
        <f>IF(ISBLANK(NMRPrep[[#This Row],[Total (uL) ]]), 0, NMRPrep[[#This Row],[1mM Maleic Acid (uL) ]]/NMRPrep[[#This Row],[Total (uL) ]])</f>
        <v>#DIV/0!</v>
      </c>
      <c r="I813">
        <f>2</f>
        <v>2</v>
      </c>
      <c r="J813">
        <f>4</f>
        <v>4</v>
      </c>
      <c r="K813">
        <f>1</f>
        <v>1</v>
      </c>
    </row>
    <row r="814" spans="1:11" hidden="1" x14ac:dyDescent="0.25">
      <c r="A814" s="1">
        <f>Sampling!D812</f>
        <v>0</v>
      </c>
      <c r="B814" t="str" cm="1">
        <f t="array" ref="B814">IF(ISBLANK(INDEX(SampleList[NMR],ROW()-1)),"Not Requested",INDEX(SampleList[Experiment ID],ROW()-1))</f>
        <v>Not Requested</v>
      </c>
      <c r="C814">
        <f>Sampling!E812</f>
        <v>0</v>
      </c>
      <c r="D814">
        <f>NMRPrep[[#This Row],['#]]</f>
        <v>0</v>
      </c>
      <c r="G8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4" t="e">
        <f>IF(ISBLANK(NMRPrep[[#This Row],[Total (uL) ]]), 0, NMRPrep[[#This Row],[1mM Maleic Acid (uL) ]]/NMRPrep[[#This Row],[Total (uL) ]])</f>
        <v>#DIV/0!</v>
      </c>
      <c r="I814">
        <f>2</f>
        <v>2</v>
      </c>
      <c r="J814">
        <f>4</f>
        <v>4</v>
      </c>
      <c r="K814">
        <f>1</f>
        <v>1</v>
      </c>
    </row>
    <row r="815" spans="1:11" hidden="1" x14ac:dyDescent="0.25">
      <c r="A815" s="1">
        <f>Sampling!D813</f>
        <v>0</v>
      </c>
      <c r="B815" t="str" cm="1">
        <f t="array" ref="B815">IF(ISBLANK(INDEX(SampleList[NMR],ROW()-1)),"Not Requested",INDEX(SampleList[Experiment ID],ROW()-1))</f>
        <v>Not Requested</v>
      </c>
      <c r="C815">
        <f>Sampling!E813</f>
        <v>0</v>
      </c>
      <c r="D815">
        <f>NMRPrep[[#This Row],['#]]</f>
        <v>0</v>
      </c>
      <c r="G8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5" t="e">
        <f>IF(ISBLANK(NMRPrep[[#This Row],[Total (uL) ]]), 0, NMRPrep[[#This Row],[1mM Maleic Acid (uL) ]]/NMRPrep[[#This Row],[Total (uL) ]])</f>
        <v>#DIV/0!</v>
      </c>
      <c r="I815">
        <f>2</f>
        <v>2</v>
      </c>
      <c r="J815">
        <f>4</f>
        <v>4</v>
      </c>
      <c r="K815">
        <f>1</f>
        <v>1</v>
      </c>
    </row>
    <row r="816" spans="1:11" hidden="1" x14ac:dyDescent="0.25">
      <c r="A816" s="1">
        <f>Sampling!D814</f>
        <v>0</v>
      </c>
      <c r="B816" t="str" cm="1">
        <f t="array" ref="B816">IF(ISBLANK(INDEX(SampleList[NMR],ROW()-1)),"Not Requested",INDEX(SampleList[Experiment ID],ROW()-1))</f>
        <v>Not Requested</v>
      </c>
      <c r="C816">
        <f>Sampling!E814</f>
        <v>0</v>
      </c>
      <c r="D816">
        <f>NMRPrep[[#This Row],['#]]</f>
        <v>0</v>
      </c>
      <c r="G8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6" t="e">
        <f>IF(ISBLANK(NMRPrep[[#This Row],[Total (uL) ]]), 0, NMRPrep[[#This Row],[1mM Maleic Acid (uL) ]]/NMRPrep[[#This Row],[Total (uL) ]])</f>
        <v>#DIV/0!</v>
      </c>
      <c r="I816">
        <f>2</f>
        <v>2</v>
      </c>
      <c r="J816">
        <f>4</f>
        <v>4</v>
      </c>
      <c r="K816">
        <f>1</f>
        <v>1</v>
      </c>
    </row>
    <row r="817" spans="1:11" hidden="1" x14ac:dyDescent="0.25">
      <c r="A817" s="1">
        <f>Sampling!D815</f>
        <v>0</v>
      </c>
      <c r="B817" t="str" cm="1">
        <f t="array" ref="B817">IF(ISBLANK(INDEX(SampleList[NMR],ROW()-1)),"Not Requested",INDEX(SampleList[Experiment ID],ROW()-1))</f>
        <v>Not Requested</v>
      </c>
      <c r="C817">
        <f>Sampling!E815</f>
        <v>0</v>
      </c>
      <c r="D817">
        <f>NMRPrep[[#This Row],['#]]</f>
        <v>0</v>
      </c>
      <c r="G8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7" t="e">
        <f>IF(ISBLANK(NMRPrep[[#This Row],[Total (uL) ]]), 0, NMRPrep[[#This Row],[1mM Maleic Acid (uL) ]]/NMRPrep[[#This Row],[Total (uL) ]])</f>
        <v>#DIV/0!</v>
      </c>
      <c r="I817">
        <f>2</f>
        <v>2</v>
      </c>
      <c r="J817">
        <f>4</f>
        <v>4</v>
      </c>
      <c r="K817">
        <f>1</f>
        <v>1</v>
      </c>
    </row>
    <row r="818" spans="1:11" hidden="1" x14ac:dyDescent="0.25">
      <c r="A818" s="1">
        <f>Sampling!D816</f>
        <v>0</v>
      </c>
      <c r="B818" t="str" cm="1">
        <f t="array" ref="B818">IF(ISBLANK(INDEX(SampleList[NMR],ROW()-1)),"Not Requested",INDEX(SampleList[Experiment ID],ROW()-1))</f>
        <v>Not Requested</v>
      </c>
      <c r="C818">
        <f>Sampling!E816</f>
        <v>0</v>
      </c>
      <c r="D818">
        <f>NMRPrep[[#This Row],['#]]</f>
        <v>0</v>
      </c>
      <c r="G8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8" t="e">
        <f>IF(ISBLANK(NMRPrep[[#This Row],[Total (uL) ]]), 0, NMRPrep[[#This Row],[1mM Maleic Acid (uL) ]]/NMRPrep[[#This Row],[Total (uL) ]])</f>
        <v>#DIV/0!</v>
      </c>
      <c r="I818">
        <f>2</f>
        <v>2</v>
      </c>
      <c r="J818">
        <f>4</f>
        <v>4</v>
      </c>
      <c r="K818">
        <f>1</f>
        <v>1</v>
      </c>
    </row>
    <row r="819" spans="1:11" hidden="1" x14ac:dyDescent="0.25">
      <c r="A819" s="1">
        <f>Sampling!D817</f>
        <v>0</v>
      </c>
      <c r="B819" t="str" cm="1">
        <f t="array" ref="B819">IF(ISBLANK(INDEX(SampleList[NMR],ROW()-1)),"Not Requested",INDEX(SampleList[Experiment ID],ROW()-1))</f>
        <v>Not Requested</v>
      </c>
      <c r="C819">
        <f>Sampling!E817</f>
        <v>0</v>
      </c>
      <c r="D819">
        <f>NMRPrep[[#This Row],['#]]</f>
        <v>0</v>
      </c>
      <c r="G8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19" t="e">
        <f>IF(ISBLANK(NMRPrep[[#This Row],[Total (uL) ]]), 0, NMRPrep[[#This Row],[1mM Maleic Acid (uL) ]]/NMRPrep[[#This Row],[Total (uL) ]])</f>
        <v>#DIV/0!</v>
      </c>
      <c r="I819">
        <f>2</f>
        <v>2</v>
      </c>
      <c r="J819">
        <f>4</f>
        <v>4</v>
      </c>
      <c r="K819">
        <f>1</f>
        <v>1</v>
      </c>
    </row>
    <row r="820" spans="1:11" hidden="1" x14ac:dyDescent="0.25">
      <c r="A820" s="1">
        <f>Sampling!D818</f>
        <v>0</v>
      </c>
      <c r="B820" t="str" cm="1">
        <f t="array" ref="B820">IF(ISBLANK(INDEX(SampleList[NMR],ROW()-1)),"Not Requested",INDEX(SampleList[Experiment ID],ROW()-1))</f>
        <v>Not Requested</v>
      </c>
      <c r="C820">
        <f>Sampling!E818</f>
        <v>0</v>
      </c>
      <c r="D820">
        <f>NMRPrep[[#This Row],['#]]</f>
        <v>0</v>
      </c>
      <c r="G8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0" t="e">
        <f>IF(ISBLANK(NMRPrep[[#This Row],[Total (uL) ]]), 0, NMRPrep[[#This Row],[1mM Maleic Acid (uL) ]]/NMRPrep[[#This Row],[Total (uL) ]])</f>
        <v>#DIV/0!</v>
      </c>
      <c r="I820">
        <f>2</f>
        <v>2</v>
      </c>
      <c r="J820">
        <f>4</f>
        <v>4</v>
      </c>
      <c r="K820">
        <f>1</f>
        <v>1</v>
      </c>
    </row>
    <row r="821" spans="1:11" hidden="1" x14ac:dyDescent="0.25">
      <c r="A821" s="1">
        <f>Sampling!D819</f>
        <v>0</v>
      </c>
      <c r="B821" t="str" cm="1">
        <f t="array" ref="B821">IF(ISBLANK(INDEX(SampleList[NMR],ROW()-1)),"Not Requested",INDEX(SampleList[Experiment ID],ROW()-1))</f>
        <v>Not Requested</v>
      </c>
      <c r="C821">
        <f>Sampling!E819</f>
        <v>0</v>
      </c>
      <c r="D821">
        <f>NMRPrep[[#This Row],['#]]</f>
        <v>0</v>
      </c>
      <c r="G8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1" t="e">
        <f>IF(ISBLANK(NMRPrep[[#This Row],[Total (uL) ]]), 0, NMRPrep[[#This Row],[1mM Maleic Acid (uL) ]]/NMRPrep[[#This Row],[Total (uL) ]])</f>
        <v>#DIV/0!</v>
      </c>
      <c r="I821">
        <f>2</f>
        <v>2</v>
      </c>
      <c r="J821">
        <f>4</f>
        <v>4</v>
      </c>
      <c r="K821">
        <f>1</f>
        <v>1</v>
      </c>
    </row>
    <row r="822" spans="1:11" hidden="1" x14ac:dyDescent="0.25">
      <c r="A822" s="1">
        <f>Sampling!D820</f>
        <v>0</v>
      </c>
      <c r="B822" t="str" cm="1">
        <f t="array" ref="B822">IF(ISBLANK(INDEX(SampleList[NMR],ROW()-1)),"Not Requested",INDEX(SampleList[Experiment ID],ROW()-1))</f>
        <v>Not Requested</v>
      </c>
      <c r="C822">
        <f>Sampling!E820</f>
        <v>0</v>
      </c>
      <c r="D822">
        <f>NMRPrep[[#This Row],['#]]</f>
        <v>0</v>
      </c>
      <c r="G8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2" t="e">
        <f>IF(ISBLANK(NMRPrep[[#This Row],[Total (uL) ]]), 0, NMRPrep[[#This Row],[1mM Maleic Acid (uL) ]]/NMRPrep[[#This Row],[Total (uL) ]])</f>
        <v>#DIV/0!</v>
      </c>
      <c r="I822">
        <f>2</f>
        <v>2</v>
      </c>
      <c r="J822">
        <f>4</f>
        <v>4</v>
      </c>
      <c r="K822">
        <f>1</f>
        <v>1</v>
      </c>
    </row>
    <row r="823" spans="1:11" hidden="1" x14ac:dyDescent="0.25">
      <c r="A823" s="1">
        <f>Sampling!D821</f>
        <v>0</v>
      </c>
      <c r="B823" t="str" cm="1">
        <f t="array" ref="B823">IF(ISBLANK(INDEX(SampleList[NMR],ROW()-1)),"Not Requested",INDEX(SampleList[Experiment ID],ROW()-1))</f>
        <v>Not Requested</v>
      </c>
      <c r="C823">
        <f>Sampling!E821</f>
        <v>0</v>
      </c>
      <c r="D823">
        <f>NMRPrep[[#This Row],['#]]</f>
        <v>0</v>
      </c>
      <c r="G8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3" t="e">
        <f>IF(ISBLANK(NMRPrep[[#This Row],[Total (uL) ]]), 0, NMRPrep[[#This Row],[1mM Maleic Acid (uL) ]]/NMRPrep[[#This Row],[Total (uL) ]])</f>
        <v>#DIV/0!</v>
      </c>
      <c r="I823">
        <f>2</f>
        <v>2</v>
      </c>
      <c r="J823">
        <f>4</f>
        <v>4</v>
      </c>
      <c r="K823">
        <f>1</f>
        <v>1</v>
      </c>
    </row>
    <row r="824" spans="1:11" hidden="1" x14ac:dyDescent="0.25">
      <c r="A824" s="1">
        <f>Sampling!D822</f>
        <v>0</v>
      </c>
      <c r="B824" t="str" cm="1">
        <f t="array" ref="B824">IF(ISBLANK(INDEX(SampleList[NMR],ROW()-1)),"Not Requested",INDEX(SampleList[Experiment ID],ROW()-1))</f>
        <v>Not Requested</v>
      </c>
      <c r="C824">
        <f>Sampling!E822</f>
        <v>0</v>
      </c>
      <c r="D824">
        <f>NMRPrep[[#This Row],['#]]</f>
        <v>0</v>
      </c>
      <c r="G8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4" t="e">
        <f>IF(ISBLANK(NMRPrep[[#This Row],[Total (uL) ]]), 0, NMRPrep[[#This Row],[1mM Maleic Acid (uL) ]]/NMRPrep[[#This Row],[Total (uL) ]])</f>
        <v>#DIV/0!</v>
      </c>
      <c r="I824">
        <f>2</f>
        <v>2</v>
      </c>
      <c r="J824">
        <f>4</f>
        <v>4</v>
      </c>
      <c r="K824">
        <f>1</f>
        <v>1</v>
      </c>
    </row>
    <row r="825" spans="1:11" hidden="1" x14ac:dyDescent="0.25">
      <c r="A825" s="1">
        <f>Sampling!D823</f>
        <v>0</v>
      </c>
      <c r="B825" t="str" cm="1">
        <f t="array" ref="B825">IF(ISBLANK(INDEX(SampleList[NMR],ROW()-1)),"Not Requested",INDEX(SampleList[Experiment ID],ROW()-1))</f>
        <v>Not Requested</v>
      </c>
      <c r="C825">
        <f>Sampling!E823</f>
        <v>0</v>
      </c>
      <c r="D825">
        <f>NMRPrep[[#This Row],['#]]</f>
        <v>0</v>
      </c>
      <c r="G8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5" t="e">
        <f>IF(ISBLANK(NMRPrep[[#This Row],[Total (uL) ]]), 0, NMRPrep[[#This Row],[1mM Maleic Acid (uL) ]]/NMRPrep[[#This Row],[Total (uL) ]])</f>
        <v>#DIV/0!</v>
      </c>
      <c r="I825">
        <f>2</f>
        <v>2</v>
      </c>
      <c r="J825">
        <f>4</f>
        <v>4</v>
      </c>
      <c r="K825">
        <f>1</f>
        <v>1</v>
      </c>
    </row>
    <row r="826" spans="1:11" hidden="1" x14ac:dyDescent="0.25">
      <c r="A826" s="1">
        <f>Sampling!D824</f>
        <v>0</v>
      </c>
      <c r="B826" t="str" cm="1">
        <f t="array" ref="B826">IF(ISBLANK(INDEX(SampleList[NMR],ROW()-1)),"Not Requested",INDEX(SampleList[Experiment ID],ROW()-1))</f>
        <v>Not Requested</v>
      </c>
      <c r="C826">
        <f>Sampling!E824</f>
        <v>0</v>
      </c>
      <c r="D826">
        <f>NMRPrep[[#This Row],['#]]</f>
        <v>0</v>
      </c>
      <c r="G8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6" t="e">
        <f>IF(ISBLANK(NMRPrep[[#This Row],[Total (uL) ]]), 0, NMRPrep[[#This Row],[1mM Maleic Acid (uL) ]]/NMRPrep[[#This Row],[Total (uL) ]])</f>
        <v>#DIV/0!</v>
      </c>
      <c r="I826">
        <f>2</f>
        <v>2</v>
      </c>
      <c r="J826">
        <f>4</f>
        <v>4</v>
      </c>
      <c r="K826">
        <f>1</f>
        <v>1</v>
      </c>
    </row>
    <row r="827" spans="1:11" hidden="1" x14ac:dyDescent="0.25">
      <c r="A827" s="1">
        <f>Sampling!D825</f>
        <v>0</v>
      </c>
      <c r="B827" t="str" cm="1">
        <f t="array" ref="B827">IF(ISBLANK(INDEX(SampleList[NMR],ROW()-1)),"Not Requested",INDEX(SampleList[Experiment ID],ROW()-1))</f>
        <v>Not Requested</v>
      </c>
      <c r="C827">
        <f>Sampling!E825</f>
        <v>0</v>
      </c>
      <c r="D827">
        <f>NMRPrep[[#This Row],['#]]</f>
        <v>0</v>
      </c>
      <c r="G8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7" t="e">
        <f>IF(ISBLANK(NMRPrep[[#This Row],[Total (uL) ]]), 0, NMRPrep[[#This Row],[1mM Maleic Acid (uL) ]]/NMRPrep[[#This Row],[Total (uL) ]])</f>
        <v>#DIV/0!</v>
      </c>
      <c r="I827">
        <f>2</f>
        <v>2</v>
      </c>
      <c r="J827">
        <f>4</f>
        <v>4</v>
      </c>
      <c r="K827">
        <f>1</f>
        <v>1</v>
      </c>
    </row>
    <row r="828" spans="1:11" hidden="1" x14ac:dyDescent="0.25">
      <c r="A828" s="1">
        <f>Sampling!D826</f>
        <v>0</v>
      </c>
      <c r="B828" t="str" cm="1">
        <f t="array" ref="B828">IF(ISBLANK(INDEX(SampleList[NMR],ROW()-1)),"Not Requested",INDEX(SampleList[Experiment ID],ROW()-1))</f>
        <v>Not Requested</v>
      </c>
      <c r="C828">
        <f>Sampling!E826</f>
        <v>0</v>
      </c>
      <c r="D828">
        <f>NMRPrep[[#This Row],['#]]</f>
        <v>0</v>
      </c>
      <c r="G8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8" t="e">
        <f>IF(ISBLANK(NMRPrep[[#This Row],[Total (uL) ]]), 0, NMRPrep[[#This Row],[1mM Maleic Acid (uL) ]]/NMRPrep[[#This Row],[Total (uL) ]])</f>
        <v>#DIV/0!</v>
      </c>
      <c r="I828">
        <f>2</f>
        <v>2</v>
      </c>
      <c r="J828">
        <f>4</f>
        <v>4</v>
      </c>
      <c r="K828">
        <f>1</f>
        <v>1</v>
      </c>
    </row>
    <row r="829" spans="1:11" hidden="1" x14ac:dyDescent="0.25">
      <c r="A829" s="1">
        <f>Sampling!D827</f>
        <v>0</v>
      </c>
      <c r="B829" t="str" cm="1">
        <f t="array" ref="B829">IF(ISBLANK(INDEX(SampleList[NMR],ROW()-1)),"Not Requested",INDEX(SampleList[Experiment ID],ROW()-1))</f>
        <v>Not Requested</v>
      </c>
      <c r="C829">
        <f>Sampling!E827</f>
        <v>0</v>
      </c>
      <c r="D829">
        <f>NMRPrep[[#This Row],['#]]</f>
        <v>0</v>
      </c>
      <c r="G8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29" t="e">
        <f>IF(ISBLANK(NMRPrep[[#This Row],[Total (uL) ]]), 0, NMRPrep[[#This Row],[1mM Maleic Acid (uL) ]]/NMRPrep[[#This Row],[Total (uL) ]])</f>
        <v>#DIV/0!</v>
      </c>
      <c r="I829">
        <f>2</f>
        <v>2</v>
      </c>
      <c r="J829">
        <f>4</f>
        <v>4</v>
      </c>
      <c r="K829">
        <f>1</f>
        <v>1</v>
      </c>
    </row>
    <row r="830" spans="1:11" hidden="1" x14ac:dyDescent="0.25">
      <c r="A830" s="1">
        <f>Sampling!D828</f>
        <v>0</v>
      </c>
      <c r="B830" t="str" cm="1">
        <f t="array" ref="B830">IF(ISBLANK(INDEX(SampleList[NMR],ROW()-1)),"Not Requested",INDEX(SampleList[Experiment ID],ROW()-1))</f>
        <v>Not Requested</v>
      </c>
      <c r="C830">
        <f>Sampling!E828</f>
        <v>0</v>
      </c>
      <c r="D830">
        <f>NMRPrep[[#This Row],['#]]</f>
        <v>0</v>
      </c>
      <c r="G8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0" t="e">
        <f>IF(ISBLANK(NMRPrep[[#This Row],[Total (uL) ]]), 0, NMRPrep[[#This Row],[1mM Maleic Acid (uL) ]]/NMRPrep[[#This Row],[Total (uL) ]])</f>
        <v>#DIV/0!</v>
      </c>
      <c r="I830">
        <f>2</f>
        <v>2</v>
      </c>
      <c r="J830">
        <f>4</f>
        <v>4</v>
      </c>
      <c r="K830">
        <f>1</f>
        <v>1</v>
      </c>
    </row>
    <row r="831" spans="1:11" hidden="1" x14ac:dyDescent="0.25">
      <c r="A831" s="1">
        <f>Sampling!D829</f>
        <v>0</v>
      </c>
      <c r="B831" t="str" cm="1">
        <f t="array" ref="B831">IF(ISBLANK(INDEX(SampleList[NMR],ROW()-1)),"Not Requested",INDEX(SampleList[Experiment ID],ROW()-1))</f>
        <v>Not Requested</v>
      </c>
      <c r="C831">
        <f>Sampling!E829</f>
        <v>0</v>
      </c>
      <c r="D831">
        <f>NMRPrep[[#This Row],['#]]</f>
        <v>0</v>
      </c>
      <c r="G8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1" t="e">
        <f>IF(ISBLANK(NMRPrep[[#This Row],[Total (uL) ]]), 0, NMRPrep[[#This Row],[1mM Maleic Acid (uL) ]]/NMRPrep[[#This Row],[Total (uL) ]])</f>
        <v>#DIV/0!</v>
      </c>
      <c r="I831">
        <f>2</f>
        <v>2</v>
      </c>
      <c r="J831">
        <f>4</f>
        <v>4</v>
      </c>
      <c r="K831">
        <f>1</f>
        <v>1</v>
      </c>
    </row>
    <row r="832" spans="1:11" hidden="1" x14ac:dyDescent="0.25">
      <c r="A832" s="1">
        <f>Sampling!D830</f>
        <v>0</v>
      </c>
      <c r="B832" t="str" cm="1">
        <f t="array" ref="B832">IF(ISBLANK(INDEX(SampleList[NMR],ROW()-1)),"Not Requested",INDEX(SampleList[Experiment ID],ROW()-1))</f>
        <v>Not Requested</v>
      </c>
      <c r="C832">
        <f>Sampling!E830</f>
        <v>0</v>
      </c>
      <c r="D832">
        <f>NMRPrep[[#This Row],['#]]</f>
        <v>0</v>
      </c>
      <c r="G8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2" t="e">
        <f>IF(ISBLANK(NMRPrep[[#This Row],[Total (uL) ]]), 0, NMRPrep[[#This Row],[1mM Maleic Acid (uL) ]]/NMRPrep[[#This Row],[Total (uL) ]])</f>
        <v>#DIV/0!</v>
      </c>
      <c r="I832">
        <f>2</f>
        <v>2</v>
      </c>
      <c r="J832">
        <f>4</f>
        <v>4</v>
      </c>
      <c r="K832">
        <f>1</f>
        <v>1</v>
      </c>
    </row>
    <row r="833" spans="1:11" hidden="1" x14ac:dyDescent="0.25">
      <c r="A833" s="1">
        <f>Sampling!D831</f>
        <v>0</v>
      </c>
      <c r="B833" t="str" cm="1">
        <f t="array" ref="B833">IF(ISBLANK(INDEX(SampleList[NMR],ROW()-1)),"Not Requested",INDEX(SampleList[Experiment ID],ROW()-1))</f>
        <v>Not Requested</v>
      </c>
      <c r="C833">
        <f>Sampling!E831</f>
        <v>0</v>
      </c>
      <c r="D833">
        <f>NMRPrep[[#This Row],['#]]</f>
        <v>0</v>
      </c>
      <c r="G8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3" t="e">
        <f>IF(ISBLANK(NMRPrep[[#This Row],[Total (uL) ]]), 0, NMRPrep[[#This Row],[1mM Maleic Acid (uL) ]]/NMRPrep[[#This Row],[Total (uL) ]])</f>
        <v>#DIV/0!</v>
      </c>
      <c r="I833">
        <f>2</f>
        <v>2</v>
      </c>
      <c r="J833">
        <f>4</f>
        <v>4</v>
      </c>
      <c r="K833">
        <f>1</f>
        <v>1</v>
      </c>
    </row>
    <row r="834" spans="1:11" hidden="1" x14ac:dyDescent="0.25">
      <c r="A834" s="1">
        <f>Sampling!D832</f>
        <v>0</v>
      </c>
      <c r="B834" t="str" cm="1">
        <f t="array" ref="B834">IF(ISBLANK(INDEX(SampleList[NMR],ROW()-1)),"Not Requested",INDEX(SampleList[Experiment ID],ROW()-1))</f>
        <v>Not Requested</v>
      </c>
      <c r="C834">
        <f>Sampling!E832</f>
        <v>0</v>
      </c>
      <c r="D834">
        <f>NMRPrep[[#This Row],['#]]</f>
        <v>0</v>
      </c>
      <c r="G8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4" t="e">
        <f>IF(ISBLANK(NMRPrep[[#This Row],[Total (uL) ]]), 0, NMRPrep[[#This Row],[1mM Maleic Acid (uL) ]]/NMRPrep[[#This Row],[Total (uL) ]])</f>
        <v>#DIV/0!</v>
      </c>
      <c r="I834">
        <f>2</f>
        <v>2</v>
      </c>
      <c r="J834">
        <f>4</f>
        <v>4</v>
      </c>
      <c r="K834">
        <f>1</f>
        <v>1</v>
      </c>
    </row>
    <row r="835" spans="1:11" hidden="1" x14ac:dyDescent="0.25">
      <c r="A835" s="1">
        <f>Sampling!D833</f>
        <v>0</v>
      </c>
      <c r="B835" t="str" cm="1">
        <f t="array" ref="B835">IF(ISBLANK(INDEX(SampleList[NMR],ROW()-1)),"Not Requested",INDEX(SampleList[Experiment ID],ROW()-1))</f>
        <v>Not Requested</v>
      </c>
      <c r="C835">
        <f>Sampling!E833</f>
        <v>0</v>
      </c>
      <c r="D835">
        <f>NMRPrep[[#This Row],['#]]</f>
        <v>0</v>
      </c>
      <c r="G8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5" t="e">
        <f>IF(ISBLANK(NMRPrep[[#This Row],[Total (uL) ]]), 0, NMRPrep[[#This Row],[1mM Maleic Acid (uL) ]]/NMRPrep[[#This Row],[Total (uL) ]])</f>
        <v>#DIV/0!</v>
      </c>
      <c r="I835">
        <f>2</f>
        <v>2</v>
      </c>
      <c r="J835">
        <f>4</f>
        <v>4</v>
      </c>
      <c r="K835">
        <f>1</f>
        <v>1</v>
      </c>
    </row>
    <row r="836" spans="1:11" hidden="1" x14ac:dyDescent="0.25">
      <c r="A836" s="1">
        <f>Sampling!D834</f>
        <v>0</v>
      </c>
      <c r="B836" t="str" cm="1">
        <f t="array" ref="B836">IF(ISBLANK(INDEX(SampleList[NMR],ROW()-1)),"Not Requested",INDEX(SampleList[Experiment ID],ROW()-1))</f>
        <v>Not Requested</v>
      </c>
      <c r="C836">
        <f>Sampling!E834</f>
        <v>0</v>
      </c>
      <c r="D836">
        <f>NMRPrep[[#This Row],['#]]</f>
        <v>0</v>
      </c>
      <c r="G8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6" t="e">
        <f>IF(ISBLANK(NMRPrep[[#This Row],[Total (uL) ]]), 0, NMRPrep[[#This Row],[1mM Maleic Acid (uL) ]]/NMRPrep[[#This Row],[Total (uL) ]])</f>
        <v>#DIV/0!</v>
      </c>
      <c r="I836">
        <f>2</f>
        <v>2</v>
      </c>
      <c r="J836">
        <f>4</f>
        <v>4</v>
      </c>
      <c r="K836">
        <f>1</f>
        <v>1</v>
      </c>
    </row>
    <row r="837" spans="1:11" hidden="1" x14ac:dyDescent="0.25">
      <c r="A837" s="1">
        <f>Sampling!D835</f>
        <v>0</v>
      </c>
      <c r="B837" t="str" cm="1">
        <f t="array" ref="B837">IF(ISBLANK(INDEX(SampleList[NMR],ROW()-1)),"Not Requested",INDEX(SampleList[Experiment ID],ROW()-1))</f>
        <v>Not Requested</v>
      </c>
      <c r="C837">
        <f>Sampling!E835</f>
        <v>0</v>
      </c>
      <c r="D837">
        <f>NMRPrep[[#This Row],['#]]</f>
        <v>0</v>
      </c>
      <c r="G8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7" t="e">
        <f>IF(ISBLANK(NMRPrep[[#This Row],[Total (uL) ]]), 0, NMRPrep[[#This Row],[1mM Maleic Acid (uL) ]]/NMRPrep[[#This Row],[Total (uL) ]])</f>
        <v>#DIV/0!</v>
      </c>
      <c r="I837">
        <f>2</f>
        <v>2</v>
      </c>
      <c r="J837">
        <f>4</f>
        <v>4</v>
      </c>
      <c r="K837">
        <f>1</f>
        <v>1</v>
      </c>
    </row>
    <row r="838" spans="1:11" hidden="1" x14ac:dyDescent="0.25">
      <c r="A838" s="1">
        <f>Sampling!D836</f>
        <v>0</v>
      </c>
      <c r="B838" t="str" cm="1">
        <f t="array" ref="B838">IF(ISBLANK(INDEX(SampleList[NMR],ROW()-1)),"Not Requested",INDEX(SampleList[Experiment ID],ROW()-1))</f>
        <v>Not Requested</v>
      </c>
      <c r="C838">
        <f>Sampling!E836</f>
        <v>0</v>
      </c>
      <c r="D838">
        <f>NMRPrep[[#This Row],['#]]</f>
        <v>0</v>
      </c>
      <c r="G8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8" t="e">
        <f>IF(ISBLANK(NMRPrep[[#This Row],[Total (uL) ]]), 0, NMRPrep[[#This Row],[1mM Maleic Acid (uL) ]]/NMRPrep[[#This Row],[Total (uL) ]])</f>
        <v>#DIV/0!</v>
      </c>
      <c r="I838">
        <f>2</f>
        <v>2</v>
      </c>
      <c r="J838">
        <f>4</f>
        <v>4</v>
      </c>
      <c r="K838">
        <f>1</f>
        <v>1</v>
      </c>
    </row>
    <row r="839" spans="1:11" hidden="1" x14ac:dyDescent="0.25">
      <c r="A839" s="1">
        <f>Sampling!D837</f>
        <v>0</v>
      </c>
      <c r="B839" t="str" cm="1">
        <f t="array" ref="B839">IF(ISBLANK(INDEX(SampleList[NMR],ROW()-1)),"Not Requested",INDEX(SampleList[Experiment ID],ROW()-1))</f>
        <v>Not Requested</v>
      </c>
      <c r="C839">
        <f>Sampling!E837</f>
        <v>0</v>
      </c>
      <c r="D839">
        <f>NMRPrep[[#This Row],['#]]</f>
        <v>0</v>
      </c>
      <c r="G8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39" t="e">
        <f>IF(ISBLANK(NMRPrep[[#This Row],[Total (uL) ]]), 0, NMRPrep[[#This Row],[1mM Maleic Acid (uL) ]]/NMRPrep[[#This Row],[Total (uL) ]])</f>
        <v>#DIV/0!</v>
      </c>
      <c r="I839">
        <f>2</f>
        <v>2</v>
      </c>
      <c r="J839">
        <f>4</f>
        <v>4</v>
      </c>
      <c r="K839">
        <f>1</f>
        <v>1</v>
      </c>
    </row>
    <row r="840" spans="1:11" hidden="1" x14ac:dyDescent="0.25">
      <c r="A840" s="1">
        <f>Sampling!D838</f>
        <v>0</v>
      </c>
      <c r="B840" t="str" cm="1">
        <f t="array" ref="B840">IF(ISBLANK(INDEX(SampleList[NMR],ROW()-1)),"Not Requested",INDEX(SampleList[Experiment ID],ROW()-1))</f>
        <v>Not Requested</v>
      </c>
      <c r="C840">
        <f>Sampling!E838</f>
        <v>0</v>
      </c>
      <c r="D840">
        <f>NMRPrep[[#This Row],['#]]</f>
        <v>0</v>
      </c>
      <c r="G8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0" t="e">
        <f>IF(ISBLANK(NMRPrep[[#This Row],[Total (uL) ]]), 0, NMRPrep[[#This Row],[1mM Maleic Acid (uL) ]]/NMRPrep[[#This Row],[Total (uL) ]])</f>
        <v>#DIV/0!</v>
      </c>
      <c r="I840">
        <f>2</f>
        <v>2</v>
      </c>
      <c r="J840">
        <f>4</f>
        <v>4</v>
      </c>
      <c r="K840">
        <f>1</f>
        <v>1</v>
      </c>
    </row>
    <row r="841" spans="1:11" hidden="1" x14ac:dyDescent="0.25">
      <c r="A841" s="1">
        <f>Sampling!D839</f>
        <v>0</v>
      </c>
      <c r="B841" t="str" cm="1">
        <f t="array" ref="B841">IF(ISBLANK(INDEX(SampleList[NMR],ROW()-1)),"Not Requested",INDEX(SampleList[Experiment ID],ROW()-1))</f>
        <v>Not Requested</v>
      </c>
      <c r="C841">
        <f>Sampling!E839</f>
        <v>0</v>
      </c>
      <c r="D841">
        <f>NMRPrep[[#This Row],['#]]</f>
        <v>0</v>
      </c>
      <c r="G8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1" t="e">
        <f>IF(ISBLANK(NMRPrep[[#This Row],[Total (uL) ]]), 0, NMRPrep[[#This Row],[1mM Maleic Acid (uL) ]]/NMRPrep[[#This Row],[Total (uL) ]])</f>
        <v>#DIV/0!</v>
      </c>
      <c r="I841">
        <f>2</f>
        <v>2</v>
      </c>
      <c r="J841">
        <f>4</f>
        <v>4</v>
      </c>
      <c r="K841">
        <f>1</f>
        <v>1</v>
      </c>
    </row>
    <row r="842" spans="1:11" hidden="1" x14ac:dyDescent="0.25">
      <c r="A842" s="1">
        <f>Sampling!D840</f>
        <v>0</v>
      </c>
      <c r="B842" t="str" cm="1">
        <f t="array" ref="B842">IF(ISBLANK(INDEX(SampleList[NMR],ROW()-1)),"Not Requested",INDEX(SampleList[Experiment ID],ROW()-1))</f>
        <v>Not Requested</v>
      </c>
      <c r="C842">
        <f>Sampling!E840</f>
        <v>0</v>
      </c>
      <c r="D842">
        <f>NMRPrep[[#This Row],['#]]</f>
        <v>0</v>
      </c>
      <c r="G8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2" t="e">
        <f>IF(ISBLANK(NMRPrep[[#This Row],[Total (uL) ]]), 0, NMRPrep[[#This Row],[1mM Maleic Acid (uL) ]]/NMRPrep[[#This Row],[Total (uL) ]])</f>
        <v>#DIV/0!</v>
      </c>
      <c r="I842">
        <f>2</f>
        <v>2</v>
      </c>
      <c r="J842">
        <f>4</f>
        <v>4</v>
      </c>
      <c r="K842">
        <f>1</f>
        <v>1</v>
      </c>
    </row>
    <row r="843" spans="1:11" hidden="1" x14ac:dyDescent="0.25">
      <c r="A843" s="1">
        <f>Sampling!D841</f>
        <v>0</v>
      </c>
      <c r="B843" t="str" cm="1">
        <f t="array" ref="B843">IF(ISBLANK(INDEX(SampleList[NMR],ROW()-1)),"Not Requested",INDEX(SampleList[Experiment ID],ROW()-1))</f>
        <v>Not Requested</v>
      </c>
      <c r="C843">
        <f>Sampling!E841</f>
        <v>0</v>
      </c>
      <c r="D843">
        <f>NMRPrep[[#This Row],['#]]</f>
        <v>0</v>
      </c>
      <c r="G8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3" t="e">
        <f>IF(ISBLANK(NMRPrep[[#This Row],[Total (uL) ]]), 0, NMRPrep[[#This Row],[1mM Maleic Acid (uL) ]]/NMRPrep[[#This Row],[Total (uL) ]])</f>
        <v>#DIV/0!</v>
      </c>
      <c r="I843">
        <f>2</f>
        <v>2</v>
      </c>
      <c r="J843">
        <f>4</f>
        <v>4</v>
      </c>
      <c r="K843">
        <f>1</f>
        <v>1</v>
      </c>
    </row>
    <row r="844" spans="1:11" hidden="1" x14ac:dyDescent="0.25">
      <c r="A844" s="1">
        <f>Sampling!D842</f>
        <v>0</v>
      </c>
      <c r="B844" t="str" cm="1">
        <f t="array" ref="B844">IF(ISBLANK(INDEX(SampleList[NMR],ROW()-1)),"Not Requested",INDEX(SampleList[Experiment ID],ROW()-1))</f>
        <v>Not Requested</v>
      </c>
      <c r="C844">
        <f>Sampling!E842</f>
        <v>0</v>
      </c>
      <c r="D844">
        <f>NMRPrep[[#This Row],['#]]</f>
        <v>0</v>
      </c>
      <c r="G8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4" t="e">
        <f>IF(ISBLANK(NMRPrep[[#This Row],[Total (uL) ]]), 0, NMRPrep[[#This Row],[1mM Maleic Acid (uL) ]]/NMRPrep[[#This Row],[Total (uL) ]])</f>
        <v>#DIV/0!</v>
      </c>
      <c r="I844">
        <f>2</f>
        <v>2</v>
      </c>
      <c r="J844">
        <f>4</f>
        <v>4</v>
      </c>
      <c r="K844">
        <f>1</f>
        <v>1</v>
      </c>
    </row>
    <row r="845" spans="1:11" hidden="1" x14ac:dyDescent="0.25">
      <c r="A845" s="1">
        <f>Sampling!D843</f>
        <v>0</v>
      </c>
      <c r="B845" t="str" cm="1">
        <f t="array" ref="B845">IF(ISBLANK(INDEX(SampleList[NMR],ROW()-1)),"Not Requested",INDEX(SampleList[Experiment ID],ROW()-1))</f>
        <v>Not Requested</v>
      </c>
      <c r="C845">
        <f>Sampling!E843</f>
        <v>0</v>
      </c>
      <c r="D845">
        <f>NMRPrep[[#This Row],['#]]</f>
        <v>0</v>
      </c>
      <c r="G8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5" t="e">
        <f>IF(ISBLANK(NMRPrep[[#This Row],[Total (uL) ]]), 0, NMRPrep[[#This Row],[1mM Maleic Acid (uL) ]]/NMRPrep[[#This Row],[Total (uL) ]])</f>
        <v>#DIV/0!</v>
      </c>
      <c r="I845">
        <f>2</f>
        <v>2</v>
      </c>
      <c r="J845">
        <f>4</f>
        <v>4</v>
      </c>
      <c r="K845">
        <f>1</f>
        <v>1</v>
      </c>
    </row>
    <row r="846" spans="1:11" hidden="1" x14ac:dyDescent="0.25">
      <c r="A846" s="1">
        <f>Sampling!D844</f>
        <v>0</v>
      </c>
      <c r="B846" t="str" cm="1">
        <f t="array" ref="B846">IF(ISBLANK(INDEX(SampleList[NMR],ROW()-1)),"Not Requested",INDEX(SampleList[Experiment ID],ROW()-1))</f>
        <v>Not Requested</v>
      </c>
      <c r="C846">
        <f>Sampling!E844</f>
        <v>0</v>
      </c>
      <c r="D846">
        <f>NMRPrep[[#This Row],['#]]</f>
        <v>0</v>
      </c>
      <c r="G8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6" t="e">
        <f>IF(ISBLANK(NMRPrep[[#This Row],[Total (uL) ]]), 0, NMRPrep[[#This Row],[1mM Maleic Acid (uL) ]]/NMRPrep[[#This Row],[Total (uL) ]])</f>
        <v>#DIV/0!</v>
      </c>
      <c r="I846">
        <f>2</f>
        <v>2</v>
      </c>
      <c r="J846">
        <f>4</f>
        <v>4</v>
      </c>
      <c r="K846">
        <f>1</f>
        <v>1</v>
      </c>
    </row>
    <row r="847" spans="1:11" hidden="1" x14ac:dyDescent="0.25">
      <c r="A847" s="1">
        <f>Sampling!D845</f>
        <v>0</v>
      </c>
      <c r="B847" t="str" cm="1">
        <f t="array" ref="B847">IF(ISBLANK(INDEX(SampleList[NMR],ROW()-1)),"Not Requested",INDEX(SampleList[Experiment ID],ROW()-1))</f>
        <v>Not Requested</v>
      </c>
      <c r="C847">
        <f>Sampling!E845</f>
        <v>0</v>
      </c>
      <c r="D847">
        <f>NMRPrep[[#This Row],['#]]</f>
        <v>0</v>
      </c>
      <c r="G8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7" t="e">
        <f>IF(ISBLANK(NMRPrep[[#This Row],[Total (uL) ]]), 0, NMRPrep[[#This Row],[1mM Maleic Acid (uL) ]]/NMRPrep[[#This Row],[Total (uL) ]])</f>
        <v>#DIV/0!</v>
      </c>
      <c r="I847">
        <f>2</f>
        <v>2</v>
      </c>
      <c r="J847">
        <f>4</f>
        <v>4</v>
      </c>
      <c r="K847">
        <f>1</f>
        <v>1</v>
      </c>
    </row>
    <row r="848" spans="1:11" hidden="1" x14ac:dyDescent="0.25">
      <c r="A848" s="1">
        <f>Sampling!D846</f>
        <v>0</v>
      </c>
      <c r="B848" t="str" cm="1">
        <f t="array" ref="B848">IF(ISBLANK(INDEX(SampleList[NMR],ROW()-1)),"Not Requested",INDEX(SampleList[Experiment ID],ROW()-1))</f>
        <v>Not Requested</v>
      </c>
      <c r="C848">
        <f>Sampling!E846</f>
        <v>0</v>
      </c>
      <c r="D848">
        <f>NMRPrep[[#This Row],['#]]</f>
        <v>0</v>
      </c>
      <c r="G8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8" t="e">
        <f>IF(ISBLANK(NMRPrep[[#This Row],[Total (uL) ]]), 0, NMRPrep[[#This Row],[1mM Maleic Acid (uL) ]]/NMRPrep[[#This Row],[Total (uL) ]])</f>
        <v>#DIV/0!</v>
      </c>
      <c r="I848">
        <f>2</f>
        <v>2</v>
      </c>
      <c r="J848">
        <f>4</f>
        <v>4</v>
      </c>
      <c r="K848">
        <f>1</f>
        <v>1</v>
      </c>
    </row>
    <row r="849" spans="1:11" hidden="1" x14ac:dyDescent="0.25">
      <c r="A849" s="1">
        <f>Sampling!D847</f>
        <v>0</v>
      </c>
      <c r="B849" t="str" cm="1">
        <f t="array" ref="B849">IF(ISBLANK(INDEX(SampleList[NMR],ROW()-1)),"Not Requested",INDEX(SampleList[Experiment ID],ROW()-1))</f>
        <v>Not Requested</v>
      </c>
      <c r="C849">
        <f>Sampling!E847</f>
        <v>0</v>
      </c>
      <c r="D849">
        <f>NMRPrep[[#This Row],['#]]</f>
        <v>0</v>
      </c>
      <c r="G8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49" t="e">
        <f>IF(ISBLANK(NMRPrep[[#This Row],[Total (uL) ]]), 0, NMRPrep[[#This Row],[1mM Maleic Acid (uL) ]]/NMRPrep[[#This Row],[Total (uL) ]])</f>
        <v>#DIV/0!</v>
      </c>
      <c r="I849">
        <f>2</f>
        <v>2</v>
      </c>
      <c r="J849">
        <f>4</f>
        <v>4</v>
      </c>
      <c r="K849">
        <f>1</f>
        <v>1</v>
      </c>
    </row>
    <row r="850" spans="1:11" hidden="1" x14ac:dyDescent="0.25">
      <c r="A850" s="1">
        <f>Sampling!D848</f>
        <v>0</v>
      </c>
      <c r="B850" t="str" cm="1">
        <f t="array" ref="B850">IF(ISBLANK(INDEX(SampleList[NMR],ROW()-1)),"Not Requested",INDEX(SampleList[Experiment ID],ROW()-1))</f>
        <v>Not Requested</v>
      </c>
      <c r="C850">
        <f>Sampling!E848</f>
        <v>0</v>
      </c>
      <c r="D850">
        <f>NMRPrep[[#This Row],['#]]</f>
        <v>0</v>
      </c>
      <c r="G8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0" t="e">
        <f>IF(ISBLANK(NMRPrep[[#This Row],[Total (uL) ]]), 0, NMRPrep[[#This Row],[1mM Maleic Acid (uL) ]]/NMRPrep[[#This Row],[Total (uL) ]])</f>
        <v>#DIV/0!</v>
      </c>
      <c r="I850">
        <f>2</f>
        <v>2</v>
      </c>
      <c r="J850">
        <f>4</f>
        <v>4</v>
      </c>
      <c r="K850">
        <f>1</f>
        <v>1</v>
      </c>
    </row>
    <row r="851" spans="1:11" hidden="1" x14ac:dyDescent="0.25">
      <c r="A851" s="1">
        <f>Sampling!D849</f>
        <v>0</v>
      </c>
      <c r="B851" t="str" cm="1">
        <f t="array" ref="B851">IF(ISBLANK(INDEX(SampleList[NMR],ROW()-1)),"Not Requested",INDEX(SampleList[Experiment ID],ROW()-1))</f>
        <v>Not Requested</v>
      </c>
      <c r="C851">
        <f>Sampling!E849</f>
        <v>0</v>
      </c>
      <c r="D851">
        <f>NMRPrep[[#This Row],['#]]</f>
        <v>0</v>
      </c>
      <c r="G8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1" t="e">
        <f>IF(ISBLANK(NMRPrep[[#This Row],[Total (uL) ]]), 0, NMRPrep[[#This Row],[1mM Maleic Acid (uL) ]]/NMRPrep[[#This Row],[Total (uL) ]])</f>
        <v>#DIV/0!</v>
      </c>
      <c r="I851">
        <f>2</f>
        <v>2</v>
      </c>
      <c r="J851">
        <f>4</f>
        <v>4</v>
      </c>
      <c r="K851">
        <f>1</f>
        <v>1</v>
      </c>
    </row>
    <row r="852" spans="1:11" hidden="1" x14ac:dyDescent="0.25">
      <c r="A852" s="1">
        <f>Sampling!D850</f>
        <v>0</v>
      </c>
      <c r="B852" t="str" cm="1">
        <f t="array" ref="B852">IF(ISBLANK(INDEX(SampleList[NMR],ROW()-1)),"Not Requested",INDEX(SampleList[Experiment ID],ROW()-1))</f>
        <v>Not Requested</v>
      </c>
      <c r="C852">
        <f>Sampling!E850</f>
        <v>0</v>
      </c>
      <c r="D852">
        <f>NMRPrep[[#This Row],['#]]</f>
        <v>0</v>
      </c>
      <c r="G8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2" t="e">
        <f>IF(ISBLANK(NMRPrep[[#This Row],[Total (uL) ]]), 0, NMRPrep[[#This Row],[1mM Maleic Acid (uL) ]]/NMRPrep[[#This Row],[Total (uL) ]])</f>
        <v>#DIV/0!</v>
      </c>
      <c r="I852">
        <f>2</f>
        <v>2</v>
      </c>
      <c r="J852">
        <f>4</f>
        <v>4</v>
      </c>
      <c r="K852">
        <f>1</f>
        <v>1</v>
      </c>
    </row>
    <row r="853" spans="1:11" hidden="1" x14ac:dyDescent="0.25">
      <c r="A853" s="1">
        <f>Sampling!D851</f>
        <v>0</v>
      </c>
      <c r="B853" t="str" cm="1">
        <f t="array" ref="B853">IF(ISBLANK(INDEX(SampleList[NMR],ROW()-1)),"Not Requested",INDEX(SampleList[Experiment ID],ROW()-1))</f>
        <v>Not Requested</v>
      </c>
      <c r="C853">
        <f>Sampling!E851</f>
        <v>0</v>
      </c>
      <c r="D853">
        <f>NMRPrep[[#This Row],['#]]</f>
        <v>0</v>
      </c>
      <c r="G8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3" t="e">
        <f>IF(ISBLANK(NMRPrep[[#This Row],[Total (uL) ]]), 0, NMRPrep[[#This Row],[1mM Maleic Acid (uL) ]]/NMRPrep[[#This Row],[Total (uL) ]])</f>
        <v>#DIV/0!</v>
      </c>
      <c r="I853">
        <f>2</f>
        <v>2</v>
      </c>
      <c r="J853">
        <f>4</f>
        <v>4</v>
      </c>
      <c r="K853">
        <f>1</f>
        <v>1</v>
      </c>
    </row>
    <row r="854" spans="1:11" hidden="1" x14ac:dyDescent="0.25">
      <c r="A854" s="1">
        <f>Sampling!D852</f>
        <v>0</v>
      </c>
      <c r="B854" t="str" cm="1">
        <f t="array" ref="B854">IF(ISBLANK(INDEX(SampleList[NMR],ROW()-1)),"Not Requested",INDEX(SampleList[Experiment ID],ROW()-1))</f>
        <v>Not Requested</v>
      </c>
      <c r="C854">
        <f>Sampling!E852</f>
        <v>0</v>
      </c>
      <c r="D854">
        <f>NMRPrep[[#This Row],['#]]</f>
        <v>0</v>
      </c>
      <c r="G8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4" t="e">
        <f>IF(ISBLANK(NMRPrep[[#This Row],[Total (uL) ]]), 0, NMRPrep[[#This Row],[1mM Maleic Acid (uL) ]]/NMRPrep[[#This Row],[Total (uL) ]])</f>
        <v>#DIV/0!</v>
      </c>
      <c r="I854">
        <f>2</f>
        <v>2</v>
      </c>
      <c r="J854">
        <f>4</f>
        <v>4</v>
      </c>
      <c r="K854">
        <f>1</f>
        <v>1</v>
      </c>
    </row>
    <row r="855" spans="1:11" hidden="1" x14ac:dyDescent="0.25">
      <c r="A855" s="1">
        <f>Sampling!D853</f>
        <v>0</v>
      </c>
      <c r="B855" t="str" cm="1">
        <f t="array" ref="B855">IF(ISBLANK(INDEX(SampleList[NMR],ROW()-1)),"Not Requested",INDEX(SampleList[Experiment ID],ROW()-1))</f>
        <v>Not Requested</v>
      </c>
      <c r="C855">
        <f>Sampling!E853</f>
        <v>0</v>
      </c>
      <c r="D855">
        <f>NMRPrep[[#This Row],['#]]</f>
        <v>0</v>
      </c>
      <c r="G8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5" t="e">
        <f>IF(ISBLANK(NMRPrep[[#This Row],[Total (uL) ]]), 0, NMRPrep[[#This Row],[1mM Maleic Acid (uL) ]]/NMRPrep[[#This Row],[Total (uL) ]])</f>
        <v>#DIV/0!</v>
      </c>
      <c r="I855">
        <f>2</f>
        <v>2</v>
      </c>
      <c r="J855">
        <f>4</f>
        <v>4</v>
      </c>
      <c r="K855">
        <f>1</f>
        <v>1</v>
      </c>
    </row>
    <row r="856" spans="1:11" hidden="1" x14ac:dyDescent="0.25">
      <c r="A856" s="1">
        <f>Sampling!D854</f>
        <v>0</v>
      </c>
      <c r="B856" t="str" cm="1">
        <f t="array" ref="B856">IF(ISBLANK(INDEX(SampleList[NMR],ROW()-1)),"Not Requested",INDEX(SampleList[Experiment ID],ROW()-1))</f>
        <v>Not Requested</v>
      </c>
      <c r="C856">
        <f>Sampling!E854</f>
        <v>0</v>
      </c>
      <c r="D856">
        <f>NMRPrep[[#This Row],['#]]</f>
        <v>0</v>
      </c>
      <c r="G8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6" t="e">
        <f>IF(ISBLANK(NMRPrep[[#This Row],[Total (uL) ]]), 0, NMRPrep[[#This Row],[1mM Maleic Acid (uL) ]]/NMRPrep[[#This Row],[Total (uL) ]])</f>
        <v>#DIV/0!</v>
      </c>
      <c r="I856">
        <f>2</f>
        <v>2</v>
      </c>
      <c r="J856">
        <f>4</f>
        <v>4</v>
      </c>
      <c r="K856">
        <f>1</f>
        <v>1</v>
      </c>
    </row>
    <row r="857" spans="1:11" hidden="1" x14ac:dyDescent="0.25">
      <c r="A857" s="1">
        <f>Sampling!D855</f>
        <v>0</v>
      </c>
      <c r="B857" t="str" cm="1">
        <f t="array" ref="B857">IF(ISBLANK(INDEX(SampleList[NMR],ROW()-1)),"Not Requested",INDEX(SampleList[Experiment ID],ROW()-1))</f>
        <v>Not Requested</v>
      </c>
      <c r="C857">
        <f>Sampling!E855</f>
        <v>0</v>
      </c>
      <c r="D857">
        <f>NMRPrep[[#This Row],['#]]</f>
        <v>0</v>
      </c>
      <c r="G8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7" t="e">
        <f>IF(ISBLANK(NMRPrep[[#This Row],[Total (uL) ]]), 0, NMRPrep[[#This Row],[1mM Maleic Acid (uL) ]]/NMRPrep[[#This Row],[Total (uL) ]])</f>
        <v>#DIV/0!</v>
      </c>
      <c r="I857">
        <f>2</f>
        <v>2</v>
      </c>
      <c r="J857">
        <f>4</f>
        <v>4</v>
      </c>
      <c r="K857">
        <f>1</f>
        <v>1</v>
      </c>
    </row>
    <row r="858" spans="1:11" hidden="1" x14ac:dyDescent="0.25">
      <c r="A858" s="1">
        <f>Sampling!D856</f>
        <v>0</v>
      </c>
      <c r="B858" t="str" cm="1">
        <f t="array" ref="B858">IF(ISBLANK(INDEX(SampleList[NMR],ROW()-1)),"Not Requested",INDEX(SampleList[Experiment ID],ROW()-1))</f>
        <v>Not Requested</v>
      </c>
      <c r="C858">
        <f>Sampling!E856</f>
        <v>0</v>
      </c>
      <c r="D858">
        <f>NMRPrep[[#This Row],['#]]</f>
        <v>0</v>
      </c>
      <c r="G8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8" t="e">
        <f>IF(ISBLANK(NMRPrep[[#This Row],[Total (uL) ]]), 0, NMRPrep[[#This Row],[1mM Maleic Acid (uL) ]]/NMRPrep[[#This Row],[Total (uL) ]])</f>
        <v>#DIV/0!</v>
      </c>
      <c r="I858">
        <f>2</f>
        <v>2</v>
      </c>
      <c r="J858">
        <f>4</f>
        <v>4</v>
      </c>
      <c r="K858">
        <f>1</f>
        <v>1</v>
      </c>
    </row>
    <row r="859" spans="1:11" hidden="1" x14ac:dyDescent="0.25">
      <c r="A859" s="1">
        <f>Sampling!D857</f>
        <v>0</v>
      </c>
      <c r="B859" t="str" cm="1">
        <f t="array" ref="B859">IF(ISBLANK(INDEX(SampleList[NMR],ROW()-1)),"Not Requested",INDEX(SampleList[Experiment ID],ROW()-1))</f>
        <v>Not Requested</v>
      </c>
      <c r="C859">
        <f>Sampling!E857</f>
        <v>0</v>
      </c>
      <c r="D859">
        <f>NMRPrep[[#This Row],['#]]</f>
        <v>1</v>
      </c>
      <c r="G8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59">
        <f>IF(ISBLANK(NMRPrep[[#This Row],[Total (uL) ]]), 0, NMRPrep[[#This Row],[1mM Maleic Acid (uL) ]]/NMRPrep[[#This Row],[Total (uL) ]])</f>
        <v>7.7279752704791344E-2</v>
      </c>
      <c r="I859">
        <f>2</f>
        <v>2</v>
      </c>
      <c r="J859">
        <f>4</f>
        <v>4</v>
      </c>
      <c r="K859">
        <f>1</f>
        <v>1</v>
      </c>
    </row>
    <row r="860" spans="1:11" hidden="1" x14ac:dyDescent="0.25">
      <c r="A860" s="1">
        <f>Sampling!D858</f>
        <v>0</v>
      </c>
      <c r="B860" t="str" cm="1">
        <f t="array" ref="B860">IF(ISBLANK(INDEX(SampleList[NMR],ROW()-1)),"Not Requested",INDEX(SampleList[Experiment ID],ROW()-1))</f>
        <v>Not Requested</v>
      </c>
      <c r="C860">
        <f>Sampling!E858</f>
        <v>0</v>
      </c>
      <c r="D860">
        <f>NMRPrep[[#This Row],['#]]</f>
        <v>2</v>
      </c>
      <c r="G8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0">
        <f>IF(ISBLANK(NMRPrep[[#This Row],[Total (uL) ]]), 0, NMRPrep[[#This Row],[1mM Maleic Acid (uL) ]]/NMRPrep[[#This Row],[Total (uL) ]])</f>
        <v>7.7279752704791344E-2</v>
      </c>
      <c r="I860">
        <f>2</f>
        <v>2</v>
      </c>
      <c r="J860">
        <f>4</f>
        <v>4</v>
      </c>
      <c r="K860">
        <f>1</f>
        <v>1</v>
      </c>
    </row>
    <row r="861" spans="1:11" hidden="1" x14ac:dyDescent="0.25">
      <c r="A861" s="1">
        <f>Sampling!D859</f>
        <v>0</v>
      </c>
      <c r="B861" t="str" cm="1">
        <f t="array" ref="B861">IF(ISBLANK(INDEX(SampleList[NMR],ROW()-1)),"Not Requested",INDEX(SampleList[Experiment ID],ROW()-1))</f>
        <v>Not Requested</v>
      </c>
      <c r="C861">
        <f>Sampling!E859</f>
        <v>0</v>
      </c>
      <c r="D861">
        <f>NMRPrep[[#This Row],['#]]</f>
        <v>3</v>
      </c>
      <c r="G8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1">
        <f>IF(ISBLANK(NMRPrep[[#This Row],[Total (uL) ]]), 0, NMRPrep[[#This Row],[1mM Maleic Acid (uL) ]]/NMRPrep[[#This Row],[Total (uL) ]])</f>
        <v>7.7279752704791344E-2</v>
      </c>
      <c r="I861">
        <f>2</f>
        <v>2</v>
      </c>
      <c r="J861">
        <f>4</f>
        <v>4</v>
      </c>
      <c r="K861">
        <f>1</f>
        <v>1</v>
      </c>
    </row>
    <row r="862" spans="1:11" hidden="1" x14ac:dyDescent="0.25">
      <c r="A862" s="1">
        <f>Sampling!D860</f>
        <v>0</v>
      </c>
      <c r="B862" t="str" cm="1">
        <f t="array" ref="B862">IF(ISBLANK(INDEX(SampleList[NMR],ROW()-1)),"Not Requested",INDEX(SampleList[Experiment ID],ROW()-1))</f>
        <v>Not Requested</v>
      </c>
      <c r="C862">
        <f>Sampling!E860</f>
        <v>0</v>
      </c>
      <c r="D862">
        <f>NMRPrep[[#This Row],['#]]</f>
        <v>4</v>
      </c>
      <c r="G8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2">
        <f>IF(ISBLANK(NMRPrep[[#This Row],[Total (uL) ]]), 0, NMRPrep[[#This Row],[1mM Maleic Acid (uL) ]]/NMRPrep[[#This Row],[Total (uL) ]])</f>
        <v>7.7279752704791344E-2</v>
      </c>
      <c r="I862">
        <f>2</f>
        <v>2</v>
      </c>
      <c r="J862">
        <f>4</f>
        <v>4</v>
      </c>
      <c r="K862">
        <f>1</f>
        <v>1</v>
      </c>
    </row>
    <row r="863" spans="1:11" hidden="1" x14ac:dyDescent="0.25">
      <c r="A863" s="1">
        <f>Sampling!D861</f>
        <v>0</v>
      </c>
      <c r="B863" t="str" cm="1">
        <f t="array" ref="B863">IF(ISBLANK(INDEX(SampleList[NMR],ROW()-1)),"Not Requested",INDEX(SampleList[Experiment ID],ROW()-1))</f>
        <v>Not Requested</v>
      </c>
      <c r="C863">
        <f>Sampling!E861</f>
        <v>0</v>
      </c>
      <c r="D863">
        <f>NMRPrep[[#This Row],['#]]</f>
        <v>6</v>
      </c>
      <c r="G8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3">
        <f>IF(ISBLANK(NMRPrep[[#This Row],[Total (uL) ]]), 0, NMRPrep[[#This Row],[1mM Maleic Acid (uL) ]]/NMRPrep[[#This Row],[Total (uL) ]])</f>
        <v>7.7279752704791344E-2</v>
      </c>
      <c r="I863">
        <f>2</f>
        <v>2</v>
      </c>
      <c r="J863">
        <f>4</f>
        <v>4</v>
      </c>
      <c r="K863">
        <f>1</f>
        <v>1</v>
      </c>
    </row>
    <row r="864" spans="1:11" hidden="1" x14ac:dyDescent="0.25">
      <c r="A864" s="1">
        <f>Sampling!D862</f>
        <v>0</v>
      </c>
      <c r="B864" t="str" cm="1">
        <f t="array" ref="B864">IF(ISBLANK(INDEX(SampleList[NMR],ROW()-1)),"Not Requested",INDEX(SampleList[Experiment ID],ROW()-1))</f>
        <v>Not Requested</v>
      </c>
      <c r="C864">
        <f>Sampling!E862</f>
        <v>0</v>
      </c>
      <c r="D864">
        <f>NMRPrep[[#This Row],['#]]</f>
        <v>5</v>
      </c>
      <c r="G8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4">
        <f>IF(ISBLANK(NMRPrep[[#This Row],[Total (uL) ]]), 0, NMRPrep[[#This Row],[1mM Maleic Acid (uL) ]]/NMRPrep[[#This Row],[Total (uL) ]])</f>
        <v>7.7279752704791344E-2</v>
      </c>
      <c r="I864">
        <f>2</f>
        <v>2</v>
      </c>
      <c r="J864">
        <f>4</f>
        <v>4</v>
      </c>
      <c r="K864">
        <f>1</f>
        <v>1</v>
      </c>
    </row>
    <row r="865" spans="1:11" hidden="1" x14ac:dyDescent="0.25">
      <c r="A865" s="1">
        <f>Sampling!D863</f>
        <v>0</v>
      </c>
      <c r="B865" t="str" cm="1">
        <f t="array" ref="B865">IF(ISBLANK(INDEX(SampleList[NMR],ROW()-1)),"Not Requested",INDEX(SampleList[Experiment ID],ROW()-1))</f>
        <v>Not Requested</v>
      </c>
      <c r="C865">
        <f>Sampling!E863</f>
        <v>0</v>
      </c>
      <c r="D865">
        <f>NMRPrep[[#This Row],['#]]</f>
        <v>7</v>
      </c>
      <c r="G8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5">
        <f>IF(ISBLANK(NMRPrep[[#This Row],[Total (uL) ]]), 0, NMRPrep[[#This Row],[1mM Maleic Acid (uL) ]]/NMRPrep[[#This Row],[Total (uL) ]])</f>
        <v>7.7279752704791344E-2</v>
      </c>
      <c r="I865">
        <f>2</f>
        <v>2</v>
      </c>
      <c r="J865">
        <f>4</f>
        <v>4</v>
      </c>
      <c r="K865">
        <f>1</f>
        <v>1</v>
      </c>
    </row>
    <row r="866" spans="1:11" hidden="1" x14ac:dyDescent="0.25">
      <c r="A866" s="1">
        <f>Sampling!D864</f>
        <v>0</v>
      </c>
      <c r="B866" t="str" cm="1">
        <f t="array" ref="B866">IF(ISBLANK(INDEX(SampleList[NMR],ROW()-1)),"Not Requested",INDEX(SampleList[Experiment ID],ROW()-1))</f>
        <v>Not Requested</v>
      </c>
      <c r="C866">
        <f>Sampling!E864</f>
        <v>0</v>
      </c>
      <c r="D866">
        <f>NMRPrep[[#This Row],['#]]</f>
        <v>8</v>
      </c>
      <c r="G8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6">
        <f>IF(ISBLANK(NMRPrep[[#This Row],[Total (uL) ]]), 0, NMRPrep[[#This Row],[1mM Maleic Acid (uL) ]]/NMRPrep[[#This Row],[Total (uL) ]])</f>
        <v>7.7279752704791344E-2</v>
      </c>
      <c r="I866">
        <f>2</f>
        <v>2</v>
      </c>
      <c r="J866">
        <f>4</f>
        <v>4</v>
      </c>
      <c r="K866">
        <f>1</f>
        <v>1</v>
      </c>
    </row>
    <row r="867" spans="1:11" hidden="1" x14ac:dyDescent="0.25">
      <c r="A867" s="1">
        <f>Sampling!D865</f>
        <v>0</v>
      </c>
      <c r="B867" t="str" cm="1">
        <f t="array" ref="B867">IF(ISBLANK(INDEX(SampleList[NMR],ROW()-1)),"Not Requested",INDEX(SampleList[Experiment ID],ROW()-1))</f>
        <v>Not Requested</v>
      </c>
      <c r="C867">
        <f>Sampling!E865</f>
        <v>0</v>
      </c>
      <c r="D867">
        <f>NMRPrep[[#This Row],['#]]</f>
        <v>9</v>
      </c>
      <c r="G8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7">
        <f>IF(ISBLANK(NMRPrep[[#This Row],[Total (uL) ]]), 0, NMRPrep[[#This Row],[1mM Maleic Acid (uL) ]]/NMRPrep[[#This Row],[Total (uL) ]])</f>
        <v>7.7279752704791344E-2</v>
      </c>
      <c r="I867">
        <f>2</f>
        <v>2</v>
      </c>
      <c r="J867">
        <f>4</f>
        <v>4</v>
      </c>
      <c r="K867">
        <f>1</f>
        <v>1</v>
      </c>
    </row>
    <row r="868" spans="1:11" hidden="1" x14ac:dyDescent="0.25">
      <c r="A868" s="1">
        <f>Sampling!D866</f>
        <v>0</v>
      </c>
      <c r="B868" t="str" cm="1">
        <f t="array" ref="B868">IF(ISBLANK(INDEX(SampleList[NMR],ROW()-1)),"Not Requested",INDEX(SampleList[Experiment ID],ROW()-1))</f>
        <v>Not Requested</v>
      </c>
      <c r="C868">
        <f>Sampling!E866</f>
        <v>0</v>
      </c>
      <c r="D868">
        <f>NMRPrep[[#This Row],['#]]</f>
        <v>10</v>
      </c>
      <c r="G8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8">
        <f>IF(ISBLANK(NMRPrep[[#This Row],[Total (uL) ]]), 0, NMRPrep[[#This Row],[1mM Maleic Acid (uL) ]]/NMRPrep[[#This Row],[Total (uL) ]])</f>
        <v>7.7279752704791344E-2</v>
      </c>
      <c r="I868">
        <f>2</f>
        <v>2</v>
      </c>
      <c r="J868">
        <f>4</f>
        <v>4</v>
      </c>
      <c r="K868">
        <f>1</f>
        <v>1</v>
      </c>
    </row>
    <row r="869" spans="1:11" hidden="1" x14ac:dyDescent="0.25">
      <c r="A869" s="1">
        <f>Sampling!D867</f>
        <v>0</v>
      </c>
      <c r="B869" t="str" cm="1">
        <f t="array" ref="B869">IF(ISBLANK(INDEX(SampleList[NMR],ROW()-1)),"Not Requested",INDEX(SampleList[Experiment ID],ROW()-1))</f>
        <v>Not Requested</v>
      </c>
      <c r="C869">
        <f>Sampling!E867</f>
        <v>0</v>
      </c>
      <c r="D869">
        <f>NMRPrep[[#This Row],['#]]</f>
        <v>11</v>
      </c>
      <c r="G8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69">
        <f>IF(ISBLANK(NMRPrep[[#This Row],[Total (uL) ]]), 0, NMRPrep[[#This Row],[1mM Maleic Acid (uL) ]]/NMRPrep[[#This Row],[Total (uL) ]])</f>
        <v>7.7279752704791344E-2</v>
      </c>
      <c r="I869">
        <f>2</f>
        <v>2</v>
      </c>
      <c r="J869">
        <f>4</f>
        <v>4</v>
      </c>
      <c r="K869">
        <f>1</f>
        <v>1</v>
      </c>
    </row>
    <row r="870" spans="1:11" hidden="1" x14ac:dyDescent="0.25">
      <c r="A870" s="1">
        <f>Sampling!D868</f>
        <v>0</v>
      </c>
      <c r="B870" t="str" cm="1">
        <f t="array" ref="B870">IF(ISBLANK(INDEX(SampleList[NMR],ROW()-1)),"Not Requested",INDEX(SampleList[Experiment ID],ROW()-1))</f>
        <v>Not Requested</v>
      </c>
      <c r="C870">
        <f>Sampling!E868</f>
        <v>0</v>
      </c>
      <c r="D870">
        <f>NMRPrep[[#This Row],['#]]</f>
        <v>12</v>
      </c>
      <c r="G8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0">
        <f>IF(ISBLANK(NMRPrep[[#This Row],[Total (uL) ]]), 0, NMRPrep[[#This Row],[1mM Maleic Acid (uL) ]]/NMRPrep[[#This Row],[Total (uL) ]])</f>
        <v>7.7279752704791344E-2</v>
      </c>
      <c r="I870">
        <f>2</f>
        <v>2</v>
      </c>
      <c r="J870">
        <f>4</f>
        <v>4</v>
      </c>
      <c r="K870">
        <f>1</f>
        <v>1</v>
      </c>
    </row>
    <row r="871" spans="1:11" hidden="1" x14ac:dyDescent="0.25">
      <c r="A871" s="1">
        <f>Sampling!D869</f>
        <v>0</v>
      </c>
      <c r="B871" t="str" cm="1">
        <f t="array" ref="B871">IF(ISBLANK(INDEX(SampleList[NMR],ROW()-1)),"Not Requested",INDEX(SampleList[Experiment ID],ROW()-1))</f>
        <v>Not Requested</v>
      </c>
      <c r="C871">
        <f>Sampling!E869</f>
        <v>0</v>
      </c>
      <c r="D871">
        <f>NMRPrep[[#This Row],['#]]</f>
        <v>0</v>
      </c>
      <c r="G8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1" t="e">
        <f>IF(ISBLANK(NMRPrep[[#This Row],[Total (uL) ]]), 0, NMRPrep[[#This Row],[1mM Maleic Acid (uL) ]]/NMRPrep[[#This Row],[Total (uL) ]])</f>
        <v>#DIV/0!</v>
      </c>
      <c r="I871">
        <f>2</f>
        <v>2</v>
      </c>
      <c r="J871">
        <f>4</f>
        <v>4</v>
      </c>
      <c r="K871">
        <f>1</f>
        <v>1</v>
      </c>
    </row>
    <row r="872" spans="1:11" hidden="1" x14ac:dyDescent="0.25">
      <c r="A872" s="1">
        <f>Sampling!D870</f>
        <v>0</v>
      </c>
      <c r="B872" t="str" cm="1">
        <f t="array" ref="B872">IF(ISBLANK(INDEX(SampleList[NMR],ROW()-1)),"Not Requested",INDEX(SampleList[Experiment ID],ROW()-1))</f>
        <v>Not Requested</v>
      </c>
      <c r="C872">
        <f>Sampling!E870</f>
        <v>0</v>
      </c>
      <c r="D872">
        <f>NMRPrep[[#This Row],['#]]</f>
        <v>0</v>
      </c>
      <c r="G8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2" t="e">
        <f>IF(ISBLANK(NMRPrep[[#This Row],[Total (uL) ]]), 0, NMRPrep[[#This Row],[1mM Maleic Acid (uL) ]]/NMRPrep[[#This Row],[Total (uL) ]])</f>
        <v>#DIV/0!</v>
      </c>
      <c r="I872">
        <f>2</f>
        <v>2</v>
      </c>
      <c r="J872">
        <f>4</f>
        <v>4</v>
      </c>
      <c r="K872">
        <f>1</f>
        <v>1</v>
      </c>
    </row>
    <row r="873" spans="1:11" hidden="1" x14ac:dyDescent="0.25">
      <c r="A873" s="1">
        <f>Sampling!D871</f>
        <v>0</v>
      </c>
      <c r="B873" t="str" cm="1">
        <f t="array" ref="B873">IF(ISBLANK(INDEX(SampleList[NMR],ROW()-1)),"Not Requested",INDEX(SampleList[Experiment ID],ROW()-1))</f>
        <v>Not Requested</v>
      </c>
      <c r="C873">
        <f>Sampling!E871</f>
        <v>0</v>
      </c>
      <c r="D873">
        <f>NMRPrep[[#This Row],['#]]</f>
        <v>0</v>
      </c>
      <c r="G8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3" t="e">
        <f>IF(ISBLANK(NMRPrep[[#This Row],[Total (uL) ]]), 0, NMRPrep[[#This Row],[1mM Maleic Acid (uL) ]]/NMRPrep[[#This Row],[Total (uL) ]])</f>
        <v>#DIV/0!</v>
      </c>
      <c r="I873">
        <f>2</f>
        <v>2</v>
      </c>
      <c r="J873">
        <f>4</f>
        <v>4</v>
      </c>
      <c r="K873">
        <f>1</f>
        <v>1</v>
      </c>
    </row>
    <row r="874" spans="1:11" hidden="1" x14ac:dyDescent="0.25">
      <c r="A874" s="1">
        <f>Sampling!D872</f>
        <v>0</v>
      </c>
      <c r="B874" t="str" cm="1">
        <f t="array" ref="B874">IF(ISBLANK(INDEX(SampleList[NMR],ROW()-1)),"Not Requested",INDEX(SampleList[Experiment ID],ROW()-1))</f>
        <v>Not Requested</v>
      </c>
      <c r="C874">
        <f>Sampling!E872</f>
        <v>0</v>
      </c>
      <c r="D874">
        <f>NMRPrep[[#This Row],['#]]</f>
        <v>0</v>
      </c>
      <c r="G8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4" t="e">
        <f>IF(ISBLANK(NMRPrep[[#This Row],[Total (uL) ]]), 0, NMRPrep[[#This Row],[1mM Maleic Acid (uL) ]]/NMRPrep[[#This Row],[Total (uL) ]])</f>
        <v>#DIV/0!</v>
      </c>
      <c r="I874">
        <f>2</f>
        <v>2</v>
      </c>
      <c r="J874">
        <f>4</f>
        <v>4</v>
      </c>
      <c r="K874">
        <f>1</f>
        <v>1</v>
      </c>
    </row>
    <row r="875" spans="1:11" hidden="1" x14ac:dyDescent="0.25">
      <c r="A875" s="1">
        <f>Sampling!D873</f>
        <v>0</v>
      </c>
      <c r="B875" t="str" cm="1">
        <f t="array" ref="B875">IF(ISBLANK(INDEX(SampleList[NMR],ROW()-1)),"Not Requested",INDEX(SampleList[Experiment ID],ROW()-1))</f>
        <v>Not Requested</v>
      </c>
      <c r="C875">
        <f>Sampling!E873</f>
        <v>0</v>
      </c>
      <c r="D875">
        <f>NMRPrep[[#This Row],['#]]</f>
        <v>0</v>
      </c>
      <c r="G8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5" t="e">
        <f>IF(ISBLANK(NMRPrep[[#This Row],[Total (uL) ]]), 0, NMRPrep[[#This Row],[1mM Maleic Acid (uL) ]]/NMRPrep[[#This Row],[Total (uL) ]])</f>
        <v>#DIV/0!</v>
      </c>
      <c r="I875">
        <f>2</f>
        <v>2</v>
      </c>
      <c r="J875">
        <f>4</f>
        <v>4</v>
      </c>
      <c r="K875">
        <f>1</f>
        <v>1</v>
      </c>
    </row>
    <row r="876" spans="1:11" hidden="1" x14ac:dyDescent="0.25">
      <c r="A876" s="1">
        <f>Sampling!D874</f>
        <v>0</v>
      </c>
      <c r="B876" t="str" cm="1">
        <f t="array" ref="B876">IF(ISBLANK(INDEX(SampleList[NMR],ROW()-1)),"Not Requested",INDEX(SampleList[Experiment ID],ROW()-1))</f>
        <v>Not Requested</v>
      </c>
      <c r="C876">
        <f>Sampling!E874</f>
        <v>0</v>
      </c>
      <c r="D876">
        <f>NMRPrep[[#This Row],['#]]</f>
        <v>0</v>
      </c>
      <c r="G8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6" t="e">
        <f>IF(ISBLANK(NMRPrep[[#This Row],[Total (uL) ]]), 0, NMRPrep[[#This Row],[1mM Maleic Acid (uL) ]]/NMRPrep[[#This Row],[Total (uL) ]])</f>
        <v>#DIV/0!</v>
      </c>
      <c r="I876">
        <f>2</f>
        <v>2</v>
      </c>
      <c r="J876">
        <f>4</f>
        <v>4</v>
      </c>
      <c r="K876">
        <f>1</f>
        <v>1</v>
      </c>
    </row>
    <row r="877" spans="1:11" hidden="1" x14ac:dyDescent="0.25">
      <c r="A877" s="1">
        <f>Sampling!D875</f>
        <v>0</v>
      </c>
      <c r="B877" t="str" cm="1">
        <f t="array" ref="B877">IF(ISBLANK(INDEX(SampleList[NMR],ROW()-1)),"Not Requested",INDEX(SampleList[Experiment ID],ROW()-1))</f>
        <v>Not Requested</v>
      </c>
      <c r="C877">
        <f>Sampling!E875</f>
        <v>0</v>
      </c>
      <c r="D877">
        <f>NMRPrep[[#This Row],['#]]</f>
        <v>0</v>
      </c>
      <c r="G8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7" t="e">
        <f>IF(ISBLANK(NMRPrep[[#This Row],[Total (uL) ]]), 0, NMRPrep[[#This Row],[1mM Maleic Acid (uL) ]]/NMRPrep[[#This Row],[Total (uL) ]])</f>
        <v>#DIV/0!</v>
      </c>
      <c r="I877">
        <f>2</f>
        <v>2</v>
      </c>
      <c r="J877">
        <f>4</f>
        <v>4</v>
      </c>
      <c r="K877">
        <f>1</f>
        <v>1</v>
      </c>
    </row>
    <row r="878" spans="1:11" hidden="1" x14ac:dyDescent="0.25">
      <c r="A878" s="1">
        <f>Sampling!D876</f>
        <v>0</v>
      </c>
      <c r="B878" t="str" cm="1">
        <f t="array" ref="B878">IF(ISBLANK(INDEX(SampleList[NMR],ROW()-1)),"Not Requested",INDEX(SampleList[Experiment ID],ROW()-1))</f>
        <v>Not Requested</v>
      </c>
      <c r="C878">
        <f>Sampling!E876</f>
        <v>0</v>
      </c>
      <c r="D878">
        <f>NMRPrep[[#This Row],['#]]</f>
        <v>0</v>
      </c>
      <c r="G8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8" t="e">
        <f>IF(ISBLANK(NMRPrep[[#This Row],[Total (uL) ]]), 0, NMRPrep[[#This Row],[1mM Maleic Acid (uL) ]]/NMRPrep[[#This Row],[Total (uL) ]])</f>
        <v>#DIV/0!</v>
      </c>
      <c r="I878">
        <f>2</f>
        <v>2</v>
      </c>
      <c r="J878">
        <f>4</f>
        <v>4</v>
      </c>
      <c r="K878">
        <f>1</f>
        <v>1</v>
      </c>
    </row>
    <row r="879" spans="1:11" hidden="1" x14ac:dyDescent="0.25">
      <c r="A879" s="1">
        <f>Sampling!D877</f>
        <v>0</v>
      </c>
      <c r="B879" t="str" cm="1">
        <f t="array" ref="B879">IF(ISBLANK(INDEX(SampleList[NMR],ROW()-1)),"Not Requested",INDEX(SampleList[Experiment ID],ROW()-1))</f>
        <v>Not Requested</v>
      </c>
      <c r="C879">
        <f>Sampling!E877</f>
        <v>0</v>
      </c>
      <c r="D879">
        <f>NMRPrep[[#This Row],['#]]</f>
        <v>0</v>
      </c>
      <c r="G8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79" t="e">
        <f>IF(ISBLANK(NMRPrep[[#This Row],[Total (uL) ]]), 0, NMRPrep[[#This Row],[1mM Maleic Acid (uL) ]]/NMRPrep[[#This Row],[Total (uL) ]])</f>
        <v>#DIV/0!</v>
      </c>
      <c r="I879">
        <f>2</f>
        <v>2</v>
      </c>
      <c r="J879">
        <f>4</f>
        <v>4</v>
      </c>
      <c r="K879">
        <f>1</f>
        <v>1</v>
      </c>
    </row>
    <row r="880" spans="1:11" hidden="1" x14ac:dyDescent="0.25">
      <c r="A880" s="1">
        <f>Sampling!D878</f>
        <v>0</v>
      </c>
      <c r="B880" t="str" cm="1">
        <f t="array" ref="B880">IF(ISBLANK(INDEX(SampleList[NMR],ROW()-1)),"Not Requested",INDEX(SampleList[Experiment ID],ROW()-1))</f>
        <v>Not Requested</v>
      </c>
      <c r="C880">
        <f>Sampling!E878</f>
        <v>0</v>
      </c>
      <c r="D880">
        <f>NMRPrep[[#This Row],['#]]</f>
        <v>0</v>
      </c>
      <c r="G8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0" t="e">
        <f>IF(ISBLANK(NMRPrep[[#This Row],[Total (uL) ]]), 0, NMRPrep[[#This Row],[1mM Maleic Acid (uL) ]]/NMRPrep[[#This Row],[Total (uL) ]])</f>
        <v>#DIV/0!</v>
      </c>
      <c r="I880">
        <f>2</f>
        <v>2</v>
      </c>
      <c r="J880">
        <f>4</f>
        <v>4</v>
      </c>
      <c r="K880">
        <f>1</f>
        <v>1</v>
      </c>
    </row>
    <row r="881" spans="1:11" hidden="1" x14ac:dyDescent="0.25">
      <c r="A881" s="1">
        <f>Sampling!D879</f>
        <v>0</v>
      </c>
      <c r="B881" t="str" cm="1">
        <f t="array" ref="B881">IF(ISBLANK(INDEX(SampleList[NMR],ROW()-1)),"Not Requested",INDEX(SampleList[Experiment ID],ROW()-1))</f>
        <v>Not Requested</v>
      </c>
      <c r="C881">
        <f>Sampling!E879</f>
        <v>0</v>
      </c>
      <c r="D881">
        <f>NMRPrep[[#This Row],['#]]</f>
        <v>0</v>
      </c>
      <c r="G8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1" t="e">
        <f>IF(ISBLANK(NMRPrep[[#This Row],[Total (uL) ]]), 0, NMRPrep[[#This Row],[1mM Maleic Acid (uL) ]]/NMRPrep[[#This Row],[Total (uL) ]])</f>
        <v>#DIV/0!</v>
      </c>
      <c r="I881">
        <f>2</f>
        <v>2</v>
      </c>
      <c r="J881">
        <f>4</f>
        <v>4</v>
      </c>
      <c r="K881">
        <f>1</f>
        <v>1</v>
      </c>
    </row>
    <row r="882" spans="1:11" hidden="1" x14ac:dyDescent="0.25">
      <c r="A882" s="1">
        <f>Sampling!D880</f>
        <v>0</v>
      </c>
      <c r="B882" t="str" cm="1">
        <f t="array" ref="B882">IF(ISBLANK(INDEX(SampleList[NMR],ROW()-1)),"Not Requested",INDEX(SampleList[Experiment ID],ROW()-1))</f>
        <v>Not Requested</v>
      </c>
      <c r="C882">
        <f>Sampling!E880</f>
        <v>0</v>
      </c>
      <c r="D882">
        <f>NMRPrep[[#This Row],['#]]</f>
        <v>0</v>
      </c>
      <c r="G8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2" t="e">
        <f>IF(ISBLANK(NMRPrep[[#This Row],[Total (uL) ]]), 0, NMRPrep[[#This Row],[1mM Maleic Acid (uL) ]]/NMRPrep[[#This Row],[Total (uL) ]])</f>
        <v>#DIV/0!</v>
      </c>
      <c r="I882">
        <f>2</f>
        <v>2</v>
      </c>
      <c r="J882">
        <f>4</f>
        <v>4</v>
      </c>
      <c r="K882">
        <f>1</f>
        <v>1</v>
      </c>
    </row>
    <row r="883" spans="1:11" hidden="1" x14ac:dyDescent="0.25">
      <c r="A883" s="1">
        <f>Sampling!D881</f>
        <v>0</v>
      </c>
      <c r="B883" t="str" cm="1">
        <f t="array" ref="B883">IF(ISBLANK(INDEX(SampleList[NMR],ROW()-1)),"Not Requested",INDEX(SampleList[Experiment ID],ROW()-1))</f>
        <v>Not Requested</v>
      </c>
      <c r="C883">
        <f>Sampling!E881</f>
        <v>0</v>
      </c>
      <c r="D883">
        <f>NMRPrep[[#This Row],['#]]</f>
        <v>0</v>
      </c>
      <c r="G8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3" t="e">
        <f>IF(ISBLANK(NMRPrep[[#This Row],[Total (uL) ]]), 0, NMRPrep[[#This Row],[1mM Maleic Acid (uL) ]]/NMRPrep[[#This Row],[Total (uL) ]])</f>
        <v>#DIV/0!</v>
      </c>
      <c r="I883">
        <f>2</f>
        <v>2</v>
      </c>
      <c r="J883">
        <f>4</f>
        <v>4</v>
      </c>
      <c r="K883">
        <f>1</f>
        <v>1</v>
      </c>
    </row>
    <row r="884" spans="1:11" hidden="1" x14ac:dyDescent="0.25">
      <c r="A884" s="1">
        <f>Sampling!D882</f>
        <v>0</v>
      </c>
      <c r="B884" t="str" cm="1">
        <f t="array" ref="B884">IF(ISBLANK(INDEX(SampleList[NMR],ROW()-1)),"Not Requested",INDEX(SampleList[Experiment ID],ROW()-1))</f>
        <v>Not Requested</v>
      </c>
      <c r="C884">
        <f>Sampling!E882</f>
        <v>0</v>
      </c>
      <c r="D884">
        <f>NMRPrep[[#This Row],['#]]</f>
        <v>0</v>
      </c>
      <c r="G8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4" t="e">
        <f>IF(ISBLANK(NMRPrep[[#This Row],[Total (uL) ]]), 0, NMRPrep[[#This Row],[1mM Maleic Acid (uL) ]]/NMRPrep[[#This Row],[Total (uL) ]])</f>
        <v>#DIV/0!</v>
      </c>
      <c r="I884">
        <f>2</f>
        <v>2</v>
      </c>
      <c r="J884">
        <f>4</f>
        <v>4</v>
      </c>
      <c r="K884">
        <f>1</f>
        <v>1</v>
      </c>
    </row>
    <row r="885" spans="1:11" hidden="1" x14ac:dyDescent="0.25">
      <c r="A885" s="1">
        <f>Sampling!D883</f>
        <v>0</v>
      </c>
      <c r="B885" t="str" cm="1">
        <f t="array" ref="B885">IF(ISBLANK(INDEX(SampleList[NMR],ROW()-1)),"Not Requested",INDEX(SampleList[Experiment ID],ROW()-1))</f>
        <v>Not Requested</v>
      </c>
      <c r="C885">
        <f>Sampling!E883</f>
        <v>0</v>
      </c>
      <c r="D885">
        <f>NMRPrep[[#This Row],['#]]</f>
        <v>0</v>
      </c>
      <c r="G8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5" t="e">
        <f>IF(ISBLANK(NMRPrep[[#This Row],[Total (uL) ]]), 0, NMRPrep[[#This Row],[1mM Maleic Acid (uL) ]]/NMRPrep[[#This Row],[Total (uL) ]])</f>
        <v>#DIV/0!</v>
      </c>
      <c r="I885">
        <f>2</f>
        <v>2</v>
      </c>
      <c r="J885">
        <f>4</f>
        <v>4</v>
      </c>
      <c r="K885">
        <f>1</f>
        <v>1</v>
      </c>
    </row>
    <row r="886" spans="1:11" hidden="1" x14ac:dyDescent="0.25">
      <c r="A886" s="1">
        <f>Sampling!D884</f>
        <v>0</v>
      </c>
      <c r="B886" t="str" cm="1">
        <f t="array" ref="B886">IF(ISBLANK(INDEX(SampleList[NMR],ROW()-1)),"Not Requested",INDEX(SampleList[Experiment ID],ROW()-1))</f>
        <v>Not Requested</v>
      </c>
      <c r="C886">
        <f>Sampling!E884</f>
        <v>0</v>
      </c>
      <c r="D886">
        <f>NMRPrep[[#This Row],['#]]</f>
        <v>0</v>
      </c>
      <c r="G8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6" t="e">
        <f>IF(ISBLANK(NMRPrep[[#This Row],[Total (uL) ]]), 0, NMRPrep[[#This Row],[1mM Maleic Acid (uL) ]]/NMRPrep[[#This Row],[Total (uL) ]])</f>
        <v>#DIV/0!</v>
      </c>
      <c r="I886">
        <f>2</f>
        <v>2</v>
      </c>
      <c r="J886">
        <f>4</f>
        <v>4</v>
      </c>
      <c r="K886">
        <f>1</f>
        <v>1</v>
      </c>
    </row>
    <row r="887" spans="1:11" hidden="1" x14ac:dyDescent="0.25">
      <c r="A887" s="1">
        <f>Sampling!D885</f>
        <v>0</v>
      </c>
      <c r="B887" t="str" cm="1">
        <f t="array" ref="B887">IF(ISBLANK(INDEX(SampleList[NMR],ROW()-1)),"Not Requested",INDEX(SampleList[Experiment ID],ROW()-1))</f>
        <v>Not Requested</v>
      </c>
      <c r="C887">
        <f>Sampling!E885</f>
        <v>0</v>
      </c>
      <c r="D887">
        <f>NMRPrep[[#This Row],['#]]</f>
        <v>0</v>
      </c>
      <c r="G8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7" t="e">
        <f>IF(ISBLANK(NMRPrep[[#This Row],[Total (uL) ]]), 0, NMRPrep[[#This Row],[1mM Maleic Acid (uL) ]]/NMRPrep[[#This Row],[Total (uL) ]])</f>
        <v>#DIV/0!</v>
      </c>
      <c r="I887">
        <f>2</f>
        <v>2</v>
      </c>
      <c r="J887">
        <f>4</f>
        <v>4</v>
      </c>
      <c r="K887">
        <f>1</f>
        <v>1</v>
      </c>
    </row>
    <row r="888" spans="1:11" hidden="1" x14ac:dyDescent="0.25">
      <c r="A888" s="1">
        <f>Sampling!D886</f>
        <v>0</v>
      </c>
      <c r="B888" t="str" cm="1">
        <f t="array" ref="B888">IF(ISBLANK(INDEX(SampleList[NMR],ROW()-1)),"Not Requested",INDEX(SampleList[Experiment ID],ROW()-1))</f>
        <v>Not Requested</v>
      </c>
      <c r="C888">
        <f>Sampling!E886</f>
        <v>0</v>
      </c>
      <c r="D888">
        <f>NMRPrep[[#This Row],['#]]</f>
        <v>0</v>
      </c>
      <c r="G8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8" t="e">
        <f>IF(ISBLANK(NMRPrep[[#This Row],[Total (uL) ]]), 0, NMRPrep[[#This Row],[1mM Maleic Acid (uL) ]]/NMRPrep[[#This Row],[Total (uL) ]])</f>
        <v>#DIV/0!</v>
      </c>
      <c r="I888">
        <f>2</f>
        <v>2</v>
      </c>
      <c r="J888">
        <f>4</f>
        <v>4</v>
      </c>
      <c r="K888">
        <f>1</f>
        <v>1</v>
      </c>
    </row>
    <row r="889" spans="1:11" hidden="1" x14ac:dyDescent="0.25">
      <c r="A889" s="1">
        <f>Sampling!D887</f>
        <v>0</v>
      </c>
      <c r="B889" t="str" cm="1">
        <f t="array" ref="B889">IF(ISBLANK(INDEX(SampleList[NMR],ROW()-1)),"Not Requested",INDEX(SampleList[Experiment ID],ROW()-1))</f>
        <v>Not Requested</v>
      </c>
      <c r="C889">
        <f>Sampling!E887</f>
        <v>0</v>
      </c>
      <c r="D889">
        <f>NMRPrep[[#This Row],['#]]</f>
        <v>0</v>
      </c>
      <c r="G8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89" t="e">
        <f>IF(ISBLANK(NMRPrep[[#This Row],[Total (uL) ]]), 0, NMRPrep[[#This Row],[1mM Maleic Acid (uL) ]]/NMRPrep[[#This Row],[Total (uL) ]])</f>
        <v>#DIV/0!</v>
      </c>
      <c r="I889">
        <f>2</f>
        <v>2</v>
      </c>
      <c r="J889">
        <f>4</f>
        <v>4</v>
      </c>
      <c r="K889">
        <f>1</f>
        <v>1</v>
      </c>
    </row>
    <row r="890" spans="1:11" hidden="1" x14ac:dyDescent="0.25">
      <c r="A890" s="1">
        <f>Sampling!D888</f>
        <v>0</v>
      </c>
      <c r="B890" t="str" cm="1">
        <f t="array" ref="B890">IF(ISBLANK(INDEX(SampleList[NMR],ROW()-1)),"Not Requested",INDEX(SampleList[Experiment ID],ROW()-1))</f>
        <v>Not Requested</v>
      </c>
      <c r="C890">
        <f>Sampling!E888</f>
        <v>0</v>
      </c>
      <c r="D890">
        <f>NMRPrep[[#This Row],['#]]</f>
        <v>0</v>
      </c>
      <c r="G8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0" t="e">
        <f>IF(ISBLANK(NMRPrep[[#This Row],[Total (uL) ]]), 0, NMRPrep[[#This Row],[1mM Maleic Acid (uL) ]]/NMRPrep[[#This Row],[Total (uL) ]])</f>
        <v>#DIV/0!</v>
      </c>
      <c r="I890">
        <f>2</f>
        <v>2</v>
      </c>
      <c r="J890">
        <f>4</f>
        <v>4</v>
      </c>
      <c r="K890">
        <f>1</f>
        <v>1</v>
      </c>
    </row>
    <row r="891" spans="1:11" hidden="1" x14ac:dyDescent="0.25">
      <c r="A891" s="1">
        <f>Sampling!D889</f>
        <v>0</v>
      </c>
      <c r="B891" t="str" cm="1">
        <f t="array" ref="B891">IF(ISBLANK(INDEX(SampleList[NMR],ROW()-1)),"Not Requested",INDEX(SampleList[Experiment ID],ROW()-1))</f>
        <v>Not Requested</v>
      </c>
      <c r="C891">
        <f>Sampling!E889</f>
        <v>0</v>
      </c>
      <c r="D891">
        <f>NMRPrep[[#This Row],['#]]</f>
        <v>6</v>
      </c>
      <c r="G8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1" t="e">
        <f>IF(ISBLANK(NMRPrep[[#This Row],[Total (uL) ]]), 0, NMRPrep[[#This Row],[1mM Maleic Acid (uL) ]]/NMRPrep[[#This Row],[Total (uL) ]])</f>
        <v>#DIV/0!</v>
      </c>
      <c r="I891">
        <f>2</f>
        <v>2</v>
      </c>
      <c r="J891">
        <f>4</f>
        <v>4</v>
      </c>
      <c r="K891">
        <f>1</f>
        <v>1</v>
      </c>
    </row>
    <row r="892" spans="1:11" hidden="1" x14ac:dyDescent="0.25">
      <c r="A892" s="1">
        <f>Sampling!D890</f>
        <v>0</v>
      </c>
      <c r="B892" t="str" cm="1">
        <f t="array" ref="B892">IF(ISBLANK(INDEX(SampleList[NMR],ROW()-1)),"Not Requested",INDEX(SampleList[Experiment ID],ROW()-1))</f>
        <v>Not Requested</v>
      </c>
      <c r="C892">
        <f>Sampling!E890</f>
        <v>0</v>
      </c>
      <c r="D892">
        <f>NMRPrep[[#This Row],['#]]</f>
        <v>1</v>
      </c>
      <c r="G8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2">
        <f>IF(ISBLANK(NMRPrep[[#This Row],[Total (uL) ]]), 0, NMRPrep[[#This Row],[1mM Maleic Acid (uL) ]]/NMRPrep[[#This Row],[Total (uL) ]])</f>
        <v>7.7279752704791344E-2</v>
      </c>
      <c r="I892">
        <f>2</f>
        <v>2</v>
      </c>
      <c r="J892">
        <f>4</f>
        <v>4</v>
      </c>
      <c r="K892">
        <f>1</f>
        <v>1</v>
      </c>
    </row>
    <row r="893" spans="1:11" hidden="1" x14ac:dyDescent="0.25">
      <c r="A893" s="1">
        <f>Sampling!D891</f>
        <v>0</v>
      </c>
      <c r="B893" t="str" cm="1">
        <f t="array" ref="B893">IF(ISBLANK(INDEX(SampleList[NMR],ROW()-1)),"Not Requested",INDEX(SampleList[Experiment ID],ROW()-1))</f>
        <v>Not Requested</v>
      </c>
      <c r="C893">
        <f>Sampling!E891</f>
        <v>0</v>
      </c>
      <c r="D893">
        <f>NMRPrep[[#This Row],['#]]</f>
        <v>2</v>
      </c>
      <c r="G8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3">
        <f>IF(ISBLANK(NMRPrep[[#This Row],[Total (uL) ]]), 0, NMRPrep[[#This Row],[1mM Maleic Acid (uL) ]]/NMRPrep[[#This Row],[Total (uL) ]])</f>
        <v>7.7279752704791344E-2</v>
      </c>
      <c r="I893">
        <f>2</f>
        <v>2</v>
      </c>
      <c r="J893">
        <f>4</f>
        <v>4</v>
      </c>
      <c r="K893">
        <f>1</f>
        <v>1</v>
      </c>
    </row>
    <row r="894" spans="1:11" hidden="1" x14ac:dyDescent="0.25">
      <c r="A894" s="1">
        <f>Sampling!D892</f>
        <v>0</v>
      </c>
      <c r="B894" t="str" cm="1">
        <f t="array" ref="B894">IF(ISBLANK(INDEX(SampleList[NMR],ROW()-1)),"Not Requested",INDEX(SampleList[Experiment ID],ROW()-1))</f>
        <v>Not Requested</v>
      </c>
      <c r="C894">
        <f>Sampling!E892</f>
        <v>0</v>
      </c>
      <c r="D894">
        <f>NMRPrep[[#This Row],['#]]</f>
        <v>5</v>
      </c>
      <c r="G8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4" t="e">
        <f>IF(ISBLANK(NMRPrep[[#This Row],[Total (uL) ]]), 0, NMRPrep[[#This Row],[1mM Maleic Acid (uL) ]]/NMRPrep[[#This Row],[Total (uL) ]])</f>
        <v>#DIV/0!</v>
      </c>
      <c r="I894">
        <f>2</f>
        <v>2</v>
      </c>
      <c r="J894">
        <f>4</f>
        <v>4</v>
      </c>
      <c r="K894">
        <f>1</f>
        <v>1</v>
      </c>
    </row>
    <row r="895" spans="1:11" hidden="1" x14ac:dyDescent="0.25">
      <c r="A895" s="1">
        <f>Sampling!D893</f>
        <v>0</v>
      </c>
      <c r="B895" t="str" cm="1">
        <f t="array" ref="B895">IF(ISBLANK(INDEX(SampleList[NMR],ROW()-1)),"Not Requested",INDEX(SampleList[Experiment ID],ROW()-1))</f>
        <v>Not Requested</v>
      </c>
      <c r="C895">
        <f>Sampling!E893</f>
        <v>0</v>
      </c>
      <c r="D895">
        <f>NMRPrep[[#This Row],['#]]</f>
        <v>7</v>
      </c>
      <c r="G8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5" t="e">
        <f>IF(ISBLANK(NMRPrep[[#This Row],[Total (uL) ]]), 0, NMRPrep[[#This Row],[1mM Maleic Acid (uL) ]]/NMRPrep[[#This Row],[Total (uL) ]])</f>
        <v>#DIV/0!</v>
      </c>
      <c r="I895">
        <f>2</f>
        <v>2</v>
      </c>
      <c r="J895">
        <f>4</f>
        <v>4</v>
      </c>
      <c r="K895">
        <f>1</f>
        <v>1</v>
      </c>
    </row>
    <row r="896" spans="1:11" hidden="1" x14ac:dyDescent="0.25">
      <c r="A896" s="1">
        <f>Sampling!D894</f>
        <v>0</v>
      </c>
      <c r="B896" t="str" cm="1">
        <f t="array" ref="B896">IF(ISBLANK(INDEX(SampleList[NMR],ROW()-1)),"Not Requested",INDEX(SampleList[Experiment ID],ROW()-1))</f>
        <v>Not Requested</v>
      </c>
      <c r="C896">
        <f>Sampling!E894</f>
        <v>0</v>
      </c>
      <c r="D896">
        <f>NMRPrep[[#This Row],['#]]</f>
        <v>0</v>
      </c>
      <c r="G8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6" t="e">
        <f>IF(ISBLANK(NMRPrep[[#This Row],[Total (uL) ]]), 0, NMRPrep[[#This Row],[1mM Maleic Acid (uL) ]]/NMRPrep[[#This Row],[Total (uL) ]])</f>
        <v>#DIV/0!</v>
      </c>
      <c r="I896">
        <f>2</f>
        <v>2</v>
      </c>
      <c r="J896">
        <f>4</f>
        <v>4</v>
      </c>
      <c r="K896">
        <f>1</f>
        <v>1</v>
      </c>
    </row>
    <row r="897" spans="1:11" hidden="1" x14ac:dyDescent="0.25">
      <c r="A897" s="1">
        <f>Sampling!D895</f>
        <v>0</v>
      </c>
      <c r="B897" t="str" cm="1">
        <f t="array" ref="B897">IF(ISBLANK(INDEX(SampleList[NMR],ROW()-1)),"Not Requested",INDEX(SampleList[Experiment ID],ROW()-1))</f>
        <v>Not Requested</v>
      </c>
      <c r="C897">
        <f>Sampling!E895</f>
        <v>0</v>
      </c>
      <c r="D897">
        <f>NMRPrep[[#This Row],['#]]</f>
        <v>0</v>
      </c>
      <c r="G8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7" t="e">
        <f>IF(ISBLANK(NMRPrep[[#This Row],[Total (uL) ]]), 0, NMRPrep[[#This Row],[1mM Maleic Acid (uL) ]]/NMRPrep[[#This Row],[Total (uL) ]])</f>
        <v>#DIV/0!</v>
      </c>
      <c r="I897">
        <f>2</f>
        <v>2</v>
      </c>
      <c r="J897">
        <f>4</f>
        <v>4</v>
      </c>
      <c r="K897">
        <f>1</f>
        <v>1</v>
      </c>
    </row>
    <row r="898" spans="1:11" hidden="1" x14ac:dyDescent="0.25">
      <c r="A898" s="1">
        <f>Sampling!D896</f>
        <v>0</v>
      </c>
      <c r="B898" t="str" cm="1">
        <f t="array" ref="B898">IF(ISBLANK(INDEX(SampleList[NMR],ROW()-1)),"Not Requested",INDEX(SampleList[Experiment ID],ROW()-1))</f>
        <v>Not Requested</v>
      </c>
      <c r="C898">
        <f>Sampling!E896</f>
        <v>0</v>
      </c>
      <c r="D898">
        <f>NMRPrep[[#This Row],['#]]</f>
        <v>1</v>
      </c>
      <c r="G8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8">
        <f>IF(ISBLANK(NMRPrep[[#This Row],[Total (uL) ]]), 0, NMRPrep[[#This Row],[1mM Maleic Acid (uL) ]]/NMRPrep[[#This Row],[Total (uL) ]])</f>
        <v>7.7279752704791344E-2</v>
      </c>
      <c r="I898">
        <f>2</f>
        <v>2</v>
      </c>
      <c r="J898">
        <f>4</f>
        <v>4</v>
      </c>
      <c r="K898">
        <f>1</f>
        <v>1</v>
      </c>
    </row>
    <row r="899" spans="1:11" hidden="1" x14ac:dyDescent="0.25">
      <c r="A899" s="1">
        <f>Sampling!D897</f>
        <v>0</v>
      </c>
      <c r="B899" t="str" cm="1">
        <f t="array" ref="B899">IF(ISBLANK(INDEX(SampleList[NMR],ROW()-1)),"Not Requested",INDEX(SampleList[Experiment ID],ROW()-1))</f>
        <v>Not Requested</v>
      </c>
      <c r="C899">
        <f>Sampling!E897</f>
        <v>0</v>
      </c>
      <c r="D899">
        <f>NMRPrep[[#This Row],['#]]</f>
        <v>2</v>
      </c>
      <c r="G8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899">
        <f>IF(ISBLANK(NMRPrep[[#This Row],[Total (uL) ]]), 0, NMRPrep[[#This Row],[1mM Maleic Acid (uL) ]]/NMRPrep[[#This Row],[Total (uL) ]])</f>
        <v>7.7279752704791344E-2</v>
      </c>
      <c r="I899">
        <f>2</f>
        <v>2</v>
      </c>
      <c r="J899">
        <f>4</f>
        <v>4</v>
      </c>
      <c r="K899">
        <f>1</f>
        <v>1</v>
      </c>
    </row>
    <row r="900" spans="1:11" hidden="1" x14ac:dyDescent="0.25">
      <c r="A900" s="1">
        <f>Sampling!D898</f>
        <v>0</v>
      </c>
      <c r="B900" t="str" cm="1">
        <f t="array" ref="B900">IF(ISBLANK(INDEX(SampleList[NMR],ROW()-1)),"Not Requested",INDEX(SampleList[Experiment ID],ROW()-1))</f>
        <v>Not Requested</v>
      </c>
      <c r="C900">
        <f>Sampling!E898</f>
        <v>0</v>
      </c>
      <c r="D900">
        <f>NMRPrep[[#This Row],['#]]</f>
        <v>3</v>
      </c>
      <c r="G9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0">
        <f>IF(ISBLANK(NMRPrep[[#This Row],[Total (uL) ]]), 0, NMRPrep[[#This Row],[1mM Maleic Acid (uL) ]]/NMRPrep[[#This Row],[Total (uL) ]])</f>
        <v>7.7279752704791344E-2</v>
      </c>
      <c r="I900">
        <f>2</f>
        <v>2</v>
      </c>
      <c r="J900">
        <f>4</f>
        <v>4</v>
      </c>
      <c r="K900">
        <f>1</f>
        <v>1</v>
      </c>
    </row>
    <row r="901" spans="1:11" hidden="1" x14ac:dyDescent="0.25">
      <c r="A901" s="1">
        <f>Sampling!D899</f>
        <v>0</v>
      </c>
      <c r="B901" t="str" cm="1">
        <f t="array" ref="B901">IF(ISBLANK(INDEX(SampleList[NMR],ROW()-1)),"Not Requested",INDEX(SampleList[Experiment ID],ROW()-1))</f>
        <v>Not Requested</v>
      </c>
      <c r="C901">
        <f>Sampling!E899</f>
        <v>0</v>
      </c>
      <c r="D901">
        <f>NMRPrep[[#This Row],['#]]</f>
        <v>4</v>
      </c>
      <c r="G90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1">
        <f>IF(ISBLANK(NMRPrep[[#This Row],[Total (uL) ]]), 0, NMRPrep[[#This Row],[1mM Maleic Acid (uL) ]]/NMRPrep[[#This Row],[Total (uL) ]])</f>
        <v>7.7279752704791344E-2</v>
      </c>
      <c r="I901">
        <f>2</f>
        <v>2</v>
      </c>
      <c r="J901">
        <f>4</f>
        <v>4</v>
      </c>
      <c r="K901">
        <f>1</f>
        <v>1</v>
      </c>
    </row>
    <row r="902" spans="1:11" hidden="1" x14ac:dyDescent="0.25">
      <c r="A902" s="1">
        <f>Sampling!D900</f>
        <v>0</v>
      </c>
      <c r="B902" t="str" cm="1">
        <f t="array" ref="B902">IF(ISBLANK(INDEX(SampleList[NMR],ROW()-1)),"Not Requested",INDEX(SampleList[Experiment ID],ROW()-1))</f>
        <v>Not Requested</v>
      </c>
      <c r="C902">
        <f>Sampling!E900</f>
        <v>0</v>
      </c>
      <c r="D902">
        <f>NMRPrep[[#This Row],['#]]</f>
        <v>6</v>
      </c>
      <c r="G90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2">
        <f>IF(ISBLANK(NMRPrep[[#This Row],[Total (uL) ]]), 0, NMRPrep[[#This Row],[1mM Maleic Acid (uL) ]]/NMRPrep[[#This Row],[Total (uL) ]])</f>
        <v>7.7279752704791344E-2</v>
      </c>
      <c r="I902">
        <f>2</f>
        <v>2</v>
      </c>
      <c r="J902">
        <f>4</f>
        <v>4</v>
      </c>
      <c r="K902">
        <f>1</f>
        <v>1</v>
      </c>
    </row>
    <row r="903" spans="1:11" hidden="1" x14ac:dyDescent="0.25">
      <c r="A903" s="1">
        <f>Sampling!D901</f>
        <v>0</v>
      </c>
      <c r="B903" t="str" cm="1">
        <f t="array" ref="B903">IF(ISBLANK(INDEX(SampleList[NMR],ROW()-1)),"Not Requested",INDEX(SampleList[Experiment ID],ROW()-1))</f>
        <v>Not Requested</v>
      </c>
      <c r="C903">
        <f>Sampling!E901</f>
        <v>0</v>
      </c>
      <c r="D903">
        <f>NMRPrep[[#This Row],['#]]</f>
        <v>5</v>
      </c>
      <c r="G90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3">
        <f>IF(ISBLANK(NMRPrep[[#This Row],[Total (uL) ]]), 0, NMRPrep[[#This Row],[1mM Maleic Acid (uL) ]]/NMRPrep[[#This Row],[Total (uL) ]])</f>
        <v>7.7279752704791344E-2</v>
      </c>
      <c r="I903">
        <f>2</f>
        <v>2</v>
      </c>
      <c r="J903">
        <f>4</f>
        <v>4</v>
      </c>
      <c r="K903">
        <f>1</f>
        <v>1</v>
      </c>
    </row>
    <row r="904" spans="1:11" hidden="1" x14ac:dyDescent="0.25">
      <c r="A904" s="1">
        <f>Sampling!D902</f>
        <v>0</v>
      </c>
      <c r="B904" t="str" cm="1">
        <f t="array" ref="B904">IF(ISBLANK(INDEX(SampleList[NMR],ROW()-1)),"Not Requested",INDEX(SampleList[Experiment ID],ROW()-1))</f>
        <v>Not Requested</v>
      </c>
      <c r="C904">
        <f>Sampling!E902</f>
        <v>0</v>
      </c>
      <c r="D904">
        <f>NMRPrep[[#This Row],['#]]</f>
        <v>7</v>
      </c>
      <c r="G90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4">
        <f>IF(ISBLANK(NMRPrep[[#This Row],[Total (uL) ]]), 0, NMRPrep[[#This Row],[1mM Maleic Acid (uL) ]]/NMRPrep[[#This Row],[Total (uL) ]])</f>
        <v>7.7279752704791344E-2</v>
      </c>
      <c r="I904">
        <f>2</f>
        <v>2</v>
      </c>
      <c r="J904">
        <f>4</f>
        <v>4</v>
      </c>
      <c r="K904">
        <f>1</f>
        <v>1</v>
      </c>
    </row>
    <row r="905" spans="1:11" hidden="1" x14ac:dyDescent="0.25">
      <c r="A905" s="1">
        <f>Sampling!D903</f>
        <v>0</v>
      </c>
      <c r="B905" t="str" cm="1">
        <f t="array" ref="B905">IF(ISBLANK(INDEX(SampleList[NMR],ROW()-1)),"Not Requested",INDEX(SampleList[Experiment ID],ROW()-1))</f>
        <v>Not Requested</v>
      </c>
      <c r="C905">
        <f>Sampling!E903</f>
        <v>0</v>
      </c>
      <c r="D905">
        <f>NMRPrep[[#This Row],['#]]</f>
        <v>8</v>
      </c>
      <c r="G90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5">
        <f>IF(ISBLANK(NMRPrep[[#This Row],[Total (uL) ]]), 0, NMRPrep[[#This Row],[1mM Maleic Acid (uL) ]]/NMRPrep[[#This Row],[Total (uL) ]])</f>
        <v>7.7279752704791344E-2</v>
      </c>
      <c r="I905">
        <f>2</f>
        <v>2</v>
      </c>
      <c r="J905">
        <f>4</f>
        <v>4</v>
      </c>
      <c r="K905">
        <f>1</f>
        <v>1</v>
      </c>
    </row>
    <row r="906" spans="1:11" hidden="1" x14ac:dyDescent="0.25">
      <c r="A906" s="1">
        <f>Sampling!D904</f>
        <v>0</v>
      </c>
      <c r="B906" t="str" cm="1">
        <f t="array" ref="B906">IF(ISBLANK(INDEX(SampleList[NMR],ROW()-1)),"Not Requested",INDEX(SampleList[Experiment ID],ROW()-1))</f>
        <v>Not Requested</v>
      </c>
      <c r="C906">
        <f>Sampling!E904</f>
        <v>0</v>
      </c>
      <c r="D906">
        <f>NMRPrep[[#This Row],['#]]</f>
        <v>9</v>
      </c>
      <c r="G90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6">
        <f>IF(ISBLANK(NMRPrep[[#This Row],[Total (uL) ]]), 0, NMRPrep[[#This Row],[1mM Maleic Acid (uL) ]]/NMRPrep[[#This Row],[Total (uL) ]])</f>
        <v>7.7279752704791344E-2</v>
      </c>
      <c r="I906">
        <f>2</f>
        <v>2</v>
      </c>
      <c r="J906">
        <f>4</f>
        <v>4</v>
      </c>
      <c r="K906">
        <f>1</f>
        <v>1</v>
      </c>
    </row>
    <row r="907" spans="1:11" hidden="1" x14ac:dyDescent="0.25">
      <c r="A907" s="1">
        <f>Sampling!D905</f>
        <v>0</v>
      </c>
      <c r="B907" t="str" cm="1">
        <f t="array" ref="B907">IF(ISBLANK(INDEX(SampleList[NMR],ROW()-1)),"Not Requested",INDEX(SampleList[Experiment ID],ROW()-1))</f>
        <v>Not Requested</v>
      </c>
      <c r="C907">
        <f>Sampling!E905</f>
        <v>0</v>
      </c>
      <c r="D907">
        <f>NMRPrep[[#This Row],['#]]</f>
        <v>10</v>
      </c>
      <c r="G90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7">
        <f>IF(ISBLANK(NMRPrep[[#This Row],[Total (uL) ]]), 0, NMRPrep[[#This Row],[1mM Maleic Acid (uL) ]]/NMRPrep[[#This Row],[Total (uL) ]])</f>
        <v>7.7279752704791344E-2</v>
      </c>
      <c r="I907">
        <f>2</f>
        <v>2</v>
      </c>
      <c r="J907">
        <f>4</f>
        <v>4</v>
      </c>
      <c r="K907">
        <f>1</f>
        <v>1</v>
      </c>
    </row>
    <row r="908" spans="1:11" hidden="1" x14ac:dyDescent="0.25">
      <c r="A908" s="1">
        <f>Sampling!D906</f>
        <v>0</v>
      </c>
      <c r="B908" t="str" cm="1">
        <f t="array" ref="B908">IF(ISBLANK(INDEX(SampleList[NMR],ROW()-1)),"Not Requested",INDEX(SampleList[Experiment ID],ROW()-1))</f>
        <v>Not Requested</v>
      </c>
      <c r="C908">
        <f>Sampling!E906</f>
        <v>0</v>
      </c>
      <c r="D908">
        <f>NMRPrep[[#This Row],['#]]</f>
        <v>11</v>
      </c>
      <c r="G90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8">
        <f>IF(ISBLANK(NMRPrep[[#This Row],[Total (uL) ]]), 0, NMRPrep[[#This Row],[1mM Maleic Acid (uL) ]]/NMRPrep[[#This Row],[Total (uL) ]])</f>
        <v>7.7279752704791344E-2</v>
      </c>
      <c r="I908">
        <f>2</f>
        <v>2</v>
      </c>
      <c r="J908">
        <f>4</f>
        <v>4</v>
      </c>
      <c r="K908">
        <f>1</f>
        <v>1</v>
      </c>
    </row>
    <row r="909" spans="1:11" hidden="1" x14ac:dyDescent="0.25">
      <c r="A909" s="1">
        <f>Sampling!D907</f>
        <v>0</v>
      </c>
      <c r="B909" t="str" cm="1">
        <f t="array" ref="B909">IF(ISBLANK(INDEX(SampleList[NMR],ROW()-1)),"Not Requested",INDEX(SampleList[Experiment ID],ROW()-1))</f>
        <v>Not Requested</v>
      </c>
      <c r="C909">
        <f>Sampling!E907</f>
        <v>0</v>
      </c>
      <c r="D909">
        <f>NMRPrep[[#This Row],['#]]</f>
        <v>12</v>
      </c>
      <c r="G90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09">
        <f>IF(ISBLANK(NMRPrep[[#This Row],[Total (uL) ]]), 0, NMRPrep[[#This Row],[1mM Maleic Acid (uL) ]]/NMRPrep[[#This Row],[Total (uL) ]])</f>
        <v>7.7279752704791344E-2</v>
      </c>
      <c r="I909">
        <f>2</f>
        <v>2</v>
      </c>
      <c r="J909">
        <f>4</f>
        <v>4</v>
      </c>
      <c r="K909">
        <f>1</f>
        <v>1</v>
      </c>
    </row>
    <row r="910" spans="1:11" hidden="1" x14ac:dyDescent="0.25">
      <c r="A910" s="1">
        <f>Sampling!D908</f>
        <v>0</v>
      </c>
      <c r="B910" t="str" cm="1">
        <f t="array" ref="B910">IF(ISBLANK(INDEX(SampleList[NMR],ROW()-1)),"Not Requested",INDEX(SampleList[Experiment ID],ROW()-1))</f>
        <v>Not Requested</v>
      </c>
      <c r="C910">
        <f>Sampling!E908</f>
        <v>0</v>
      </c>
      <c r="D910">
        <f>NMRPrep[[#This Row],['#]]</f>
        <v>1</v>
      </c>
      <c r="G91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0">
        <f>IF(ISBLANK(NMRPrep[[#This Row],[Total (uL) ]]), 0, NMRPrep[[#This Row],[1mM Maleic Acid (uL) ]]/NMRPrep[[#This Row],[Total (uL) ]])</f>
        <v>7.7279752704791344E-2</v>
      </c>
      <c r="I910">
        <f>2</f>
        <v>2</v>
      </c>
      <c r="J910">
        <f>4</f>
        <v>4</v>
      </c>
      <c r="K910">
        <f>1</f>
        <v>1</v>
      </c>
    </row>
    <row r="911" spans="1:11" hidden="1" x14ac:dyDescent="0.25">
      <c r="A911" s="1">
        <f>Sampling!D909</f>
        <v>0</v>
      </c>
      <c r="B911" t="str" cm="1">
        <f t="array" ref="B911">IF(ISBLANK(INDEX(SampleList[NMR],ROW()-1)),"Not Requested",INDEX(SampleList[Experiment ID],ROW()-1))</f>
        <v>Not Requested</v>
      </c>
      <c r="C911">
        <f>Sampling!E909</f>
        <v>0</v>
      </c>
      <c r="D911">
        <f>NMRPrep[[#This Row],['#]]</f>
        <v>5</v>
      </c>
      <c r="G91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1">
        <f>IF(ISBLANK(NMRPrep[[#This Row],[Total (uL) ]]), 0, NMRPrep[[#This Row],[1mM Maleic Acid (uL) ]]/NMRPrep[[#This Row],[Total (uL) ]])</f>
        <v>7.7279752704791344E-2</v>
      </c>
      <c r="I911">
        <f>2</f>
        <v>2</v>
      </c>
      <c r="J911">
        <f>4</f>
        <v>4</v>
      </c>
      <c r="K911">
        <f>1</f>
        <v>1</v>
      </c>
    </row>
    <row r="912" spans="1:11" hidden="1" x14ac:dyDescent="0.25">
      <c r="A912" s="1">
        <f>Sampling!D910</f>
        <v>0</v>
      </c>
      <c r="B912" t="str" cm="1">
        <f t="array" ref="B912">IF(ISBLANK(INDEX(SampleList[NMR],ROW()-1)),"Not Requested",INDEX(SampleList[Experiment ID],ROW()-1))</f>
        <v>Not Requested</v>
      </c>
      <c r="C912">
        <f>Sampling!E910</f>
        <v>0</v>
      </c>
      <c r="D912">
        <f>NMRPrep[[#This Row],['#]]</f>
        <v>2</v>
      </c>
      <c r="G91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2">
        <f>IF(ISBLANK(NMRPrep[[#This Row],[Total (uL) ]]), 0, NMRPrep[[#This Row],[1mM Maleic Acid (uL) ]]/NMRPrep[[#This Row],[Total (uL) ]])</f>
        <v>7.7279752704791344E-2</v>
      </c>
      <c r="I912">
        <f>2</f>
        <v>2</v>
      </c>
      <c r="J912">
        <f>4</f>
        <v>4</v>
      </c>
      <c r="K912">
        <f>1</f>
        <v>1</v>
      </c>
    </row>
    <row r="913" spans="1:11" hidden="1" x14ac:dyDescent="0.25">
      <c r="A913" s="1">
        <f>Sampling!D911</f>
        <v>0</v>
      </c>
      <c r="B913" t="str" cm="1">
        <f t="array" ref="B913">IF(ISBLANK(INDEX(SampleList[NMR],ROW()-1)),"Not Requested",INDEX(SampleList[Experiment ID],ROW()-1))</f>
        <v>Not Requested</v>
      </c>
      <c r="C913">
        <f>Sampling!E911</f>
        <v>0</v>
      </c>
      <c r="D913">
        <f>NMRPrep[[#This Row],['#]]</f>
        <v>3</v>
      </c>
      <c r="G91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3">
        <f>IF(ISBLANK(NMRPrep[[#This Row],[Total (uL) ]]), 0, NMRPrep[[#This Row],[1mM Maleic Acid (uL) ]]/NMRPrep[[#This Row],[Total (uL) ]])</f>
        <v>7.7279752704791344E-2</v>
      </c>
      <c r="I913">
        <f>2</f>
        <v>2</v>
      </c>
      <c r="J913">
        <f>4</f>
        <v>4</v>
      </c>
      <c r="K913">
        <f>1</f>
        <v>1</v>
      </c>
    </row>
    <row r="914" spans="1:11" hidden="1" x14ac:dyDescent="0.25">
      <c r="A914" s="1">
        <f>Sampling!D912</f>
        <v>0</v>
      </c>
      <c r="B914" t="str" cm="1">
        <f t="array" ref="B914">IF(ISBLANK(INDEX(SampleList[NMR],ROW()-1)),"Not Requested",INDEX(SampleList[Experiment ID],ROW()-1))</f>
        <v>Not Requested</v>
      </c>
      <c r="C914">
        <f>Sampling!E912</f>
        <v>0</v>
      </c>
      <c r="D914">
        <f>NMRPrep[[#This Row],['#]]</f>
        <v>4</v>
      </c>
      <c r="G91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4">
        <f>IF(ISBLANK(NMRPrep[[#This Row],[Total (uL) ]]), 0, NMRPrep[[#This Row],[1mM Maleic Acid (uL) ]]/NMRPrep[[#This Row],[Total (uL) ]])</f>
        <v>7.7279752704791344E-2</v>
      </c>
      <c r="I914">
        <f>2</f>
        <v>2</v>
      </c>
      <c r="J914">
        <f>4</f>
        <v>4</v>
      </c>
      <c r="K914">
        <f>1</f>
        <v>1</v>
      </c>
    </row>
    <row r="915" spans="1:11" hidden="1" x14ac:dyDescent="0.25">
      <c r="A915" s="1">
        <f>Sampling!D913</f>
        <v>0</v>
      </c>
      <c r="B915" t="str" cm="1">
        <f t="array" ref="B915">IF(ISBLANK(INDEX(SampleList[NMR],ROW()-1)),"Not Requested",INDEX(SampleList[Experiment ID],ROW()-1))</f>
        <v>Not Requested</v>
      </c>
      <c r="C915">
        <f>Sampling!E913</f>
        <v>0</v>
      </c>
      <c r="D915">
        <f>NMRPrep[[#This Row],['#]]</f>
        <v>6</v>
      </c>
      <c r="G91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5">
        <f>IF(ISBLANK(NMRPrep[[#This Row],[Total (uL) ]]), 0, NMRPrep[[#This Row],[1mM Maleic Acid (uL) ]]/NMRPrep[[#This Row],[Total (uL) ]])</f>
        <v>7.7279752704791344E-2</v>
      </c>
      <c r="I915">
        <f>2</f>
        <v>2</v>
      </c>
      <c r="J915">
        <f>4</f>
        <v>4</v>
      </c>
      <c r="K915">
        <f>1</f>
        <v>1</v>
      </c>
    </row>
    <row r="916" spans="1:11" hidden="1" x14ac:dyDescent="0.25">
      <c r="A916" s="1">
        <f>Sampling!D914</f>
        <v>0</v>
      </c>
      <c r="B916" t="str" cm="1">
        <f t="array" ref="B916">IF(ISBLANK(INDEX(SampleList[NMR],ROW()-1)),"Not Requested",INDEX(SampleList[Experiment ID],ROW()-1))</f>
        <v>Not Requested</v>
      </c>
      <c r="C916">
        <f>Sampling!E914</f>
        <v>0</v>
      </c>
      <c r="D916">
        <f>NMRPrep[[#This Row],['#]]</f>
        <v>7</v>
      </c>
      <c r="G91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6">
        <f>IF(ISBLANK(NMRPrep[[#This Row],[Total (uL) ]]), 0, NMRPrep[[#This Row],[1mM Maleic Acid (uL) ]]/NMRPrep[[#This Row],[Total (uL) ]])</f>
        <v>7.7279752704791344E-2</v>
      </c>
      <c r="I916">
        <f>2</f>
        <v>2</v>
      </c>
      <c r="J916">
        <f>4</f>
        <v>4</v>
      </c>
      <c r="K916">
        <f>1</f>
        <v>1</v>
      </c>
    </row>
    <row r="917" spans="1:11" hidden="1" x14ac:dyDescent="0.25">
      <c r="A917" s="1">
        <f>Sampling!D915</f>
        <v>0</v>
      </c>
      <c r="B917" t="str" cm="1">
        <f t="array" ref="B917">IF(ISBLANK(INDEX(SampleList[NMR],ROW()-1)),"Not Requested",INDEX(SampleList[Experiment ID],ROW()-1))</f>
        <v>Not Requested</v>
      </c>
      <c r="C917">
        <f>Sampling!E915</f>
        <v>0</v>
      </c>
      <c r="D917">
        <f>NMRPrep[[#This Row],['#]]</f>
        <v>0</v>
      </c>
      <c r="G91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7" t="e">
        <f>IF(ISBLANK(NMRPrep[[#This Row],[Total (uL) ]]), 0, NMRPrep[[#This Row],[1mM Maleic Acid (uL) ]]/NMRPrep[[#This Row],[Total (uL) ]])</f>
        <v>#DIV/0!</v>
      </c>
      <c r="I917">
        <f>2</f>
        <v>2</v>
      </c>
      <c r="J917">
        <f>4</f>
        <v>4</v>
      </c>
      <c r="K917">
        <f>1</f>
        <v>1</v>
      </c>
    </row>
    <row r="918" spans="1:11" hidden="1" x14ac:dyDescent="0.25">
      <c r="A918" s="1">
        <f>Sampling!D916</f>
        <v>0</v>
      </c>
      <c r="B918" t="str" cm="1">
        <f t="array" ref="B918">IF(ISBLANK(INDEX(SampleList[NMR],ROW()-1)),"Not Requested",INDEX(SampleList[Experiment ID],ROW()-1))</f>
        <v>Not Requested</v>
      </c>
      <c r="C918">
        <f>Sampling!E916</f>
        <v>0</v>
      </c>
      <c r="D918">
        <f>NMRPrep[[#This Row],['#]]</f>
        <v>0</v>
      </c>
      <c r="G91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8" t="e">
        <f>IF(ISBLANK(NMRPrep[[#This Row],[Total (uL) ]]), 0, NMRPrep[[#This Row],[1mM Maleic Acid (uL) ]]/NMRPrep[[#This Row],[Total (uL) ]])</f>
        <v>#DIV/0!</v>
      </c>
      <c r="I918">
        <f>2</f>
        <v>2</v>
      </c>
      <c r="J918">
        <f>4</f>
        <v>4</v>
      </c>
      <c r="K918">
        <f>1</f>
        <v>1</v>
      </c>
    </row>
    <row r="919" spans="1:11" hidden="1" x14ac:dyDescent="0.25">
      <c r="A919" s="1">
        <f>Sampling!D917</f>
        <v>0</v>
      </c>
      <c r="B919" t="str" cm="1">
        <f t="array" ref="B919">IF(ISBLANK(INDEX(SampleList[NMR],ROW()-1)),"Not Requested",INDEX(SampleList[Experiment ID],ROW()-1))</f>
        <v>Not Requested</v>
      </c>
      <c r="C919">
        <f>Sampling!E917</f>
        <v>0</v>
      </c>
      <c r="D919">
        <f>NMRPrep[[#This Row],['#]]</f>
        <v>0</v>
      </c>
      <c r="G91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19" t="e">
        <f>IF(ISBLANK(NMRPrep[[#This Row],[Total (uL) ]]), 0, NMRPrep[[#This Row],[1mM Maleic Acid (uL) ]]/NMRPrep[[#This Row],[Total (uL) ]])</f>
        <v>#DIV/0!</v>
      </c>
      <c r="I919">
        <f>2</f>
        <v>2</v>
      </c>
      <c r="J919">
        <f>4</f>
        <v>4</v>
      </c>
      <c r="K919">
        <f>1</f>
        <v>1</v>
      </c>
    </row>
    <row r="920" spans="1:11" hidden="1" x14ac:dyDescent="0.25">
      <c r="A920" s="1">
        <f>Sampling!D918</f>
        <v>0</v>
      </c>
      <c r="B920" t="str" cm="1">
        <f t="array" ref="B920">IF(ISBLANK(INDEX(SampleList[NMR],ROW()-1)),"Not Requested",INDEX(SampleList[Experiment ID],ROW()-1))</f>
        <v>Not Requested</v>
      </c>
      <c r="C920">
        <f>Sampling!E918</f>
        <v>0</v>
      </c>
      <c r="D920">
        <f>NMRPrep[[#This Row],['#]]</f>
        <v>0</v>
      </c>
      <c r="G92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0" t="e">
        <f>IF(ISBLANK(NMRPrep[[#This Row],[Total (uL) ]]), 0, NMRPrep[[#This Row],[1mM Maleic Acid (uL) ]]/NMRPrep[[#This Row],[Total (uL) ]])</f>
        <v>#DIV/0!</v>
      </c>
      <c r="I920">
        <f>2</f>
        <v>2</v>
      </c>
      <c r="J920">
        <f>4</f>
        <v>4</v>
      </c>
      <c r="K920">
        <f>1</f>
        <v>1</v>
      </c>
    </row>
    <row r="921" spans="1:11" hidden="1" x14ac:dyDescent="0.25">
      <c r="A921" s="1">
        <f>Sampling!D919</f>
        <v>0</v>
      </c>
      <c r="B921" t="str" cm="1">
        <f t="array" ref="B921">IF(ISBLANK(INDEX(SampleList[NMR],ROW()-1)),"Not Requested",INDEX(SampleList[Experiment ID],ROW()-1))</f>
        <v>Not Requested</v>
      </c>
      <c r="C921">
        <f>Sampling!E919</f>
        <v>0</v>
      </c>
      <c r="D921">
        <f>NMRPrep[[#This Row],['#]]</f>
        <v>0</v>
      </c>
      <c r="G92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1" t="e">
        <f>IF(ISBLANK(NMRPrep[[#This Row],[Total (uL) ]]), 0, NMRPrep[[#This Row],[1mM Maleic Acid (uL) ]]/NMRPrep[[#This Row],[Total (uL) ]])</f>
        <v>#DIV/0!</v>
      </c>
      <c r="I921">
        <f>2</f>
        <v>2</v>
      </c>
      <c r="J921">
        <f>4</f>
        <v>4</v>
      </c>
      <c r="K921">
        <f>1</f>
        <v>1</v>
      </c>
    </row>
    <row r="922" spans="1:11" hidden="1" x14ac:dyDescent="0.25">
      <c r="A922" s="1">
        <f>Sampling!D920</f>
        <v>0</v>
      </c>
      <c r="B922" t="str" cm="1">
        <f t="array" ref="B922">IF(ISBLANK(INDEX(SampleList[NMR],ROW()-1)),"Not Requested",INDEX(SampleList[Experiment ID],ROW()-1))</f>
        <v>Not Requested</v>
      </c>
      <c r="C922">
        <f>Sampling!E920</f>
        <v>0</v>
      </c>
      <c r="D922">
        <f>NMRPrep[[#This Row],['#]]</f>
        <v>0</v>
      </c>
      <c r="G92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2" t="e">
        <f>IF(ISBLANK(NMRPrep[[#This Row],[Total (uL) ]]), 0, NMRPrep[[#This Row],[1mM Maleic Acid (uL) ]]/NMRPrep[[#This Row],[Total (uL) ]])</f>
        <v>#DIV/0!</v>
      </c>
      <c r="I922">
        <f>2</f>
        <v>2</v>
      </c>
      <c r="J922">
        <f>4</f>
        <v>4</v>
      </c>
      <c r="K922">
        <f>1</f>
        <v>1</v>
      </c>
    </row>
    <row r="923" spans="1:11" hidden="1" x14ac:dyDescent="0.25">
      <c r="A923" s="1">
        <f>Sampling!D921</f>
        <v>0</v>
      </c>
      <c r="B923" t="str" cm="1">
        <f t="array" ref="B923">IF(ISBLANK(INDEX(SampleList[NMR],ROW()-1)),"Not Requested",INDEX(SampleList[Experiment ID],ROW()-1))</f>
        <v>Not Requested</v>
      </c>
      <c r="C923">
        <f>Sampling!E921</f>
        <v>0</v>
      </c>
      <c r="D923">
        <f>NMRPrep[[#This Row],['#]]</f>
        <v>0</v>
      </c>
      <c r="G92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3" t="e">
        <f>IF(ISBLANK(NMRPrep[[#This Row],[Total (uL) ]]), 0, NMRPrep[[#This Row],[1mM Maleic Acid (uL) ]]/NMRPrep[[#This Row],[Total (uL) ]])</f>
        <v>#DIV/0!</v>
      </c>
      <c r="I923">
        <f>2</f>
        <v>2</v>
      </c>
      <c r="J923">
        <f>4</f>
        <v>4</v>
      </c>
      <c r="K923">
        <f>1</f>
        <v>1</v>
      </c>
    </row>
    <row r="924" spans="1:11" hidden="1" x14ac:dyDescent="0.25">
      <c r="A924" s="1">
        <f>Sampling!D922</f>
        <v>0</v>
      </c>
      <c r="B924" t="str" cm="1">
        <f t="array" ref="B924">IF(ISBLANK(INDEX(SampleList[NMR],ROW()-1)),"Not Requested",INDEX(SampleList[Experiment ID],ROW()-1))</f>
        <v>Not Requested</v>
      </c>
      <c r="C924">
        <f>Sampling!E922</f>
        <v>0</v>
      </c>
      <c r="D924">
        <f>NMRPrep[[#This Row],['#]]</f>
        <v>0</v>
      </c>
      <c r="G92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4" t="e">
        <f>IF(ISBLANK(NMRPrep[[#This Row],[Total (uL) ]]), 0, NMRPrep[[#This Row],[1mM Maleic Acid (uL) ]]/NMRPrep[[#This Row],[Total (uL) ]])</f>
        <v>#DIV/0!</v>
      </c>
      <c r="I924">
        <f>2</f>
        <v>2</v>
      </c>
      <c r="J924">
        <f>4</f>
        <v>4</v>
      </c>
      <c r="K924">
        <f>1</f>
        <v>1</v>
      </c>
    </row>
    <row r="925" spans="1:11" hidden="1" x14ac:dyDescent="0.25">
      <c r="A925" s="1">
        <f>Sampling!D923</f>
        <v>0</v>
      </c>
      <c r="B925" t="str" cm="1">
        <f t="array" ref="B925">IF(ISBLANK(INDEX(SampleList[NMR],ROW()-1)),"Not Requested",INDEX(SampleList[Experiment ID],ROW()-1))</f>
        <v>Not Requested</v>
      </c>
      <c r="C925">
        <f>Sampling!E923</f>
        <v>0</v>
      </c>
      <c r="D925">
        <f>NMRPrep[[#This Row],['#]]</f>
        <v>0</v>
      </c>
      <c r="G92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5" t="e">
        <f>IF(ISBLANK(NMRPrep[[#This Row],[Total (uL) ]]), 0, NMRPrep[[#This Row],[1mM Maleic Acid (uL) ]]/NMRPrep[[#This Row],[Total (uL) ]])</f>
        <v>#DIV/0!</v>
      </c>
      <c r="I925">
        <f>2</f>
        <v>2</v>
      </c>
      <c r="J925">
        <f>4</f>
        <v>4</v>
      </c>
      <c r="K925">
        <f>1</f>
        <v>1</v>
      </c>
    </row>
    <row r="926" spans="1:11" hidden="1" x14ac:dyDescent="0.25">
      <c r="A926" s="1">
        <f>Sampling!D924</f>
        <v>0</v>
      </c>
      <c r="B926" t="str" cm="1">
        <f t="array" ref="B926">IF(ISBLANK(INDEX(SampleList[NMR],ROW()-1)),"Not Requested",INDEX(SampleList[Experiment ID],ROW()-1))</f>
        <v>Not Requested</v>
      </c>
      <c r="C926">
        <f>Sampling!E924</f>
        <v>0</v>
      </c>
      <c r="D926">
        <f>NMRPrep[[#This Row],['#]]</f>
        <v>0</v>
      </c>
      <c r="G92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6" t="e">
        <f>IF(ISBLANK(NMRPrep[[#This Row],[Total (uL) ]]), 0, NMRPrep[[#This Row],[1mM Maleic Acid (uL) ]]/NMRPrep[[#This Row],[Total (uL) ]])</f>
        <v>#DIV/0!</v>
      </c>
      <c r="I926">
        <f>2</f>
        <v>2</v>
      </c>
      <c r="J926">
        <f>4</f>
        <v>4</v>
      </c>
      <c r="K926">
        <f>1</f>
        <v>1</v>
      </c>
    </row>
    <row r="927" spans="1:11" hidden="1" x14ac:dyDescent="0.25">
      <c r="A927" s="1">
        <f>Sampling!D925</f>
        <v>0</v>
      </c>
      <c r="B927" t="str" cm="1">
        <f t="array" ref="B927">IF(ISBLANK(INDEX(SampleList[NMR],ROW()-1)),"Not Requested",INDEX(SampleList[Experiment ID],ROW()-1))</f>
        <v>Not Requested</v>
      </c>
      <c r="C927">
        <f>Sampling!E925</f>
        <v>0</v>
      </c>
      <c r="D927">
        <f>NMRPrep[[#This Row],['#]]</f>
        <v>0</v>
      </c>
      <c r="G92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7" t="e">
        <f>IF(ISBLANK(NMRPrep[[#This Row],[Total (uL) ]]), 0, NMRPrep[[#This Row],[1mM Maleic Acid (uL) ]]/NMRPrep[[#This Row],[Total (uL) ]])</f>
        <v>#DIV/0!</v>
      </c>
      <c r="I927">
        <f>2</f>
        <v>2</v>
      </c>
      <c r="J927">
        <f>4</f>
        <v>4</v>
      </c>
      <c r="K927">
        <f>1</f>
        <v>1</v>
      </c>
    </row>
    <row r="928" spans="1:11" hidden="1" x14ac:dyDescent="0.25">
      <c r="A928" s="1">
        <f>Sampling!D926</f>
        <v>0</v>
      </c>
      <c r="B928" t="str" cm="1">
        <f t="array" ref="B928">IF(ISBLANK(INDEX(SampleList[NMR],ROW()-1)),"Not Requested",INDEX(SampleList[Experiment ID],ROW()-1))</f>
        <v>Not Requested</v>
      </c>
      <c r="C928">
        <f>Sampling!E926</f>
        <v>0</v>
      </c>
      <c r="D928">
        <f>NMRPrep[[#This Row],['#]]</f>
        <v>0</v>
      </c>
      <c r="G92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8" t="e">
        <f>IF(ISBLANK(NMRPrep[[#This Row],[Total (uL) ]]), 0, NMRPrep[[#This Row],[1mM Maleic Acid (uL) ]]/NMRPrep[[#This Row],[Total (uL) ]])</f>
        <v>#DIV/0!</v>
      </c>
      <c r="I928">
        <f>2</f>
        <v>2</v>
      </c>
      <c r="J928">
        <f>4</f>
        <v>4</v>
      </c>
      <c r="K928">
        <f>1</f>
        <v>1</v>
      </c>
    </row>
    <row r="929" spans="1:11" hidden="1" x14ac:dyDescent="0.25">
      <c r="A929" s="1">
        <f>Sampling!D927</f>
        <v>0</v>
      </c>
      <c r="B929" t="str" cm="1">
        <f t="array" ref="B929">IF(ISBLANK(INDEX(SampleList[NMR],ROW()-1)),"Not Requested",INDEX(SampleList[Experiment ID],ROW()-1))</f>
        <v>Not Requested</v>
      </c>
      <c r="C929">
        <f>Sampling!E927</f>
        <v>0</v>
      </c>
      <c r="D929">
        <f>NMRPrep[[#This Row],['#]]</f>
        <v>0</v>
      </c>
      <c r="G92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29" t="e">
        <f>IF(ISBLANK(NMRPrep[[#This Row],[Total (uL) ]]), 0, NMRPrep[[#This Row],[1mM Maleic Acid (uL) ]]/NMRPrep[[#This Row],[Total (uL) ]])</f>
        <v>#DIV/0!</v>
      </c>
      <c r="I929">
        <f>2</f>
        <v>2</v>
      </c>
      <c r="J929">
        <f>4</f>
        <v>4</v>
      </c>
      <c r="K929">
        <f>1</f>
        <v>1</v>
      </c>
    </row>
    <row r="930" spans="1:11" hidden="1" x14ac:dyDescent="0.25">
      <c r="A930" s="1">
        <f>Sampling!D928</f>
        <v>0</v>
      </c>
      <c r="B930" t="str" cm="1">
        <f t="array" ref="B930">IF(ISBLANK(INDEX(SampleList[NMR],ROW()-1)),"Not Requested",INDEX(SampleList[Experiment ID],ROW()-1))</f>
        <v>Not Requested</v>
      </c>
      <c r="C930">
        <f>Sampling!E928</f>
        <v>0</v>
      </c>
      <c r="D930">
        <f>NMRPrep[[#This Row],['#]]</f>
        <v>0</v>
      </c>
      <c r="G93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0" t="e">
        <f>IF(ISBLANK(NMRPrep[[#This Row],[Total (uL) ]]), 0, NMRPrep[[#This Row],[1mM Maleic Acid (uL) ]]/NMRPrep[[#This Row],[Total (uL) ]])</f>
        <v>#DIV/0!</v>
      </c>
      <c r="I930">
        <f>2</f>
        <v>2</v>
      </c>
      <c r="J930">
        <f>4</f>
        <v>4</v>
      </c>
      <c r="K930">
        <f>1</f>
        <v>1</v>
      </c>
    </row>
    <row r="931" spans="1:11" hidden="1" x14ac:dyDescent="0.25">
      <c r="A931" s="1">
        <f>Sampling!D929</f>
        <v>0</v>
      </c>
      <c r="B931" t="str" cm="1">
        <f t="array" ref="B931">IF(ISBLANK(INDEX(SampleList[NMR],ROW()-1)),"Not Requested",INDEX(SampleList[Experiment ID],ROW()-1))</f>
        <v>Not Requested</v>
      </c>
      <c r="C931">
        <f>Sampling!E929</f>
        <v>0</v>
      </c>
      <c r="D931">
        <f>NMRPrep[[#This Row],['#]]</f>
        <v>0</v>
      </c>
      <c r="G93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1" t="e">
        <f>IF(ISBLANK(NMRPrep[[#This Row],[Total (uL) ]]), 0, NMRPrep[[#This Row],[1mM Maleic Acid (uL) ]]/NMRPrep[[#This Row],[Total (uL) ]])</f>
        <v>#DIV/0!</v>
      </c>
      <c r="I931">
        <f>2</f>
        <v>2</v>
      </c>
      <c r="J931">
        <f>4</f>
        <v>4</v>
      </c>
      <c r="K931">
        <f>1</f>
        <v>1</v>
      </c>
    </row>
    <row r="932" spans="1:11" hidden="1" x14ac:dyDescent="0.25">
      <c r="A932" s="1">
        <f>Sampling!D930</f>
        <v>0</v>
      </c>
      <c r="B932" t="str" cm="1">
        <f t="array" ref="B932">IF(ISBLANK(INDEX(SampleList[NMR],ROW()-1)),"Not Requested",INDEX(SampleList[Experiment ID],ROW()-1))</f>
        <v>Not Requested</v>
      </c>
      <c r="C932">
        <f>Sampling!E930</f>
        <v>0</v>
      </c>
      <c r="D932">
        <f>NMRPrep[[#This Row],['#]]</f>
        <v>0</v>
      </c>
      <c r="G93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2" t="e">
        <f>IF(ISBLANK(NMRPrep[[#This Row],[Total (uL) ]]), 0, NMRPrep[[#This Row],[1mM Maleic Acid (uL) ]]/NMRPrep[[#This Row],[Total (uL) ]])</f>
        <v>#DIV/0!</v>
      </c>
      <c r="I932">
        <f>2</f>
        <v>2</v>
      </c>
      <c r="J932">
        <f>4</f>
        <v>4</v>
      </c>
      <c r="K932">
        <f>1</f>
        <v>1</v>
      </c>
    </row>
    <row r="933" spans="1:11" hidden="1" x14ac:dyDescent="0.25">
      <c r="A933" s="1">
        <f>Sampling!D931</f>
        <v>0</v>
      </c>
      <c r="B933" t="str" cm="1">
        <f t="array" ref="B933">IF(ISBLANK(INDEX(SampleList[NMR],ROW()-1)),"Not Requested",INDEX(SampleList[Experiment ID],ROW()-1))</f>
        <v>Not Requested</v>
      </c>
      <c r="C933">
        <f>Sampling!E931</f>
        <v>0</v>
      </c>
      <c r="D933">
        <f>NMRPrep[[#This Row],['#]]</f>
        <v>0</v>
      </c>
      <c r="G93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3" t="e">
        <f>IF(ISBLANK(NMRPrep[[#This Row],[Total (uL) ]]), 0, NMRPrep[[#This Row],[1mM Maleic Acid (uL) ]]/NMRPrep[[#This Row],[Total (uL) ]])</f>
        <v>#DIV/0!</v>
      </c>
      <c r="I933">
        <f>2</f>
        <v>2</v>
      </c>
      <c r="J933">
        <f>4</f>
        <v>4</v>
      </c>
      <c r="K933">
        <f>1</f>
        <v>1</v>
      </c>
    </row>
    <row r="934" spans="1:11" hidden="1" x14ac:dyDescent="0.25">
      <c r="A934" s="1">
        <f>Sampling!D932</f>
        <v>0</v>
      </c>
      <c r="B934" t="str" cm="1">
        <f t="array" ref="B934">IF(ISBLANK(INDEX(SampleList[NMR],ROW()-1)),"Not Requested",INDEX(SampleList[Experiment ID],ROW()-1))</f>
        <v>Not Requested</v>
      </c>
      <c r="C934">
        <f>Sampling!E932</f>
        <v>0</v>
      </c>
      <c r="D934">
        <f>NMRPrep[[#This Row],['#]]</f>
        <v>0</v>
      </c>
      <c r="G93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4" t="e">
        <f>IF(ISBLANK(NMRPrep[[#This Row],[Total (uL) ]]), 0, NMRPrep[[#This Row],[1mM Maleic Acid (uL) ]]/NMRPrep[[#This Row],[Total (uL) ]])</f>
        <v>#DIV/0!</v>
      </c>
      <c r="I934">
        <f>2</f>
        <v>2</v>
      </c>
      <c r="J934">
        <f>4</f>
        <v>4</v>
      </c>
      <c r="K934">
        <f>1</f>
        <v>1</v>
      </c>
    </row>
    <row r="935" spans="1:11" hidden="1" x14ac:dyDescent="0.25">
      <c r="A935" s="1">
        <f>Sampling!D933</f>
        <v>0</v>
      </c>
      <c r="B935" t="str" cm="1">
        <f t="array" ref="B935">IF(ISBLANK(INDEX(SampleList[NMR],ROW()-1)),"Not Requested",INDEX(SampleList[Experiment ID],ROW()-1))</f>
        <v>Not Requested</v>
      </c>
      <c r="C935">
        <f>Sampling!E933</f>
        <v>0</v>
      </c>
      <c r="D935">
        <f>NMRPrep[[#This Row],['#]]</f>
        <v>0</v>
      </c>
      <c r="G93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5" t="e">
        <f>IF(ISBLANK(NMRPrep[[#This Row],[Total (uL) ]]), 0, NMRPrep[[#This Row],[1mM Maleic Acid (uL) ]]/NMRPrep[[#This Row],[Total (uL) ]])</f>
        <v>#DIV/0!</v>
      </c>
      <c r="I935">
        <f>2</f>
        <v>2</v>
      </c>
      <c r="J935">
        <f>4</f>
        <v>4</v>
      </c>
      <c r="K935">
        <f>1</f>
        <v>1</v>
      </c>
    </row>
    <row r="936" spans="1:11" hidden="1" x14ac:dyDescent="0.25">
      <c r="A936" s="1">
        <f>Sampling!D934</f>
        <v>0</v>
      </c>
      <c r="B936" t="str" cm="1">
        <f t="array" ref="B936">IF(ISBLANK(INDEX(SampleList[NMR],ROW()-1)),"Not Requested",INDEX(SampleList[Experiment ID],ROW()-1))</f>
        <v>Not Requested</v>
      </c>
      <c r="C936">
        <f>Sampling!E934</f>
        <v>0</v>
      </c>
      <c r="D936">
        <f>NMRPrep[[#This Row],['#]]</f>
        <v>0</v>
      </c>
      <c r="G93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6" t="e">
        <f>IF(ISBLANK(NMRPrep[[#This Row],[Total (uL) ]]), 0, NMRPrep[[#This Row],[1mM Maleic Acid (uL) ]]/NMRPrep[[#This Row],[Total (uL) ]])</f>
        <v>#DIV/0!</v>
      </c>
      <c r="I936">
        <f>2</f>
        <v>2</v>
      </c>
      <c r="J936">
        <f>4</f>
        <v>4</v>
      </c>
      <c r="K936">
        <f>1</f>
        <v>1</v>
      </c>
    </row>
    <row r="937" spans="1:11" hidden="1" x14ac:dyDescent="0.25">
      <c r="A937" s="1">
        <f>Sampling!D935</f>
        <v>0</v>
      </c>
      <c r="B937" t="str" cm="1">
        <f t="array" ref="B937">IF(ISBLANK(INDEX(SampleList[NMR],ROW()-1)),"Not Requested",INDEX(SampleList[Experiment ID],ROW()-1))</f>
        <v>Not Requested</v>
      </c>
      <c r="C937">
        <f>Sampling!E935</f>
        <v>0</v>
      </c>
      <c r="D937">
        <f>NMRPrep[[#This Row],['#]]</f>
        <v>0</v>
      </c>
      <c r="G93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7" t="e">
        <f>IF(ISBLANK(NMRPrep[[#This Row],[Total (uL) ]]), 0, NMRPrep[[#This Row],[1mM Maleic Acid (uL) ]]/NMRPrep[[#This Row],[Total (uL) ]])</f>
        <v>#DIV/0!</v>
      </c>
      <c r="I937">
        <f>2</f>
        <v>2</v>
      </c>
      <c r="J937">
        <f>4</f>
        <v>4</v>
      </c>
      <c r="K937">
        <f>1</f>
        <v>1</v>
      </c>
    </row>
    <row r="938" spans="1:11" hidden="1" x14ac:dyDescent="0.25">
      <c r="A938" s="1">
        <f>Sampling!D936</f>
        <v>0</v>
      </c>
      <c r="B938" t="str" cm="1">
        <f t="array" ref="B938">IF(ISBLANK(INDEX(SampleList[NMR],ROW()-1)),"Not Requested",INDEX(SampleList[Experiment ID],ROW()-1))</f>
        <v>Not Requested</v>
      </c>
      <c r="C938">
        <f>Sampling!E936</f>
        <v>0</v>
      </c>
      <c r="D938">
        <f>NMRPrep[[#This Row],['#]]</f>
        <v>0</v>
      </c>
      <c r="G93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8" t="e">
        <f>IF(ISBLANK(NMRPrep[[#This Row],[Total (uL) ]]), 0, NMRPrep[[#This Row],[1mM Maleic Acid (uL) ]]/NMRPrep[[#This Row],[Total (uL) ]])</f>
        <v>#DIV/0!</v>
      </c>
      <c r="I938">
        <f>2</f>
        <v>2</v>
      </c>
      <c r="J938">
        <f>4</f>
        <v>4</v>
      </c>
      <c r="K938">
        <f>1</f>
        <v>1</v>
      </c>
    </row>
    <row r="939" spans="1:11" hidden="1" x14ac:dyDescent="0.25">
      <c r="A939" s="1">
        <f>Sampling!D937</f>
        <v>0</v>
      </c>
      <c r="B939" t="str" cm="1">
        <f t="array" ref="B939">IF(ISBLANK(INDEX(SampleList[NMR],ROW()-1)),"Not Requested",INDEX(SampleList[Experiment ID],ROW()-1))</f>
        <v>Not Requested</v>
      </c>
      <c r="C939">
        <f>Sampling!E937</f>
        <v>0</v>
      </c>
      <c r="D939">
        <f>NMRPrep[[#This Row],['#]]</f>
        <v>0</v>
      </c>
      <c r="G93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39" t="e">
        <f>IF(ISBLANK(NMRPrep[[#This Row],[Total (uL) ]]), 0, NMRPrep[[#This Row],[1mM Maleic Acid (uL) ]]/NMRPrep[[#This Row],[Total (uL) ]])</f>
        <v>#DIV/0!</v>
      </c>
      <c r="I939">
        <f>2</f>
        <v>2</v>
      </c>
      <c r="J939">
        <f>4</f>
        <v>4</v>
      </c>
      <c r="K939">
        <f>1</f>
        <v>1</v>
      </c>
    </row>
    <row r="940" spans="1:11" hidden="1" x14ac:dyDescent="0.25">
      <c r="A940" s="1">
        <f>Sampling!D938</f>
        <v>0</v>
      </c>
      <c r="B940" t="str" cm="1">
        <f t="array" ref="B940">IF(ISBLANK(INDEX(SampleList[NMR],ROW()-1)),"Not Requested",INDEX(SampleList[Experiment ID],ROW()-1))</f>
        <v>Not Requested</v>
      </c>
      <c r="C940">
        <f>Sampling!E938</f>
        <v>0</v>
      </c>
      <c r="D940">
        <f>NMRPrep[[#This Row],['#]]</f>
        <v>0</v>
      </c>
      <c r="G94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0" t="e">
        <f>IF(ISBLANK(NMRPrep[[#This Row],[Total (uL) ]]), 0, NMRPrep[[#This Row],[1mM Maleic Acid (uL) ]]/NMRPrep[[#This Row],[Total (uL) ]])</f>
        <v>#DIV/0!</v>
      </c>
      <c r="I940">
        <f>2</f>
        <v>2</v>
      </c>
      <c r="J940">
        <f>4</f>
        <v>4</v>
      </c>
      <c r="K940">
        <f>1</f>
        <v>1</v>
      </c>
    </row>
    <row r="941" spans="1:11" hidden="1" x14ac:dyDescent="0.25">
      <c r="A941" s="1">
        <f>Sampling!D939</f>
        <v>0</v>
      </c>
      <c r="B941" t="str" cm="1">
        <f t="array" ref="B941">IF(ISBLANK(INDEX(SampleList[NMR],ROW()-1)),"Not Requested",INDEX(SampleList[Experiment ID],ROW()-1))</f>
        <v>Not Requested</v>
      </c>
      <c r="C941">
        <f>Sampling!E939</f>
        <v>0</v>
      </c>
      <c r="D941">
        <f>NMRPrep[[#This Row],['#]]</f>
        <v>0</v>
      </c>
      <c r="G94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1" t="e">
        <f>IF(ISBLANK(NMRPrep[[#This Row],[Total (uL) ]]), 0, NMRPrep[[#This Row],[1mM Maleic Acid (uL) ]]/NMRPrep[[#This Row],[Total (uL) ]])</f>
        <v>#DIV/0!</v>
      </c>
      <c r="I941">
        <f>2</f>
        <v>2</v>
      </c>
      <c r="J941">
        <f>4</f>
        <v>4</v>
      </c>
      <c r="K941">
        <f>1</f>
        <v>1</v>
      </c>
    </row>
    <row r="942" spans="1:11" hidden="1" x14ac:dyDescent="0.25">
      <c r="A942" s="1">
        <f>Sampling!D940</f>
        <v>0</v>
      </c>
      <c r="B942" t="str" cm="1">
        <f t="array" ref="B942">IF(ISBLANK(INDEX(SampleList[NMR],ROW()-1)),"Not Requested",INDEX(SampleList[Experiment ID],ROW()-1))</f>
        <v>Not Requested</v>
      </c>
      <c r="C942">
        <f>Sampling!E940</f>
        <v>0</v>
      </c>
      <c r="D942">
        <f>NMRPrep[[#This Row],['#]]</f>
        <v>0</v>
      </c>
      <c r="G94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2" t="e">
        <f>IF(ISBLANK(NMRPrep[[#This Row],[Total (uL) ]]), 0, NMRPrep[[#This Row],[1mM Maleic Acid (uL) ]]/NMRPrep[[#This Row],[Total (uL) ]])</f>
        <v>#DIV/0!</v>
      </c>
      <c r="I942">
        <f>2</f>
        <v>2</v>
      </c>
      <c r="J942">
        <f>4</f>
        <v>4</v>
      </c>
      <c r="K942">
        <f>1</f>
        <v>1</v>
      </c>
    </row>
    <row r="943" spans="1:11" hidden="1" x14ac:dyDescent="0.25">
      <c r="A943" s="1">
        <f>Sampling!D941</f>
        <v>0</v>
      </c>
      <c r="B943" t="str" cm="1">
        <f t="array" ref="B943">IF(ISBLANK(INDEX(SampleList[NMR],ROW()-1)),"Not Requested",INDEX(SampleList[Experiment ID],ROW()-1))</f>
        <v>Not Requested</v>
      </c>
      <c r="C943">
        <f>Sampling!E941</f>
        <v>0</v>
      </c>
      <c r="D943">
        <f>NMRPrep[[#This Row],['#]]</f>
        <v>0</v>
      </c>
      <c r="G94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3" t="e">
        <f>IF(ISBLANK(NMRPrep[[#This Row],[Total (uL) ]]), 0, NMRPrep[[#This Row],[1mM Maleic Acid (uL) ]]/NMRPrep[[#This Row],[Total (uL) ]])</f>
        <v>#DIV/0!</v>
      </c>
      <c r="I943">
        <f>2</f>
        <v>2</v>
      </c>
      <c r="J943">
        <f>4</f>
        <v>4</v>
      </c>
      <c r="K943">
        <f>1</f>
        <v>1</v>
      </c>
    </row>
    <row r="944" spans="1:11" hidden="1" x14ac:dyDescent="0.25">
      <c r="A944" s="1">
        <f>Sampling!D942</f>
        <v>0</v>
      </c>
      <c r="B944" t="str" cm="1">
        <f t="array" ref="B944">IF(ISBLANK(INDEX(SampleList[NMR],ROW()-1)),"Not Requested",INDEX(SampleList[Experiment ID],ROW()-1))</f>
        <v>Not Requested</v>
      </c>
      <c r="C944">
        <f>Sampling!E942</f>
        <v>0</v>
      </c>
      <c r="D944">
        <f>NMRPrep[[#This Row],['#]]</f>
        <v>0</v>
      </c>
      <c r="G94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4" t="e">
        <f>IF(ISBLANK(NMRPrep[[#This Row],[Total (uL) ]]), 0, NMRPrep[[#This Row],[1mM Maleic Acid (uL) ]]/NMRPrep[[#This Row],[Total (uL) ]])</f>
        <v>#DIV/0!</v>
      </c>
      <c r="I944">
        <f>2</f>
        <v>2</v>
      </c>
      <c r="J944">
        <f>4</f>
        <v>4</v>
      </c>
      <c r="K944">
        <f>1</f>
        <v>1</v>
      </c>
    </row>
    <row r="945" spans="1:11" hidden="1" x14ac:dyDescent="0.25">
      <c r="A945" s="1">
        <f>Sampling!D943</f>
        <v>0</v>
      </c>
      <c r="B945" t="str" cm="1">
        <f t="array" ref="B945">IF(ISBLANK(INDEX(SampleList[NMR],ROW()-1)),"Not Requested",INDEX(SampleList[Experiment ID],ROW()-1))</f>
        <v>Not Requested</v>
      </c>
      <c r="C945">
        <f>Sampling!E943</f>
        <v>0</v>
      </c>
      <c r="D945">
        <f>NMRPrep[[#This Row],['#]]</f>
        <v>0</v>
      </c>
      <c r="G94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5" t="e">
        <f>IF(ISBLANK(NMRPrep[[#This Row],[Total (uL) ]]), 0, NMRPrep[[#This Row],[1mM Maleic Acid (uL) ]]/NMRPrep[[#This Row],[Total (uL) ]])</f>
        <v>#DIV/0!</v>
      </c>
      <c r="I945">
        <f>2</f>
        <v>2</v>
      </c>
      <c r="J945">
        <f>4</f>
        <v>4</v>
      </c>
      <c r="K945">
        <f>1</f>
        <v>1</v>
      </c>
    </row>
    <row r="946" spans="1:11" hidden="1" x14ac:dyDescent="0.25">
      <c r="A946" s="1">
        <f>Sampling!D944</f>
        <v>0</v>
      </c>
      <c r="B946" t="str" cm="1">
        <f t="array" ref="B946">IF(ISBLANK(INDEX(SampleList[NMR],ROW()-1)),"Not Requested",INDEX(SampleList[Experiment ID],ROW()-1))</f>
        <v>Not Requested</v>
      </c>
      <c r="C946">
        <f>Sampling!E944</f>
        <v>0</v>
      </c>
      <c r="D946">
        <f>NMRPrep[[#This Row],['#]]</f>
        <v>0</v>
      </c>
      <c r="G94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6" t="e">
        <f>IF(ISBLANK(NMRPrep[[#This Row],[Total (uL) ]]), 0, NMRPrep[[#This Row],[1mM Maleic Acid (uL) ]]/NMRPrep[[#This Row],[Total (uL) ]])</f>
        <v>#DIV/0!</v>
      </c>
      <c r="I946">
        <f>2</f>
        <v>2</v>
      </c>
      <c r="J946">
        <f>4</f>
        <v>4</v>
      </c>
      <c r="K946">
        <f>1</f>
        <v>1</v>
      </c>
    </row>
    <row r="947" spans="1:11" hidden="1" x14ac:dyDescent="0.25">
      <c r="A947" s="1">
        <f>Sampling!D945</f>
        <v>0</v>
      </c>
      <c r="B947" t="str" cm="1">
        <f t="array" ref="B947">IF(ISBLANK(INDEX(SampleList[NMR],ROW()-1)),"Not Requested",INDEX(SampleList[Experiment ID],ROW()-1))</f>
        <v>Not Requested</v>
      </c>
      <c r="C947">
        <f>Sampling!E945</f>
        <v>0</v>
      </c>
      <c r="D947">
        <f>NMRPrep[[#This Row],['#]]</f>
        <v>0</v>
      </c>
      <c r="G94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7" t="e">
        <f>IF(ISBLANK(NMRPrep[[#This Row],[Total (uL) ]]), 0, NMRPrep[[#This Row],[1mM Maleic Acid (uL) ]]/NMRPrep[[#This Row],[Total (uL) ]])</f>
        <v>#DIV/0!</v>
      </c>
      <c r="I947">
        <f>2</f>
        <v>2</v>
      </c>
      <c r="J947">
        <f>4</f>
        <v>4</v>
      </c>
      <c r="K947">
        <f>1</f>
        <v>1</v>
      </c>
    </row>
    <row r="948" spans="1:11" hidden="1" x14ac:dyDescent="0.25">
      <c r="A948" s="1">
        <f>Sampling!D946</f>
        <v>0</v>
      </c>
      <c r="B948" t="str" cm="1">
        <f t="array" ref="B948">IF(ISBLANK(INDEX(SampleList[NMR],ROW()-1)),"Not Requested",INDEX(SampleList[Experiment ID],ROW()-1))</f>
        <v>Not Requested</v>
      </c>
      <c r="C948">
        <f>Sampling!E946</f>
        <v>0</v>
      </c>
      <c r="D948">
        <f>NMRPrep[[#This Row],['#]]</f>
        <v>0</v>
      </c>
      <c r="G94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8" t="e">
        <f>IF(ISBLANK(NMRPrep[[#This Row],[Total (uL) ]]), 0, NMRPrep[[#This Row],[1mM Maleic Acid (uL) ]]/NMRPrep[[#This Row],[Total (uL) ]])</f>
        <v>#DIV/0!</v>
      </c>
      <c r="I948">
        <f>2</f>
        <v>2</v>
      </c>
      <c r="J948">
        <f>4</f>
        <v>4</v>
      </c>
      <c r="K948">
        <f>1</f>
        <v>1</v>
      </c>
    </row>
    <row r="949" spans="1:11" hidden="1" x14ac:dyDescent="0.25">
      <c r="A949" s="1">
        <f>Sampling!D947</f>
        <v>0</v>
      </c>
      <c r="B949" t="str" cm="1">
        <f t="array" ref="B949">IF(ISBLANK(INDEX(SampleList[NMR],ROW()-1)),"Not Requested",INDEX(SampleList[Experiment ID],ROW()-1))</f>
        <v>Not Requested</v>
      </c>
      <c r="C949">
        <f>Sampling!E947</f>
        <v>0</v>
      </c>
      <c r="D949">
        <f>NMRPrep[[#This Row],['#]]</f>
        <v>0</v>
      </c>
      <c r="G94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49" t="e">
        <f>IF(ISBLANK(NMRPrep[[#This Row],[Total (uL) ]]), 0, NMRPrep[[#This Row],[1mM Maleic Acid (uL) ]]/NMRPrep[[#This Row],[Total (uL) ]])</f>
        <v>#DIV/0!</v>
      </c>
      <c r="I949">
        <f>2</f>
        <v>2</v>
      </c>
      <c r="J949">
        <f>4</f>
        <v>4</v>
      </c>
      <c r="K949">
        <f>1</f>
        <v>1</v>
      </c>
    </row>
    <row r="950" spans="1:11" hidden="1" x14ac:dyDescent="0.25">
      <c r="A950" s="1">
        <f>Sampling!D948</f>
        <v>0</v>
      </c>
      <c r="B950" t="str" cm="1">
        <f t="array" ref="B950">IF(ISBLANK(INDEX(SampleList[NMR],ROW()-1)),"Not Requested",INDEX(SampleList[Experiment ID],ROW()-1))</f>
        <v>Not Requested</v>
      </c>
      <c r="C950">
        <f>Sampling!E948</f>
        <v>0</v>
      </c>
      <c r="D950">
        <f>NMRPrep[[#This Row],['#]]</f>
        <v>0</v>
      </c>
      <c r="G95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0" t="e">
        <f>IF(ISBLANK(NMRPrep[[#This Row],[Total (uL) ]]), 0, NMRPrep[[#This Row],[1mM Maleic Acid (uL) ]]/NMRPrep[[#This Row],[Total (uL) ]])</f>
        <v>#DIV/0!</v>
      </c>
      <c r="I950">
        <f>2</f>
        <v>2</v>
      </c>
      <c r="J950">
        <f>4</f>
        <v>4</v>
      </c>
      <c r="K950">
        <f>1</f>
        <v>1</v>
      </c>
    </row>
    <row r="951" spans="1:11" hidden="1" x14ac:dyDescent="0.25">
      <c r="A951" s="1">
        <f>Sampling!D949</f>
        <v>0</v>
      </c>
      <c r="B951" t="str" cm="1">
        <f t="array" ref="B951">IF(ISBLANK(INDEX(SampleList[NMR],ROW()-1)),"Not Requested",INDEX(SampleList[Experiment ID],ROW()-1))</f>
        <v>Not Requested</v>
      </c>
      <c r="C951">
        <f>Sampling!E949</f>
        <v>0</v>
      </c>
      <c r="D951">
        <f>NMRPrep[[#This Row],['#]]</f>
        <v>0</v>
      </c>
      <c r="G95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1" t="e">
        <f>IF(ISBLANK(NMRPrep[[#This Row],[Total (uL) ]]), 0, NMRPrep[[#This Row],[1mM Maleic Acid (uL) ]]/NMRPrep[[#This Row],[Total (uL) ]])</f>
        <v>#DIV/0!</v>
      </c>
      <c r="I951">
        <f>2</f>
        <v>2</v>
      </c>
      <c r="J951">
        <f>4</f>
        <v>4</v>
      </c>
      <c r="K951">
        <f>1</f>
        <v>1</v>
      </c>
    </row>
    <row r="952" spans="1:11" hidden="1" x14ac:dyDescent="0.25">
      <c r="A952" s="1">
        <f>Sampling!D950</f>
        <v>0</v>
      </c>
      <c r="B952" t="str" cm="1">
        <f t="array" ref="B952">IF(ISBLANK(INDEX(SampleList[NMR],ROW()-1)),"Not Requested",INDEX(SampleList[Experiment ID],ROW()-1))</f>
        <v>Not Requested</v>
      </c>
      <c r="C952">
        <f>Sampling!E950</f>
        <v>0</v>
      </c>
      <c r="D952">
        <f>NMRPrep[[#This Row],['#]]</f>
        <v>0</v>
      </c>
      <c r="G95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2" t="e">
        <f>IF(ISBLANK(NMRPrep[[#This Row],[Total (uL) ]]), 0, NMRPrep[[#This Row],[1mM Maleic Acid (uL) ]]/NMRPrep[[#This Row],[Total (uL) ]])</f>
        <v>#DIV/0!</v>
      </c>
      <c r="I952">
        <f>2</f>
        <v>2</v>
      </c>
      <c r="J952">
        <f>4</f>
        <v>4</v>
      </c>
      <c r="K952">
        <f>1</f>
        <v>1</v>
      </c>
    </row>
    <row r="953" spans="1:11" hidden="1" x14ac:dyDescent="0.25">
      <c r="A953" s="1">
        <f>Sampling!D951</f>
        <v>0</v>
      </c>
      <c r="B953" t="str" cm="1">
        <f t="array" ref="B953">IF(ISBLANK(INDEX(SampleList[NMR],ROW()-1)),"Not Requested",INDEX(SampleList[Experiment ID],ROW()-1))</f>
        <v>Not Requested</v>
      </c>
      <c r="C953">
        <f>Sampling!E951</f>
        <v>0</v>
      </c>
      <c r="D953">
        <f>NMRPrep[[#This Row],['#]]</f>
        <v>0</v>
      </c>
      <c r="G95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3" t="e">
        <f>IF(ISBLANK(NMRPrep[[#This Row],[Total (uL) ]]), 0, NMRPrep[[#This Row],[1mM Maleic Acid (uL) ]]/NMRPrep[[#This Row],[Total (uL) ]])</f>
        <v>#DIV/0!</v>
      </c>
      <c r="I953">
        <f>2</f>
        <v>2</v>
      </c>
      <c r="J953">
        <f>4</f>
        <v>4</v>
      </c>
      <c r="K953">
        <f>1</f>
        <v>1</v>
      </c>
    </row>
    <row r="954" spans="1:11" hidden="1" x14ac:dyDescent="0.25">
      <c r="A954" s="1">
        <f>Sampling!D952</f>
        <v>0</v>
      </c>
      <c r="B954" t="str" cm="1">
        <f t="array" ref="B954">IF(ISBLANK(INDEX(SampleList[NMR],ROW()-1)),"Not Requested",INDEX(SampleList[Experiment ID],ROW()-1))</f>
        <v>Not Requested</v>
      </c>
      <c r="C954">
        <f>Sampling!E952</f>
        <v>0</v>
      </c>
      <c r="D954">
        <f>NMRPrep[[#This Row],['#]]</f>
        <v>0</v>
      </c>
      <c r="G95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4" t="e">
        <f>IF(ISBLANK(NMRPrep[[#This Row],[Total (uL) ]]), 0, NMRPrep[[#This Row],[1mM Maleic Acid (uL) ]]/NMRPrep[[#This Row],[Total (uL) ]])</f>
        <v>#DIV/0!</v>
      </c>
      <c r="I954">
        <f>2</f>
        <v>2</v>
      </c>
      <c r="J954">
        <f>4</f>
        <v>4</v>
      </c>
      <c r="K954">
        <f>1</f>
        <v>1</v>
      </c>
    </row>
    <row r="955" spans="1:11" hidden="1" x14ac:dyDescent="0.25">
      <c r="A955" s="1">
        <f>Sampling!D953</f>
        <v>0</v>
      </c>
      <c r="B955" t="str" cm="1">
        <f t="array" ref="B955">IF(ISBLANK(INDEX(SampleList[NMR],ROW()-1)),"Not Requested",INDEX(SampleList[Experiment ID],ROW()-1))</f>
        <v>Not Requested</v>
      </c>
      <c r="C955">
        <f>Sampling!E953</f>
        <v>0</v>
      </c>
      <c r="D955">
        <f>NMRPrep[[#This Row],['#]]</f>
        <v>0</v>
      </c>
      <c r="G95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5" t="e">
        <f>IF(ISBLANK(NMRPrep[[#This Row],[Total (uL) ]]), 0, NMRPrep[[#This Row],[1mM Maleic Acid (uL) ]]/NMRPrep[[#This Row],[Total (uL) ]])</f>
        <v>#DIV/0!</v>
      </c>
      <c r="I955">
        <f>2</f>
        <v>2</v>
      </c>
      <c r="J955">
        <f>4</f>
        <v>4</v>
      </c>
      <c r="K955">
        <f>1</f>
        <v>1</v>
      </c>
    </row>
    <row r="956" spans="1:11" hidden="1" x14ac:dyDescent="0.25">
      <c r="A956" s="1">
        <f>Sampling!D954</f>
        <v>0</v>
      </c>
      <c r="B956" t="str" cm="1">
        <f t="array" ref="B956">IF(ISBLANK(INDEX(SampleList[NMR],ROW()-1)),"Not Requested",INDEX(SampleList[Experiment ID],ROW()-1))</f>
        <v>Not Requested</v>
      </c>
      <c r="C956">
        <f>Sampling!E954</f>
        <v>0</v>
      </c>
      <c r="D956">
        <f>NMRPrep[[#This Row],['#]]</f>
        <v>0</v>
      </c>
      <c r="G95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6" t="e">
        <f>IF(ISBLANK(NMRPrep[[#This Row],[Total (uL) ]]), 0, NMRPrep[[#This Row],[1mM Maleic Acid (uL) ]]/NMRPrep[[#This Row],[Total (uL) ]])</f>
        <v>#DIV/0!</v>
      </c>
      <c r="I956">
        <f>2</f>
        <v>2</v>
      </c>
      <c r="J956">
        <f>4</f>
        <v>4</v>
      </c>
      <c r="K956">
        <f>1</f>
        <v>1</v>
      </c>
    </row>
    <row r="957" spans="1:11" hidden="1" x14ac:dyDescent="0.25">
      <c r="A957" s="1">
        <f>Sampling!D955</f>
        <v>0</v>
      </c>
      <c r="B957" t="str" cm="1">
        <f t="array" ref="B957">IF(ISBLANK(INDEX(SampleList[NMR],ROW()-1)),"Not Requested",INDEX(SampleList[Experiment ID],ROW()-1))</f>
        <v>Not Requested</v>
      </c>
      <c r="C957">
        <f>Sampling!E955</f>
        <v>0</v>
      </c>
      <c r="D957">
        <f>NMRPrep[[#This Row],['#]]</f>
        <v>0</v>
      </c>
      <c r="G95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7" t="e">
        <f>IF(ISBLANK(NMRPrep[[#This Row],[Total (uL) ]]), 0, NMRPrep[[#This Row],[1mM Maleic Acid (uL) ]]/NMRPrep[[#This Row],[Total (uL) ]])</f>
        <v>#DIV/0!</v>
      </c>
      <c r="I957">
        <f>2</f>
        <v>2</v>
      </c>
      <c r="J957">
        <f>4</f>
        <v>4</v>
      </c>
      <c r="K957">
        <f>1</f>
        <v>1</v>
      </c>
    </row>
    <row r="958" spans="1:11" hidden="1" x14ac:dyDescent="0.25">
      <c r="A958" s="1">
        <f>Sampling!D956</f>
        <v>0</v>
      </c>
      <c r="B958" t="str" cm="1">
        <f t="array" ref="B958">IF(ISBLANK(INDEX(SampleList[NMR],ROW()-1)),"Not Requested",INDEX(SampleList[Experiment ID],ROW()-1))</f>
        <v>Not Requested</v>
      </c>
      <c r="C958">
        <f>Sampling!E956</f>
        <v>0</v>
      </c>
      <c r="D958">
        <f>NMRPrep[[#This Row],['#]]</f>
        <v>0</v>
      </c>
      <c r="G95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8" t="e">
        <f>IF(ISBLANK(NMRPrep[[#This Row],[Total (uL) ]]), 0, NMRPrep[[#This Row],[1mM Maleic Acid (uL) ]]/NMRPrep[[#This Row],[Total (uL) ]])</f>
        <v>#DIV/0!</v>
      </c>
      <c r="I958">
        <f>2</f>
        <v>2</v>
      </c>
      <c r="J958">
        <f>4</f>
        <v>4</v>
      </c>
      <c r="K958">
        <f>1</f>
        <v>1</v>
      </c>
    </row>
    <row r="959" spans="1:11" hidden="1" x14ac:dyDescent="0.25">
      <c r="A959" s="1">
        <f>Sampling!D957</f>
        <v>0</v>
      </c>
      <c r="B959" t="str" cm="1">
        <f t="array" ref="B959">IF(ISBLANK(INDEX(SampleList[NMR],ROW()-1)),"Not Requested",INDEX(SampleList[Experiment ID],ROW()-1))</f>
        <v>Not Requested</v>
      </c>
      <c r="C959">
        <f>Sampling!E957</f>
        <v>0</v>
      </c>
      <c r="D959">
        <f>NMRPrep[[#This Row],['#]]</f>
        <v>0</v>
      </c>
      <c r="G95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59" t="e">
        <f>IF(ISBLANK(NMRPrep[[#This Row],[Total (uL) ]]), 0, NMRPrep[[#This Row],[1mM Maleic Acid (uL) ]]/NMRPrep[[#This Row],[Total (uL) ]])</f>
        <v>#DIV/0!</v>
      </c>
      <c r="I959">
        <f>2</f>
        <v>2</v>
      </c>
      <c r="J959">
        <f>4</f>
        <v>4</v>
      </c>
      <c r="K959">
        <f>1</f>
        <v>1</v>
      </c>
    </row>
    <row r="960" spans="1:11" hidden="1" x14ac:dyDescent="0.25">
      <c r="A960" s="1">
        <f>Sampling!D958</f>
        <v>0</v>
      </c>
      <c r="B960" t="str" cm="1">
        <f t="array" ref="B960">IF(ISBLANK(INDEX(SampleList[NMR],ROW()-1)),"Not Requested",INDEX(SampleList[Experiment ID],ROW()-1))</f>
        <v>Not Requested</v>
      </c>
      <c r="C960">
        <f>Sampling!E958</f>
        <v>0</v>
      </c>
      <c r="D960">
        <f>NMRPrep[[#This Row],['#]]</f>
        <v>0</v>
      </c>
      <c r="G96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0" t="e">
        <f>IF(ISBLANK(NMRPrep[[#This Row],[Total (uL) ]]), 0, NMRPrep[[#This Row],[1mM Maleic Acid (uL) ]]/NMRPrep[[#This Row],[Total (uL) ]])</f>
        <v>#DIV/0!</v>
      </c>
      <c r="I960">
        <f>2</f>
        <v>2</v>
      </c>
      <c r="J960">
        <f>4</f>
        <v>4</v>
      </c>
      <c r="K960">
        <f>1</f>
        <v>1</v>
      </c>
    </row>
    <row r="961" spans="1:11" hidden="1" x14ac:dyDescent="0.25">
      <c r="A961" s="1">
        <f>Sampling!D959</f>
        <v>0</v>
      </c>
      <c r="B961" t="str" cm="1">
        <f t="array" ref="B961">IF(ISBLANK(INDEX(SampleList[NMR],ROW()-1)),"Not Requested",INDEX(SampleList[Experiment ID],ROW()-1))</f>
        <v>Not Requested</v>
      </c>
      <c r="C961">
        <f>Sampling!E959</f>
        <v>0</v>
      </c>
      <c r="D961">
        <f>NMRPrep[[#This Row],['#]]</f>
        <v>0</v>
      </c>
      <c r="G96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1" t="e">
        <f>IF(ISBLANK(NMRPrep[[#This Row],[Total (uL) ]]), 0, NMRPrep[[#This Row],[1mM Maleic Acid (uL) ]]/NMRPrep[[#This Row],[Total (uL) ]])</f>
        <v>#DIV/0!</v>
      </c>
      <c r="I961">
        <f>2</f>
        <v>2</v>
      </c>
      <c r="J961">
        <f>4</f>
        <v>4</v>
      </c>
      <c r="K961">
        <f>1</f>
        <v>1</v>
      </c>
    </row>
    <row r="962" spans="1:11" hidden="1" x14ac:dyDescent="0.25">
      <c r="A962" s="1">
        <f>Sampling!D960</f>
        <v>0</v>
      </c>
      <c r="B962" t="str" cm="1">
        <f t="array" ref="B962">IF(ISBLANK(INDEX(SampleList[NMR],ROW()-1)),"Not Requested",INDEX(SampleList[Experiment ID],ROW()-1))</f>
        <v>Not Requested</v>
      </c>
      <c r="C962">
        <f>Sampling!E960</f>
        <v>0</v>
      </c>
      <c r="D962">
        <f>NMRPrep[[#This Row],['#]]</f>
        <v>0</v>
      </c>
      <c r="G96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2" t="e">
        <f>IF(ISBLANK(NMRPrep[[#This Row],[Total (uL) ]]), 0, NMRPrep[[#This Row],[1mM Maleic Acid (uL) ]]/NMRPrep[[#This Row],[Total (uL) ]])</f>
        <v>#DIV/0!</v>
      </c>
      <c r="I962">
        <f>2</f>
        <v>2</v>
      </c>
      <c r="J962">
        <f>4</f>
        <v>4</v>
      </c>
      <c r="K962">
        <f>1</f>
        <v>1</v>
      </c>
    </row>
    <row r="963" spans="1:11" hidden="1" x14ac:dyDescent="0.25">
      <c r="A963" s="1">
        <f>Sampling!D961</f>
        <v>0</v>
      </c>
      <c r="B963" t="str" cm="1">
        <f t="array" ref="B963">IF(ISBLANK(INDEX(SampleList[NMR],ROW()-1)),"Not Requested",INDEX(SampleList[Experiment ID],ROW()-1))</f>
        <v>Not Requested</v>
      </c>
      <c r="C963">
        <f>Sampling!E961</f>
        <v>0</v>
      </c>
      <c r="D963">
        <f>NMRPrep[[#This Row],['#]]</f>
        <v>0</v>
      </c>
      <c r="G96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3" t="e">
        <f>IF(ISBLANK(NMRPrep[[#This Row],[Total (uL) ]]), 0, NMRPrep[[#This Row],[1mM Maleic Acid (uL) ]]/NMRPrep[[#This Row],[Total (uL) ]])</f>
        <v>#DIV/0!</v>
      </c>
      <c r="I963">
        <f>2</f>
        <v>2</v>
      </c>
      <c r="J963">
        <f>4</f>
        <v>4</v>
      </c>
      <c r="K963">
        <f>1</f>
        <v>1</v>
      </c>
    </row>
    <row r="964" spans="1:11" hidden="1" x14ac:dyDescent="0.25">
      <c r="A964" s="1">
        <f>Sampling!D962</f>
        <v>0</v>
      </c>
      <c r="B964" t="str" cm="1">
        <f t="array" ref="B964">IF(ISBLANK(INDEX(SampleList[NMR],ROW()-1)),"Not Requested",INDEX(SampleList[Experiment ID],ROW()-1))</f>
        <v>Not Requested</v>
      </c>
      <c r="C964">
        <f>Sampling!E962</f>
        <v>0</v>
      </c>
      <c r="D964">
        <f>NMRPrep[[#This Row],['#]]</f>
        <v>0</v>
      </c>
      <c r="G96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4" t="e">
        <f>IF(ISBLANK(NMRPrep[[#This Row],[Total (uL) ]]), 0, NMRPrep[[#This Row],[1mM Maleic Acid (uL) ]]/NMRPrep[[#This Row],[Total (uL) ]])</f>
        <v>#DIV/0!</v>
      </c>
      <c r="I964">
        <f>2</f>
        <v>2</v>
      </c>
      <c r="J964">
        <f>4</f>
        <v>4</v>
      </c>
      <c r="K964">
        <f>1</f>
        <v>1</v>
      </c>
    </row>
    <row r="965" spans="1:11" hidden="1" x14ac:dyDescent="0.25">
      <c r="A965" s="1">
        <f>Sampling!D963</f>
        <v>0</v>
      </c>
      <c r="B965" t="str" cm="1">
        <f t="array" ref="B965">IF(ISBLANK(INDEX(SampleList[NMR],ROW()-1)),"Not Requested",INDEX(SampleList[Experiment ID],ROW()-1))</f>
        <v>Not Requested</v>
      </c>
      <c r="C965">
        <f>Sampling!E963</f>
        <v>0</v>
      </c>
      <c r="D965">
        <f>NMRPrep[[#This Row],['#]]</f>
        <v>0</v>
      </c>
      <c r="G96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5" t="e">
        <f>IF(ISBLANK(NMRPrep[[#This Row],[Total (uL) ]]), 0, NMRPrep[[#This Row],[1mM Maleic Acid (uL) ]]/NMRPrep[[#This Row],[Total (uL) ]])</f>
        <v>#DIV/0!</v>
      </c>
      <c r="I965">
        <f>2</f>
        <v>2</v>
      </c>
      <c r="J965">
        <f>4</f>
        <v>4</v>
      </c>
      <c r="K965">
        <f>1</f>
        <v>1</v>
      </c>
    </row>
    <row r="966" spans="1:11" hidden="1" x14ac:dyDescent="0.25">
      <c r="A966" s="1">
        <f>Sampling!D964</f>
        <v>0</v>
      </c>
      <c r="B966" t="str" cm="1">
        <f t="array" ref="B966">IF(ISBLANK(INDEX(SampleList[NMR],ROW()-1)),"Not Requested",INDEX(SampleList[Experiment ID],ROW()-1))</f>
        <v>Not Requested</v>
      </c>
      <c r="C966">
        <f>Sampling!E964</f>
        <v>0</v>
      </c>
      <c r="D966">
        <f>NMRPrep[[#This Row],['#]]</f>
        <v>0</v>
      </c>
      <c r="G96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6" t="e">
        <f>IF(ISBLANK(NMRPrep[[#This Row],[Total (uL) ]]), 0, NMRPrep[[#This Row],[1mM Maleic Acid (uL) ]]/NMRPrep[[#This Row],[Total (uL) ]])</f>
        <v>#DIV/0!</v>
      </c>
      <c r="I966">
        <f>2</f>
        <v>2</v>
      </c>
      <c r="J966">
        <f>4</f>
        <v>4</v>
      </c>
      <c r="K966">
        <f>1</f>
        <v>1</v>
      </c>
    </row>
    <row r="967" spans="1:11" hidden="1" x14ac:dyDescent="0.25">
      <c r="A967" s="1">
        <f>Sampling!D965</f>
        <v>0</v>
      </c>
      <c r="B967" t="str" cm="1">
        <f t="array" ref="B967">IF(ISBLANK(INDEX(SampleList[NMR],ROW()-1)),"Not Requested",INDEX(SampleList[Experiment ID],ROW()-1))</f>
        <v>Not Requested</v>
      </c>
      <c r="C967">
        <f>Sampling!E965</f>
        <v>0</v>
      </c>
      <c r="D967">
        <f>NMRPrep[[#This Row],['#]]</f>
        <v>0</v>
      </c>
      <c r="G96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7" t="e">
        <f>IF(ISBLANK(NMRPrep[[#This Row],[Total (uL) ]]), 0, NMRPrep[[#This Row],[1mM Maleic Acid (uL) ]]/NMRPrep[[#This Row],[Total (uL) ]])</f>
        <v>#DIV/0!</v>
      </c>
      <c r="I967">
        <f>2</f>
        <v>2</v>
      </c>
      <c r="J967">
        <f>4</f>
        <v>4</v>
      </c>
      <c r="K967">
        <f>1</f>
        <v>1</v>
      </c>
    </row>
    <row r="968" spans="1:11" hidden="1" x14ac:dyDescent="0.25">
      <c r="A968" s="1">
        <f>Sampling!D966</f>
        <v>0</v>
      </c>
      <c r="B968" t="str" cm="1">
        <f t="array" ref="B968">IF(ISBLANK(INDEX(SampleList[NMR],ROW()-1)),"Not Requested",INDEX(SampleList[Experiment ID],ROW()-1))</f>
        <v>Not Requested</v>
      </c>
      <c r="C968">
        <f>Sampling!E966</f>
        <v>0</v>
      </c>
      <c r="D968">
        <f>NMRPrep[[#This Row],['#]]</f>
        <v>0</v>
      </c>
      <c r="G96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8" t="e">
        <f>IF(ISBLANK(NMRPrep[[#This Row],[Total (uL) ]]), 0, NMRPrep[[#This Row],[1mM Maleic Acid (uL) ]]/NMRPrep[[#This Row],[Total (uL) ]])</f>
        <v>#DIV/0!</v>
      </c>
      <c r="I968">
        <f>2</f>
        <v>2</v>
      </c>
      <c r="J968">
        <f>4</f>
        <v>4</v>
      </c>
      <c r="K968">
        <f>1</f>
        <v>1</v>
      </c>
    </row>
    <row r="969" spans="1:11" hidden="1" x14ac:dyDescent="0.25">
      <c r="A969" s="1">
        <f>Sampling!D967</f>
        <v>0</v>
      </c>
      <c r="B969" t="str" cm="1">
        <f t="array" ref="B969">IF(ISBLANK(INDEX(SampleList[NMR],ROW()-1)),"Not Requested",INDEX(SampleList[Experiment ID],ROW()-1))</f>
        <v>Not Requested</v>
      </c>
      <c r="C969">
        <f>Sampling!E967</f>
        <v>0</v>
      </c>
      <c r="D969">
        <f>NMRPrep[[#This Row],['#]]</f>
        <v>0</v>
      </c>
      <c r="G96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69" t="e">
        <f>IF(ISBLANK(NMRPrep[[#This Row],[Total (uL) ]]), 0, NMRPrep[[#This Row],[1mM Maleic Acid (uL) ]]/NMRPrep[[#This Row],[Total (uL) ]])</f>
        <v>#DIV/0!</v>
      </c>
      <c r="I969">
        <f>2</f>
        <v>2</v>
      </c>
      <c r="J969">
        <f>4</f>
        <v>4</v>
      </c>
      <c r="K969">
        <f>1</f>
        <v>1</v>
      </c>
    </row>
    <row r="970" spans="1:11" hidden="1" x14ac:dyDescent="0.25">
      <c r="A970" s="1">
        <f>Sampling!D968</f>
        <v>0</v>
      </c>
      <c r="B970" t="str" cm="1">
        <f t="array" ref="B970">IF(ISBLANK(INDEX(SampleList[NMR],ROW()-1)),"Not Requested",INDEX(SampleList[Experiment ID],ROW()-1))</f>
        <v>Not Requested</v>
      </c>
      <c r="C970">
        <f>Sampling!E968</f>
        <v>0</v>
      </c>
      <c r="D970">
        <f>NMRPrep[[#This Row],['#]]</f>
        <v>0</v>
      </c>
      <c r="G97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0" t="e">
        <f>IF(ISBLANK(NMRPrep[[#This Row],[Total (uL) ]]), 0, NMRPrep[[#This Row],[1mM Maleic Acid (uL) ]]/NMRPrep[[#This Row],[Total (uL) ]])</f>
        <v>#DIV/0!</v>
      </c>
      <c r="I970">
        <f>2</f>
        <v>2</v>
      </c>
      <c r="J970">
        <f>4</f>
        <v>4</v>
      </c>
      <c r="K970">
        <f>1</f>
        <v>1</v>
      </c>
    </row>
    <row r="971" spans="1:11" hidden="1" x14ac:dyDescent="0.25">
      <c r="A971" s="1">
        <f>Sampling!D969</f>
        <v>0</v>
      </c>
      <c r="B971" t="str" cm="1">
        <f t="array" ref="B971">IF(ISBLANK(INDEX(SampleList[NMR],ROW()-1)),"Not Requested",INDEX(SampleList[Experiment ID],ROW()-1))</f>
        <v>Not Requested</v>
      </c>
      <c r="C971">
        <f>Sampling!E969</f>
        <v>0</v>
      </c>
      <c r="D971">
        <f>NMRPrep[[#This Row],['#]]</f>
        <v>0</v>
      </c>
      <c r="G97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1" t="e">
        <f>IF(ISBLANK(NMRPrep[[#This Row],[Total (uL) ]]), 0, NMRPrep[[#This Row],[1mM Maleic Acid (uL) ]]/NMRPrep[[#This Row],[Total (uL) ]])</f>
        <v>#DIV/0!</v>
      </c>
      <c r="I971">
        <f>2</f>
        <v>2</v>
      </c>
      <c r="J971">
        <f>4</f>
        <v>4</v>
      </c>
      <c r="K971">
        <f>1</f>
        <v>1</v>
      </c>
    </row>
    <row r="972" spans="1:11" hidden="1" x14ac:dyDescent="0.25">
      <c r="A972" s="1">
        <f>Sampling!D970</f>
        <v>0</v>
      </c>
      <c r="B972" t="str" cm="1">
        <f t="array" ref="B972">IF(ISBLANK(INDEX(SampleList[NMR],ROW()-1)),"Not Requested",INDEX(SampleList[Experiment ID],ROW()-1))</f>
        <v>Not Requested</v>
      </c>
      <c r="C972">
        <f>Sampling!E970</f>
        <v>0</v>
      </c>
      <c r="D972">
        <f>NMRPrep[[#This Row],['#]]</f>
        <v>0</v>
      </c>
      <c r="G97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2" t="e">
        <f>IF(ISBLANK(NMRPrep[[#This Row],[Total (uL) ]]), 0, NMRPrep[[#This Row],[1mM Maleic Acid (uL) ]]/NMRPrep[[#This Row],[Total (uL) ]])</f>
        <v>#DIV/0!</v>
      </c>
      <c r="I972">
        <f>2</f>
        <v>2</v>
      </c>
      <c r="J972">
        <f>4</f>
        <v>4</v>
      </c>
      <c r="K972">
        <f>1</f>
        <v>1</v>
      </c>
    </row>
    <row r="973" spans="1:11" hidden="1" x14ac:dyDescent="0.25">
      <c r="A973" s="1">
        <f>Sampling!D971</f>
        <v>0</v>
      </c>
      <c r="B973" t="str" cm="1">
        <f t="array" ref="B973">IF(ISBLANK(INDEX(SampleList[NMR],ROW()-1)),"Not Requested",INDEX(SampleList[Experiment ID],ROW()-1))</f>
        <v>Not Requested</v>
      </c>
      <c r="C973">
        <f>Sampling!E971</f>
        <v>0</v>
      </c>
      <c r="D973">
        <f>NMRPrep[[#This Row],['#]]</f>
        <v>0</v>
      </c>
      <c r="G97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3" t="e">
        <f>IF(ISBLANK(NMRPrep[[#This Row],[Total (uL) ]]), 0, NMRPrep[[#This Row],[1mM Maleic Acid (uL) ]]/NMRPrep[[#This Row],[Total (uL) ]])</f>
        <v>#DIV/0!</v>
      </c>
      <c r="I973">
        <f>2</f>
        <v>2</v>
      </c>
      <c r="J973">
        <f>4</f>
        <v>4</v>
      </c>
      <c r="K973">
        <f>1</f>
        <v>1</v>
      </c>
    </row>
    <row r="974" spans="1:11" hidden="1" x14ac:dyDescent="0.25">
      <c r="A974" s="1">
        <f>Sampling!D972</f>
        <v>0</v>
      </c>
      <c r="B974" t="str" cm="1">
        <f t="array" ref="B974">IF(ISBLANK(INDEX(SampleList[NMR],ROW()-1)),"Not Requested",INDEX(SampleList[Experiment ID],ROW()-1))</f>
        <v>Not Requested</v>
      </c>
      <c r="C974">
        <f>Sampling!E972</f>
        <v>0</v>
      </c>
      <c r="D974">
        <f>NMRPrep[[#This Row],['#]]</f>
        <v>0</v>
      </c>
      <c r="G97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4" t="e">
        <f>IF(ISBLANK(NMRPrep[[#This Row],[Total (uL) ]]), 0, NMRPrep[[#This Row],[1mM Maleic Acid (uL) ]]/NMRPrep[[#This Row],[Total (uL) ]])</f>
        <v>#DIV/0!</v>
      </c>
      <c r="I974">
        <f>2</f>
        <v>2</v>
      </c>
      <c r="J974">
        <f>4</f>
        <v>4</v>
      </c>
      <c r="K974">
        <f>1</f>
        <v>1</v>
      </c>
    </row>
    <row r="975" spans="1:11" hidden="1" x14ac:dyDescent="0.25">
      <c r="A975" s="1">
        <f>Sampling!D973</f>
        <v>0</v>
      </c>
      <c r="B975" t="str" cm="1">
        <f t="array" ref="B975">IF(ISBLANK(INDEX(SampleList[NMR],ROW()-1)),"Not Requested",INDEX(SampleList[Experiment ID],ROW()-1))</f>
        <v>Not Requested</v>
      </c>
      <c r="C975">
        <f>Sampling!E973</f>
        <v>0</v>
      </c>
      <c r="D975">
        <f>NMRPrep[[#This Row],['#]]</f>
        <v>0</v>
      </c>
      <c r="G97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5" t="e">
        <f>IF(ISBLANK(NMRPrep[[#This Row],[Total (uL) ]]), 0, NMRPrep[[#This Row],[1mM Maleic Acid (uL) ]]/NMRPrep[[#This Row],[Total (uL) ]])</f>
        <v>#DIV/0!</v>
      </c>
      <c r="I975">
        <f>2</f>
        <v>2</v>
      </c>
      <c r="J975">
        <f>4</f>
        <v>4</v>
      </c>
      <c r="K975">
        <f>1</f>
        <v>1</v>
      </c>
    </row>
    <row r="976" spans="1:11" hidden="1" x14ac:dyDescent="0.25">
      <c r="A976" s="1">
        <f>Sampling!D974</f>
        <v>0</v>
      </c>
      <c r="B976" t="str" cm="1">
        <f t="array" ref="B976">IF(ISBLANK(INDEX(SampleList[NMR],ROW()-1)),"Not Requested",INDEX(SampleList[Experiment ID],ROW()-1))</f>
        <v>Not Requested</v>
      </c>
      <c r="C976">
        <f>Sampling!E974</f>
        <v>0</v>
      </c>
      <c r="D976">
        <f>NMRPrep[[#This Row],['#]]</f>
        <v>0</v>
      </c>
      <c r="G97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6" t="e">
        <f>IF(ISBLANK(NMRPrep[[#This Row],[Total (uL) ]]), 0, NMRPrep[[#This Row],[1mM Maleic Acid (uL) ]]/NMRPrep[[#This Row],[Total (uL) ]])</f>
        <v>#DIV/0!</v>
      </c>
      <c r="I976">
        <f>2</f>
        <v>2</v>
      </c>
      <c r="J976">
        <f>4</f>
        <v>4</v>
      </c>
      <c r="K976">
        <f>1</f>
        <v>1</v>
      </c>
    </row>
    <row r="977" spans="1:11" hidden="1" x14ac:dyDescent="0.25">
      <c r="A977" s="1">
        <f>Sampling!D975</f>
        <v>0</v>
      </c>
      <c r="B977" t="str" cm="1">
        <f t="array" ref="B977">IF(ISBLANK(INDEX(SampleList[NMR],ROW()-1)),"Not Requested",INDEX(SampleList[Experiment ID],ROW()-1))</f>
        <v>Not Requested</v>
      </c>
      <c r="C977">
        <f>Sampling!E975</f>
        <v>0</v>
      </c>
      <c r="D977">
        <f>NMRPrep[[#This Row],['#]]</f>
        <v>0</v>
      </c>
      <c r="G97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7" t="e">
        <f>IF(ISBLANK(NMRPrep[[#This Row],[Total (uL) ]]), 0, NMRPrep[[#This Row],[1mM Maleic Acid (uL) ]]/NMRPrep[[#This Row],[Total (uL) ]])</f>
        <v>#DIV/0!</v>
      </c>
      <c r="I977">
        <f>2</f>
        <v>2</v>
      </c>
      <c r="J977">
        <f>4</f>
        <v>4</v>
      </c>
      <c r="K977">
        <f>1</f>
        <v>1</v>
      </c>
    </row>
    <row r="978" spans="1:11" hidden="1" x14ac:dyDescent="0.25">
      <c r="A978" s="1">
        <f>Sampling!D976</f>
        <v>0</v>
      </c>
      <c r="B978" t="str" cm="1">
        <f t="array" ref="B978">IF(ISBLANK(INDEX(SampleList[NMR],ROW()-1)),"Not Requested",INDEX(SampleList[Experiment ID],ROW()-1))</f>
        <v>Not Requested</v>
      </c>
      <c r="C978">
        <f>Sampling!E976</f>
        <v>0</v>
      </c>
      <c r="D978">
        <f>NMRPrep[[#This Row],['#]]</f>
        <v>0</v>
      </c>
      <c r="G97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8" t="e">
        <f>IF(ISBLANK(NMRPrep[[#This Row],[Total (uL) ]]), 0, NMRPrep[[#This Row],[1mM Maleic Acid (uL) ]]/NMRPrep[[#This Row],[Total (uL) ]])</f>
        <v>#DIV/0!</v>
      </c>
      <c r="I978">
        <f>2</f>
        <v>2</v>
      </c>
      <c r="J978">
        <f>4</f>
        <v>4</v>
      </c>
      <c r="K978">
        <f>1</f>
        <v>1</v>
      </c>
    </row>
    <row r="979" spans="1:11" hidden="1" x14ac:dyDescent="0.25">
      <c r="A979" s="1">
        <f>Sampling!D977</f>
        <v>0</v>
      </c>
      <c r="B979" t="str" cm="1">
        <f t="array" ref="B979">IF(ISBLANK(INDEX(SampleList[NMR],ROW()-1)),"Not Requested",INDEX(SampleList[Experiment ID],ROW()-1))</f>
        <v>Not Requested</v>
      </c>
      <c r="C979">
        <f>Sampling!E977</f>
        <v>0</v>
      </c>
      <c r="D979">
        <f>NMRPrep[[#This Row],['#]]</f>
        <v>0</v>
      </c>
      <c r="G97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79" t="e">
        <f>IF(ISBLANK(NMRPrep[[#This Row],[Total (uL) ]]), 0, NMRPrep[[#This Row],[1mM Maleic Acid (uL) ]]/NMRPrep[[#This Row],[Total (uL) ]])</f>
        <v>#DIV/0!</v>
      </c>
      <c r="I979">
        <f>2</f>
        <v>2</v>
      </c>
      <c r="J979">
        <f>4</f>
        <v>4</v>
      </c>
      <c r="K979">
        <f>1</f>
        <v>1</v>
      </c>
    </row>
    <row r="980" spans="1:11" hidden="1" x14ac:dyDescent="0.25">
      <c r="A980" s="1">
        <f>Sampling!D978</f>
        <v>0</v>
      </c>
      <c r="B980" t="str" cm="1">
        <f t="array" ref="B980">IF(ISBLANK(INDEX(SampleList[NMR],ROW()-1)),"Not Requested",INDEX(SampleList[Experiment ID],ROW()-1))</f>
        <v>Not Requested</v>
      </c>
      <c r="C980">
        <f>Sampling!E978</f>
        <v>0</v>
      </c>
      <c r="D980">
        <f>NMRPrep[[#This Row],['#]]</f>
        <v>0</v>
      </c>
      <c r="G98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0" t="e">
        <f>IF(ISBLANK(NMRPrep[[#This Row],[Total (uL) ]]), 0, NMRPrep[[#This Row],[1mM Maleic Acid (uL) ]]/NMRPrep[[#This Row],[Total (uL) ]])</f>
        <v>#DIV/0!</v>
      </c>
      <c r="I980">
        <f>2</f>
        <v>2</v>
      </c>
      <c r="J980">
        <f>4</f>
        <v>4</v>
      </c>
      <c r="K980">
        <f>1</f>
        <v>1</v>
      </c>
    </row>
    <row r="981" spans="1:11" hidden="1" x14ac:dyDescent="0.25">
      <c r="A981" s="1">
        <f>Sampling!D979</f>
        <v>0</v>
      </c>
      <c r="B981" t="str" cm="1">
        <f t="array" ref="B981">IF(ISBLANK(INDEX(SampleList[NMR],ROW()-1)),"Not Requested",INDEX(SampleList[Experiment ID],ROW()-1))</f>
        <v>Not Requested</v>
      </c>
      <c r="C981">
        <f>Sampling!E979</f>
        <v>0</v>
      </c>
      <c r="D981">
        <f>NMRPrep[[#This Row],['#]]</f>
        <v>0</v>
      </c>
      <c r="G98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1" t="e">
        <f>IF(ISBLANK(NMRPrep[[#This Row],[Total (uL) ]]), 0, NMRPrep[[#This Row],[1mM Maleic Acid (uL) ]]/NMRPrep[[#This Row],[Total (uL) ]])</f>
        <v>#DIV/0!</v>
      </c>
      <c r="I981">
        <f>2</f>
        <v>2</v>
      </c>
      <c r="J981">
        <f>4</f>
        <v>4</v>
      </c>
      <c r="K981">
        <f>1</f>
        <v>1</v>
      </c>
    </row>
    <row r="982" spans="1:11" hidden="1" x14ac:dyDescent="0.25">
      <c r="A982" s="1">
        <f>Sampling!D980</f>
        <v>0</v>
      </c>
      <c r="B982" t="str" cm="1">
        <f t="array" ref="B982">IF(ISBLANK(INDEX(SampleList[NMR],ROW()-1)),"Not Requested",INDEX(SampleList[Experiment ID],ROW()-1))</f>
        <v>Not Requested</v>
      </c>
      <c r="C982">
        <f>Sampling!E980</f>
        <v>0</v>
      </c>
      <c r="D982">
        <f>NMRPrep[[#This Row],['#]]</f>
        <v>0</v>
      </c>
      <c r="G98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2" t="e">
        <f>IF(ISBLANK(NMRPrep[[#This Row],[Total (uL) ]]), 0, NMRPrep[[#This Row],[1mM Maleic Acid (uL) ]]/NMRPrep[[#This Row],[Total (uL) ]])</f>
        <v>#DIV/0!</v>
      </c>
      <c r="I982">
        <f>2</f>
        <v>2</v>
      </c>
      <c r="J982">
        <f>4</f>
        <v>4</v>
      </c>
      <c r="K982">
        <f>1</f>
        <v>1</v>
      </c>
    </row>
    <row r="983" spans="1:11" hidden="1" x14ac:dyDescent="0.25">
      <c r="A983" s="1">
        <f>Sampling!D981</f>
        <v>0</v>
      </c>
      <c r="B983" t="str" cm="1">
        <f t="array" ref="B983">IF(ISBLANK(INDEX(SampleList[NMR],ROW()-1)),"Not Requested",INDEX(SampleList[Experiment ID],ROW()-1))</f>
        <v>Not Requested</v>
      </c>
      <c r="C983">
        <f>Sampling!E981</f>
        <v>0</v>
      </c>
      <c r="D983">
        <f>NMRPrep[[#This Row],['#]]</f>
        <v>0</v>
      </c>
      <c r="G98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3" t="e">
        <f>IF(ISBLANK(NMRPrep[[#This Row],[Total (uL) ]]), 0, NMRPrep[[#This Row],[1mM Maleic Acid (uL) ]]/NMRPrep[[#This Row],[Total (uL) ]])</f>
        <v>#DIV/0!</v>
      </c>
      <c r="I983">
        <f>2</f>
        <v>2</v>
      </c>
      <c r="J983">
        <f>4</f>
        <v>4</v>
      </c>
      <c r="K983">
        <f>1</f>
        <v>1</v>
      </c>
    </row>
    <row r="984" spans="1:11" hidden="1" x14ac:dyDescent="0.25">
      <c r="A984" s="1">
        <f>Sampling!D982</f>
        <v>0</v>
      </c>
      <c r="B984" t="str" cm="1">
        <f t="array" ref="B984">IF(ISBLANK(INDEX(SampleList[NMR],ROW()-1)),"Not Requested",INDEX(SampleList[Experiment ID],ROW()-1))</f>
        <v>Not Requested</v>
      </c>
      <c r="C984">
        <f>Sampling!E982</f>
        <v>0</v>
      </c>
      <c r="D984">
        <f>NMRPrep[[#This Row],['#]]</f>
        <v>0</v>
      </c>
      <c r="G98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4" t="e">
        <f>IF(ISBLANK(NMRPrep[[#This Row],[Total (uL) ]]), 0, NMRPrep[[#This Row],[1mM Maleic Acid (uL) ]]/NMRPrep[[#This Row],[Total (uL) ]])</f>
        <v>#DIV/0!</v>
      </c>
      <c r="I984">
        <f>2</f>
        <v>2</v>
      </c>
      <c r="J984">
        <f>4</f>
        <v>4</v>
      </c>
      <c r="K984">
        <f>1</f>
        <v>1</v>
      </c>
    </row>
    <row r="985" spans="1:11" hidden="1" x14ac:dyDescent="0.25">
      <c r="A985" s="1">
        <f>Sampling!D983</f>
        <v>0</v>
      </c>
      <c r="B985" t="str" cm="1">
        <f t="array" ref="B985">IF(ISBLANK(INDEX(SampleList[NMR],ROW()-1)),"Not Requested",INDEX(SampleList[Experiment ID],ROW()-1))</f>
        <v>Not Requested</v>
      </c>
      <c r="C985">
        <f>Sampling!E983</f>
        <v>0</v>
      </c>
      <c r="D985">
        <f>NMRPrep[[#This Row],['#]]</f>
        <v>0</v>
      </c>
      <c r="G98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5" t="e">
        <f>IF(ISBLANK(NMRPrep[[#This Row],[Total (uL) ]]), 0, NMRPrep[[#This Row],[1mM Maleic Acid (uL) ]]/NMRPrep[[#This Row],[Total (uL) ]])</f>
        <v>#DIV/0!</v>
      </c>
      <c r="I985">
        <f>2</f>
        <v>2</v>
      </c>
      <c r="J985">
        <f>4</f>
        <v>4</v>
      </c>
      <c r="K985">
        <f>1</f>
        <v>1</v>
      </c>
    </row>
    <row r="986" spans="1:11" hidden="1" x14ac:dyDescent="0.25">
      <c r="A986" s="1">
        <f>Sampling!D984</f>
        <v>0</v>
      </c>
      <c r="B986" t="str" cm="1">
        <f t="array" ref="B986">IF(ISBLANK(INDEX(SampleList[NMR],ROW()-1)),"Not Requested",INDEX(SampleList[Experiment ID],ROW()-1))</f>
        <v>Not Requested</v>
      </c>
      <c r="C986">
        <f>Sampling!E984</f>
        <v>0</v>
      </c>
      <c r="D986">
        <f>NMRPrep[[#This Row],['#]]</f>
        <v>0</v>
      </c>
      <c r="G98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6" t="e">
        <f>IF(ISBLANK(NMRPrep[[#This Row],[Total (uL) ]]), 0, NMRPrep[[#This Row],[1mM Maleic Acid (uL) ]]/NMRPrep[[#This Row],[Total (uL) ]])</f>
        <v>#DIV/0!</v>
      </c>
      <c r="I986">
        <f>2</f>
        <v>2</v>
      </c>
      <c r="J986">
        <f>4</f>
        <v>4</v>
      </c>
      <c r="K986">
        <f>1</f>
        <v>1</v>
      </c>
    </row>
    <row r="987" spans="1:11" hidden="1" x14ac:dyDescent="0.25">
      <c r="A987" s="1">
        <f>Sampling!D985</f>
        <v>0</v>
      </c>
      <c r="B987" t="str" cm="1">
        <f t="array" ref="B987">IF(ISBLANK(INDEX(SampleList[NMR],ROW()-1)),"Not Requested",INDEX(SampleList[Experiment ID],ROW()-1))</f>
        <v>Not Requested</v>
      </c>
      <c r="C987">
        <f>Sampling!E985</f>
        <v>0</v>
      </c>
      <c r="D987">
        <f>NMRPrep[[#This Row],['#]]</f>
        <v>0</v>
      </c>
      <c r="G98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7" t="e">
        <f>IF(ISBLANK(NMRPrep[[#This Row],[Total (uL) ]]), 0, NMRPrep[[#This Row],[1mM Maleic Acid (uL) ]]/NMRPrep[[#This Row],[Total (uL) ]])</f>
        <v>#DIV/0!</v>
      </c>
      <c r="I987">
        <f>2</f>
        <v>2</v>
      </c>
      <c r="J987">
        <f>4</f>
        <v>4</v>
      </c>
      <c r="K987">
        <f>1</f>
        <v>1</v>
      </c>
    </row>
    <row r="988" spans="1:11" hidden="1" x14ac:dyDescent="0.25">
      <c r="A988" s="1">
        <f>Sampling!D986</f>
        <v>0</v>
      </c>
      <c r="B988" t="str" cm="1">
        <f t="array" ref="B988">IF(ISBLANK(INDEX(SampleList[NMR],ROW()-1)),"Not Requested",INDEX(SampleList[Experiment ID],ROW()-1))</f>
        <v>Not Requested</v>
      </c>
      <c r="C988">
        <f>Sampling!E986</f>
        <v>0</v>
      </c>
      <c r="D988">
        <f>NMRPrep[[#This Row],['#]]</f>
        <v>0</v>
      </c>
      <c r="G98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8" t="e">
        <f>IF(ISBLANK(NMRPrep[[#This Row],[Total (uL) ]]), 0, NMRPrep[[#This Row],[1mM Maleic Acid (uL) ]]/NMRPrep[[#This Row],[Total (uL) ]])</f>
        <v>#DIV/0!</v>
      </c>
      <c r="I988">
        <f>2</f>
        <v>2</v>
      </c>
      <c r="J988">
        <f>4</f>
        <v>4</v>
      </c>
      <c r="K988">
        <f>1</f>
        <v>1</v>
      </c>
    </row>
    <row r="989" spans="1:11" hidden="1" x14ac:dyDescent="0.25">
      <c r="A989" s="1">
        <f>Sampling!D987</f>
        <v>0</v>
      </c>
      <c r="B989" t="str" cm="1">
        <f t="array" ref="B989">IF(ISBLANK(INDEX(SampleList[NMR],ROW()-1)),"Not Requested",INDEX(SampleList[Experiment ID],ROW()-1))</f>
        <v>Not Requested</v>
      </c>
      <c r="C989">
        <f>Sampling!E987</f>
        <v>0</v>
      </c>
      <c r="D989">
        <f>NMRPrep[[#This Row],['#]]</f>
        <v>0</v>
      </c>
      <c r="G98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89" t="e">
        <f>IF(ISBLANK(NMRPrep[[#This Row],[Total (uL) ]]), 0, NMRPrep[[#This Row],[1mM Maleic Acid (uL) ]]/NMRPrep[[#This Row],[Total (uL) ]])</f>
        <v>#DIV/0!</v>
      </c>
      <c r="I989">
        <f>2</f>
        <v>2</v>
      </c>
      <c r="J989">
        <f>4</f>
        <v>4</v>
      </c>
      <c r="K989">
        <f>1</f>
        <v>1</v>
      </c>
    </row>
    <row r="990" spans="1:11" hidden="1" x14ac:dyDescent="0.25">
      <c r="A990" s="1">
        <f>Sampling!D988</f>
        <v>0</v>
      </c>
      <c r="B990" t="str" cm="1">
        <f t="array" ref="B990">IF(ISBLANK(INDEX(SampleList[NMR],ROW()-1)),"Not Requested",INDEX(SampleList[Experiment ID],ROW()-1))</f>
        <v>Not Requested</v>
      </c>
      <c r="C990">
        <f>Sampling!E988</f>
        <v>0</v>
      </c>
      <c r="D990">
        <f>NMRPrep[[#This Row],['#]]</f>
        <v>0</v>
      </c>
      <c r="G99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0" t="e">
        <f>IF(ISBLANK(NMRPrep[[#This Row],[Total (uL) ]]), 0, NMRPrep[[#This Row],[1mM Maleic Acid (uL) ]]/NMRPrep[[#This Row],[Total (uL) ]])</f>
        <v>#DIV/0!</v>
      </c>
      <c r="I990">
        <f>2</f>
        <v>2</v>
      </c>
      <c r="J990">
        <f>4</f>
        <v>4</v>
      </c>
      <c r="K990">
        <f>1</f>
        <v>1</v>
      </c>
    </row>
    <row r="991" spans="1:11" hidden="1" x14ac:dyDescent="0.25">
      <c r="A991" s="1">
        <f>Sampling!D989</f>
        <v>0</v>
      </c>
      <c r="B991" t="str" cm="1">
        <f t="array" ref="B991">IF(ISBLANK(INDEX(SampleList[NMR],ROW()-1)),"Not Requested",INDEX(SampleList[Experiment ID],ROW()-1))</f>
        <v>Not Requested</v>
      </c>
      <c r="C991">
        <f>Sampling!E989</f>
        <v>0</v>
      </c>
      <c r="D991">
        <f>NMRPrep[[#This Row],['#]]</f>
        <v>0</v>
      </c>
      <c r="G991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1" t="e">
        <f>IF(ISBLANK(NMRPrep[[#This Row],[Total (uL) ]]), 0, NMRPrep[[#This Row],[1mM Maleic Acid (uL) ]]/NMRPrep[[#This Row],[Total (uL) ]])</f>
        <v>#DIV/0!</v>
      </c>
      <c r="I991">
        <f>2</f>
        <v>2</v>
      </c>
      <c r="J991">
        <f>4</f>
        <v>4</v>
      </c>
      <c r="K991">
        <f>1</f>
        <v>1</v>
      </c>
    </row>
    <row r="992" spans="1:11" hidden="1" x14ac:dyDescent="0.25">
      <c r="A992" s="1">
        <f>Sampling!D990</f>
        <v>0</v>
      </c>
      <c r="B992" t="str" cm="1">
        <f t="array" ref="B992">IF(ISBLANK(INDEX(SampleList[NMR],ROW()-1)),"Not Requested",INDEX(SampleList[Experiment ID],ROW()-1))</f>
        <v>Not Requested</v>
      </c>
      <c r="C992">
        <f>Sampling!E990</f>
        <v>0</v>
      </c>
      <c r="D992">
        <f>NMRPrep[[#This Row],['#]]</f>
        <v>0</v>
      </c>
      <c r="G992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2" t="e">
        <f>IF(ISBLANK(NMRPrep[[#This Row],[Total (uL) ]]), 0, NMRPrep[[#This Row],[1mM Maleic Acid (uL) ]]/NMRPrep[[#This Row],[Total (uL) ]])</f>
        <v>#DIV/0!</v>
      </c>
      <c r="I992">
        <f>2</f>
        <v>2</v>
      </c>
      <c r="J992">
        <f>4</f>
        <v>4</v>
      </c>
      <c r="K992">
        <f>1</f>
        <v>1</v>
      </c>
    </row>
    <row r="993" spans="1:11" hidden="1" x14ac:dyDescent="0.25">
      <c r="A993" s="1">
        <f>Sampling!D991</f>
        <v>0</v>
      </c>
      <c r="B993" t="str" cm="1">
        <f t="array" ref="B993">IF(ISBLANK(INDEX(SampleList[NMR],ROW()-1)),"Not Requested",INDEX(SampleList[Experiment ID],ROW()-1))</f>
        <v>Not Requested</v>
      </c>
      <c r="C993">
        <f>Sampling!E991</f>
        <v>0</v>
      </c>
      <c r="D993">
        <f>NMRPrep[[#This Row],['#]]</f>
        <v>0</v>
      </c>
      <c r="G993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3" t="e">
        <f>IF(ISBLANK(NMRPrep[[#This Row],[Total (uL) ]]), 0, NMRPrep[[#This Row],[1mM Maleic Acid (uL) ]]/NMRPrep[[#This Row],[Total (uL) ]])</f>
        <v>#DIV/0!</v>
      </c>
      <c r="I993">
        <f>2</f>
        <v>2</v>
      </c>
      <c r="J993">
        <f>4</f>
        <v>4</v>
      </c>
      <c r="K993">
        <f>1</f>
        <v>1</v>
      </c>
    </row>
    <row r="994" spans="1:11" hidden="1" x14ac:dyDescent="0.25">
      <c r="A994" s="1">
        <f>Sampling!D992</f>
        <v>0</v>
      </c>
      <c r="B994" t="str" cm="1">
        <f t="array" ref="B994">IF(ISBLANK(INDEX(SampleList[NMR],ROW()-1)),"Not Requested",INDEX(SampleList[Experiment ID],ROW()-1))</f>
        <v>Not Requested</v>
      </c>
      <c r="C994">
        <f>Sampling!E992</f>
        <v>0</v>
      </c>
      <c r="D994">
        <f>NMRPrep[[#This Row],['#]]</f>
        <v>0</v>
      </c>
      <c r="G994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4" t="e">
        <f>IF(ISBLANK(NMRPrep[[#This Row],[Total (uL) ]]), 0, NMRPrep[[#This Row],[1mM Maleic Acid (uL) ]]/NMRPrep[[#This Row],[Total (uL) ]])</f>
        <v>#DIV/0!</v>
      </c>
      <c r="I994">
        <f>2</f>
        <v>2</v>
      </c>
      <c r="J994">
        <f>4</f>
        <v>4</v>
      </c>
      <c r="K994">
        <f>1</f>
        <v>1</v>
      </c>
    </row>
    <row r="995" spans="1:11" hidden="1" x14ac:dyDescent="0.25">
      <c r="A995" s="1">
        <f>Sampling!D993</f>
        <v>0</v>
      </c>
      <c r="B995" t="str" cm="1">
        <f t="array" ref="B995">IF(ISBLANK(INDEX(SampleList[NMR],ROW()-1)),"Not Requested",INDEX(SampleList[Experiment ID],ROW()-1))</f>
        <v>Not Requested</v>
      </c>
      <c r="C995">
        <f>Sampling!E993</f>
        <v>0</v>
      </c>
      <c r="D995">
        <f>NMRPrep[[#This Row],['#]]</f>
        <v>0</v>
      </c>
      <c r="G995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5" t="e">
        <f>IF(ISBLANK(NMRPrep[[#This Row],[Total (uL) ]]), 0, NMRPrep[[#This Row],[1mM Maleic Acid (uL) ]]/NMRPrep[[#This Row],[Total (uL) ]])</f>
        <v>#DIV/0!</v>
      </c>
      <c r="I995">
        <f>2</f>
        <v>2</v>
      </c>
      <c r="J995">
        <f>4</f>
        <v>4</v>
      </c>
      <c r="K995">
        <f>1</f>
        <v>1</v>
      </c>
    </row>
    <row r="996" spans="1:11" hidden="1" x14ac:dyDescent="0.25">
      <c r="A996" s="1">
        <f>Sampling!D994</f>
        <v>0</v>
      </c>
      <c r="B996" t="str" cm="1">
        <f t="array" ref="B996">IF(ISBLANK(INDEX(SampleList[NMR],ROW()-1)),"Not Requested",INDEX(SampleList[Experiment ID],ROW()-1))</f>
        <v>Not Requested</v>
      </c>
      <c r="C996">
        <f>Sampling!E994</f>
        <v>0</v>
      </c>
      <c r="D996">
        <f>NMRPrep[[#This Row],['#]]</f>
        <v>0</v>
      </c>
      <c r="G996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6" t="e">
        <f>IF(ISBLANK(NMRPrep[[#This Row],[Total (uL) ]]), 0, NMRPrep[[#This Row],[1mM Maleic Acid (uL) ]]/NMRPrep[[#This Row],[Total (uL) ]])</f>
        <v>#DIV/0!</v>
      </c>
      <c r="I996">
        <f>2</f>
        <v>2</v>
      </c>
      <c r="J996">
        <f>4</f>
        <v>4</v>
      </c>
      <c r="K996">
        <f>1</f>
        <v>1</v>
      </c>
    </row>
    <row r="997" spans="1:11" hidden="1" x14ac:dyDescent="0.25">
      <c r="A997" s="1">
        <f>Sampling!D995</f>
        <v>0</v>
      </c>
      <c r="B997" t="str" cm="1">
        <f t="array" ref="B997">IF(ISBLANK(INDEX(SampleList[NMR],ROW()-1)),"Not Requested",INDEX(SampleList[Experiment ID],ROW()-1))</f>
        <v>Not Requested</v>
      </c>
      <c r="C997">
        <f>Sampling!E995</f>
        <v>0</v>
      </c>
      <c r="D997">
        <f>NMRPrep[[#This Row],['#]]</f>
        <v>0</v>
      </c>
      <c r="G997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7" t="e">
        <f>IF(ISBLANK(NMRPrep[[#This Row],[Total (uL) ]]), 0, NMRPrep[[#This Row],[1mM Maleic Acid (uL) ]]/NMRPrep[[#This Row],[Total (uL) ]])</f>
        <v>#DIV/0!</v>
      </c>
      <c r="I997">
        <f>2</f>
        <v>2</v>
      </c>
      <c r="J997">
        <f>4</f>
        <v>4</v>
      </c>
      <c r="K997">
        <f>1</f>
        <v>1</v>
      </c>
    </row>
    <row r="998" spans="1:11" hidden="1" x14ac:dyDescent="0.25">
      <c r="A998" s="1">
        <f>Sampling!D996</f>
        <v>0</v>
      </c>
      <c r="B998" t="str" cm="1">
        <f t="array" ref="B998">IF(ISBLANK(INDEX(SampleList[NMR],ROW()-1)),"Not Requested",INDEX(SampleList[Experiment ID],ROW()-1))</f>
        <v>Not Requested</v>
      </c>
      <c r="C998">
        <f>Sampling!E996</f>
        <v>0</v>
      </c>
      <c r="D998">
        <f>NMRPrep[[#This Row],['#]]</f>
        <v>0</v>
      </c>
      <c r="G998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8" t="e">
        <f>IF(ISBLANK(NMRPrep[[#This Row],[Total (uL) ]]), 0, NMRPrep[[#This Row],[1mM Maleic Acid (uL) ]]/NMRPrep[[#This Row],[Total (uL) ]])</f>
        <v>#DIV/0!</v>
      </c>
      <c r="I998">
        <f>2</f>
        <v>2</v>
      </c>
      <c r="J998">
        <f>4</f>
        <v>4</v>
      </c>
      <c r="K998">
        <f>1</f>
        <v>1</v>
      </c>
    </row>
    <row r="999" spans="1:11" hidden="1" x14ac:dyDescent="0.25">
      <c r="A999" s="1">
        <f>Sampling!D997</f>
        <v>0</v>
      </c>
      <c r="B999" t="e" cm="1">
        <f t="array" ref="B999">IF(ISBLANK(INDEX(SampleList[NMR],ROW()-1)),"Not Requested",INDEX(SampleList[Experiment ID],ROW()-1))</f>
        <v>#REF!</v>
      </c>
      <c r="C999">
        <f>Sampling!E997</f>
        <v>0</v>
      </c>
      <c r="D999">
        <f>NMRPrep[[#This Row],['#]]</f>
        <v>0</v>
      </c>
      <c r="G999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999" t="e">
        <f>IF(ISBLANK(NMRPrep[[#This Row],[Total (uL) ]]), 0, NMRPrep[[#This Row],[1mM Maleic Acid (uL) ]]/NMRPrep[[#This Row],[Total (uL) ]])</f>
        <v>#DIV/0!</v>
      </c>
      <c r="I999">
        <f>2</f>
        <v>2</v>
      </c>
      <c r="J999">
        <f>4</f>
        <v>4</v>
      </c>
      <c r="K999">
        <f>1</f>
        <v>1</v>
      </c>
    </row>
    <row r="1000" spans="1:11" hidden="1" x14ac:dyDescent="0.25">
      <c r="A1000" s="1">
        <f>Sampling!D998</f>
        <v>0</v>
      </c>
      <c r="B1000" t="e" cm="1">
        <f t="array" ref="B1000">IF(ISBLANK(INDEX(SampleList[NMR],ROW()-1)),"Not Requested",INDEX(SampleList[Experiment ID],ROW()-1))</f>
        <v>#REF!</v>
      </c>
      <c r="C1000">
        <f>Sampling!E998</f>
        <v>0</v>
      </c>
      <c r="D1000">
        <f>NMRPrep[[#This Row],['#]]</f>
        <v>0</v>
      </c>
      <c r="G1000">
        <f>IFERROR(IF(NMRPrep[[#This Row],[Sample (uL) ]]=0, (NMRResults[[#This Row],[IS Protons]]/NMRResults[[#This Row],[NH4 Protons]])*(NMRResults[[#This Row],[NH4 Peak Area]]/NMRResults[[#This Row],[IS Area]])*NMRResults[[#This Row],[IS Concentration (mM)]]*(NMRPrep[[#This Row],[Total (uL) ]]/SUM(NMRPrep[[#This Row],[DI (uL) ]:[ NH4Cl (uL)]])), IFERROR((NMRResults[[#This Row],[IS Protons]]/NMRResults[[#This Row],[NH4 Protons]])*(NMRResults[[#This Row],[NH4 Peak Area]]/NMRResults[[#This Row],[IS Area]])*NMRResults[[#This Row],[IS Concentration (mM)]]*(NMRPrep[[#This Row],[Total (uL) ]]/NMRPrep[[#This Row],[Sample (uL) ]]),0)), )</f>
        <v>0</v>
      </c>
      <c r="H1000" t="e">
        <f>IF(ISBLANK(NMRPrep[[#This Row],[Total (uL) ]]), 0, NMRPrep[[#This Row],[1mM Maleic Acid (uL) ]]/NMRPrep[[#This Row],[Total (uL) ]])</f>
        <v>#DIV/0!</v>
      </c>
      <c r="I1000">
        <f>2</f>
        <v>2</v>
      </c>
      <c r="J1000">
        <f>4</f>
        <v>4</v>
      </c>
      <c r="K1000">
        <f>1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B3E5-A978-4D1E-AB94-0767CDAF8E4F}">
  <sheetPr>
    <tabColor theme="9" tint="0.39997558519241921"/>
  </sheetPr>
  <dimension ref="A1:K1000"/>
  <sheetViews>
    <sheetView tabSelected="1" workbookViewId="0">
      <selection activeCell="C49" sqref="C49"/>
    </sheetView>
  </sheetViews>
  <sheetFormatPr defaultRowHeight="15" x14ac:dyDescent="0.25"/>
  <cols>
    <col min="1" max="1" width="14.7109375" customWidth="1"/>
    <col min="2" max="2" width="12.7109375" customWidth="1"/>
    <col min="3" max="3" width="18" customWidth="1"/>
    <col min="4" max="4" width="32.42578125" customWidth="1"/>
    <col min="5" max="5" width="22.5703125" customWidth="1"/>
    <col min="6" max="6" width="23" customWidth="1"/>
    <col min="7" max="7" width="19.7109375" customWidth="1"/>
    <col min="8" max="8" width="10.7109375" customWidth="1"/>
    <col min="9" max="9" width="17.28515625" bestFit="1" customWidth="1"/>
    <col min="10" max="11" width="8.85546875" bestFit="1" customWidth="1"/>
  </cols>
  <sheetData>
    <row r="1" spans="1:11" s="4" customFormat="1" ht="49.9" customHeight="1" x14ac:dyDescent="0.25">
      <c r="A1" s="3" t="s">
        <v>0</v>
      </c>
      <c r="B1" s="3" t="s">
        <v>3</v>
      </c>
      <c r="C1" s="5" t="s">
        <v>34</v>
      </c>
      <c r="D1" s="3" t="s">
        <v>35</v>
      </c>
      <c r="E1" s="3" t="s">
        <v>36</v>
      </c>
      <c r="F1" s="3" t="s">
        <v>33</v>
      </c>
      <c r="G1" s="3" t="s">
        <v>38</v>
      </c>
      <c r="H1" s="5" t="s">
        <v>37</v>
      </c>
      <c r="I1" s="3" t="s">
        <v>80</v>
      </c>
      <c r="J1" s="3" t="s">
        <v>94</v>
      </c>
      <c r="K1" s="3" t="s">
        <v>91</v>
      </c>
    </row>
    <row r="2" spans="1:11" x14ac:dyDescent="0.25">
      <c r="A2" t="str" cm="1">
        <f t="array" ref="A2">IF(ISBLANK(INDEX(SampleList[GC],ROW()-1)),"Not Requested",INDEX(SampleList[Experiment ID],ROW()-1))</f>
        <v>HPHT_097</v>
      </c>
      <c r="B2">
        <f>SampleList[[#This Row],[Duration (Days)]]</f>
        <v>1</v>
      </c>
      <c r="C2" s="1">
        <v>46094</v>
      </c>
      <c r="D2">
        <v>125</v>
      </c>
      <c r="E2">
        <v>0</v>
      </c>
      <c r="F2">
        <v>4035</v>
      </c>
      <c r="G2">
        <v>25</v>
      </c>
      <c r="H2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0</v>
      </c>
      <c r="K2">
        <f t="shared" ref="K2:K65" si="0">(500/D2)*J2</f>
        <v>0</v>
      </c>
    </row>
    <row r="3" spans="1:11" x14ac:dyDescent="0.25">
      <c r="A3" t="str" cm="1">
        <f t="array" ref="A3">IF(ISBLANK(INDEX(SampleList[GC],ROW()-1)),"Not Requested",INDEX(SampleList[Experiment ID],ROW()-1))</f>
        <v>HPHT_070</v>
      </c>
      <c r="B3">
        <f>SampleList[[#This Row],[Duration (Days)]]</f>
        <v>60</v>
      </c>
      <c r="H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3" t="e">
        <f t="shared" si="0"/>
        <v>#DIV/0!</v>
      </c>
    </row>
    <row r="4" spans="1:11" hidden="1" x14ac:dyDescent="0.25">
      <c r="A4" t="str" cm="1">
        <f t="array" ref="A4">IF(ISBLANK(INDEX(SampleList[GC],ROW()-1)),"Not Requested",INDEX(SampleList[Experiment ID],ROW()-1))</f>
        <v>Not Requested</v>
      </c>
      <c r="B4">
        <f>Sampling!E4</f>
        <v>0</v>
      </c>
      <c r="H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">
        <f t="shared" ref="I4:I65" si="1">25.88*145</f>
        <v>3752.6</v>
      </c>
      <c r="K4" t="e">
        <f t="shared" si="0"/>
        <v>#DIV/0!</v>
      </c>
    </row>
    <row r="5" spans="1:11" hidden="1" x14ac:dyDescent="0.25">
      <c r="A5" t="str" cm="1">
        <f t="array" ref="A5">IF(ISBLANK(INDEX(SampleList[GC],ROW()-1)),"Not Requested",INDEX(SampleList[Experiment ID],ROW()-1))</f>
        <v>Not Requested</v>
      </c>
      <c r="B5">
        <f>Sampling!E5</f>
        <v>0</v>
      </c>
      <c r="H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">
        <f t="shared" si="1"/>
        <v>3752.6</v>
      </c>
      <c r="K5" t="e">
        <f t="shared" si="0"/>
        <v>#DIV/0!</v>
      </c>
    </row>
    <row r="6" spans="1:11" hidden="1" x14ac:dyDescent="0.25">
      <c r="A6" t="str" cm="1">
        <f t="array" ref="A6">IF(ISBLANK(INDEX(SampleList[GC],ROW()-1)),"Not Requested",INDEX(SampleList[Experiment ID],ROW()-1))</f>
        <v>Not Requested</v>
      </c>
      <c r="B6">
        <f>Sampling!E6</f>
        <v>3</v>
      </c>
      <c r="H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">
        <f t="shared" si="1"/>
        <v>3752.6</v>
      </c>
      <c r="K6" t="e">
        <f t="shared" si="0"/>
        <v>#DIV/0!</v>
      </c>
    </row>
    <row r="7" spans="1:11" hidden="1" x14ac:dyDescent="0.25">
      <c r="A7" t="str" cm="1">
        <f t="array" ref="A7">IF(ISBLANK(INDEX(SampleList[GC],ROW()-1)),"Not Requested",INDEX(SampleList[Experiment ID],ROW()-1))</f>
        <v>Not Requested</v>
      </c>
      <c r="B7">
        <f>Sampling!E7</f>
        <v>0</v>
      </c>
      <c r="H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">
        <f t="shared" si="1"/>
        <v>3752.6</v>
      </c>
      <c r="K7" t="e">
        <f t="shared" si="0"/>
        <v>#DIV/0!</v>
      </c>
    </row>
    <row r="8" spans="1:11" hidden="1" x14ac:dyDescent="0.25">
      <c r="A8" t="str" cm="1">
        <f t="array" ref="A8">IF(ISBLANK(INDEX(SampleList[GC],ROW()-1)),"Not Requested",INDEX(SampleList[Experiment ID],ROW()-1))</f>
        <v>Not Requested</v>
      </c>
      <c r="B8">
        <f>Sampling!E8</f>
        <v>3</v>
      </c>
      <c r="H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">
        <f t="shared" si="1"/>
        <v>3752.6</v>
      </c>
      <c r="K8" t="e">
        <f t="shared" si="0"/>
        <v>#DIV/0!</v>
      </c>
    </row>
    <row r="9" spans="1:11" hidden="1" x14ac:dyDescent="0.25">
      <c r="A9" t="str" cm="1">
        <f t="array" ref="A9">IF(ISBLANK(INDEX(SampleList[GC],ROW()-1)),"Not Requested",INDEX(SampleList[Experiment ID],ROW()-1))</f>
        <v>Not Requested</v>
      </c>
      <c r="B9">
        <f>Sampling!E9</f>
        <v>3</v>
      </c>
      <c r="H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">
        <f t="shared" si="1"/>
        <v>3752.6</v>
      </c>
      <c r="K9" t="e">
        <f t="shared" si="0"/>
        <v>#DIV/0!</v>
      </c>
    </row>
    <row r="10" spans="1:11" hidden="1" x14ac:dyDescent="0.25">
      <c r="A10" t="str" cm="1">
        <f t="array" ref="A10">IF(ISBLANK(INDEX(SampleList[GC],ROW()-1)),"Not Requested",INDEX(SampleList[Experiment ID],ROW()-1))</f>
        <v>Not Requested</v>
      </c>
      <c r="B10">
        <f>Sampling!E10</f>
        <v>3</v>
      </c>
      <c r="H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">
        <f t="shared" si="1"/>
        <v>3752.6</v>
      </c>
      <c r="K10" t="e">
        <f t="shared" si="0"/>
        <v>#DIV/0!</v>
      </c>
    </row>
    <row r="11" spans="1:11" hidden="1" x14ac:dyDescent="0.25">
      <c r="A11" t="str" cm="1">
        <f t="array" ref="A11">IF(ISBLANK(INDEX(SampleList[GC],ROW()-1)),"Not Requested",INDEX(SampleList[Experiment ID],ROW()-1))</f>
        <v>Not Requested</v>
      </c>
      <c r="B11">
        <f>Sampling!E11</f>
        <v>4</v>
      </c>
      <c r="H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">
        <f t="shared" si="1"/>
        <v>3752.6</v>
      </c>
      <c r="K11" t="e">
        <f t="shared" si="0"/>
        <v>#DIV/0!</v>
      </c>
    </row>
    <row r="12" spans="1:11" hidden="1" x14ac:dyDescent="0.25">
      <c r="A12" t="str" cm="1">
        <f t="array" ref="A12">IF(ISBLANK(INDEX(SampleList[GC],ROW()-1)),"Not Requested",INDEX(SampleList[Experiment ID],ROW()-1))</f>
        <v>Not Requested</v>
      </c>
      <c r="B12">
        <f>Sampling!E12</f>
        <v>0</v>
      </c>
      <c r="H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">
        <f t="shared" si="1"/>
        <v>3752.6</v>
      </c>
      <c r="K12" t="e">
        <f t="shared" si="0"/>
        <v>#DIV/0!</v>
      </c>
    </row>
    <row r="13" spans="1:11" x14ac:dyDescent="0.25">
      <c r="A13" t="str" cm="1">
        <f t="array" ref="A13">IF(ISBLANK(INDEX(SampleList[GC],ROW()-1)),"Not Requested",INDEX(SampleList[Experiment ID],ROW()-1))</f>
        <v>HPHT_096</v>
      </c>
      <c r="B13">
        <f>SampleList[[#This Row],[Duration (Days)]]</f>
        <v>10</v>
      </c>
      <c r="C13" s="1">
        <v>46097</v>
      </c>
      <c r="D13">
        <v>122</v>
      </c>
      <c r="E13">
        <v>60</v>
      </c>
      <c r="F13">
        <v>3785</v>
      </c>
      <c r="G13">
        <f>0.2*145</f>
        <v>29</v>
      </c>
      <c r="H13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245.90163934426226</v>
      </c>
      <c r="J13">
        <v>22</v>
      </c>
      <c r="K13">
        <f t="shared" si="0"/>
        <v>90.163934426229503</v>
      </c>
    </row>
    <row r="14" spans="1:11" x14ac:dyDescent="0.25">
      <c r="A14" t="str" cm="1">
        <f t="array" ref="A14">IF(ISBLANK(INDEX(SampleList[GC],ROW()-1)),"Not Requested",INDEX(SampleList[Experiment ID],ROW()-1))</f>
        <v>HPHT_079</v>
      </c>
      <c r="B14">
        <f>SampleList[[#This Row],[Duration (Days)]]</f>
        <v>39</v>
      </c>
      <c r="C14" s="1">
        <v>46097</v>
      </c>
      <c r="D14">
        <v>122</v>
      </c>
      <c r="E14">
        <v>1084</v>
      </c>
      <c r="F14">
        <v>3785</v>
      </c>
      <c r="G14">
        <f>0.3*145</f>
        <v>43.5</v>
      </c>
      <c r="H14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4442.622950819672</v>
      </c>
      <c r="J14">
        <v>1492</v>
      </c>
      <c r="K14">
        <f t="shared" si="0"/>
        <v>6114.754098360655</v>
      </c>
    </row>
    <row r="15" spans="1:11" x14ac:dyDescent="0.25">
      <c r="A15" t="str" cm="1">
        <f t="array" ref="A15">IF(ISBLANK(INDEX(SampleList[GC],ROW()-1)),"Not Requested",INDEX(SampleList[Experiment ID],ROW()-1))</f>
        <v>HPHT_097</v>
      </c>
      <c r="B15">
        <f>SampleList[[#This Row],[Duration (Days)]]</f>
        <v>6</v>
      </c>
      <c r="C15" s="1">
        <v>46098</v>
      </c>
      <c r="D15">
        <v>110</v>
      </c>
      <c r="E15">
        <v>277</v>
      </c>
      <c r="F15">
        <v>4035</v>
      </c>
      <c r="G15">
        <v>110</v>
      </c>
      <c r="H15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1259.0909090909092</v>
      </c>
      <c r="K15">
        <f t="shared" si="0"/>
        <v>0</v>
      </c>
    </row>
    <row r="16" spans="1:11" hidden="1" x14ac:dyDescent="0.25">
      <c r="A16" t="str" cm="1">
        <f t="array" ref="A16">IF(ISBLANK(INDEX(SampleList[GC],ROW()-1)),"Not Requested",INDEX(SampleList[Experiment ID],ROW()-1))</f>
        <v>Not Requested</v>
      </c>
      <c r="B16">
        <f>Sampling!E16</f>
        <v>6</v>
      </c>
      <c r="H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">
        <f t="shared" si="1"/>
        <v>3752.6</v>
      </c>
      <c r="K16" t="e">
        <f t="shared" si="0"/>
        <v>#DIV/0!</v>
      </c>
    </row>
    <row r="17" spans="1:11" hidden="1" x14ac:dyDescent="0.25">
      <c r="A17" t="str" cm="1">
        <f t="array" ref="A17">IF(ISBLANK(INDEX(SampleList[GC],ROW()-1)),"Not Requested",INDEX(SampleList[Experiment ID],ROW()-1))</f>
        <v>Not Requested</v>
      </c>
      <c r="B17">
        <f>Sampling!E17</f>
        <v>46</v>
      </c>
      <c r="H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">
        <f t="shared" si="1"/>
        <v>3752.6</v>
      </c>
      <c r="K17" t="e">
        <f t="shared" si="0"/>
        <v>#DIV/0!</v>
      </c>
    </row>
    <row r="18" spans="1:11" hidden="1" x14ac:dyDescent="0.25">
      <c r="A18" t="str" cm="1">
        <f t="array" ref="A18">IF(ISBLANK(INDEX(SampleList[GC],ROW()-1)),"Not Requested",INDEX(SampleList[Experiment ID],ROW()-1))</f>
        <v>Not Requested</v>
      </c>
      <c r="B18">
        <f>Sampling!E18</f>
        <v>18</v>
      </c>
      <c r="H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">
        <f t="shared" si="1"/>
        <v>3752.6</v>
      </c>
      <c r="K18" t="e">
        <f t="shared" si="0"/>
        <v>#DIV/0!</v>
      </c>
    </row>
    <row r="19" spans="1:11" hidden="1" x14ac:dyDescent="0.25">
      <c r="A19" t="str" cm="1">
        <f t="array" ref="A19">IF(ISBLANK(INDEX(SampleList[GC],ROW()-1)),"Not Requested",INDEX(SampleList[Experiment ID],ROW()-1))</f>
        <v>Not Requested</v>
      </c>
      <c r="B19">
        <f>Sampling!E19</f>
        <v>22</v>
      </c>
      <c r="H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">
        <f t="shared" si="1"/>
        <v>3752.6</v>
      </c>
      <c r="K19" t="e">
        <f t="shared" si="0"/>
        <v>#DIV/0!</v>
      </c>
    </row>
    <row r="20" spans="1:11" hidden="1" x14ac:dyDescent="0.25">
      <c r="A20" t="str" cm="1">
        <f t="array" ref="A20">IF(ISBLANK(INDEX(SampleList[GC],ROW()-1)),"Not Requested",INDEX(SampleList[Experiment ID],ROW()-1))</f>
        <v>Not Requested</v>
      </c>
      <c r="B20">
        <f>Sampling!E20</f>
        <v>20</v>
      </c>
      <c r="H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">
        <f t="shared" si="1"/>
        <v>3752.6</v>
      </c>
      <c r="K20" t="e">
        <f t="shared" si="0"/>
        <v>#DIV/0!</v>
      </c>
    </row>
    <row r="21" spans="1:11" hidden="1" x14ac:dyDescent="0.25">
      <c r="A21" t="str" cm="1">
        <f t="array" ref="A21">IF(ISBLANK(INDEX(SampleList[GC],ROW()-1)),"Not Requested",INDEX(SampleList[Experiment ID],ROW()-1))</f>
        <v>Not Requested</v>
      </c>
      <c r="B21">
        <f>Sampling!E21</f>
        <v>8</v>
      </c>
      <c r="H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">
        <f t="shared" si="1"/>
        <v>3752.6</v>
      </c>
      <c r="K21" t="e">
        <f t="shared" si="0"/>
        <v>#DIV/0!</v>
      </c>
    </row>
    <row r="22" spans="1:11" hidden="1" x14ac:dyDescent="0.25">
      <c r="A22" t="str" cm="1">
        <f t="array" ref="A22">IF(ISBLANK(INDEX(SampleList[GC],ROW()-1)),"Not Requested",INDEX(SampleList[Experiment ID],ROW()-1))</f>
        <v>Not Requested</v>
      </c>
      <c r="B22">
        <f>Sampling!E22</f>
        <v>10</v>
      </c>
      <c r="H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">
        <f t="shared" si="1"/>
        <v>3752.6</v>
      </c>
      <c r="K22" t="e">
        <f t="shared" si="0"/>
        <v>#DIV/0!</v>
      </c>
    </row>
    <row r="23" spans="1:11" hidden="1" x14ac:dyDescent="0.25">
      <c r="A23" t="str" cm="1">
        <f t="array" ref="A23">IF(ISBLANK(INDEX(SampleList[GC],ROW()-1)),"Not Requested",INDEX(SampleList[Experiment ID],ROW()-1))</f>
        <v>Not Requested</v>
      </c>
      <c r="B23">
        <f>Sampling!E23</f>
        <v>2</v>
      </c>
      <c r="H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">
        <f t="shared" si="1"/>
        <v>3752.6</v>
      </c>
      <c r="K23" t="e">
        <f t="shared" si="0"/>
        <v>#DIV/0!</v>
      </c>
    </row>
    <row r="24" spans="1:11" hidden="1" x14ac:dyDescent="0.25">
      <c r="A24" t="str" cm="1">
        <f t="array" ref="A24">IF(ISBLANK(INDEX(SampleList[GC],ROW()-1)),"Not Requested",INDEX(SampleList[Experiment ID],ROW()-1))</f>
        <v>Not Requested</v>
      </c>
      <c r="B24">
        <f>Sampling!E24</f>
        <v>52</v>
      </c>
      <c r="H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">
        <f t="shared" si="1"/>
        <v>3752.6</v>
      </c>
      <c r="K24" t="e">
        <f t="shared" si="0"/>
        <v>#DIV/0!</v>
      </c>
    </row>
    <row r="25" spans="1:11" hidden="1" x14ac:dyDescent="0.25">
      <c r="A25" t="str" cm="1">
        <f t="array" ref="A25">IF(ISBLANK(INDEX(SampleList[GC],ROW()-1)),"Not Requested",INDEX(SampleList[Experiment ID],ROW()-1))</f>
        <v>Not Requested</v>
      </c>
      <c r="B25">
        <f>Sampling!E25</f>
        <v>22</v>
      </c>
      <c r="H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">
        <f t="shared" si="1"/>
        <v>3752.6</v>
      </c>
      <c r="K25" t="e">
        <f t="shared" si="0"/>
        <v>#DIV/0!</v>
      </c>
    </row>
    <row r="26" spans="1:11" hidden="1" x14ac:dyDescent="0.25">
      <c r="A26" t="str" cm="1">
        <f t="array" ref="A26">IF(ISBLANK(INDEX(SampleList[GC],ROW()-1)),"Not Requested",INDEX(SampleList[Experiment ID],ROW()-1))</f>
        <v>Not Requested</v>
      </c>
      <c r="B26">
        <f>Sampling!E26</f>
        <v>28</v>
      </c>
      <c r="H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">
        <f t="shared" si="1"/>
        <v>3752.6</v>
      </c>
      <c r="K26" t="e">
        <f t="shared" si="0"/>
        <v>#DIV/0!</v>
      </c>
    </row>
    <row r="27" spans="1:11" hidden="1" x14ac:dyDescent="0.25">
      <c r="A27" t="str" cm="1">
        <f t="array" ref="A27">IF(ISBLANK(INDEX(SampleList[GC],ROW()-1)),"Not Requested",INDEX(SampleList[Experiment ID],ROW()-1))</f>
        <v>Not Requested</v>
      </c>
      <c r="B27">
        <f>Sampling!E27</f>
        <v>0</v>
      </c>
      <c r="H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">
        <f t="shared" si="1"/>
        <v>3752.6</v>
      </c>
      <c r="K27" t="e">
        <f t="shared" si="0"/>
        <v>#DIV/0!</v>
      </c>
    </row>
    <row r="28" spans="1:11" hidden="1" x14ac:dyDescent="0.25">
      <c r="A28" t="str" cm="1">
        <f t="array" ref="A28">IF(ISBLANK(INDEX(SampleList[GC],ROW()-1)),"Not Requested",INDEX(SampleList[Experiment ID],ROW()-1))</f>
        <v>Not Requested</v>
      </c>
      <c r="B28">
        <f>Sampling!E28</f>
        <v>10</v>
      </c>
      <c r="H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">
        <f t="shared" si="1"/>
        <v>3752.6</v>
      </c>
      <c r="K28" t="e">
        <f t="shared" si="0"/>
        <v>#DIV/0!</v>
      </c>
    </row>
    <row r="29" spans="1:11" hidden="1" x14ac:dyDescent="0.25">
      <c r="A29" t="str" cm="1">
        <f t="array" ref="A29">IF(ISBLANK(INDEX(SampleList[GC],ROW()-1)),"Not Requested",INDEX(SampleList[Experiment ID],ROW()-1))</f>
        <v>Not Requested</v>
      </c>
      <c r="B29">
        <f>Sampling!E29</f>
        <v>12</v>
      </c>
      <c r="H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">
        <f t="shared" si="1"/>
        <v>3752.6</v>
      </c>
      <c r="K29" t="e">
        <f t="shared" si="0"/>
        <v>#DIV/0!</v>
      </c>
    </row>
    <row r="30" spans="1:11" hidden="1" x14ac:dyDescent="0.25">
      <c r="A30" t="str" cm="1">
        <f t="array" ref="A30">IF(ISBLANK(INDEX(SampleList[GC],ROW()-1)),"Not Requested",INDEX(SampleList[Experiment ID],ROW()-1))</f>
        <v>Not Requested</v>
      </c>
      <c r="B30">
        <f>Sampling!E30</f>
        <v>0</v>
      </c>
      <c r="H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">
        <f t="shared" si="1"/>
        <v>3752.6</v>
      </c>
      <c r="K30" t="e">
        <f t="shared" si="0"/>
        <v>#DIV/0!</v>
      </c>
    </row>
    <row r="31" spans="1:11" hidden="1" x14ac:dyDescent="0.25">
      <c r="A31" t="str" cm="1">
        <f t="array" ref="A31">IF(ISBLANK(INDEX(SampleList[GC],ROW()-1)),"Not Requested",INDEX(SampleList[Experiment ID],ROW()-1))</f>
        <v>Not Requested</v>
      </c>
      <c r="B31">
        <f>Sampling!E31</f>
        <v>34</v>
      </c>
      <c r="H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">
        <f t="shared" si="1"/>
        <v>3752.6</v>
      </c>
      <c r="K31" t="e">
        <f t="shared" si="0"/>
        <v>#DIV/0!</v>
      </c>
    </row>
    <row r="32" spans="1:11" hidden="1" x14ac:dyDescent="0.25">
      <c r="A32" t="str" cm="1">
        <f t="array" ref="A32">IF(ISBLANK(INDEX(SampleList[GC],ROW()-1)),"Not Requested",INDEX(SampleList[Experiment ID],ROW()-1))</f>
        <v>Not Requested</v>
      </c>
      <c r="B32">
        <f>Sampling!E32</f>
        <v>9</v>
      </c>
      <c r="H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">
        <f t="shared" si="1"/>
        <v>3752.6</v>
      </c>
      <c r="K32" t="e">
        <f t="shared" si="0"/>
        <v>#DIV/0!</v>
      </c>
    </row>
    <row r="33" spans="1:11" hidden="1" x14ac:dyDescent="0.25">
      <c r="A33" t="str" cm="1">
        <f t="array" ref="A33">IF(ISBLANK(INDEX(SampleList[GC],ROW()-1)),"Not Requested",INDEX(SampleList[Experiment ID],ROW()-1))</f>
        <v>Not Requested</v>
      </c>
      <c r="B33">
        <f>Sampling!E33</f>
        <v>15</v>
      </c>
      <c r="G33">
        <f t="shared" ref="G33:G96" si="2">24.5*145</f>
        <v>3552.5</v>
      </c>
      <c r="H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">
        <f t="shared" si="1"/>
        <v>3752.6</v>
      </c>
      <c r="K33" t="e">
        <f t="shared" si="0"/>
        <v>#DIV/0!</v>
      </c>
    </row>
    <row r="34" spans="1:11" hidden="1" x14ac:dyDescent="0.25">
      <c r="A34" t="str" cm="1">
        <f t="array" ref="A34">IF(ISBLANK(INDEX(SampleList[GC],ROW()-1)),"Not Requested",INDEX(SampleList[Experiment ID],ROW()-1))</f>
        <v>Not Requested</v>
      </c>
      <c r="B34">
        <f>Sampling!E34</f>
        <v>0</v>
      </c>
      <c r="G34">
        <f t="shared" si="2"/>
        <v>3552.5</v>
      </c>
      <c r="H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">
        <f t="shared" si="1"/>
        <v>3752.6</v>
      </c>
      <c r="K34" t="e">
        <f t="shared" si="0"/>
        <v>#DIV/0!</v>
      </c>
    </row>
    <row r="35" spans="1:11" hidden="1" x14ac:dyDescent="0.25">
      <c r="A35" t="str" cm="1">
        <f t="array" ref="A35">IF(ISBLANK(INDEX(SampleList[GC],ROW()-1)),"Not Requested",INDEX(SampleList[Experiment ID],ROW()-1))</f>
        <v>Not Requested</v>
      </c>
      <c r="B35">
        <f>Sampling!E35</f>
        <v>15</v>
      </c>
      <c r="G35">
        <f t="shared" si="2"/>
        <v>3552.5</v>
      </c>
      <c r="H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">
        <f t="shared" si="1"/>
        <v>3752.6</v>
      </c>
      <c r="K35" t="e">
        <f t="shared" si="0"/>
        <v>#DIV/0!</v>
      </c>
    </row>
    <row r="36" spans="1:11" hidden="1" x14ac:dyDescent="0.25">
      <c r="A36" t="str" cm="1">
        <f t="array" ref="A36">IF(ISBLANK(INDEX(SampleList[GC],ROW()-1)),"Not Requested",INDEX(SampleList[Experiment ID],ROW()-1))</f>
        <v>Not Requested</v>
      </c>
      <c r="B36">
        <f>Sampling!E36</f>
        <v>5</v>
      </c>
      <c r="G36">
        <f t="shared" si="2"/>
        <v>3552.5</v>
      </c>
      <c r="H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">
        <f t="shared" si="1"/>
        <v>3752.6</v>
      </c>
      <c r="K36" t="e">
        <f t="shared" si="0"/>
        <v>#DIV/0!</v>
      </c>
    </row>
    <row r="37" spans="1:11" hidden="1" x14ac:dyDescent="0.25">
      <c r="A37" t="str" cm="1">
        <f t="array" ref="A37">IF(ISBLANK(INDEX(SampleList[GC],ROW()-1)),"Not Requested",INDEX(SampleList[Experiment ID],ROW()-1))</f>
        <v>Not Requested</v>
      </c>
      <c r="B37">
        <f>Sampling!E37</f>
        <v>4</v>
      </c>
      <c r="G37">
        <f t="shared" si="2"/>
        <v>3552.5</v>
      </c>
      <c r="H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">
        <f t="shared" si="1"/>
        <v>3752.6</v>
      </c>
      <c r="K37" t="e">
        <f t="shared" si="0"/>
        <v>#DIV/0!</v>
      </c>
    </row>
    <row r="38" spans="1:11" hidden="1" x14ac:dyDescent="0.25">
      <c r="A38" t="str" cm="1">
        <f t="array" ref="A38">IF(ISBLANK(INDEX(SampleList[GC],ROW()-1)),"Not Requested",INDEX(SampleList[Experiment ID],ROW()-1))</f>
        <v>Not Requested</v>
      </c>
      <c r="B38">
        <f>Sampling!E38</f>
        <v>0</v>
      </c>
      <c r="G38">
        <f t="shared" si="2"/>
        <v>3552.5</v>
      </c>
      <c r="H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">
        <f t="shared" si="1"/>
        <v>3752.6</v>
      </c>
      <c r="K38" t="e">
        <f t="shared" si="0"/>
        <v>#DIV/0!</v>
      </c>
    </row>
    <row r="39" spans="1:11" hidden="1" x14ac:dyDescent="0.25">
      <c r="A39" t="str" cm="1">
        <f t="array" ref="A39">IF(ISBLANK(INDEX(SampleList[GC],ROW()-1)),"Not Requested",INDEX(SampleList[Experiment ID],ROW()-1))</f>
        <v>Not Requested</v>
      </c>
      <c r="B39">
        <f>Sampling!E39</f>
        <v>0</v>
      </c>
      <c r="G39">
        <f t="shared" si="2"/>
        <v>3552.5</v>
      </c>
      <c r="H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">
        <f t="shared" si="1"/>
        <v>3752.6</v>
      </c>
      <c r="K39" t="e">
        <f t="shared" si="0"/>
        <v>#DIV/0!</v>
      </c>
    </row>
    <row r="40" spans="1:11" hidden="1" x14ac:dyDescent="0.25">
      <c r="A40" t="str" cm="1">
        <f t="array" ref="A40">IF(ISBLANK(INDEX(SampleList[GC],ROW()-1)),"Not Requested",INDEX(SampleList[Experiment ID],ROW()-1))</f>
        <v>Not Requested</v>
      </c>
      <c r="B40">
        <f>Sampling!E40</f>
        <v>10</v>
      </c>
      <c r="G40">
        <f t="shared" si="2"/>
        <v>3552.5</v>
      </c>
      <c r="H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">
        <f t="shared" si="1"/>
        <v>3752.6</v>
      </c>
      <c r="K40" t="e">
        <f t="shared" si="0"/>
        <v>#DIV/0!</v>
      </c>
    </row>
    <row r="41" spans="1:11" hidden="1" x14ac:dyDescent="0.25">
      <c r="A41" t="str" cm="1">
        <f t="array" ref="A41">IF(ISBLANK(INDEX(SampleList[GC],ROW()-1)),"Not Requested",INDEX(SampleList[Experiment ID],ROW()-1))</f>
        <v>Not Requested</v>
      </c>
      <c r="B41">
        <f>Sampling!E41</f>
        <v>0</v>
      </c>
      <c r="G41">
        <f t="shared" si="2"/>
        <v>3552.5</v>
      </c>
      <c r="H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">
        <f t="shared" si="1"/>
        <v>3752.6</v>
      </c>
      <c r="K41" t="e">
        <f t="shared" si="0"/>
        <v>#DIV/0!</v>
      </c>
    </row>
    <row r="42" spans="1:11" hidden="1" x14ac:dyDescent="0.25">
      <c r="A42" t="str" cm="1">
        <f t="array" ref="A42">IF(ISBLANK(INDEX(SampleList[GC],ROW()-1)),"Not Requested",INDEX(SampleList[Experiment ID],ROW()-1))</f>
        <v>Not Requested</v>
      </c>
      <c r="B42">
        <f>Sampling!E42</f>
        <v>5</v>
      </c>
      <c r="G42">
        <f t="shared" si="2"/>
        <v>3552.5</v>
      </c>
      <c r="H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">
        <f t="shared" si="1"/>
        <v>3752.6</v>
      </c>
      <c r="K42" t="e">
        <f t="shared" si="0"/>
        <v>#DIV/0!</v>
      </c>
    </row>
    <row r="43" spans="1:11" x14ac:dyDescent="0.25">
      <c r="A43" t="str" cm="1">
        <f t="array" ref="A43">IF(ISBLANK(INDEX(SampleList[GC],ROW()-1)),"Not Requested",INDEX(SampleList[Experiment ID],ROW()-1))</f>
        <v>HPHT_089</v>
      </c>
      <c r="B43">
        <f>SampleList[[#This Row],[Duration (Days)]]</f>
        <v>3</v>
      </c>
      <c r="C43" s="1">
        <v>46100</v>
      </c>
      <c r="D43">
        <v>121.43</v>
      </c>
      <c r="E43">
        <v>246</v>
      </c>
      <c r="F43">
        <v>3785</v>
      </c>
      <c r="G43">
        <f>0.1*145</f>
        <v>14.5</v>
      </c>
      <c r="H43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1012.9292596557686</v>
      </c>
      <c r="I43">
        <f t="shared" si="1"/>
        <v>3752.6</v>
      </c>
      <c r="J43">
        <v>41.6</v>
      </c>
      <c r="K43">
        <f t="shared" si="0"/>
        <v>171.29210244585357</v>
      </c>
    </row>
    <row r="44" spans="1:11" x14ac:dyDescent="0.25">
      <c r="A44" t="str" cm="1">
        <f t="array" ref="A44">IF(ISBLANK(INDEX(SampleList[GC],ROW()-1)),"Not Requested",INDEX(SampleList[Experiment ID],ROW()-1))</f>
        <v>HPHT_096</v>
      </c>
      <c r="B44">
        <f>SampleList[[#This Row],[Duration (Days)]]</f>
        <v>13</v>
      </c>
      <c r="C44" s="1">
        <v>46100</v>
      </c>
      <c r="D44">
        <v>121.43</v>
      </c>
      <c r="E44">
        <v>86</v>
      </c>
      <c r="F44">
        <v>3785</v>
      </c>
      <c r="G44">
        <v>14.5</v>
      </c>
      <c r="H44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354.11348101787036</v>
      </c>
      <c r="I44">
        <f>24.46*145</f>
        <v>3546.7000000000003</v>
      </c>
      <c r="J44">
        <v>0</v>
      </c>
      <c r="K44">
        <f t="shared" si="0"/>
        <v>0</v>
      </c>
    </row>
    <row r="45" spans="1:11" x14ac:dyDescent="0.25">
      <c r="A45" t="str" cm="1">
        <f t="array" ref="A45">IF(ISBLANK(INDEX(SampleList[GC],ROW()-1)),"Not Requested",INDEX(SampleList[Experiment ID],ROW()-1))</f>
        <v>HPHT_079</v>
      </c>
      <c r="B45">
        <f>SampleList[[#This Row],[Duration (Days)]]</f>
        <v>42</v>
      </c>
      <c r="C45" s="1">
        <v>46100</v>
      </c>
      <c r="D45">
        <v>121.43</v>
      </c>
      <c r="E45">
        <v>318</v>
      </c>
      <c r="F45">
        <v>3785</v>
      </c>
      <c r="G45">
        <f>0.27*145</f>
        <v>39.150000000000006</v>
      </c>
      <c r="H45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1309.3963600428228</v>
      </c>
      <c r="I45">
        <f>22.99*145</f>
        <v>3333.5499999999997</v>
      </c>
      <c r="J45">
        <v>527</v>
      </c>
      <c r="K45">
        <f t="shared" si="0"/>
        <v>2169.9744708885773</v>
      </c>
    </row>
    <row r="46" spans="1:11" hidden="1" x14ac:dyDescent="0.25">
      <c r="A46" t="str" cm="1">
        <f t="array" ref="A46">IF(ISBLANK(INDEX(SampleList[GC],ROW()-1)),"Not Requested",INDEX(SampleList[Experiment ID],ROW()-1))</f>
        <v>Not Requested</v>
      </c>
      <c r="B46">
        <f>Sampling!E46</f>
        <v>8</v>
      </c>
      <c r="G46">
        <f t="shared" si="2"/>
        <v>3552.5</v>
      </c>
      <c r="H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">
        <f t="shared" si="1"/>
        <v>3752.6</v>
      </c>
      <c r="K46" t="e">
        <f t="shared" si="0"/>
        <v>#DIV/0!</v>
      </c>
    </row>
    <row r="47" spans="1:11" x14ac:dyDescent="0.25">
      <c r="A47" t="str" cm="1">
        <f t="array" ref="A47">IF(ISBLANK(INDEX(SampleList[GC],ROW()-1)),"Not Requested",INDEX(SampleList[Experiment ID],ROW()-1))</f>
        <v>HPHT_105</v>
      </c>
      <c r="B47">
        <f>Sampling!E47</f>
        <v>3</v>
      </c>
      <c r="C47" s="1">
        <v>46101</v>
      </c>
      <c r="D47">
        <v>121</v>
      </c>
      <c r="E47">
        <v>0</v>
      </c>
      <c r="F47">
        <v>3825</v>
      </c>
      <c r="G47">
        <f t="shared" si="2"/>
        <v>3552.5</v>
      </c>
      <c r="H47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>0</v>
      </c>
      <c r="I47">
        <f t="shared" si="1"/>
        <v>3752.6</v>
      </c>
      <c r="K47">
        <f t="shared" si="0"/>
        <v>0</v>
      </c>
    </row>
    <row r="48" spans="1:11" hidden="1" x14ac:dyDescent="0.25">
      <c r="A48" t="str" cm="1">
        <f t="array" ref="A48">IF(ISBLANK(INDEX(SampleList[GC],ROW()-1)),"Not Requested",INDEX(SampleList[Experiment ID],ROW()-1))</f>
        <v>Not Requested</v>
      </c>
      <c r="B48">
        <f>Sampling!E48</f>
        <v>0</v>
      </c>
      <c r="G48">
        <f t="shared" si="2"/>
        <v>3552.5</v>
      </c>
      <c r="H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">
        <f t="shared" si="1"/>
        <v>3752.6</v>
      </c>
      <c r="K48" t="e">
        <f t="shared" si="0"/>
        <v>#DIV/0!</v>
      </c>
    </row>
    <row r="49" spans="1:11" x14ac:dyDescent="0.25">
      <c r="A49" t="str" cm="1">
        <f t="array" ref="A49">IF(ISBLANK(INDEX(SampleList[GC],ROW()-1)),"Not Requested",INDEX(SampleList[Experiment ID],ROW()-1))</f>
        <v>HPHT_096</v>
      </c>
      <c r="B49">
        <f>Sampling!E49</f>
        <v>17</v>
      </c>
      <c r="D49">
        <v>125</v>
      </c>
      <c r="H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49">
        <f t="shared" si="0"/>
        <v>0</v>
      </c>
    </row>
    <row r="50" spans="1:11" x14ac:dyDescent="0.25">
      <c r="A50" t="str" cm="1">
        <f t="array" ref="A50">IF(ISBLANK(INDEX(SampleList[GC],ROW()-1)),"Not Requested",INDEX(SampleList[Experiment ID],ROW()-1))</f>
        <v>HPHT_089</v>
      </c>
      <c r="B50">
        <f>Sampling!E50</f>
        <v>7</v>
      </c>
      <c r="D50">
        <v>125</v>
      </c>
      <c r="H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50">
        <f t="shared" si="0"/>
        <v>0</v>
      </c>
    </row>
    <row r="51" spans="1:11" x14ac:dyDescent="0.25">
      <c r="A51" t="str" cm="1">
        <f t="array" ref="A51">IF(ISBLANK(INDEX(SampleList[GC],ROW()-1)),"Not Requested",INDEX(SampleList[Experiment ID],ROW()-1))</f>
        <v>HPHT_079</v>
      </c>
      <c r="B51">
        <f>Sampling!E51</f>
        <v>46</v>
      </c>
      <c r="D51">
        <v>125</v>
      </c>
      <c r="H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51">
        <f t="shared" si="0"/>
        <v>0</v>
      </c>
    </row>
    <row r="52" spans="1:11" x14ac:dyDescent="0.25">
      <c r="A52" t="str" cm="1">
        <f t="array" ref="A52">IF(ISBLANK(INDEX(SampleList[GC],ROW()-1)),"Not Requested",INDEX(SampleList[Experiment ID],ROW()-1))</f>
        <v>HPHT_097</v>
      </c>
      <c r="B52">
        <f>Sampling!E52</f>
        <v>11</v>
      </c>
      <c r="H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52" t="e">
        <f t="shared" si="0"/>
        <v>#DIV/0!</v>
      </c>
    </row>
    <row r="53" spans="1:11" hidden="1" x14ac:dyDescent="0.25">
      <c r="A53" t="str" cm="1">
        <f t="array" ref="A53">IF(ISBLANK(INDEX(SampleList[GC],ROW()-1)),"Not Requested",INDEX(SampleList[Experiment ID],ROW()-1))</f>
        <v>Not Requested</v>
      </c>
      <c r="B53">
        <f>Sampling!E53</f>
        <v>3</v>
      </c>
      <c r="G53">
        <f t="shared" si="2"/>
        <v>3552.5</v>
      </c>
      <c r="H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">
        <f t="shared" si="1"/>
        <v>3752.6</v>
      </c>
      <c r="K53" t="e">
        <f t="shared" si="0"/>
        <v>#DIV/0!</v>
      </c>
    </row>
    <row r="54" spans="1:11" hidden="1" x14ac:dyDescent="0.25">
      <c r="A54" t="str" cm="1">
        <f t="array" ref="A54">IF(ISBLANK(INDEX(SampleList[GC],ROW()-1)),"Not Requested",INDEX(SampleList[Experiment ID],ROW()-1))</f>
        <v>Not Requested</v>
      </c>
      <c r="B54">
        <f>Sampling!E54</f>
        <v>3</v>
      </c>
      <c r="G54">
        <f t="shared" si="2"/>
        <v>3552.5</v>
      </c>
      <c r="H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">
        <f t="shared" si="1"/>
        <v>3752.6</v>
      </c>
      <c r="K54" t="e">
        <f t="shared" si="0"/>
        <v>#DIV/0!</v>
      </c>
    </row>
    <row r="55" spans="1:11" x14ac:dyDescent="0.25">
      <c r="A55" t="str" cm="1">
        <f t="array" ref="A55">IF(ISBLANK(INDEX(SampleList[GC],ROW()-1)),"Not Requested",INDEX(SampleList[Experiment ID],ROW()-1))</f>
        <v>HPHT_107</v>
      </c>
      <c r="B55">
        <f>Sampling!E55</f>
        <v>3</v>
      </c>
      <c r="H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55" t="e">
        <f t="shared" si="0"/>
        <v>#DIV/0!</v>
      </c>
    </row>
    <row r="56" spans="1:11" hidden="1" x14ac:dyDescent="0.25">
      <c r="A56" t="str" cm="1">
        <f t="array" ref="A56">IF(ISBLANK(INDEX(SampleList[GC],ROW()-1)),"Not Requested",INDEX(SampleList[Experiment ID],ROW()-1))</f>
        <v>Not Requested</v>
      </c>
      <c r="B56">
        <f>Sampling!E56</f>
        <v>0</v>
      </c>
      <c r="G56">
        <f t="shared" si="2"/>
        <v>3552.5</v>
      </c>
      <c r="H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">
        <f t="shared" si="1"/>
        <v>3752.6</v>
      </c>
      <c r="K56" t="e">
        <f t="shared" si="0"/>
        <v>#DIV/0!</v>
      </c>
    </row>
    <row r="57" spans="1:11" hidden="1" x14ac:dyDescent="0.25">
      <c r="A57" t="str" cm="1">
        <f t="array" ref="A57">IF(ISBLANK(INDEX(SampleList[GC],ROW()-1)),"Not Requested",INDEX(SampleList[Experiment ID],ROW()-1))</f>
        <v>Not Requested</v>
      </c>
      <c r="B57">
        <f>Sampling!E57</f>
        <v>0</v>
      </c>
      <c r="G57">
        <f t="shared" si="2"/>
        <v>3552.5</v>
      </c>
      <c r="H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">
        <f t="shared" si="1"/>
        <v>3752.6</v>
      </c>
      <c r="K57" t="e">
        <f t="shared" si="0"/>
        <v>#DIV/0!</v>
      </c>
    </row>
    <row r="58" spans="1:11" hidden="1" x14ac:dyDescent="0.25">
      <c r="A58" t="str" cm="1">
        <f t="array" ref="A58">IF(ISBLANK(INDEX(SampleList[GC],ROW()-1)),"Not Requested",INDEX(SampleList[Experiment ID],ROW()-1))</f>
        <v>Not Requested</v>
      </c>
      <c r="B58">
        <f>Sampling!E58</f>
        <v>0</v>
      </c>
      <c r="G58">
        <f t="shared" si="2"/>
        <v>3552.5</v>
      </c>
      <c r="H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">
        <f t="shared" si="1"/>
        <v>3752.6</v>
      </c>
      <c r="K58" t="e">
        <f t="shared" si="0"/>
        <v>#DIV/0!</v>
      </c>
    </row>
    <row r="59" spans="1:11" hidden="1" x14ac:dyDescent="0.25">
      <c r="A59" t="str" cm="1">
        <f t="array" ref="A59">IF(ISBLANK(INDEX(SampleList[GC],ROW()-1)),"Not Requested",INDEX(SampleList[Experiment ID],ROW()-1))</f>
        <v>Not Requested</v>
      </c>
      <c r="B59">
        <f>Sampling!E59</f>
        <v>0</v>
      </c>
      <c r="G59">
        <f t="shared" si="2"/>
        <v>3552.5</v>
      </c>
      <c r="H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">
        <f t="shared" si="1"/>
        <v>3752.6</v>
      </c>
      <c r="K59" t="e">
        <f t="shared" si="0"/>
        <v>#DIV/0!</v>
      </c>
    </row>
    <row r="60" spans="1:11" hidden="1" x14ac:dyDescent="0.25">
      <c r="A60" t="str" cm="1">
        <f t="array" ref="A60">IF(ISBLANK(INDEX(SampleList[GC],ROW()-1)),"Not Requested",INDEX(SampleList[Experiment ID],ROW()-1))</f>
        <v>Not Requested</v>
      </c>
      <c r="B60">
        <f>Sampling!E60</f>
        <v>0</v>
      </c>
      <c r="G60">
        <f t="shared" si="2"/>
        <v>3552.5</v>
      </c>
      <c r="H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">
        <f t="shared" si="1"/>
        <v>3752.6</v>
      </c>
      <c r="K60" t="e">
        <f t="shared" si="0"/>
        <v>#DIV/0!</v>
      </c>
    </row>
    <row r="61" spans="1:11" hidden="1" x14ac:dyDescent="0.25">
      <c r="A61" t="str" cm="1">
        <f t="array" ref="A61">IF(ISBLANK(INDEX(SampleList[GC],ROW()-1)),"Not Requested",INDEX(SampleList[Experiment ID],ROW()-1))</f>
        <v>Not Requested</v>
      </c>
      <c r="B61">
        <f>Sampling!E61</f>
        <v>0</v>
      </c>
      <c r="G61">
        <f t="shared" si="2"/>
        <v>3552.5</v>
      </c>
      <c r="H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">
        <f t="shared" si="1"/>
        <v>3752.6</v>
      </c>
      <c r="K61" t="e">
        <f t="shared" si="0"/>
        <v>#DIV/0!</v>
      </c>
    </row>
    <row r="62" spans="1:11" hidden="1" x14ac:dyDescent="0.25">
      <c r="A62" t="str" cm="1">
        <f t="array" ref="A62">IF(ISBLANK(INDEX(SampleList[GC],ROW()-1)),"Not Requested",INDEX(SampleList[Experiment ID],ROW()-1))</f>
        <v>Not Requested</v>
      </c>
      <c r="B62">
        <f>Sampling!E62</f>
        <v>0</v>
      </c>
      <c r="G62">
        <f t="shared" si="2"/>
        <v>3552.5</v>
      </c>
      <c r="H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">
        <f t="shared" si="1"/>
        <v>3752.6</v>
      </c>
      <c r="K62" t="e">
        <f t="shared" si="0"/>
        <v>#DIV/0!</v>
      </c>
    </row>
    <row r="63" spans="1:11" hidden="1" x14ac:dyDescent="0.25">
      <c r="A63" t="str" cm="1">
        <f t="array" ref="A63">IF(ISBLANK(INDEX(SampleList[GC],ROW()-1)),"Not Requested",INDEX(SampleList[Experiment ID],ROW()-1))</f>
        <v>Not Requested</v>
      </c>
      <c r="B63">
        <f>Sampling!E63</f>
        <v>0</v>
      </c>
      <c r="G63">
        <f t="shared" si="2"/>
        <v>3552.5</v>
      </c>
      <c r="H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">
        <f t="shared" si="1"/>
        <v>3752.6</v>
      </c>
      <c r="K63" t="e">
        <f t="shared" si="0"/>
        <v>#DIV/0!</v>
      </c>
    </row>
    <row r="64" spans="1:11" hidden="1" x14ac:dyDescent="0.25">
      <c r="A64" t="str" cm="1">
        <f t="array" ref="A64">IF(ISBLANK(INDEX(SampleList[GC],ROW()-1)),"Not Requested",INDEX(SampleList[Experiment ID],ROW()-1))</f>
        <v>Not Requested</v>
      </c>
      <c r="B64">
        <f>Sampling!E64</f>
        <v>0</v>
      </c>
      <c r="G64">
        <f t="shared" si="2"/>
        <v>3552.5</v>
      </c>
      <c r="H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">
        <f t="shared" si="1"/>
        <v>3752.6</v>
      </c>
      <c r="K64" t="e">
        <f t="shared" si="0"/>
        <v>#DIV/0!</v>
      </c>
    </row>
    <row r="65" spans="1:11" hidden="1" x14ac:dyDescent="0.25">
      <c r="A65" t="str" cm="1">
        <f t="array" ref="A65">IF(ISBLANK(INDEX(SampleList[GC],ROW()-1)),"Not Requested",INDEX(SampleList[Experiment ID],ROW()-1))</f>
        <v>Not Requested</v>
      </c>
      <c r="B65">
        <f>Sampling!E65</f>
        <v>0</v>
      </c>
      <c r="G65">
        <f t="shared" si="2"/>
        <v>3552.5</v>
      </c>
      <c r="H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">
        <f t="shared" si="1"/>
        <v>3752.6</v>
      </c>
      <c r="K65" t="e">
        <f t="shared" si="0"/>
        <v>#DIV/0!</v>
      </c>
    </row>
    <row r="66" spans="1:11" hidden="1" x14ac:dyDescent="0.25">
      <c r="A66" t="str" cm="1">
        <f t="array" ref="A66">IF(ISBLANK(INDEX(SampleList[GC],ROW()-1)),"Not Requested",INDEX(SampleList[Experiment ID],ROW()-1))</f>
        <v>Not Requested</v>
      </c>
      <c r="B66">
        <f>Sampling!E66</f>
        <v>0</v>
      </c>
      <c r="G66">
        <f t="shared" si="2"/>
        <v>3552.5</v>
      </c>
      <c r="H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">
        <f t="shared" ref="I66:I129" si="3">25.88*145</f>
        <v>3752.6</v>
      </c>
      <c r="K66" t="e">
        <f t="shared" ref="K66:K129" si="4">(500/D66)*J66</f>
        <v>#DIV/0!</v>
      </c>
    </row>
    <row r="67" spans="1:11" hidden="1" x14ac:dyDescent="0.25">
      <c r="A67" t="str" cm="1">
        <f t="array" ref="A67">IF(ISBLANK(INDEX(SampleList[GC],ROW()-1)),"Not Requested",INDEX(SampleList[Experiment ID],ROW()-1))</f>
        <v>Not Requested</v>
      </c>
      <c r="B67">
        <f>Sampling!E67</f>
        <v>0</v>
      </c>
      <c r="G67">
        <f t="shared" si="2"/>
        <v>3552.5</v>
      </c>
      <c r="H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">
        <f t="shared" si="3"/>
        <v>3752.6</v>
      </c>
      <c r="K67" t="e">
        <f t="shared" si="4"/>
        <v>#DIV/0!</v>
      </c>
    </row>
    <row r="68" spans="1:11" hidden="1" x14ac:dyDescent="0.25">
      <c r="A68" t="str" cm="1">
        <f t="array" ref="A68">IF(ISBLANK(INDEX(SampleList[GC],ROW()-1)),"Not Requested",INDEX(SampleList[Experiment ID],ROW()-1))</f>
        <v>Not Requested</v>
      </c>
      <c r="B68">
        <f>Sampling!E68</f>
        <v>0</v>
      </c>
      <c r="G68">
        <f t="shared" si="2"/>
        <v>3552.5</v>
      </c>
      <c r="H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">
        <f t="shared" si="3"/>
        <v>3752.6</v>
      </c>
      <c r="K68" t="e">
        <f t="shared" si="4"/>
        <v>#DIV/0!</v>
      </c>
    </row>
    <row r="69" spans="1:11" hidden="1" x14ac:dyDescent="0.25">
      <c r="A69" t="str" cm="1">
        <f t="array" ref="A69">IF(ISBLANK(INDEX(SampleList[GC],ROW()-1)),"Not Requested",INDEX(SampleList[Experiment ID],ROW()-1))</f>
        <v>Not Requested</v>
      </c>
      <c r="B69">
        <f>Sampling!E69</f>
        <v>0</v>
      </c>
      <c r="G69">
        <f t="shared" si="2"/>
        <v>3552.5</v>
      </c>
      <c r="H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">
        <f t="shared" si="3"/>
        <v>3752.6</v>
      </c>
      <c r="K69" t="e">
        <f t="shared" si="4"/>
        <v>#DIV/0!</v>
      </c>
    </row>
    <row r="70" spans="1:11" hidden="1" x14ac:dyDescent="0.25">
      <c r="A70" t="str" cm="1">
        <f t="array" ref="A70">IF(ISBLANK(INDEX(SampleList[GC],ROW()-1)),"Not Requested",INDEX(SampleList[Experiment ID],ROW()-1))</f>
        <v>Not Requested</v>
      </c>
      <c r="B70">
        <f>Sampling!E70</f>
        <v>0</v>
      </c>
      <c r="G70">
        <f t="shared" si="2"/>
        <v>3552.5</v>
      </c>
      <c r="H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">
        <f t="shared" si="3"/>
        <v>3752.6</v>
      </c>
      <c r="K70" t="e">
        <f t="shared" si="4"/>
        <v>#DIV/0!</v>
      </c>
    </row>
    <row r="71" spans="1:11" hidden="1" x14ac:dyDescent="0.25">
      <c r="A71" t="str" cm="1">
        <f t="array" ref="A71">IF(ISBLANK(INDEX(SampleList[GC],ROW()-1)),"Not Requested",INDEX(SampleList[Experiment ID],ROW()-1))</f>
        <v>Not Requested</v>
      </c>
      <c r="B71">
        <f>Sampling!E71</f>
        <v>0</v>
      </c>
      <c r="G71">
        <f t="shared" si="2"/>
        <v>3552.5</v>
      </c>
      <c r="H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">
        <f t="shared" si="3"/>
        <v>3752.6</v>
      </c>
      <c r="K71" t="e">
        <f t="shared" si="4"/>
        <v>#DIV/0!</v>
      </c>
    </row>
    <row r="72" spans="1:11" hidden="1" x14ac:dyDescent="0.25">
      <c r="A72" t="str" cm="1">
        <f t="array" ref="A72">IF(ISBLANK(INDEX(SampleList[GC],ROW()-1)),"Not Requested",INDEX(SampleList[Experiment ID],ROW()-1))</f>
        <v>Not Requested</v>
      </c>
      <c r="B72">
        <f>Sampling!E72</f>
        <v>0</v>
      </c>
      <c r="G72">
        <f t="shared" si="2"/>
        <v>3552.5</v>
      </c>
      <c r="H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">
        <f t="shared" si="3"/>
        <v>3752.6</v>
      </c>
      <c r="K72" t="e">
        <f t="shared" si="4"/>
        <v>#DIV/0!</v>
      </c>
    </row>
    <row r="73" spans="1:11" hidden="1" x14ac:dyDescent="0.25">
      <c r="A73" t="str" cm="1">
        <f t="array" ref="A73">IF(ISBLANK(INDEX(SampleList[GC],ROW()-1)),"Not Requested",INDEX(SampleList[Experiment ID],ROW()-1))</f>
        <v>Not Requested</v>
      </c>
      <c r="B73">
        <f>Sampling!E73</f>
        <v>0</v>
      </c>
      <c r="G73">
        <f t="shared" si="2"/>
        <v>3552.5</v>
      </c>
      <c r="H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">
        <f t="shared" si="3"/>
        <v>3752.6</v>
      </c>
      <c r="K73" t="e">
        <f t="shared" si="4"/>
        <v>#DIV/0!</v>
      </c>
    </row>
    <row r="74" spans="1:11" hidden="1" x14ac:dyDescent="0.25">
      <c r="A74" t="str" cm="1">
        <f t="array" ref="A74">IF(ISBLANK(INDEX(SampleList[GC],ROW()-1)),"Not Requested",INDEX(SampleList[Experiment ID],ROW()-1))</f>
        <v>Not Requested</v>
      </c>
      <c r="B74">
        <f>Sampling!E74</f>
        <v>0</v>
      </c>
      <c r="G74">
        <f t="shared" si="2"/>
        <v>3552.5</v>
      </c>
      <c r="H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">
        <f t="shared" si="3"/>
        <v>3752.6</v>
      </c>
      <c r="K74" t="e">
        <f t="shared" si="4"/>
        <v>#DIV/0!</v>
      </c>
    </row>
    <row r="75" spans="1:11" hidden="1" x14ac:dyDescent="0.25">
      <c r="A75" t="str" cm="1">
        <f t="array" ref="A75">IF(ISBLANK(INDEX(SampleList[GC],ROW()-1)),"Not Requested",INDEX(SampleList[Experiment ID],ROW()-1))</f>
        <v>Not Requested</v>
      </c>
      <c r="B75">
        <f>Sampling!E75</f>
        <v>0</v>
      </c>
      <c r="G75">
        <f t="shared" si="2"/>
        <v>3552.5</v>
      </c>
      <c r="H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">
        <f t="shared" si="3"/>
        <v>3752.6</v>
      </c>
      <c r="K75" t="e">
        <f t="shared" si="4"/>
        <v>#DIV/0!</v>
      </c>
    </row>
    <row r="76" spans="1:11" hidden="1" x14ac:dyDescent="0.25">
      <c r="A76" t="str" cm="1">
        <f t="array" ref="A76">IF(ISBLANK(INDEX(SampleList[GC],ROW()-1)),"Not Requested",INDEX(SampleList[Experiment ID],ROW()-1))</f>
        <v>Not Requested</v>
      </c>
      <c r="B76">
        <f>Sampling!E76</f>
        <v>0</v>
      </c>
      <c r="G76">
        <f t="shared" si="2"/>
        <v>3552.5</v>
      </c>
      <c r="H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">
        <f t="shared" si="3"/>
        <v>3752.6</v>
      </c>
      <c r="K76" t="e">
        <f t="shared" si="4"/>
        <v>#DIV/0!</v>
      </c>
    </row>
    <row r="77" spans="1:11" hidden="1" x14ac:dyDescent="0.25">
      <c r="A77" t="str" cm="1">
        <f t="array" ref="A77">IF(ISBLANK(INDEX(SampleList[GC],ROW()-1)),"Not Requested",INDEX(SampleList[Experiment ID],ROW()-1))</f>
        <v>Not Requested</v>
      </c>
      <c r="B77">
        <f>Sampling!E77</f>
        <v>0</v>
      </c>
      <c r="G77">
        <f t="shared" si="2"/>
        <v>3552.5</v>
      </c>
      <c r="H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">
        <f t="shared" si="3"/>
        <v>3752.6</v>
      </c>
      <c r="K77" t="e">
        <f t="shared" si="4"/>
        <v>#DIV/0!</v>
      </c>
    </row>
    <row r="78" spans="1:11" hidden="1" x14ac:dyDescent="0.25">
      <c r="A78" t="str" cm="1">
        <f t="array" ref="A78">IF(ISBLANK(INDEX(SampleList[GC],ROW()-1)),"Not Requested",INDEX(SampleList[Experiment ID],ROW()-1))</f>
        <v>Not Requested</v>
      </c>
      <c r="B78">
        <f>Sampling!E78</f>
        <v>0</v>
      </c>
      <c r="G78">
        <f t="shared" si="2"/>
        <v>3552.5</v>
      </c>
      <c r="H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">
        <f t="shared" si="3"/>
        <v>3752.6</v>
      </c>
      <c r="K78" t="e">
        <f t="shared" si="4"/>
        <v>#DIV/0!</v>
      </c>
    </row>
    <row r="79" spans="1:11" hidden="1" x14ac:dyDescent="0.25">
      <c r="A79" t="str" cm="1">
        <f t="array" ref="A79">IF(ISBLANK(INDEX(SampleList[GC],ROW()-1)),"Not Requested",INDEX(SampleList[Experiment ID],ROW()-1))</f>
        <v>Not Requested</v>
      </c>
      <c r="B79">
        <f>Sampling!E79</f>
        <v>0</v>
      </c>
      <c r="G79">
        <f t="shared" si="2"/>
        <v>3552.5</v>
      </c>
      <c r="H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">
        <f t="shared" si="3"/>
        <v>3752.6</v>
      </c>
      <c r="K79" t="e">
        <f t="shared" si="4"/>
        <v>#DIV/0!</v>
      </c>
    </row>
    <row r="80" spans="1:11" hidden="1" x14ac:dyDescent="0.25">
      <c r="A80" t="str" cm="1">
        <f t="array" ref="A80">IF(ISBLANK(INDEX(SampleList[GC],ROW()-1)),"Not Requested",INDEX(SampleList[Experiment ID],ROW()-1))</f>
        <v>Not Requested</v>
      </c>
      <c r="B80">
        <f>Sampling!E80</f>
        <v>0</v>
      </c>
      <c r="G80">
        <f t="shared" si="2"/>
        <v>3552.5</v>
      </c>
      <c r="H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">
        <f t="shared" si="3"/>
        <v>3752.6</v>
      </c>
      <c r="K80" t="e">
        <f t="shared" si="4"/>
        <v>#DIV/0!</v>
      </c>
    </row>
    <row r="81" spans="1:11" hidden="1" x14ac:dyDescent="0.25">
      <c r="A81" t="str" cm="1">
        <f t="array" ref="A81">IF(ISBLANK(INDEX(SampleList[GC],ROW()-1)),"Not Requested",INDEX(SampleList[Experiment ID],ROW()-1))</f>
        <v>Not Requested</v>
      </c>
      <c r="B81">
        <f>Sampling!E81</f>
        <v>0</v>
      </c>
      <c r="G81">
        <f t="shared" si="2"/>
        <v>3552.5</v>
      </c>
      <c r="H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">
        <f t="shared" si="3"/>
        <v>3752.6</v>
      </c>
      <c r="K81" t="e">
        <f t="shared" si="4"/>
        <v>#DIV/0!</v>
      </c>
    </row>
    <row r="82" spans="1:11" hidden="1" x14ac:dyDescent="0.25">
      <c r="A82" t="str" cm="1">
        <f t="array" ref="A82">IF(ISBLANK(INDEX(SampleList[GC],ROW()-1)),"Not Requested",INDEX(SampleList[Experiment ID],ROW()-1))</f>
        <v>Not Requested</v>
      </c>
      <c r="B82">
        <f>Sampling!E82</f>
        <v>0</v>
      </c>
      <c r="G82">
        <f t="shared" si="2"/>
        <v>3552.5</v>
      </c>
      <c r="H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">
        <f t="shared" si="3"/>
        <v>3752.6</v>
      </c>
      <c r="K82" t="e">
        <f t="shared" si="4"/>
        <v>#DIV/0!</v>
      </c>
    </row>
    <row r="83" spans="1:11" hidden="1" x14ac:dyDescent="0.25">
      <c r="A83" t="str" cm="1">
        <f t="array" ref="A83">IF(ISBLANK(INDEX(SampleList[GC],ROW()-1)),"Not Requested",INDEX(SampleList[Experiment ID],ROW()-1))</f>
        <v>Not Requested</v>
      </c>
      <c r="B83">
        <f>Sampling!E83</f>
        <v>0</v>
      </c>
      <c r="G83">
        <f t="shared" si="2"/>
        <v>3552.5</v>
      </c>
      <c r="H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">
        <f t="shared" si="3"/>
        <v>3752.6</v>
      </c>
      <c r="K83" t="e">
        <f t="shared" si="4"/>
        <v>#DIV/0!</v>
      </c>
    </row>
    <row r="84" spans="1:11" hidden="1" x14ac:dyDescent="0.25">
      <c r="A84" t="str" cm="1">
        <f t="array" ref="A84">IF(ISBLANK(INDEX(SampleList[GC],ROW()-1)),"Not Requested",INDEX(SampleList[Experiment ID],ROW()-1))</f>
        <v>Not Requested</v>
      </c>
      <c r="B84">
        <f>Sampling!E84</f>
        <v>0</v>
      </c>
      <c r="G84">
        <f t="shared" si="2"/>
        <v>3552.5</v>
      </c>
      <c r="H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">
        <f t="shared" si="3"/>
        <v>3752.6</v>
      </c>
      <c r="K84" t="e">
        <f t="shared" si="4"/>
        <v>#DIV/0!</v>
      </c>
    </row>
    <row r="85" spans="1:11" hidden="1" x14ac:dyDescent="0.25">
      <c r="A85" t="str" cm="1">
        <f t="array" ref="A85">IF(ISBLANK(INDEX(SampleList[GC],ROW()-1)),"Not Requested",INDEX(SampleList[Experiment ID],ROW()-1))</f>
        <v>Not Requested</v>
      </c>
      <c r="B85">
        <f>Sampling!E85</f>
        <v>0</v>
      </c>
      <c r="G85">
        <f t="shared" si="2"/>
        <v>3552.5</v>
      </c>
      <c r="H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">
        <f t="shared" si="3"/>
        <v>3752.6</v>
      </c>
      <c r="K85" t="e">
        <f t="shared" si="4"/>
        <v>#DIV/0!</v>
      </c>
    </row>
    <row r="86" spans="1:11" hidden="1" x14ac:dyDescent="0.25">
      <c r="A86" t="str" cm="1">
        <f t="array" ref="A86">IF(ISBLANK(INDEX(SampleList[GC],ROW()-1)),"Not Requested",INDEX(SampleList[Experiment ID],ROW()-1))</f>
        <v>Not Requested</v>
      </c>
      <c r="B86">
        <f>Sampling!E86</f>
        <v>0</v>
      </c>
      <c r="G86">
        <f t="shared" si="2"/>
        <v>3552.5</v>
      </c>
      <c r="H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">
        <f t="shared" si="3"/>
        <v>3752.6</v>
      </c>
      <c r="K86" t="e">
        <f t="shared" si="4"/>
        <v>#DIV/0!</v>
      </c>
    </row>
    <row r="87" spans="1:11" hidden="1" x14ac:dyDescent="0.25">
      <c r="A87" t="str" cm="1">
        <f t="array" ref="A87">IF(ISBLANK(INDEX(SampleList[GC],ROW()-1)),"Not Requested",INDEX(SampleList[Experiment ID],ROW()-1))</f>
        <v>Not Requested</v>
      </c>
      <c r="B87">
        <f>Sampling!E87</f>
        <v>0</v>
      </c>
      <c r="G87">
        <f t="shared" si="2"/>
        <v>3552.5</v>
      </c>
      <c r="H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">
        <f t="shared" si="3"/>
        <v>3752.6</v>
      </c>
      <c r="K87" t="e">
        <f t="shared" si="4"/>
        <v>#DIV/0!</v>
      </c>
    </row>
    <row r="88" spans="1:11" hidden="1" x14ac:dyDescent="0.25">
      <c r="A88" t="str" cm="1">
        <f t="array" ref="A88">IF(ISBLANK(INDEX(SampleList[GC],ROW()-1)),"Not Requested",INDEX(SampleList[Experiment ID],ROW()-1))</f>
        <v>Not Requested</v>
      </c>
      <c r="B88">
        <f>Sampling!E88</f>
        <v>0</v>
      </c>
      <c r="G88">
        <f t="shared" si="2"/>
        <v>3552.5</v>
      </c>
      <c r="H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">
        <f t="shared" si="3"/>
        <v>3752.6</v>
      </c>
      <c r="K88" t="e">
        <f t="shared" si="4"/>
        <v>#DIV/0!</v>
      </c>
    </row>
    <row r="89" spans="1:11" hidden="1" x14ac:dyDescent="0.25">
      <c r="A89" t="str" cm="1">
        <f t="array" ref="A89">IF(ISBLANK(INDEX(SampleList[GC],ROW()-1)),"Not Requested",INDEX(SampleList[Experiment ID],ROW()-1))</f>
        <v>Not Requested</v>
      </c>
      <c r="B89">
        <f>Sampling!E89</f>
        <v>0</v>
      </c>
      <c r="G89">
        <f t="shared" si="2"/>
        <v>3552.5</v>
      </c>
      <c r="H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">
        <f t="shared" si="3"/>
        <v>3752.6</v>
      </c>
      <c r="K89" t="e">
        <f t="shared" si="4"/>
        <v>#DIV/0!</v>
      </c>
    </row>
    <row r="90" spans="1:11" hidden="1" x14ac:dyDescent="0.25">
      <c r="A90" t="str" cm="1">
        <f t="array" ref="A90">IF(ISBLANK(INDEX(SampleList[GC],ROW()-1)),"Not Requested",INDEX(SampleList[Experiment ID],ROW()-1))</f>
        <v>Not Requested</v>
      </c>
      <c r="B90">
        <f>Sampling!E90</f>
        <v>0</v>
      </c>
      <c r="G90">
        <f t="shared" si="2"/>
        <v>3552.5</v>
      </c>
      <c r="H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">
        <f t="shared" si="3"/>
        <v>3752.6</v>
      </c>
      <c r="K90" t="e">
        <f t="shared" si="4"/>
        <v>#DIV/0!</v>
      </c>
    </row>
    <row r="91" spans="1:11" hidden="1" x14ac:dyDescent="0.25">
      <c r="A91" t="str" cm="1">
        <f t="array" ref="A91">IF(ISBLANK(INDEX(SampleList[GC],ROW()-1)),"Not Requested",INDEX(SampleList[Experiment ID],ROW()-1))</f>
        <v>Not Requested</v>
      </c>
      <c r="B91">
        <f>Sampling!E91</f>
        <v>0</v>
      </c>
      <c r="G91">
        <f t="shared" si="2"/>
        <v>3552.5</v>
      </c>
      <c r="H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">
        <f t="shared" si="3"/>
        <v>3752.6</v>
      </c>
      <c r="K91" t="e">
        <f t="shared" si="4"/>
        <v>#DIV/0!</v>
      </c>
    </row>
    <row r="92" spans="1:11" hidden="1" x14ac:dyDescent="0.25">
      <c r="A92" t="str" cm="1">
        <f t="array" ref="A92">IF(ISBLANK(INDEX(SampleList[GC],ROW()-1)),"Not Requested",INDEX(SampleList[Experiment ID],ROW()-1))</f>
        <v>Not Requested</v>
      </c>
      <c r="B92">
        <f>Sampling!E92</f>
        <v>0</v>
      </c>
      <c r="G92">
        <f t="shared" si="2"/>
        <v>3552.5</v>
      </c>
      <c r="H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">
        <f t="shared" si="3"/>
        <v>3752.6</v>
      </c>
      <c r="K92" t="e">
        <f t="shared" si="4"/>
        <v>#DIV/0!</v>
      </c>
    </row>
    <row r="93" spans="1:11" hidden="1" x14ac:dyDescent="0.25">
      <c r="A93" t="str" cm="1">
        <f t="array" ref="A93">IF(ISBLANK(INDEX(SampleList[GC],ROW()-1)),"Not Requested",INDEX(SampleList[Experiment ID],ROW()-1))</f>
        <v>Not Requested</v>
      </c>
      <c r="B93">
        <f>Sampling!E93</f>
        <v>0</v>
      </c>
      <c r="G93">
        <f t="shared" si="2"/>
        <v>3552.5</v>
      </c>
      <c r="H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">
        <f t="shared" si="3"/>
        <v>3752.6</v>
      </c>
      <c r="K93" t="e">
        <f t="shared" si="4"/>
        <v>#DIV/0!</v>
      </c>
    </row>
    <row r="94" spans="1:11" hidden="1" x14ac:dyDescent="0.25">
      <c r="A94" t="str" cm="1">
        <f t="array" ref="A94">IF(ISBLANK(INDEX(SampleList[GC],ROW()-1)),"Not Requested",INDEX(SampleList[Experiment ID],ROW()-1))</f>
        <v>Not Requested</v>
      </c>
      <c r="B94">
        <f>Sampling!E94</f>
        <v>0</v>
      </c>
      <c r="G94">
        <f t="shared" si="2"/>
        <v>3552.5</v>
      </c>
      <c r="H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">
        <f t="shared" si="3"/>
        <v>3752.6</v>
      </c>
      <c r="K94" t="e">
        <f t="shared" si="4"/>
        <v>#DIV/0!</v>
      </c>
    </row>
    <row r="95" spans="1:11" hidden="1" x14ac:dyDescent="0.25">
      <c r="A95" t="str" cm="1">
        <f t="array" ref="A95">IF(ISBLANK(INDEX(SampleList[GC],ROW()-1)),"Not Requested",INDEX(SampleList[Experiment ID],ROW()-1))</f>
        <v>Not Requested</v>
      </c>
      <c r="B95">
        <f>Sampling!E95</f>
        <v>0</v>
      </c>
      <c r="G95">
        <f t="shared" si="2"/>
        <v>3552.5</v>
      </c>
      <c r="H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">
        <f t="shared" si="3"/>
        <v>3752.6</v>
      </c>
      <c r="K95" t="e">
        <f t="shared" si="4"/>
        <v>#DIV/0!</v>
      </c>
    </row>
    <row r="96" spans="1:11" hidden="1" x14ac:dyDescent="0.25">
      <c r="A96" t="str" cm="1">
        <f t="array" ref="A96">IF(ISBLANK(INDEX(SampleList[GC],ROW()-1)),"Not Requested",INDEX(SampleList[Experiment ID],ROW()-1))</f>
        <v>Not Requested</v>
      </c>
      <c r="B96">
        <f>Sampling!E96</f>
        <v>0</v>
      </c>
      <c r="G96">
        <f t="shared" si="2"/>
        <v>3552.5</v>
      </c>
      <c r="H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">
        <f t="shared" si="3"/>
        <v>3752.6</v>
      </c>
      <c r="K96" t="e">
        <f t="shared" si="4"/>
        <v>#DIV/0!</v>
      </c>
    </row>
    <row r="97" spans="1:11" hidden="1" x14ac:dyDescent="0.25">
      <c r="A97" t="str" cm="1">
        <f t="array" ref="A97">IF(ISBLANK(INDEX(SampleList[GC],ROW()-1)),"Not Requested",INDEX(SampleList[Experiment ID],ROW()-1))</f>
        <v>Not Requested</v>
      </c>
      <c r="B97">
        <f>Sampling!E97</f>
        <v>0</v>
      </c>
      <c r="G97">
        <f t="shared" ref="G97:G160" si="5">24.5*145</f>
        <v>3552.5</v>
      </c>
      <c r="H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">
        <f t="shared" si="3"/>
        <v>3752.6</v>
      </c>
      <c r="K97" t="e">
        <f t="shared" si="4"/>
        <v>#DIV/0!</v>
      </c>
    </row>
    <row r="98" spans="1:11" hidden="1" x14ac:dyDescent="0.25">
      <c r="A98" t="str" cm="1">
        <f t="array" ref="A98">IF(ISBLANK(INDEX(SampleList[GC],ROW()-1)),"Not Requested",INDEX(SampleList[Experiment ID],ROW()-1))</f>
        <v>Not Requested</v>
      </c>
      <c r="B98">
        <f>Sampling!E98</f>
        <v>0</v>
      </c>
      <c r="G98">
        <f t="shared" si="5"/>
        <v>3552.5</v>
      </c>
      <c r="H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">
        <f t="shared" si="3"/>
        <v>3752.6</v>
      </c>
      <c r="K98" t="e">
        <f t="shared" si="4"/>
        <v>#DIV/0!</v>
      </c>
    </row>
    <row r="99" spans="1:11" hidden="1" x14ac:dyDescent="0.25">
      <c r="A99" t="str" cm="1">
        <f t="array" ref="A99">IF(ISBLANK(INDEX(SampleList[GC],ROW()-1)),"Not Requested",INDEX(SampleList[Experiment ID],ROW()-1))</f>
        <v>Not Requested</v>
      </c>
      <c r="B99">
        <f>Sampling!E99</f>
        <v>0</v>
      </c>
      <c r="G99">
        <f t="shared" si="5"/>
        <v>3552.5</v>
      </c>
      <c r="H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">
        <f t="shared" si="3"/>
        <v>3752.6</v>
      </c>
      <c r="K99" t="e">
        <f t="shared" si="4"/>
        <v>#DIV/0!</v>
      </c>
    </row>
    <row r="100" spans="1:11" hidden="1" x14ac:dyDescent="0.25">
      <c r="A100" t="str" cm="1">
        <f t="array" ref="A100">IF(ISBLANK(INDEX(SampleList[GC],ROW()-1)),"Not Requested",INDEX(SampleList[Experiment ID],ROW()-1))</f>
        <v>Not Requested</v>
      </c>
      <c r="B100">
        <f>Sampling!E100</f>
        <v>0</v>
      </c>
      <c r="G100">
        <f t="shared" si="5"/>
        <v>3552.5</v>
      </c>
      <c r="H1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0">
        <f t="shared" si="3"/>
        <v>3752.6</v>
      </c>
      <c r="K100" t="e">
        <f t="shared" si="4"/>
        <v>#DIV/0!</v>
      </c>
    </row>
    <row r="101" spans="1:11" hidden="1" x14ac:dyDescent="0.25">
      <c r="A101" t="str" cm="1">
        <f t="array" ref="A101">IF(ISBLANK(INDEX(SampleList[GC],ROW()-1)),"Not Requested",INDEX(SampleList[Experiment ID],ROW()-1))</f>
        <v>Not Requested</v>
      </c>
      <c r="B101">
        <f>Sampling!E101</f>
        <v>0</v>
      </c>
      <c r="G101">
        <f t="shared" si="5"/>
        <v>3552.5</v>
      </c>
      <c r="H1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1">
        <f t="shared" si="3"/>
        <v>3752.6</v>
      </c>
      <c r="K101" t="e">
        <f t="shared" si="4"/>
        <v>#DIV/0!</v>
      </c>
    </row>
    <row r="102" spans="1:11" hidden="1" x14ac:dyDescent="0.25">
      <c r="A102" t="str" cm="1">
        <f t="array" ref="A102">IF(ISBLANK(INDEX(SampleList[GC],ROW()-1)),"Not Requested",INDEX(SampleList[Experiment ID],ROW()-1))</f>
        <v>Not Requested</v>
      </c>
      <c r="B102">
        <f>Sampling!E102</f>
        <v>0</v>
      </c>
      <c r="G102">
        <f t="shared" si="5"/>
        <v>3552.5</v>
      </c>
      <c r="H1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2">
        <f t="shared" si="3"/>
        <v>3752.6</v>
      </c>
      <c r="K102" t="e">
        <f t="shared" si="4"/>
        <v>#DIV/0!</v>
      </c>
    </row>
    <row r="103" spans="1:11" hidden="1" x14ac:dyDescent="0.25">
      <c r="A103" t="str" cm="1">
        <f t="array" ref="A103">IF(ISBLANK(INDEX(SampleList[GC],ROW()-1)),"Not Requested",INDEX(SampleList[Experiment ID],ROW()-1))</f>
        <v>Not Requested</v>
      </c>
      <c r="B103">
        <f>Sampling!E103</f>
        <v>0</v>
      </c>
      <c r="G103">
        <f t="shared" si="5"/>
        <v>3552.5</v>
      </c>
      <c r="H1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3">
        <f t="shared" si="3"/>
        <v>3752.6</v>
      </c>
      <c r="K103" t="e">
        <f t="shared" si="4"/>
        <v>#DIV/0!</v>
      </c>
    </row>
    <row r="104" spans="1:11" hidden="1" x14ac:dyDescent="0.25">
      <c r="A104" t="str" cm="1">
        <f t="array" ref="A104">IF(ISBLANK(INDEX(SampleList[GC],ROW()-1)),"Not Requested",INDEX(SampleList[Experiment ID],ROW()-1))</f>
        <v>Not Requested</v>
      </c>
      <c r="B104">
        <f>Sampling!E104</f>
        <v>0</v>
      </c>
      <c r="G104">
        <f t="shared" si="5"/>
        <v>3552.5</v>
      </c>
      <c r="H1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4">
        <f t="shared" si="3"/>
        <v>3752.6</v>
      </c>
      <c r="K104" t="e">
        <f t="shared" si="4"/>
        <v>#DIV/0!</v>
      </c>
    </row>
    <row r="105" spans="1:11" hidden="1" x14ac:dyDescent="0.25">
      <c r="A105" t="str" cm="1">
        <f t="array" ref="A105">IF(ISBLANK(INDEX(SampleList[GC],ROW()-1)),"Not Requested",INDEX(SampleList[Experiment ID],ROW()-1))</f>
        <v>Not Requested</v>
      </c>
      <c r="B105">
        <f>Sampling!E105</f>
        <v>0</v>
      </c>
      <c r="G105">
        <f t="shared" si="5"/>
        <v>3552.5</v>
      </c>
      <c r="H1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5">
        <f t="shared" si="3"/>
        <v>3752.6</v>
      </c>
      <c r="K105" t="e">
        <f t="shared" si="4"/>
        <v>#DIV/0!</v>
      </c>
    </row>
    <row r="106" spans="1:11" hidden="1" x14ac:dyDescent="0.25">
      <c r="A106" t="str" cm="1">
        <f t="array" ref="A106">IF(ISBLANK(INDEX(SampleList[GC],ROW()-1)),"Not Requested",INDEX(SampleList[Experiment ID],ROW()-1))</f>
        <v>Not Requested</v>
      </c>
      <c r="B106">
        <f>Sampling!E106</f>
        <v>0</v>
      </c>
      <c r="G106">
        <f t="shared" si="5"/>
        <v>3552.5</v>
      </c>
      <c r="H1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6">
        <f t="shared" si="3"/>
        <v>3752.6</v>
      </c>
      <c r="K106" t="e">
        <f t="shared" si="4"/>
        <v>#DIV/0!</v>
      </c>
    </row>
    <row r="107" spans="1:11" hidden="1" x14ac:dyDescent="0.25">
      <c r="A107" t="str" cm="1">
        <f t="array" ref="A107">IF(ISBLANK(INDEX(SampleList[GC],ROW()-1)),"Not Requested",INDEX(SampleList[Experiment ID],ROW()-1))</f>
        <v>Not Requested</v>
      </c>
      <c r="B107">
        <f>Sampling!E107</f>
        <v>0</v>
      </c>
      <c r="G107">
        <f t="shared" si="5"/>
        <v>3552.5</v>
      </c>
      <c r="H1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7">
        <f t="shared" si="3"/>
        <v>3752.6</v>
      </c>
      <c r="K107" t="e">
        <f t="shared" si="4"/>
        <v>#DIV/0!</v>
      </c>
    </row>
    <row r="108" spans="1:11" hidden="1" x14ac:dyDescent="0.25">
      <c r="A108" t="str" cm="1">
        <f t="array" ref="A108">IF(ISBLANK(INDEX(SampleList[GC],ROW()-1)),"Not Requested",INDEX(SampleList[Experiment ID],ROW()-1))</f>
        <v>Not Requested</v>
      </c>
      <c r="B108">
        <f>Sampling!E108</f>
        <v>0</v>
      </c>
      <c r="G108">
        <f t="shared" si="5"/>
        <v>3552.5</v>
      </c>
      <c r="H1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8">
        <f t="shared" si="3"/>
        <v>3752.6</v>
      </c>
      <c r="K108" t="e">
        <f t="shared" si="4"/>
        <v>#DIV/0!</v>
      </c>
    </row>
    <row r="109" spans="1:11" hidden="1" x14ac:dyDescent="0.25">
      <c r="A109" t="str" cm="1">
        <f t="array" ref="A109">IF(ISBLANK(INDEX(SampleList[GC],ROW()-1)),"Not Requested",INDEX(SampleList[Experiment ID],ROW()-1))</f>
        <v>Not Requested</v>
      </c>
      <c r="B109">
        <f>Sampling!E109</f>
        <v>0</v>
      </c>
      <c r="G109">
        <f t="shared" si="5"/>
        <v>3552.5</v>
      </c>
      <c r="H1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09">
        <f t="shared" si="3"/>
        <v>3752.6</v>
      </c>
      <c r="K109" t="e">
        <f t="shared" si="4"/>
        <v>#DIV/0!</v>
      </c>
    </row>
    <row r="110" spans="1:11" hidden="1" x14ac:dyDescent="0.25">
      <c r="A110" t="str" cm="1">
        <f t="array" ref="A110">IF(ISBLANK(INDEX(SampleList[GC],ROW()-1)),"Not Requested",INDEX(SampleList[Experiment ID],ROW()-1))</f>
        <v>Not Requested</v>
      </c>
      <c r="B110">
        <f>Sampling!E110</f>
        <v>0</v>
      </c>
      <c r="G110">
        <f t="shared" si="5"/>
        <v>3552.5</v>
      </c>
      <c r="H1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0">
        <f t="shared" si="3"/>
        <v>3752.6</v>
      </c>
      <c r="K110" t="e">
        <f t="shared" si="4"/>
        <v>#DIV/0!</v>
      </c>
    </row>
    <row r="111" spans="1:11" hidden="1" x14ac:dyDescent="0.25">
      <c r="A111" t="str" cm="1">
        <f t="array" ref="A111">IF(ISBLANK(INDEX(SampleList[GC],ROW()-1)),"Not Requested",INDEX(SampleList[Experiment ID],ROW()-1))</f>
        <v>Not Requested</v>
      </c>
      <c r="B111">
        <f>Sampling!E111</f>
        <v>0</v>
      </c>
      <c r="G111">
        <f t="shared" si="5"/>
        <v>3552.5</v>
      </c>
      <c r="H1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1">
        <f t="shared" si="3"/>
        <v>3752.6</v>
      </c>
      <c r="K111" t="e">
        <f t="shared" si="4"/>
        <v>#DIV/0!</v>
      </c>
    </row>
    <row r="112" spans="1:11" hidden="1" x14ac:dyDescent="0.25">
      <c r="A112" t="str" cm="1">
        <f t="array" ref="A112">IF(ISBLANK(INDEX(SampleList[GC],ROW()-1)),"Not Requested",INDEX(SampleList[Experiment ID],ROW()-1))</f>
        <v>Not Requested</v>
      </c>
      <c r="B112">
        <f>Sampling!E112</f>
        <v>0</v>
      </c>
      <c r="G112">
        <f t="shared" si="5"/>
        <v>3552.5</v>
      </c>
      <c r="H1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2">
        <f t="shared" si="3"/>
        <v>3752.6</v>
      </c>
      <c r="K112" t="e">
        <f t="shared" si="4"/>
        <v>#DIV/0!</v>
      </c>
    </row>
    <row r="113" spans="1:11" hidden="1" x14ac:dyDescent="0.25">
      <c r="A113" t="str" cm="1">
        <f t="array" ref="A113">IF(ISBLANK(INDEX(SampleList[GC],ROW()-1)),"Not Requested",INDEX(SampleList[Experiment ID],ROW()-1))</f>
        <v>Not Requested</v>
      </c>
      <c r="B113">
        <f>Sampling!E113</f>
        <v>0</v>
      </c>
      <c r="G113">
        <f t="shared" si="5"/>
        <v>3552.5</v>
      </c>
      <c r="H1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3">
        <f t="shared" si="3"/>
        <v>3752.6</v>
      </c>
      <c r="K113" t="e">
        <f t="shared" si="4"/>
        <v>#DIV/0!</v>
      </c>
    </row>
    <row r="114" spans="1:11" hidden="1" x14ac:dyDescent="0.25">
      <c r="A114" t="str" cm="1">
        <f t="array" ref="A114">IF(ISBLANK(INDEX(SampleList[GC],ROW()-1)),"Not Requested",INDEX(SampleList[Experiment ID],ROW()-1))</f>
        <v>Not Requested</v>
      </c>
      <c r="B114">
        <f>Sampling!E114</f>
        <v>0</v>
      </c>
      <c r="G114">
        <f t="shared" si="5"/>
        <v>3552.5</v>
      </c>
      <c r="H1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4">
        <f t="shared" si="3"/>
        <v>3752.6</v>
      </c>
      <c r="K114" t="e">
        <f t="shared" si="4"/>
        <v>#DIV/0!</v>
      </c>
    </row>
    <row r="115" spans="1:11" hidden="1" x14ac:dyDescent="0.25">
      <c r="A115" t="str" cm="1">
        <f t="array" ref="A115">IF(ISBLANK(INDEX(SampleList[GC],ROW()-1)),"Not Requested",INDEX(SampleList[Experiment ID],ROW()-1))</f>
        <v>Not Requested</v>
      </c>
      <c r="B115">
        <f>Sampling!E115</f>
        <v>0</v>
      </c>
      <c r="G115">
        <f t="shared" si="5"/>
        <v>3552.5</v>
      </c>
      <c r="H1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5">
        <f t="shared" si="3"/>
        <v>3752.6</v>
      </c>
      <c r="K115" t="e">
        <f t="shared" si="4"/>
        <v>#DIV/0!</v>
      </c>
    </row>
    <row r="116" spans="1:11" hidden="1" x14ac:dyDescent="0.25">
      <c r="A116" t="str" cm="1">
        <f t="array" ref="A116">IF(ISBLANK(INDEX(SampleList[GC],ROW()-1)),"Not Requested",INDEX(SampleList[Experiment ID],ROW()-1))</f>
        <v>Not Requested</v>
      </c>
      <c r="B116">
        <f>Sampling!E116</f>
        <v>0</v>
      </c>
      <c r="G116">
        <f t="shared" si="5"/>
        <v>3552.5</v>
      </c>
      <c r="H1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6">
        <f t="shared" si="3"/>
        <v>3752.6</v>
      </c>
      <c r="K116" t="e">
        <f t="shared" si="4"/>
        <v>#DIV/0!</v>
      </c>
    </row>
    <row r="117" spans="1:11" hidden="1" x14ac:dyDescent="0.25">
      <c r="A117" t="str" cm="1">
        <f t="array" ref="A117">IF(ISBLANK(INDEX(SampleList[GC],ROW()-1)),"Not Requested",INDEX(SampleList[Experiment ID],ROW()-1))</f>
        <v>Not Requested</v>
      </c>
      <c r="B117">
        <f>Sampling!E117</f>
        <v>0</v>
      </c>
      <c r="G117">
        <f t="shared" si="5"/>
        <v>3552.5</v>
      </c>
      <c r="H1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7">
        <f t="shared" si="3"/>
        <v>3752.6</v>
      </c>
      <c r="K117" t="e">
        <f t="shared" si="4"/>
        <v>#DIV/0!</v>
      </c>
    </row>
    <row r="118" spans="1:11" hidden="1" x14ac:dyDescent="0.25">
      <c r="A118" t="str" cm="1">
        <f t="array" ref="A118">IF(ISBLANK(INDEX(SampleList[GC],ROW()-1)),"Not Requested",INDEX(SampleList[Experiment ID],ROW()-1))</f>
        <v>Not Requested</v>
      </c>
      <c r="B118">
        <f>Sampling!E118</f>
        <v>0</v>
      </c>
      <c r="G118">
        <f t="shared" si="5"/>
        <v>3552.5</v>
      </c>
      <c r="H1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8">
        <f t="shared" si="3"/>
        <v>3752.6</v>
      </c>
      <c r="K118" t="e">
        <f t="shared" si="4"/>
        <v>#DIV/0!</v>
      </c>
    </row>
    <row r="119" spans="1:11" hidden="1" x14ac:dyDescent="0.25">
      <c r="A119" t="str" cm="1">
        <f t="array" ref="A119">IF(ISBLANK(INDEX(SampleList[GC],ROW()-1)),"Not Requested",INDEX(SampleList[Experiment ID],ROW()-1))</f>
        <v>Not Requested</v>
      </c>
      <c r="B119">
        <f>Sampling!E119</f>
        <v>0</v>
      </c>
      <c r="G119">
        <f t="shared" si="5"/>
        <v>3552.5</v>
      </c>
      <c r="H1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19">
        <f t="shared" si="3"/>
        <v>3752.6</v>
      </c>
      <c r="K119" t="e">
        <f t="shared" si="4"/>
        <v>#DIV/0!</v>
      </c>
    </row>
    <row r="120" spans="1:11" hidden="1" x14ac:dyDescent="0.25">
      <c r="A120" t="str" cm="1">
        <f t="array" ref="A120">IF(ISBLANK(INDEX(SampleList[GC],ROW()-1)),"Not Requested",INDEX(SampleList[Experiment ID],ROW()-1))</f>
        <v>Not Requested</v>
      </c>
      <c r="B120">
        <f>Sampling!E120</f>
        <v>0</v>
      </c>
      <c r="G120">
        <f t="shared" si="5"/>
        <v>3552.5</v>
      </c>
      <c r="H1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0">
        <f t="shared" si="3"/>
        <v>3752.6</v>
      </c>
      <c r="K120" t="e">
        <f t="shared" si="4"/>
        <v>#DIV/0!</v>
      </c>
    </row>
    <row r="121" spans="1:11" hidden="1" x14ac:dyDescent="0.25">
      <c r="A121" t="str" cm="1">
        <f t="array" ref="A121">IF(ISBLANK(INDEX(SampleList[GC],ROW()-1)),"Not Requested",INDEX(SampleList[Experiment ID],ROW()-1))</f>
        <v>Not Requested</v>
      </c>
      <c r="B121">
        <f>Sampling!E121</f>
        <v>0</v>
      </c>
      <c r="G121">
        <f t="shared" si="5"/>
        <v>3552.5</v>
      </c>
      <c r="H1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1">
        <f t="shared" si="3"/>
        <v>3752.6</v>
      </c>
      <c r="K121" t="e">
        <f t="shared" si="4"/>
        <v>#DIV/0!</v>
      </c>
    </row>
    <row r="122" spans="1:11" hidden="1" x14ac:dyDescent="0.25">
      <c r="A122" t="str" cm="1">
        <f t="array" ref="A122">IF(ISBLANK(INDEX(SampleList[GC],ROW()-1)),"Not Requested",INDEX(SampleList[Experiment ID],ROW()-1))</f>
        <v>Not Requested</v>
      </c>
      <c r="B122">
        <f>Sampling!E122</f>
        <v>0</v>
      </c>
      <c r="G122">
        <f t="shared" si="5"/>
        <v>3552.5</v>
      </c>
      <c r="H1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2">
        <f t="shared" si="3"/>
        <v>3752.6</v>
      </c>
      <c r="K122" t="e">
        <f t="shared" si="4"/>
        <v>#DIV/0!</v>
      </c>
    </row>
    <row r="123" spans="1:11" hidden="1" x14ac:dyDescent="0.25">
      <c r="A123" t="str" cm="1">
        <f t="array" ref="A123">IF(ISBLANK(INDEX(SampleList[GC],ROW()-1)),"Not Requested",INDEX(SampleList[Experiment ID],ROW()-1))</f>
        <v>Not Requested</v>
      </c>
      <c r="B123">
        <f>Sampling!E123</f>
        <v>0</v>
      </c>
      <c r="G123">
        <f t="shared" si="5"/>
        <v>3552.5</v>
      </c>
      <c r="H1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3">
        <f t="shared" si="3"/>
        <v>3752.6</v>
      </c>
      <c r="K123" t="e">
        <f t="shared" si="4"/>
        <v>#DIV/0!</v>
      </c>
    </row>
    <row r="124" spans="1:11" hidden="1" x14ac:dyDescent="0.25">
      <c r="A124" t="str" cm="1">
        <f t="array" ref="A124">IF(ISBLANK(INDEX(SampleList[GC],ROW()-1)),"Not Requested",INDEX(SampleList[Experiment ID],ROW()-1))</f>
        <v>Not Requested</v>
      </c>
      <c r="B124">
        <f>Sampling!E124</f>
        <v>0</v>
      </c>
      <c r="G124">
        <f t="shared" si="5"/>
        <v>3552.5</v>
      </c>
      <c r="H1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4">
        <f t="shared" si="3"/>
        <v>3752.6</v>
      </c>
      <c r="K124" t="e">
        <f t="shared" si="4"/>
        <v>#DIV/0!</v>
      </c>
    </row>
    <row r="125" spans="1:11" hidden="1" x14ac:dyDescent="0.25">
      <c r="A125" t="str" cm="1">
        <f t="array" ref="A125">IF(ISBLANK(INDEX(SampleList[GC],ROW()-1)),"Not Requested",INDEX(SampleList[Experiment ID],ROW()-1))</f>
        <v>Not Requested</v>
      </c>
      <c r="B125">
        <f>Sampling!E125</f>
        <v>0</v>
      </c>
      <c r="G125">
        <f t="shared" si="5"/>
        <v>3552.5</v>
      </c>
      <c r="H1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5">
        <f t="shared" si="3"/>
        <v>3752.6</v>
      </c>
      <c r="K125" t="e">
        <f t="shared" si="4"/>
        <v>#DIV/0!</v>
      </c>
    </row>
    <row r="126" spans="1:11" hidden="1" x14ac:dyDescent="0.25">
      <c r="A126" t="str" cm="1">
        <f t="array" ref="A126">IF(ISBLANK(INDEX(SampleList[GC],ROW()-1)),"Not Requested",INDEX(SampleList[Experiment ID],ROW()-1))</f>
        <v>Not Requested</v>
      </c>
      <c r="B126">
        <f>Sampling!E126</f>
        <v>0</v>
      </c>
      <c r="G126">
        <f t="shared" si="5"/>
        <v>3552.5</v>
      </c>
      <c r="H1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6">
        <f t="shared" si="3"/>
        <v>3752.6</v>
      </c>
      <c r="K126" t="e">
        <f t="shared" si="4"/>
        <v>#DIV/0!</v>
      </c>
    </row>
    <row r="127" spans="1:11" hidden="1" x14ac:dyDescent="0.25">
      <c r="A127" t="str" cm="1">
        <f t="array" ref="A127">IF(ISBLANK(INDEX(SampleList[GC],ROW()-1)),"Not Requested",INDEX(SampleList[Experiment ID],ROW()-1))</f>
        <v>Not Requested</v>
      </c>
      <c r="B127">
        <f>Sampling!E127</f>
        <v>0</v>
      </c>
      <c r="G127">
        <f t="shared" si="5"/>
        <v>3552.5</v>
      </c>
      <c r="H1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7">
        <f t="shared" si="3"/>
        <v>3752.6</v>
      </c>
      <c r="K127" t="e">
        <f t="shared" si="4"/>
        <v>#DIV/0!</v>
      </c>
    </row>
    <row r="128" spans="1:11" hidden="1" x14ac:dyDescent="0.25">
      <c r="A128" t="str" cm="1">
        <f t="array" ref="A128">IF(ISBLANK(INDEX(SampleList[GC],ROW()-1)),"Not Requested",INDEX(SampleList[Experiment ID],ROW()-1))</f>
        <v>Not Requested</v>
      </c>
      <c r="B128">
        <f>Sampling!E128</f>
        <v>0</v>
      </c>
      <c r="G128">
        <f t="shared" si="5"/>
        <v>3552.5</v>
      </c>
      <c r="H1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8">
        <f t="shared" si="3"/>
        <v>3752.6</v>
      </c>
      <c r="K128" t="e">
        <f t="shared" si="4"/>
        <v>#DIV/0!</v>
      </c>
    </row>
    <row r="129" spans="1:11" hidden="1" x14ac:dyDescent="0.25">
      <c r="A129" t="str" cm="1">
        <f t="array" ref="A129">IF(ISBLANK(INDEX(SampleList[GC],ROW()-1)),"Not Requested",INDEX(SampleList[Experiment ID],ROW()-1))</f>
        <v>Not Requested</v>
      </c>
      <c r="B129">
        <f>Sampling!E129</f>
        <v>0</v>
      </c>
      <c r="G129">
        <f t="shared" si="5"/>
        <v>3552.5</v>
      </c>
      <c r="H1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29">
        <f t="shared" si="3"/>
        <v>3752.6</v>
      </c>
      <c r="K129" t="e">
        <f t="shared" si="4"/>
        <v>#DIV/0!</v>
      </c>
    </row>
    <row r="130" spans="1:11" hidden="1" x14ac:dyDescent="0.25">
      <c r="A130" t="str" cm="1">
        <f t="array" ref="A130">IF(ISBLANK(INDEX(SampleList[GC],ROW()-1)),"Not Requested",INDEX(SampleList[Experiment ID],ROW()-1))</f>
        <v>Not Requested</v>
      </c>
      <c r="B130">
        <f>Sampling!E130</f>
        <v>0</v>
      </c>
      <c r="G130">
        <f t="shared" si="5"/>
        <v>3552.5</v>
      </c>
      <c r="H1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0">
        <f t="shared" ref="I130:I193" si="6">25.88*145</f>
        <v>3752.6</v>
      </c>
      <c r="K130" t="e">
        <f t="shared" ref="K130:K193" si="7">(500/D130)*J130</f>
        <v>#DIV/0!</v>
      </c>
    </row>
    <row r="131" spans="1:11" hidden="1" x14ac:dyDescent="0.25">
      <c r="A131" t="str" cm="1">
        <f t="array" ref="A131">IF(ISBLANK(INDEX(SampleList[GC],ROW()-1)),"Not Requested",INDEX(SampleList[Experiment ID],ROW()-1))</f>
        <v>Not Requested</v>
      </c>
      <c r="B131">
        <f>Sampling!E131</f>
        <v>0</v>
      </c>
      <c r="G131">
        <f t="shared" si="5"/>
        <v>3552.5</v>
      </c>
      <c r="H1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1">
        <f t="shared" si="6"/>
        <v>3752.6</v>
      </c>
      <c r="K131" t="e">
        <f t="shared" si="7"/>
        <v>#DIV/0!</v>
      </c>
    </row>
    <row r="132" spans="1:11" hidden="1" x14ac:dyDescent="0.25">
      <c r="A132" t="str" cm="1">
        <f t="array" ref="A132">IF(ISBLANK(INDEX(SampleList[GC],ROW()-1)),"Not Requested",INDEX(SampleList[Experiment ID],ROW()-1))</f>
        <v>Not Requested</v>
      </c>
      <c r="B132">
        <f>Sampling!E132</f>
        <v>0</v>
      </c>
      <c r="G132">
        <f t="shared" si="5"/>
        <v>3552.5</v>
      </c>
      <c r="H1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2">
        <f t="shared" si="6"/>
        <v>3752.6</v>
      </c>
      <c r="K132" t="e">
        <f t="shared" si="7"/>
        <v>#DIV/0!</v>
      </c>
    </row>
    <row r="133" spans="1:11" hidden="1" x14ac:dyDescent="0.25">
      <c r="A133" t="str" cm="1">
        <f t="array" ref="A133">IF(ISBLANK(INDEX(SampleList[GC],ROW()-1)),"Not Requested",INDEX(SampleList[Experiment ID],ROW()-1))</f>
        <v>Not Requested</v>
      </c>
      <c r="B133">
        <f>Sampling!E133</f>
        <v>0</v>
      </c>
      <c r="G133">
        <f t="shared" si="5"/>
        <v>3552.5</v>
      </c>
      <c r="H1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3">
        <f t="shared" si="6"/>
        <v>3752.6</v>
      </c>
      <c r="K133" t="e">
        <f t="shared" si="7"/>
        <v>#DIV/0!</v>
      </c>
    </row>
    <row r="134" spans="1:11" hidden="1" x14ac:dyDescent="0.25">
      <c r="A134" t="str" cm="1">
        <f t="array" ref="A134">IF(ISBLANK(INDEX(SampleList[GC],ROW()-1)),"Not Requested",INDEX(SampleList[Experiment ID],ROW()-1))</f>
        <v>Not Requested</v>
      </c>
      <c r="B134">
        <f>Sampling!E134</f>
        <v>0</v>
      </c>
      <c r="G134">
        <f t="shared" si="5"/>
        <v>3552.5</v>
      </c>
      <c r="H1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4">
        <f t="shared" si="6"/>
        <v>3752.6</v>
      </c>
      <c r="K134" t="e">
        <f t="shared" si="7"/>
        <v>#DIV/0!</v>
      </c>
    </row>
    <row r="135" spans="1:11" hidden="1" x14ac:dyDescent="0.25">
      <c r="A135" t="str" cm="1">
        <f t="array" ref="A135">IF(ISBLANK(INDEX(SampleList[GC],ROW()-1)),"Not Requested",INDEX(SampleList[Experiment ID],ROW()-1))</f>
        <v>Not Requested</v>
      </c>
      <c r="B135">
        <f>Sampling!E135</f>
        <v>0</v>
      </c>
      <c r="G135">
        <f t="shared" si="5"/>
        <v>3552.5</v>
      </c>
      <c r="H1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5">
        <f t="shared" si="6"/>
        <v>3752.6</v>
      </c>
      <c r="K135" t="e">
        <f t="shared" si="7"/>
        <v>#DIV/0!</v>
      </c>
    </row>
    <row r="136" spans="1:11" hidden="1" x14ac:dyDescent="0.25">
      <c r="A136" t="str" cm="1">
        <f t="array" ref="A136">IF(ISBLANK(INDEX(SampleList[GC],ROW()-1)),"Not Requested",INDEX(SampleList[Experiment ID],ROW()-1))</f>
        <v>Not Requested</v>
      </c>
      <c r="B136">
        <f>Sampling!E136</f>
        <v>0</v>
      </c>
      <c r="G136">
        <f t="shared" si="5"/>
        <v>3552.5</v>
      </c>
      <c r="H1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6">
        <f t="shared" si="6"/>
        <v>3752.6</v>
      </c>
      <c r="K136" t="e">
        <f t="shared" si="7"/>
        <v>#DIV/0!</v>
      </c>
    </row>
    <row r="137" spans="1:11" hidden="1" x14ac:dyDescent="0.25">
      <c r="A137" t="str" cm="1">
        <f t="array" ref="A137">IF(ISBLANK(INDEX(SampleList[GC],ROW()-1)),"Not Requested",INDEX(SampleList[Experiment ID],ROW()-1))</f>
        <v>Not Requested</v>
      </c>
      <c r="B137">
        <f>Sampling!E137</f>
        <v>0</v>
      </c>
      <c r="G137">
        <f t="shared" si="5"/>
        <v>3552.5</v>
      </c>
      <c r="H1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7">
        <f t="shared" si="6"/>
        <v>3752.6</v>
      </c>
      <c r="K137" t="e">
        <f t="shared" si="7"/>
        <v>#DIV/0!</v>
      </c>
    </row>
    <row r="138" spans="1:11" hidden="1" x14ac:dyDescent="0.25">
      <c r="A138" t="str" cm="1">
        <f t="array" ref="A138">IF(ISBLANK(INDEX(SampleList[GC],ROW()-1)),"Not Requested",INDEX(SampleList[Experiment ID],ROW()-1))</f>
        <v>Not Requested</v>
      </c>
      <c r="B138">
        <f>Sampling!E138</f>
        <v>0</v>
      </c>
      <c r="G138">
        <f t="shared" si="5"/>
        <v>3552.5</v>
      </c>
      <c r="H1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8">
        <f t="shared" si="6"/>
        <v>3752.6</v>
      </c>
      <c r="K138" t="e">
        <f t="shared" si="7"/>
        <v>#DIV/0!</v>
      </c>
    </row>
    <row r="139" spans="1:11" hidden="1" x14ac:dyDescent="0.25">
      <c r="A139" t="str" cm="1">
        <f t="array" ref="A139">IF(ISBLANK(INDEX(SampleList[GC],ROW()-1)),"Not Requested",INDEX(SampleList[Experiment ID],ROW()-1))</f>
        <v>Not Requested</v>
      </c>
      <c r="B139">
        <f>Sampling!E139</f>
        <v>0</v>
      </c>
      <c r="G139">
        <f t="shared" si="5"/>
        <v>3552.5</v>
      </c>
      <c r="H1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39">
        <f t="shared" si="6"/>
        <v>3752.6</v>
      </c>
      <c r="K139" t="e">
        <f t="shared" si="7"/>
        <v>#DIV/0!</v>
      </c>
    </row>
    <row r="140" spans="1:11" hidden="1" x14ac:dyDescent="0.25">
      <c r="A140" t="str" cm="1">
        <f t="array" ref="A140">IF(ISBLANK(INDEX(SampleList[GC],ROW()-1)),"Not Requested",INDEX(SampleList[Experiment ID],ROW()-1))</f>
        <v>Not Requested</v>
      </c>
      <c r="B140">
        <f>Sampling!E140</f>
        <v>0</v>
      </c>
      <c r="G140">
        <f t="shared" si="5"/>
        <v>3552.5</v>
      </c>
      <c r="H1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0">
        <f t="shared" si="6"/>
        <v>3752.6</v>
      </c>
      <c r="K140" t="e">
        <f t="shared" si="7"/>
        <v>#DIV/0!</v>
      </c>
    </row>
    <row r="141" spans="1:11" hidden="1" x14ac:dyDescent="0.25">
      <c r="A141" t="str" cm="1">
        <f t="array" ref="A141">IF(ISBLANK(INDEX(SampleList[GC],ROW()-1)),"Not Requested",INDEX(SampleList[Experiment ID],ROW()-1))</f>
        <v>Not Requested</v>
      </c>
      <c r="B141">
        <f>Sampling!E141</f>
        <v>0</v>
      </c>
      <c r="G141">
        <f t="shared" si="5"/>
        <v>3552.5</v>
      </c>
      <c r="H1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1">
        <f t="shared" si="6"/>
        <v>3752.6</v>
      </c>
      <c r="K141" t="e">
        <f t="shared" si="7"/>
        <v>#DIV/0!</v>
      </c>
    </row>
    <row r="142" spans="1:11" hidden="1" x14ac:dyDescent="0.25">
      <c r="A142" t="str" cm="1">
        <f t="array" ref="A142">IF(ISBLANK(INDEX(SampleList[GC],ROW()-1)),"Not Requested",INDEX(SampleList[Experiment ID],ROW()-1))</f>
        <v>Not Requested</v>
      </c>
      <c r="B142">
        <f>Sampling!E142</f>
        <v>0</v>
      </c>
      <c r="G142">
        <f t="shared" si="5"/>
        <v>3552.5</v>
      </c>
      <c r="H1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2">
        <f t="shared" si="6"/>
        <v>3752.6</v>
      </c>
      <c r="K142" t="e">
        <f t="shared" si="7"/>
        <v>#DIV/0!</v>
      </c>
    </row>
    <row r="143" spans="1:11" hidden="1" x14ac:dyDescent="0.25">
      <c r="A143" t="str" cm="1">
        <f t="array" ref="A143">IF(ISBLANK(INDEX(SampleList[GC],ROW()-1)),"Not Requested",INDEX(SampleList[Experiment ID],ROW()-1))</f>
        <v>Not Requested</v>
      </c>
      <c r="B143">
        <f>Sampling!E143</f>
        <v>0</v>
      </c>
      <c r="G143">
        <f t="shared" si="5"/>
        <v>3552.5</v>
      </c>
      <c r="H1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3">
        <f t="shared" si="6"/>
        <v>3752.6</v>
      </c>
      <c r="K143" t="e">
        <f t="shared" si="7"/>
        <v>#DIV/0!</v>
      </c>
    </row>
    <row r="144" spans="1:11" hidden="1" x14ac:dyDescent="0.25">
      <c r="A144" t="str" cm="1">
        <f t="array" ref="A144">IF(ISBLANK(INDEX(SampleList[GC],ROW()-1)),"Not Requested",INDEX(SampleList[Experiment ID],ROW()-1))</f>
        <v>Not Requested</v>
      </c>
      <c r="B144">
        <f>Sampling!E144</f>
        <v>0</v>
      </c>
      <c r="G144">
        <f t="shared" si="5"/>
        <v>3552.5</v>
      </c>
      <c r="H1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4">
        <f t="shared" si="6"/>
        <v>3752.6</v>
      </c>
      <c r="K144" t="e">
        <f t="shared" si="7"/>
        <v>#DIV/0!</v>
      </c>
    </row>
    <row r="145" spans="1:11" hidden="1" x14ac:dyDescent="0.25">
      <c r="A145" t="str" cm="1">
        <f t="array" ref="A145">IF(ISBLANK(INDEX(SampleList[GC],ROW()-1)),"Not Requested",INDEX(SampleList[Experiment ID],ROW()-1))</f>
        <v>Not Requested</v>
      </c>
      <c r="B145">
        <f>Sampling!E145</f>
        <v>0</v>
      </c>
      <c r="G145">
        <f t="shared" si="5"/>
        <v>3552.5</v>
      </c>
      <c r="H1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5">
        <f t="shared" si="6"/>
        <v>3752.6</v>
      </c>
      <c r="K145" t="e">
        <f t="shared" si="7"/>
        <v>#DIV/0!</v>
      </c>
    </row>
    <row r="146" spans="1:11" hidden="1" x14ac:dyDescent="0.25">
      <c r="A146" t="str" cm="1">
        <f t="array" ref="A146">IF(ISBLANK(INDEX(SampleList[GC],ROW()-1)),"Not Requested",INDEX(SampleList[Experiment ID],ROW()-1))</f>
        <v>Not Requested</v>
      </c>
      <c r="B146">
        <f>Sampling!E146</f>
        <v>0</v>
      </c>
      <c r="G146">
        <f t="shared" si="5"/>
        <v>3552.5</v>
      </c>
      <c r="H1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6">
        <f t="shared" si="6"/>
        <v>3752.6</v>
      </c>
      <c r="K146" t="e">
        <f t="shared" si="7"/>
        <v>#DIV/0!</v>
      </c>
    </row>
    <row r="147" spans="1:11" hidden="1" x14ac:dyDescent="0.25">
      <c r="A147" t="str" cm="1">
        <f t="array" ref="A147">IF(ISBLANK(INDEX(SampleList[GC],ROW()-1)),"Not Requested",INDEX(SampleList[Experiment ID],ROW()-1))</f>
        <v>Not Requested</v>
      </c>
      <c r="B147">
        <f>Sampling!E147</f>
        <v>0</v>
      </c>
      <c r="G147">
        <f t="shared" si="5"/>
        <v>3552.5</v>
      </c>
      <c r="H1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7">
        <f t="shared" si="6"/>
        <v>3752.6</v>
      </c>
      <c r="K147" t="e">
        <f t="shared" si="7"/>
        <v>#DIV/0!</v>
      </c>
    </row>
    <row r="148" spans="1:11" hidden="1" x14ac:dyDescent="0.25">
      <c r="A148" t="str" cm="1">
        <f t="array" ref="A148">IF(ISBLANK(INDEX(SampleList[GC],ROW()-1)),"Not Requested",INDEX(SampleList[Experiment ID],ROW()-1))</f>
        <v>Not Requested</v>
      </c>
      <c r="B148">
        <f>Sampling!E148</f>
        <v>0</v>
      </c>
      <c r="G148">
        <f t="shared" si="5"/>
        <v>3552.5</v>
      </c>
      <c r="H1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8">
        <f t="shared" si="6"/>
        <v>3752.6</v>
      </c>
      <c r="K148" t="e">
        <f t="shared" si="7"/>
        <v>#DIV/0!</v>
      </c>
    </row>
    <row r="149" spans="1:11" hidden="1" x14ac:dyDescent="0.25">
      <c r="A149" t="str" cm="1">
        <f t="array" ref="A149">IF(ISBLANK(INDEX(SampleList[GC],ROW()-1)),"Not Requested",INDEX(SampleList[Experiment ID],ROW()-1))</f>
        <v>Not Requested</v>
      </c>
      <c r="B149">
        <f>Sampling!E149</f>
        <v>0</v>
      </c>
      <c r="G149">
        <f t="shared" si="5"/>
        <v>3552.5</v>
      </c>
      <c r="H1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49">
        <f t="shared" si="6"/>
        <v>3752.6</v>
      </c>
      <c r="K149" t="e">
        <f t="shared" si="7"/>
        <v>#DIV/0!</v>
      </c>
    </row>
    <row r="150" spans="1:11" hidden="1" x14ac:dyDescent="0.25">
      <c r="A150" t="str" cm="1">
        <f t="array" ref="A150">IF(ISBLANK(INDEX(SampleList[GC],ROW()-1)),"Not Requested",INDEX(SampleList[Experiment ID],ROW()-1))</f>
        <v>Not Requested</v>
      </c>
      <c r="B150">
        <f>Sampling!E150</f>
        <v>0</v>
      </c>
      <c r="G150">
        <f t="shared" si="5"/>
        <v>3552.5</v>
      </c>
      <c r="H1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0">
        <f t="shared" si="6"/>
        <v>3752.6</v>
      </c>
      <c r="K150" t="e">
        <f t="shared" si="7"/>
        <v>#DIV/0!</v>
      </c>
    </row>
    <row r="151" spans="1:11" hidden="1" x14ac:dyDescent="0.25">
      <c r="A151" t="str" cm="1">
        <f t="array" ref="A151">IF(ISBLANK(INDEX(SampleList[GC],ROW()-1)),"Not Requested",INDEX(SampleList[Experiment ID],ROW()-1))</f>
        <v>Not Requested</v>
      </c>
      <c r="B151">
        <f>Sampling!E151</f>
        <v>0</v>
      </c>
      <c r="G151">
        <f t="shared" si="5"/>
        <v>3552.5</v>
      </c>
      <c r="H1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1">
        <f t="shared" si="6"/>
        <v>3752.6</v>
      </c>
      <c r="K151" t="e">
        <f t="shared" si="7"/>
        <v>#DIV/0!</v>
      </c>
    </row>
    <row r="152" spans="1:11" hidden="1" x14ac:dyDescent="0.25">
      <c r="A152" t="str" cm="1">
        <f t="array" ref="A152">IF(ISBLANK(INDEX(SampleList[GC],ROW()-1)),"Not Requested",INDEX(SampleList[Experiment ID],ROW()-1))</f>
        <v>Not Requested</v>
      </c>
      <c r="B152">
        <f>Sampling!E152</f>
        <v>0</v>
      </c>
      <c r="G152">
        <f t="shared" si="5"/>
        <v>3552.5</v>
      </c>
      <c r="H1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2">
        <f t="shared" si="6"/>
        <v>3752.6</v>
      </c>
      <c r="K152" t="e">
        <f t="shared" si="7"/>
        <v>#DIV/0!</v>
      </c>
    </row>
    <row r="153" spans="1:11" hidden="1" x14ac:dyDescent="0.25">
      <c r="A153" t="str" cm="1">
        <f t="array" ref="A153">IF(ISBLANK(INDEX(SampleList[GC],ROW()-1)),"Not Requested",INDEX(SampleList[Experiment ID],ROW()-1))</f>
        <v>Not Requested</v>
      </c>
      <c r="B153">
        <f>Sampling!E153</f>
        <v>0</v>
      </c>
      <c r="G153">
        <f t="shared" si="5"/>
        <v>3552.5</v>
      </c>
      <c r="H1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3">
        <f t="shared" si="6"/>
        <v>3752.6</v>
      </c>
      <c r="K153" t="e">
        <f t="shared" si="7"/>
        <v>#DIV/0!</v>
      </c>
    </row>
    <row r="154" spans="1:11" hidden="1" x14ac:dyDescent="0.25">
      <c r="A154" t="str" cm="1">
        <f t="array" ref="A154">IF(ISBLANK(INDEX(SampleList[GC],ROW()-1)),"Not Requested",INDEX(SampleList[Experiment ID],ROW()-1))</f>
        <v>Not Requested</v>
      </c>
      <c r="B154">
        <f>Sampling!E154</f>
        <v>0</v>
      </c>
      <c r="G154">
        <f t="shared" si="5"/>
        <v>3552.5</v>
      </c>
      <c r="H1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4">
        <f t="shared" si="6"/>
        <v>3752.6</v>
      </c>
      <c r="K154" t="e">
        <f t="shared" si="7"/>
        <v>#DIV/0!</v>
      </c>
    </row>
    <row r="155" spans="1:11" hidden="1" x14ac:dyDescent="0.25">
      <c r="A155" t="str" cm="1">
        <f t="array" ref="A155">IF(ISBLANK(INDEX(SampleList[GC],ROW()-1)),"Not Requested",INDEX(SampleList[Experiment ID],ROW()-1))</f>
        <v>Not Requested</v>
      </c>
      <c r="B155">
        <f>Sampling!E155</f>
        <v>0</v>
      </c>
      <c r="G155">
        <f t="shared" si="5"/>
        <v>3552.5</v>
      </c>
      <c r="H1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5">
        <f t="shared" si="6"/>
        <v>3752.6</v>
      </c>
      <c r="K155" t="e">
        <f t="shared" si="7"/>
        <v>#DIV/0!</v>
      </c>
    </row>
    <row r="156" spans="1:11" hidden="1" x14ac:dyDescent="0.25">
      <c r="A156" t="str" cm="1">
        <f t="array" ref="A156">IF(ISBLANK(INDEX(SampleList[GC],ROW()-1)),"Not Requested",INDEX(SampleList[Experiment ID],ROW()-1))</f>
        <v>Not Requested</v>
      </c>
      <c r="B156">
        <f>Sampling!E156</f>
        <v>0</v>
      </c>
      <c r="G156">
        <f t="shared" si="5"/>
        <v>3552.5</v>
      </c>
      <c r="H1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6">
        <f t="shared" si="6"/>
        <v>3752.6</v>
      </c>
      <c r="K156" t="e">
        <f t="shared" si="7"/>
        <v>#DIV/0!</v>
      </c>
    </row>
    <row r="157" spans="1:11" hidden="1" x14ac:dyDescent="0.25">
      <c r="A157" t="str" cm="1">
        <f t="array" ref="A157">IF(ISBLANK(INDEX(SampleList[GC],ROW()-1)),"Not Requested",INDEX(SampleList[Experiment ID],ROW()-1))</f>
        <v>Not Requested</v>
      </c>
      <c r="B157">
        <f>Sampling!E157</f>
        <v>0</v>
      </c>
      <c r="G157">
        <f t="shared" si="5"/>
        <v>3552.5</v>
      </c>
      <c r="H1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7">
        <f t="shared" si="6"/>
        <v>3752.6</v>
      </c>
      <c r="K157" t="e">
        <f t="shared" si="7"/>
        <v>#DIV/0!</v>
      </c>
    </row>
    <row r="158" spans="1:11" hidden="1" x14ac:dyDescent="0.25">
      <c r="A158" t="str" cm="1">
        <f t="array" ref="A158">IF(ISBLANK(INDEX(SampleList[GC],ROW()-1)),"Not Requested",INDEX(SampleList[Experiment ID],ROW()-1))</f>
        <v>Not Requested</v>
      </c>
      <c r="B158">
        <f>Sampling!E158</f>
        <v>0</v>
      </c>
      <c r="G158">
        <f t="shared" si="5"/>
        <v>3552.5</v>
      </c>
      <c r="H1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8">
        <f t="shared" si="6"/>
        <v>3752.6</v>
      </c>
      <c r="K158" t="e">
        <f t="shared" si="7"/>
        <v>#DIV/0!</v>
      </c>
    </row>
    <row r="159" spans="1:11" hidden="1" x14ac:dyDescent="0.25">
      <c r="A159" t="str" cm="1">
        <f t="array" ref="A159">IF(ISBLANK(INDEX(SampleList[GC],ROW()-1)),"Not Requested",INDEX(SampleList[Experiment ID],ROW()-1))</f>
        <v>Not Requested</v>
      </c>
      <c r="B159">
        <f>Sampling!E159</f>
        <v>0</v>
      </c>
      <c r="G159">
        <f t="shared" si="5"/>
        <v>3552.5</v>
      </c>
      <c r="H1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59">
        <f t="shared" si="6"/>
        <v>3752.6</v>
      </c>
      <c r="K159" t="e">
        <f t="shared" si="7"/>
        <v>#DIV/0!</v>
      </c>
    </row>
    <row r="160" spans="1:11" hidden="1" x14ac:dyDescent="0.25">
      <c r="A160" t="str" cm="1">
        <f t="array" ref="A160">IF(ISBLANK(INDEX(SampleList[GC],ROW()-1)),"Not Requested",INDEX(SampleList[Experiment ID],ROW()-1))</f>
        <v>Not Requested</v>
      </c>
      <c r="B160">
        <f>Sampling!E160</f>
        <v>0</v>
      </c>
      <c r="G160">
        <f t="shared" si="5"/>
        <v>3552.5</v>
      </c>
      <c r="H1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0">
        <f t="shared" si="6"/>
        <v>3752.6</v>
      </c>
      <c r="K160" t="e">
        <f t="shared" si="7"/>
        <v>#DIV/0!</v>
      </c>
    </row>
    <row r="161" spans="1:11" hidden="1" x14ac:dyDescent="0.25">
      <c r="A161" t="str" cm="1">
        <f t="array" ref="A161">IF(ISBLANK(INDEX(SampleList[GC],ROW()-1)),"Not Requested",INDEX(SampleList[Experiment ID],ROW()-1))</f>
        <v>Not Requested</v>
      </c>
      <c r="B161">
        <f>Sampling!E161</f>
        <v>0</v>
      </c>
      <c r="G161">
        <f t="shared" ref="G161:G224" si="8">24.5*145</f>
        <v>3552.5</v>
      </c>
      <c r="H1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1">
        <f t="shared" si="6"/>
        <v>3752.6</v>
      </c>
      <c r="K161" t="e">
        <f t="shared" si="7"/>
        <v>#DIV/0!</v>
      </c>
    </row>
    <row r="162" spans="1:11" hidden="1" x14ac:dyDescent="0.25">
      <c r="A162" t="str" cm="1">
        <f t="array" ref="A162">IF(ISBLANK(INDEX(SampleList[GC],ROW()-1)),"Not Requested",INDEX(SampleList[Experiment ID],ROW()-1))</f>
        <v>Not Requested</v>
      </c>
      <c r="B162">
        <f>Sampling!E162</f>
        <v>0</v>
      </c>
      <c r="G162">
        <f t="shared" si="8"/>
        <v>3552.5</v>
      </c>
      <c r="H1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2">
        <f t="shared" si="6"/>
        <v>3752.6</v>
      </c>
      <c r="K162" t="e">
        <f t="shared" si="7"/>
        <v>#DIV/0!</v>
      </c>
    </row>
    <row r="163" spans="1:11" hidden="1" x14ac:dyDescent="0.25">
      <c r="A163" t="str" cm="1">
        <f t="array" ref="A163">IF(ISBLANK(INDEX(SampleList[GC],ROW()-1)),"Not Requested",INDEX(SampleList[Experiment ID],ROW()-1))</f>
        <v>Not Requested</v>
      </c>
      <c r="B163">
        <f>Sampling!E163</f>
        <v>0</v>
      </c>
      <c r="G163">
        <f t="shared" si="8"/>
        <v>3552.5</v>
      </c>
      <c r="H1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3">
        <f t="shared" si="6"/>
        <v>3752.6</v>
      </c>
      <c r="K163" t="e">
        <f t="shared" si="7"/>
        <v>#DIV/0!</v>
      </c>
    </row>
    <row r="164" spans="1:11" hidden="1" x14ac:dyDescent="0.25">
      <c r="A164" t="str" cm="1">
        <f t="array" ref="A164">IF(ISBLANK(INDEX(SampleList[GC],ROW()-1)),"Not Requested",INDEX(SampleList[Experiment ID],ROW()-1))</f>
        <v>Not Requested</v>
      </c>
      <c r="B164">
        <f>Sampling!E164</f>
        <v>0</v>
      </c>
      <c r="G164">
        <f t="shared" si="8"/>
        <v>3552.5</v>
      </c>
      <c r="H1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4">
        <f t="shared" si="6"/>
        <v>3752.6</v>
      </c>
      <c r="K164" t="e">
        <f t="shared" si="7"/>
        <v>#DIV/0!</v>
      </c>
    </row>
    <row r="165" spans="1:11" hidden="1" x14ac:dyDescent="0.25">
      <c r="A165" t="str" cm="1">
        <f t="array" ref="A165">IF(ISBLANK(INDEX(SampleList[GC],ROW()-1)),"Not Requested",INDEX(SampleList[Experiment ID],ROW()-1))</f>
        <v>Not Requested</v>
      </c>
      <c r="B165">
        <f>Sampling!E165</f>
        <v>0</v>
      </c>
      <c r="G165">
        <f t="shared" si="8"/>
        <v>3552.5</v>
      </c>
      <c r="H1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5">
        <f t="shared" si="6"/>
        <v>3752.6</v>
      </c>
      <c r="K165" t="e">
        <f t="shared" si="7"/>
        <v>#DIV/0!</v>
      </c>
    </row>
    <row r="166" spans="1:11" hidden="1" x14ac:dyDescent="0.25">
      <c r="A166" t="str" cm="1">
        <f t="array" ref="A166">IF(ISBLANK(INDEX(SampleList[GC],ROW()-1)),"Not Requested",INDEX(SampleList[Experiment ID],ROW()-1))</f>
        <v>Not Requested</v>
      </c>
      <c r="B166">
        <f>Sampling!E166</f>
        <v>0</v>
      </c>
      <c r="G166">
        <f t="shared" si="8"/>
        <v>3552.5</v>
      </c>
      <c r="H1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6">
        <f t="shared" si="6"/>
        <v>3752.6</v>
      </c>
      <c r="K166" t="e">
        <f t="shared" si="7"/>
        <v>#DIV/0!</v>
      </c>
    </row>
    <row r="167" spans="1:11" hidden="1" x14ac:dyDescent="0.25">
      <c r="A167" t="str" cm="1">
        <f t="array" ref="A167">IF(ISBLANK(INDEX(SampleList[GC],ROW()-1)),"Not Requested",INDEX(SampleList[Experiment ID],ROW()-1))</f>
        <v>Not Requested</v>
      </c>
      <c r="B167">
        <f>Sampling!E167</f>
        <v>0</v>
      </c>
      <c r="G167">
        <f t="shared" si="8"/>
        <v>3552.5</v>
      </c>
      <c r="H1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7">
        <f t="shared" si="6"/>
        <v>3752.6</v>
      </c>
      <c r="K167" t="e">
        <f t="shared" si="7"/>
        <v>#DIV/0!</v>
      </c>
    </row>
    <row r="168" spans="1:11" hidden="1" x14ac:dyDescent="0.25">
      <c r="A168" t="str" cm="1">
        <f t="array" ref="A168">IF(ISBLANK(INDEX(SampleList[GC],ROW()-1)),"Not Requested",INDEX(SampleList[Experiment ID],ROW()-1))</f>
        <v>Not Requested</v>
      </c>
      <c r="B168">
        <f>Sampling!E168</f>
        <v>0</v>
      </c>
      <c r="G168">
        <f t="shared" si="8"/>
        <v>3552.5</v>
      </c>
      <c r="H1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8">
        <f t="shared" si="6"/>
        <v>3752.6</v>
      </c>
      <c r="K168" t="e">
        <f t="shared" si="7"/>
        <v>#DIV/0!</v>
      </c>
    </row>
    <row r="169" spans="1:11" hidden="1" x14ac:dyDescent="0.25">
      <c r="A169" t="str" cm="1">
        <f t="array" ref="A169">IF(ISBLANK(INDEX(SampleList[GC],ROW()-1)),"Not Requested",INDEX(SampleList[Experiment ID],ROW()-1))</f>
        <v>Not Requested</v>
      </c>
      <c r="B169">
        <f>Sampling!E169</f>
        <v>0</v>
      </c>
      <c r="G169">
        <f t="shared" si="8"/>
        <v>3552.5</v>
      </c>
      <c r="H1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69">
        <f t="shared" si="6"/>
        <v>3752.6</v>
      </c>
      <c r="K169" t="e">
        <f t="shared" si="7"/>
        <v>#DIV/0!</v>
      </c>
    </row>
    <row r="170" spans="1:11" hidden="1" x14ac:dyDescent="0.25">
      <c r="A170" t="str" cm="1">
        <f t="array" ref="A170">IF(ISBLANK(INDEX(SampleList[GC],ROW()-1)),"Not Requested",INDEX(SampleList[Experiment ID],ROW()-1))</f>
        <v>Not Requested</v>
      </c>
      <c r="B170">
        <f>Sampling!E170</f>
        <v>0</v>
      </c>
      <c r="G170">
        <f t="shared" si="8"/>
        <v>3552.5</v>
      </c>
      <c r="H1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0">
        <f t="shared" si="6"/>
        <v>3752.6</v>
      </c>
      <c r="K170" t="e">
        <f t="shared" si="7"/>
        <v>#DIV/0!</v>
      </c>
    </row>
    <row r="171" spans="1:11" hidden="1" x14ac:dyDescent="0.25">
      <c r="A171" t="str" cm="1">
        <f t="array" ref="A171">IF(ISBLANK(INDEX(SampleList[GC],ROW()-1)),"Not Requested",INDEX(SampleList[Experiment ID],ROW()-1))</f>
        <v>Not Requested</v>
      </c>
      <c r="B171">
        <f>Sampling!E171</f>
        <v>0</v>
      </c>
      <c r="G171">
        <f t="shared" si="8"/>
        <v>3552.5</v>
      </c>
      <c r="H1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1">
        <f t="shared" si="6"/>
        <v>3752.6</v>
      </c>
      <c r="K171" t="e">
        <f t="shared" si="7"/>
        <v>#DIV/0!</v>
      </c>
    </row>
    <row r="172" spans="1:11" hidden="1" x14ac:dyDescent="0.25">
      <c r="A172" t="str" cm="1">
        <f t="array" ref="A172">IF(ISBLANK(INDEX(SampleList[GC],ROW()-1)),"Not Requested",INDEX(SampleList[Experiment ID],ROW()-1))</f>
        <v>Not Requested</v>
      </c>
      <c r="B172">
        <f>Sampling!E172</f>
        <v>0</v>
      </c>
      <c r="G172">
        <f t="shared" si="8"/>
        <v>3552.5</v>
      </c>
      <c r="H1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2">
        <f t="shared" si="6"/>
        <v>3752.6</v>
      </c>
      <c r="K172" t="e">
        <f t="shared" si="7"/>
        <v>#DIV/0!</v>
      </c>
    </row>
    <row r="173" spans="1:11" hidden="1" x14ac:dyDescent="0.25">
      <c r="A173" t="str" cm="1">
        <f t="array" ref="A173">IF(ISBLANK(INDEX(SampleList[GC],ROW()-1)),"Not Requested",INDEX(SampleList[Experiment ID],ROW()-1))</f>
        <v>Not Requested</v>
      </c>
      <c r="B173">
        <f>Sampling!E173</f>
        <v>0</v>
      </c>
      <c r="G173">
        <f t="shared" si="8"/>
        <v>3552.5</v>
      </c>
      <c r="H1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3">
        <f t="shared" si="6"/>
        <v>3752.6</v>
      </c>
      <c r="K173" t="e">
        <f t="shared" si="7"/>
        <v>#DIV/0!</v>
      </c>
    </row>
    <row r="174" spans="1:11" hidden="1" x14ac:dyDescent="0.25">
      <c r="A174" t="str" cm="1">
        <f t="array" ref="A174">IF(ISBLANK(INDEX(SampleList[GC],ROW()-1)),"Not Requested",INDEX(SampleList[Experiment ID],ROW()-1))</f>
        <v>Not Requested</v>
      </c>
      <c r="B174">
        <f>Sampling!E174</f>
        <v>0</v>
      </c>
      <c r="G174">
        <f t="shared" si="8"/>
        <v>3552.5</v>
      </c>
      <c r="H1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4">
        <f t="shared" si="6"/>
        <v>3752.6</v>
      </c>
      <c r="K174" t="e">
        <f t="shared" si="7"/>
        <v>#DIV/0!</v>
      </c>
    </row>
    <row r="175" spans="1:11" hidden="1" x14ac:dyDescent="0.25">
      <c r="A175" t="str" cm="1">
        <f t="array" ref="A175">IF(ISBLANK(INDEX(SampleList[GC],ROW()-1)),"Not Requested",INDEX(SampleList[Experiment ID],ROW()-1))</f>
        <v>Not Requested</v>
      </c>
      <c r="B175">
        <f>Sampling!E175</f>
        <v>0</v>
      </c>
      <c r="G175">
        <f t="shared" si="8"/>
        <v>3552.5</v>
      </c>
      <c r="H1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5">
        <f t="shared" si="6"/>
        <v>3752.6</v>
      </c>
      <c r="K175" t="e">
        <f t="shared" si="7"/>
        <v>#DIV/0!</v>
      </c>
    </row>
    <row r="176" spans="1:11" hidden="1" x14ac:dyDescent="0.25">
      <c r="A176" t="str" cm="1">
        <f t="array" ref="A176">IF(ISBLANK(INDEX(SampleList[GC],ROW()-1)),"Not Requested",INDEX(SampleList[Experiment ID],ROW()-1))</f>
        <v>Not Requested</v>
      </c>
      <c r="B176">
        <f>Sampling!E176</f>
        <v>0</v>
      </c>
      <c r="G176">
        <f t="shared" si="8"/>
        <v>3552.5</v>
      </c>
      <c r="H1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6">
        <f t="shared" si="6"/>
        <v>3752.6</v>
      </c>
      <c r="K176" t="e">
        <f t="shared" si="7"/>
        <v>#DIV/0!</v>
      </c>
    </row>
    <row r="177" spans="1:11" hidden="1" x14ac:dyDescent="0.25">
      <c r="A177" t="str" cm="1">
        <f t="array" ref="A177">IF(ISBLANK(INDEX(SampleList[GC],ROW()-1)),"Not Requested",INDEX(SampleList[Experiment ID],ROW()-1))</f>
        <v>Not Requested</v>
      </c>
      <c r="B177">
        <f>Sampling!E177</f>
        <v>0</v>
      </c>
      <c r="G177">
        <f t="shared" si="8"/>
        <v>3552.5</v>
      </c>
      <c r="H1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7">
        <f t="shared" si="6"/>
        <v>3752.6</v>
      </c>
      <c r="K177" t="e">
        <f t="shared" si="7"/>
        <v>#DIV/0!</v>
      </c>
    </row>
    <row r="178" spans="1:11" hidden="1" x14ac:dyDescent="0.25">
      <c r="A178" t="str" cm="1">
        <f t="array" ref="A178">IF(ISBLANK(INDEX(SampleList[GC],ROW()-1)),"Not Requested",INDEX(SampleList[Experiment ID],ROW()-1))</f>
        <v>Not Requested</v>
      </c>
      <c r="B178">
        <f>Sampling!E178</f>
        <v>0</v>
      </c>
      <c r="G178">
        <f t="shared" si="8"/>
        <v>3552.5</v>
      </c>
      <c r="H1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8">
        <f t="shared" si="6"/>
        <v>3752.6</v>
      </c>
      <c r="K178" t="e">
        <f t="shared" si="7"/>
        <v>#DIV/0!</v>
      </c>
    </row>
    <row r="179" spans="1:11" hidden="1" x14ac:dyDescent="0.25">
      <c r="A179" t="str" cm="1">
        <f t="array" ref="A179">IF(ISBLANK(INDEX(SampleList[GC],ROW()-1)),"Not Requested",INDEX(SampleList[Experiment ID],ROW()-1))</f>
        <v>Not Requested</v>
      </c>
      <c r="B179">
        <f>Sampling!E179</f>
        <v>0</v>
      </c>
      <c r="G179">
        <f t="shared" si="8"/>
        <v>3552.5</v>
      </c>
      <c r="H1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79">
        <f t="shared" si="6"/>
        <v>3752.6</v>
      </c>
      <c r="K179" t="e">
        <f t="shared" si="7"/>
        <v>#DIV/0!</v>
      </c>
    </row>
    <row r="180" spans="1:11" hidden="1" x14ac:dyDescent="0.25">
      <c r="A180" t="str" cm="1">
        <f t="array" ref="A180">IF(ISBLANK(INDEX(SampleList[GC],ROW()-1)),"Not Requested",INDEX(SampleList[Experiment ID],ROW()-1))</f>
        <v>Not Requested</v>
      </c>
      <c r="B180">
        <f>Sampling!E180</f>
        <v>0</v>
      </c>
      <c r="G180">
        <f t="shared" si="8"/>
        <v>3552.5</v>
      </c>
      <c r="H1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0">
        <f t="shared" si="6"/>
        <v>3752.6</v>
      </c>
      <c r="K180" t="e">
        <f t="shared" si="7"/>
        <v>#DIV/0!</v>
      </c>
    </row>
    <row r="181" spans="1:11" hidden="1" x14ac:dyDescent="0.25">
      <c r="A181" t="str" cm="1">
        <f t="array" ref="A181">IF(ISBLANK(INDEX(SampleList[GC],ROW()-1)),"Not Requested",INDEX(SampleList[Experiment ID],ROW()-1))</f>
        <v>Not Requested</v>
      </c>
      <c r="B181">
        <f>Sampling!E181</f>
        <v>0</v>
      </c>
      <c r="G181">
        <f t="shared" si="8"/>
        <v>3552.5</v>
      </c>
      <c r="H1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1">
        <f t="shared" si="6"/>
        <v>3752.6</v>
      </c>
      <c r="K181" t="e">
        <f t="shared" si="7"/>
        <v>#DIV/0!</v>
      </c>
    </row>
    <row r="182" spans="1:11" hidden="1" x14ac:dyDescent="0.25">
      <c r="A182" t="str" cm="1">
        <f t="array" ref="A182">IF(ISBLANK(INDEX(SampleList[GC],ROW()-1)),"Not Requested",INDEX(SampleList[Experiment ID],ROW()-1))</f>
        <v>Not Requested</v>
      </c>
      <c r="B182">
        <f>Sampling!E182</f>
        <v>0</v>
      </c>
      <c r="G182">
        <f t="shared" si="8"/>
        <v>3552.5</v>
      </c>
      <c r="H1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2">
        <f t="shared" si="6"/>
        <v>3752.6</v>
      </c>
      <c r="K182" t="e">
        <f t="shared" si="7"/>
        <v>#DIV/0!</v>
      </c>
    </row>
    <row r="183" spans="1:11" hidden="1" x14ac:dyDescent="0.25">
      <c r="A183" t="str" cm="1">
        <f t="array" ref="A183">IF(ISBLANK(INDEX(SampleList[GC],ROW()-1)),"Not Requested",INDEX(SampleList[Experiment ID],ROW()-1))</f>
        <v>Not Requested</v>
      </c>
      <c r="B183">
        <f>Sampling!E183</f>
        <v>0</v>
      </c>
      <c r="G183">
        <f t="shared" si="8"/>
        <v>3552.5</v>
      </c>
      <c r="H1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3">
        <f t="shared" si="6"/>
        <v>3752.6</v>
      </c>
      <c r="K183" t="e">
        <f t="shared" si="7"/>
        <v>#DIV/0!</v>
      </c>
    </row>
    <row r="184" spans="1:11" hidden="1" x14ac:dyDescent="0.25">
      <c r="A184" t="str" cm="1">
        <f t="array" ref="A184">IF(ISBLANK(INDEX(SampleList[GC],ROW()-1)),"Not Requested",INDEX(SampleList[Experiment ID],ROW()-1))</f>
        <v>Not Requested</v>
      </c>
      <c r="B184">
        <f>Sampling!E184</f>
        <v>0</v>
      </c>
      <c r="G184">
        <f t="shared" si="8"/>
        <v>3552.5</v>
      </c>
      <c r="H1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4">
        <f t="shared" si="6"/>
        <v>3752.6</v>
      </c>
      <c r="K184" t="e">
        <f t="shared" si="7"/>
        <v>#DIV/0!</v>
      </c>
    </row>
    <row r="185" spans="1:11" hidden="1" x14ac:dyDescent="0.25">
      <c r="A185" t="str" cm="1">
        <f t="array" ref="A185">IF(ISBLANK(INDEX(SampleList[GC],ROW()-1)),"Not Requested",INDEX(SampleList[Experiment ID],ROW()-1))</f>
        <v>Not Requested</v>
      </c>
      <c r="B185">
        <f>Sampling!E185</f>
        <v>0</v>
      </c>
      <c r="G185">
        <f t="shared" si="8"/>
        <v>3552.5</v>
      </c>
      <c r="H1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5">
        <f t="shared" si="6"/>
        <v>3752.6</v>
      </c>
      <c r="K185" t="e">
        <f t="shared" si="7"/>
        <v>#DIV/0!</v>
      </c>
    </row>
    <row r="186" spans="1:11" hidden="1" x14ac:dyDescent="0.25">
      <c r="A186" t="str" cm="1">
        <f t="array" ref="A186">IF(ISBLANK(INDEX(SampleList[GC],ROW()-1)),"Not Requested",INDEX(SampleList[Experiment ID],ROW()-1))</f>
        <v>Not Requested</v>
      </c>
      <c r="B186">
        <f>Sampling!E186</f>
        <v>0</v>
      </c>
      <c r="G186">
        <f t="shared" si="8"/>
        <v>3552.5</v>
      </c>
      <c r="H1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6">
        <f t="shared" si="6"/>
        <v>3752.6</v>
      </c>
      <c r="K186" t="e">
        <f t="shared" si="7"/>
        <v>#DIV/0!</v>
      </c>
    </row>
    <row r="187" spans="1:11" hidden="1" x14ac:dyDescent="0.25">
      <c r="A187" t="str" cm="1">
        <f t="array" ref="A187">IF(ISBLANK(INDEX(SampleList[GC],ROW()-1)),"Not Requested",INDEX(SampleList[Experiment ID],ROW()-1))</f>
        <v>Not Requested</v>
      </c>
      <c r="B187">
        <f>Sampling!E187</f>
        <v>0</v>
      </c>
      <c r="G187">
        <f t="shared" si="8"/>
        <v>3552.5</v>
      </c>
      <c r="H1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7">
        <f t="shared" si="6"/>
        <v>3752.6</v>
      </c>
      <c r="K187" t="e">
        <f t="shared" si="7"/>
        <v>#DIV/0!</v>
      </c>
    </row>
    <row r="188" spans="1:11" hidden="1" x14ac:dyDescent="0.25">
      <c r="A188" t="str" cm="1">
        <f t="array" ref="A188">IF(ISBLANK(INDEX(SampleList[GC],ROW()-1)),"Not Requested",INDEX(SampleList[Experiment ID],ROW()-1))</f>
        <v>Not Requested</v>
      </c>
      <c r="B188">
        <f>Sampling!E188</f>
        <v>0</v>
      </c>
      <c r="G188">
        <f t="shared" si="8"/>
        <v>3552.5</v>
      </c>
      <c r="H1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8">
        <f t="shared" si="6"/>
        <v>3752.6</v>
      </c>
      <c r="K188" t="e">
        <f t="shared" si="7"/>
        <v>#DIV/0!</v>
      </c>
    </row>
    <row r="189" spans="1:11" hidden="1" x14ac:dyDescent="0.25">
      <c r="A189" t="str" cm="1">
        <f t="array" ref="A189">IF(ISBLANK(INDEX(SampleList[GC],ROW()-1)),"Not Requested",INDEX(SampleList[Experiment ID],ROW()-1))</f>
        <v>Not Requested</v>
      </c>
      <c r="B189">
        <f>Sampling!E189</f>
        <v>0</v>
      </c>
      <c r="G189">
        <f t="shared" si="8"/>
        <v>3552.5</v>
      </c>
      <c r="H1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89">
        <f t="shared" si="6"/>
        <v>3752.6</v>
      </c>
      <c r="K189" t="e">
        <f t="shared" si="7"/>
        <v>#DIV/0!</v>
      </c>
    </row>
    <row r="190" spans="1:11" hidden="1" x14ac:dyDescent="0.25">
      <c r="A190" t="str" cm="1">
        <f t="array" ref="A190">IF(ISBLANK(INDEX(SampleList[GC],ROW()-1)),"Not Requested",INDEX(SampleList[Experiment ID],ROW()-1))</f>
        <v>Not Requested</v>
      </c>
      <c r="B190">
        <f>Sampling!E190</f>
        <v>0</v>
      </c>
      <c r="G190">
        <f t="shared" si="8"/>
        <v>3552.5</v>
      </c>
      <c r="H1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0">
        <f t="shared" si="6"/>
        <v>3752.6</v>
      </c>
      <c r="K190" t="e">
        <f t="shared" si="7"/>
        <v>#DIV/0!</v>
      </c>
    </row>
    <row r="191" spans="1:11" hidden="1" x14ac:dyDescent="0.25">
      <c r="A191" t="str" cm="1">
        <f t="array" ref="A191">IF(ISBLANK(INDEX(SampleList[GC],ROW()-1)),"Not Requested",INDEX(SampleList[Experiment ID],ROW()-1))</f>
        <v>Not Requested</v>
      </c>
      <c r="B191">
        <f>Sampling!E191</f>
        <v>0</v>
      </c>
      <c r="G191">
        <f t="shared" si="8"/>
        <v>3552.5</v>
      </c>
      <c r="H1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1">
        <f t="shared" si="6"/>
        <v>3752.6</v>
      </c>
      <c r="K191" t="e">
        <f t="shared" si="7"/>
        <v>#DIV/0!</v>
      </c>
    </row>
    <row r="192" spans="1:11" hidden="1" x14ac:dyDescent="0.25">
      <c r="A192" t="str" cm="1">
        <f t="array" ref="A192">IF(ISBLANK(INDEX(SampleList[GC],ROW()-1)),"Not Requested",INDEX(SampleList[Experiment ID],ROW()-1))</f>
        <v>Not Requested</v>
      </c>
      <c r="B192">
        <f>Sampling!E192</f>
        <v>0</v>
      </c>
      <c r="G192">
        <f t="shared" si="8"/>
        <v>3552.5</v>
      </c>
      <c r="H1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2">
        <f t="shared" si="6"/>
        <v>3752.6</v>
      </c>
      <c r="K192" t="e">
        <f t="shared" si="7"/>
        <v>#DIV/0!</v>
      </c>
    </row>
    <row r="193" spans="1:11" hidden="1" x14ac:dyDescent="0.25">
      <c r="A193" t="str" cm="1">
        <f t="array" ref="A193">IF(ISBLANK(INDEX(SampleList[GC],ROW()-1)),"Not Requested",INDEX(SampleList[Experiment ID],ROW()-1))</f>
        <v>Not Requested</v>
      </c>
      <c r="B193">
        <f>Sampling!E191</f>
        <v>0</v>
      </c>
      <c r="G193">
        <f t="shared" si="8"/>
        <v>3552.5</v>
      </c>
      <c r="H1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3">
        <f t="shared" si="6"/>
        <v>3752.6</v>
      </c>
      <c r="K193" t="e">
        <f t="shared" si="7"/>
        <v>#DIV/0!</v>
      </c>
    </row>
    <row r="194" spans="1:11" hidden="1" x14ac:dyDescent="0.25">
      <c r="A194" t="str" cm="1">
        <f t="array" ref="A194">IF(ISBLANK(INDEX(SampleList[GC],ROW()-1)),"Not Requested",INDEX(SampleList[Experiment ID],ROW()-1))</f>
        <v>Not Requested</v>
      </c>
      <c r="B194">
        <f>Sampling!E192</f>
        <v>0</v>
      </c>
      <c r="G194">
        <f t="shared" si="8"/>
        <v>3552.5</v>
      </c>
      <c r="H1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4">
        <f t="shared" ref="I194:I257" si="9">25.88*145</f>
        <v>3752.6</v>
      </c>
      <c r="K194" t="e">
        <f t="shared" ref="K194:K257" si="10">(500/D194)*J194</f>
        <v>#DIV/0!</v>
      </c>
    </row>
    <row r="195" spans="1:11" hidden="1" x14ac:dyDescent="0.25">
      <c r="A195" t="str" cm="1">
        <f t="array" ref="A195">IF(ISBLANK(INDEX(SampleList[GC],ROW()-1)),"Not Requested",INDEX(SampleList[Experiment ID],ROW()-1))</f>
        <v>Not Requested</v>
      </c>
      <c r="B195">
        <f>Sampling!E193</f>
        <v>0</v>
      </c>
      <c r="G195">
        <f t="shared" si="8"/>
        <v>3552.5</v>
      </c>
      <c r="H1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5">
        <f t="shared" si="9"/>
        <v>3752.6</v>
      </c>
      <c r="K195" t="e">
        <f t="shared" si="10"/>
        <v>#DIV/0!</v>
      </c>
    </row>
    <row r="196" spans="1:11" hidden="1" x14ac:dyDescent="0.25">
      <c r="A196" t="str" cm="1">
        <f t="array" ref="A196">IF(ISBLANK(INDEX(SampleList[GC],ROW()-1)),"Not Requested",INDEX(SampleList[Experiment ID],ROW()-1))</f>
        <v>Not Requested</v>
      </c>
      <c r="B196">
        <f>Sampling!E194</f>
        <v>0</v>
      </c>
      <c r="G196">
        <f t="shared" si="8"/>
        <v>3552.5</v>
      </c>
      <c r="H1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6">
        <f t="shared" si="9"/>
        <v>3752.6</v>
      </c>
      <c r="K196" t="e">
        <f t="shared" si="10"/>
        <v>#DIV/0!</v>
      </c>
    </row>
    <row r="197" spans="1:11" hidden="1" x14ac:dyDescent="0.25">
      <c r="A197" t="str" cm="1">
        <f t="array" ref="A197">IF(ISBLANK(INDEX(SampleList[GC],ROW()-1)),"Not Requested",INDEX(SampleList[Experiment ID],ROW()-1))</f>
        <v>Not Requested</v>
      </c>
      <c r="B197">
        <f>Sampling!E195</f>
        <v>0</v>
      </c>
      <c r="G197">
        <f t="shared" si="8"/>
        <v>3552.5</v>
      </c>
      <c r="H1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7">
        <f t="shared" si="9"/>
        <v>3752.6</v>
      </c>
      <c r="K197" t="e">
        <f t="shared" si="10"/>
        <v>#DIV/0!</v>
      </c>
    </row>
    <row r="198" spans="1:11" hidden="1" x14ac:dyDescent="0.25">
      <c r="A198" t="str" cm="1">
        <f t="array" ref="A198">IF(ISBLANK(INDEX(SampleList[GC],ROW()-1)),"Not Requested",INDEX(SampleList[Experiment ID],ROW()-1))</f>
        <v>Not Requested</v>
      </c>
      <c r="B198">
        <f>Sampling!E196</f>
        <v>0</v>
      </c>
      <c r="G198">
        <f t="shared" si="8"/>
        <v>3552.5</v>
      </c>
      <c r="H1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8">
        <f t="shared" si="9"/>
        <v>3752.6</v>
      </c>
      <c r="K198" t="e">
        <f t="shared" si="10"/>
        <v>#DIV/0!</v>
      </c>
    </row>
    <row r="199" spans="1:11" hidden="1" x14ac:dyDescent="0.25">
      <c r="A199" t="str" cm="1">
        <f t="array" ref="A199">IF(ISBLANK(INDEX(SampleList[GC],ROW()-1)),"Not Requested",INDEX(SampleList[Experiment ID],ROW()-1))</f>
        <v>Not Requested</v>
      </c>
      <c r="B199">
        <f>Sampling!E197</f>
        <v>0</v>
      </c>
      <c r="G199">
        <f t="shared" si="8"/>
        <v>3552.5</v>
      </c>
      <c r="H1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199">
        <f t="shared" si="9"/>
        <v>3752.6</v>
      </c>
      <c r="K199" t="e">
        <f t="shared" si="10"/>
        <v>#DIV/0!</v>
      </c>
    </row>
    <row r="200" spans="1:11" hidden="1" x14ac:dyDescent="0.25">
      <c r="A200" t="str" cm="1">
        <f t="array" ref="A200">IF(ISBLANK(INDEX(SampleList[GC],ROW()-1)),"Not Requested",INDEX(SampleList[Experiment ID],ROW()-1))</f>
        <v>Not Requested</v>
      </c>
      <c r="B200">
        <f>Sampling!E198</f>
        <v>0</v>
      </c>
      <c r="G200">
        <f t="shared" si="8"/>
        <v>3552.5</v>
      </c>
      <c r="H2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0">
        <f t="shared" si="9"/>
        <v>3752.6</v>
      </c>
      <c r="K200" t="e">
        <f t="shared" si="10"/>
        <v>#DIV/0!</v>
      </c>
    </row>
    <row r="201" spans="1:11" hidden="1" x14ac:dyDescent="0.25">
      <c r="A201" t="str" cm="1">
        <f t="array" ref="A201">IF(ISBLANK(INDEX(SampleList[GC],ROW()-1)),"Not Requested",INDEX(SampleList[Experiment ID],ROW()-1))</f>
        <v>Not Requested</v>
      </c>
      <c r="B201">
        <f>Sampling!E199</f>
        <v>0</v>
      </c>
      <c r="G201">
        <f t="shared" si="8"/>
        <v>3552.5</v>
      </c>
      <c r="H2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1">
        <f t="shared" si="9"/>
        <v>3752.6</v>
      </c>
      <c r="K201" t="e">
        <f t="shared" si="10"/>
        <v>#DIV/0!</v>
      </c>
    </row>
    <row r="202" spans="1:11" hidden="1" x14ac:dyDescent="0.25">
      <c r="A202" t="str" cm="1">
        <f t="array" ref="A202">IF(ISBLANK(INDEX(SampleList[GC],ROW()-1)),"Not Requested",INDEX(SampleList[Experiment ID],ROW()-1))</f>
        <v>Not Requested</v>
      </c>
      <c r="B202">
        <f>Sampling!E200</f>
        <v>0</v>
      </c>
      <c r="G202">
        <f t="shared" si="8"/>
        <v>3552.5</v>
      </c>
      <c r="H2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2">
        <f t="shared" si="9"/>
        <v>3752.6</v>
      </c>
      <c r="K202" t="e">
        <f t="shared" si="10"/>
        <v>#DIV/0!</v>
      </c>
    </row>
    <row r="203" spans="1:11" hidden="1" x14ac:dyDescent="0.25">
      <c r="A203" t="str" cm="1">
        <f t="array" ref="A203">IF(ISBLANK(INDEX(SampleList[GC],ROW()-1)),"Not Requested",INDEX(SampleList[Experiment ID],ROW()-1))</f>
        <v>Not Requested</v>
      </c>
      <c r="B203">
        <f>Sampling!E201</f>
        <v>0</v>
      </c>
      <c r="G203">
        <f t="shared" si="8"/>
        <v>3552.5</v>
      </c>
      <c r="H2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3">
        <f t="shared" si="9"/>
        <v>3752.6</v>
      </c>
      <c r="K203" t="e">
        <f t="shared" si="10"/>
        <v>#DIV/0!</v>
      </c>
    </row>
    <row r="204" spans="1:11" hidden="1" x14ac:dyDescent="0.25">
      <c r="A204" t="str" cm="1">
        <f t="array" ref="A204">IF(ISBLANK(INDEX(SampleList[GC],ROW()-1)),"Not Requested",INDEX(SampleList[Experiment ID],ROW()-1))</f>
        <v>Not Requested</v>
      </c>
      <c r="B204">
        <f>Sampling!E202</f>
        <v>0</v>
      </c>
      <c r="G204">
        <f t="shared" si="8"/>
        <v>3552.5</v>
      </c>
      <c r="H2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4">
        <f t="shared" si="9"/>
        <v>3752.6</v>
      </c>
      <c r="K204" t="e">
        <f t="shared" si="10"/>
        <v>#DIV/0!</v>
      </c>
    </row>
    <row r="205" spans="1:11" hidden="1" x14ac:dyDescent="0.25">
      <c r="A205" t="str" cm="1">
        <f t="array" ref="A205">IF(ISBLANK(INDEX(SampleList[GC],ROW()-1)),"Not Requested",INDEX(SampleList[Experiment ID],ROW()-1))</f>
        <v>Not Requested</v>
      </c>
      <c r="B205">
        <f>Sampling!E203</f>
        <v>0</v>
      </c>
      <c r="G205">
        <f t="shared" si="8"/>
        <v>3552.5</v>
      </c>
      <c r="H2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5">
        <f t="shared" si="9"/>
        <v>3752.6</v>
      </c>
      <c r="K205" t="e">
        <f t="shared" si="10"/>
        <v>#DIV/0!</v>
      </c>
    </row>
    <row r="206" spans="1:11" hidden="1" x14ac:dyDescent="0.25">
      <c r="A206" t="str" cm="1">
        <f t="array" ref="A206">IF(ISBLANK(INDEX(SampleList[GC],ROW()-1)),"Not Requested",INDEX(SampleList[Experiment ID],ROW()-1))</f>
        <v>Not Requested</v>
      </c>
      <c r="B206">
        <f>Sampling!E204</f>
        <v>0</v>
      </c>
      <c r="G206">
        <f t="shared" si="8"/>
        <v>3552.5</v>
      </c>
      <c r="H2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6">
        <f t="shared" si="9"/>
        <v>3752.6</v>
      </c>
      <c r="K206" t="e">
        <f t="shared" si="10"/>
        <v>#DIV/0!</v>
      </c>
    </row>
    <row r="207" spans="1:11" hidden="1" x14ac:dyDescent="0.25">
      <c r="A207" t="str" cm="1">
        <f t="array" ref="A207">IF(ISBLANK(INDEX(SampleList[GC],ROW()-1)),"Not Requested",INDEX(SampleList[Experiment ID],ROW()-1))</f>
        <v>Not Requested</v>
      </c>
      <c r="B207">
        <f>Sampling!E205</f>
        <v>0</v>
      </c>
      <c r="G207">
        <f t="shared" si="8"/>
        <v>3552.5</v>
      </c>
      <c r="H2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7">
        <f t="shared" si="9"/>
        <v>3752.6</v>
      </c>
      <c r="K207" t="e">
        <f t="shared" si="10"/>
        <v>#DIV/0!</v>
      </c>
    </row>
    <row r="208" spans="1:11" hidden="1" x14ac:dyDescent="0.25">
      <c r="A208" t="str" cm="1">
        <f t="array" ref="A208">IF(ISBLANK(INDEX(SampleList[GC],ROW()-1)),"Not Requested",INDEX(SampleList[Experiment ID],ROW()-1))</f>
        <v>Not Requested</v>
      </c>
      <c r="B208">
        <f>Sampling!E206</f>
        <v>0</v>
      </c>
      <c r="G208">
        <f t="shared" si="8"/>
        <v>3552.5</v>
      </c>
      <c r="H2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8">
        <f t="shared" si="9"/>
        <v>3752.6</v>
      </c>
      <c r="K208" t="e">
        <f t="shared" si="10"/>
        <v>#DIV/0!</v>
      </c>
    </row>
    <row r="209" spans="1:11" hidden="1" x14ac:dyDescent="0.25">
      <c r="A209" t="str" cm="1">
        <f t="array" ref="A209">IF(ISBLANK(INDEX(SampleList[GC],ROW()-1)),"Not Requested",INDEX(SampleList[Experiment ID],ROW()-1))</f>
        <v>Not Requested</v>
      </c>
      <c r="B209">
        <f>Sampling!E207</f>
        <v>0</v>
      </c>
      <c r="G209">
        <f t="shared" si="8"/>
        <v>3552.5</v>
      </c>
      <c r="H2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09">
        <f t="shared" si="9"/>
        <v>3752.6</v>
      </c>
      <c r="K209" t="e">
        <f t="shared" si="10"/>
        <v>#DIV/0!</v>
      </c>
    </row>
    <row r="210" spans="1:11" hidden="1" x14ac:dyDescent="0.25">
      <c r="A210" t="str" cm="1">
        <f t="array" ref="A210">IF(ISBLANK(INDEX(SampleList[GC],ROW()-1)),"Not Requested",INDEX(SampleList[Experiment ID],ROW()-1))</f>
        <v>Not Requested</v>
      </c>
      <c r="B210">
        <f>Sampling!E208</f>
        <v>0</v>
      </c>
      <c r="G210">
        <f t="shared" si="8"/>
        <v>3552.5</v>
      </c>
      <c r="H2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0">
        <f t="shared" si="9"/>
        <v>3752.6</v>
      </c>
      <c r="K210" t="e">
        <f t="shared" si="10"/>
        <v>#DIV/0!</v>
      </c>
    </row>
    <row r="211" spans="1:11" hidden="1" x14ac:dyDescent="0.25">
      <c r="A211" t="str" cm="1">
        <f t="array" ref="A211">IF(ISBLANK(INDEX(SampleList[GC],ROW()-1)),"Not Requested",INDEX(SampleList[Experiment ID],ROW()-1))</f>
        <v>Not Requested</v>
      </c>
      <c r="B211">
        <f>Sampling!E209</f>
        <v>0</v>
      </c>
      <c r="G211">
        <f t="shared" si="8"/>
        <v>3552.5</v>
      </c>
      <c r="H2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1">
        <f t="shared" si="9"/>
        <v>3752.6</v>
      </c>
      <c r="K211" t="e">
        <f t="shared" si="10"/>
        <v>#DIV/0!</v>
      </c>
    </row>
    <row r="212" spans="1:11" hidden="1" x14ac:dyDescent="0.25">
      <c r="A212" t="str" cm="1">
        <f t="array" ref="A212">IF(ISBLANK(INDEX(SampleList[GC],ROW()-1)),"Not Requested",INDEX(SampleList[Experiment ID],ROW()-1))</f>
        <v>Not Requested</v>
      </c>
      <c r="B212">
        <f>Sampling!E210</f>
        <v>0</v>
      </c>
      <c r="G212">
        <f t="shared" si="8"/>
        <v>3552.5</v>
      </c>
      <c r="H2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2">
        <f t="shared" si="9"/>
        <v>3752.6</v>
      </c>
      <c r="K212" t="e">
        <f t="shared" si="10"/>
        <v>#DIV/0!</v>
      </c>
    </row>
    <row r="213" spans="1:11" hidden="1" x14ac:dyDescent="0.25">
      <c r="A213" t="str" cm="1">
        <f t="array" ref="A213">IF(ISBLANK(INDEX(SampleList[GC],ROW()-1)),"Not Requested",INDEX(SampleList[Experiment ID],ROW()-1))</f>
        <v>Not Requested</v>
      </c>
      <c r="B213">
        <f>Sampling!E211</f>
        <v>0</v>
      </c>
      <c r="G213">
        <f t="shared" si="8"/>
        <v>3552.5</v>
      </c>
      <c r="H2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3">
        <f t="shared" si="9"/>
        <v>3752.6</v>
      </c>
      <c r="K213" t="e">
        <f t="shared" si="10"/>
        <v>#DIV/0!</v>
      </c>
    </row>
    <row r="214" spans="1:11" hidden="1" x14ac:dyDescent="0.25">
      <c r="A214" t="str" cm="1">
        <f t="array" ref="A214">IF(ISBLANK(INDEX(SampleList[GC],ROW()-1)),"Not Requested",INDEX(SampleList[Experiment ID],ROW()-1))</f>
        <v>Not Requested</v>
      </c>
      <c r="B214">
        <f>Sampling!E212</f>
        <v>0</v>
      </c>
      <c r="G214">
        <f t="shared" si="8"/>
        <v>3552.5</v>
      </c>
      <c r="H2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4">
        <f t="shared" si="9"/>
        <v>3752.6</v>
      </c>
      <c r="K214" t="e">
        <f t="shared" si="10"/>
        <v>#DIV/0!</v>
      </c>
    </row>
    <row r="215" spans="1:11" hidden="1" x14ac:dyDescent="0.25">
      <c r="A215" t="str" cm="1">
        <f t="array" ref="A215">IF(ISBLANK(INDEX(SampleList[GC],ROW()-1)),"Not Requested",INDEX(SampleList[Experiment ID],ROW()-1))</f>
        <v>Not Requested</v>
      </c>
      <c r="B215">
        <f>Sampling!E213</f>
        <v>0</v>
      </c>
      <c r="G215">
        <f t="shared" si="8"/>
        <v>3552.5</v>
      </c>
      <c r="H2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5">
        <f t="shared" si="9"/>
        <v>3752.6</v>
      </c>
      <c r="K215" t="e">
        <f t="shared" si="10"/>
        <v>#DIV/0!</v>
      </c>
    </row>
    <row r="216" spans="1:11" hidden="1" x14ac:dyDescent="0.25">
      <c r="A216" t="str" cm="1">
        <f t="array" ref="A216">IF(ISBLANK(INDEX(SampleList[GC],ROW()-1)),"Not Requested",INDEX(SampleList[Experiment ID],ROW()-1))</f>
        <v>Not Requested</v>
      </c>
      <c r="B216">
        <f>Sampling!E214</f>
        <v>0</v>
      </c>
      <c r="G216">
        <f t="shared" si="8"/>
        <v>3552.5</v>
      </c>
      <c r="H2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6">
        <f t="shared" si="9"/>
        <v>3752.6</v>
      </c>
      <c r="K216" t="e">
        <f t="shared" si="10"/>
        <v>#DIV/0!</v>
      </c>
    </row>
    <row r="217" spans="1:11" hidden="1" x14ac:dyDescent="0.25">
      <c r="A217" t="str" cm="1">
        <f t="array" ref="A217">IF(ISBLANK(INDEX(SampleList[GC],ROW()-1)),"Not Requested",INDEX(SampleList[Experiment ID],ROW()-1))</f>
        <v>Not Requested</v>
      </c>
      <c r="B217">
        <f>Sampling!E215</f>
        <v>0</v>
      </c>
      <c r="G217">
        <f t="shared" si="8"/>
        <v>3552.5</v>
      </c>
      <c r="H2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7">
        <f t="shared" si="9"/>
        <v>3752.6</v>
      </c>
      <c r="K217" t="e">
        <f t="shared" si="10"/>
        <v>#DIV/0!</v>
      </c>
    </row>
    <row r="218" spans="1:11" hidden="1" x14ac:dyDescent="0.25">
      <c r="A218" t="str" cm="1">
        <f t="array" ref="A218">IF(ISBLANK(INDEX(SampleList[GC],ROW()-1)),"Not Requested",INDEX(SampleList[Experiment ID],ROW()-1))</f>
        <v>Not Requested</v>
      </c>
      <c r="B218">
        <f>Sampling!E216</f>
        <v>0</v>
      </c>
      <c r="G218">
        <f t="shared" si="8"/>
        <v>3552.5</v>
      </c>
      <c r="H2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8">
        <f t="shared" si="9"/>
        <v>3752.6</v>
      </c>
      <c r="K218" t="e">
        <f t="shared" si="10"/>
        <v>#DIV/0!</v>
      </c>
    </row>
    <row r="219" spans="1:11" hidden="1" x14ac:dyDescent="0.25">
      <c r="A219" t="str" cm="1">
        <f t="array" ref="A219">IF(ISBLANK(INDEX(SampleList[GC],ROW()-1)),"Not Requested",INDEX(SampleList[Experiment ID],ROW()-1))</f>
        <v>Not Requested</v>
      </c>
      <c r="B219">
        <f>Sampling!E217</f>
        <v>0</v>
      </c>
      <c r="G219">
        <f t="shared" si="8"/>
        <v>3552.5</v>
      </c>
      <c r="H2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19">
        <f t="shared" si="9"/>
        <v>3752.6</v>
      </c>
      <c r="K219" t="e">
        <f t="shared" si="10"/>
        <v>#DIV/0!</v>
      </c>
    </row>
    <row r="220" spans="1:11" hidden="1" x14ac:dyDescent="0.25">
      <c r="A220" t="str" cm="1">
        <f t="array" ref="A220">IF(ISBLANK(INDEX(SampleList[GC],ROW()-1)),"Not Requested",INDEX(SampleList[Experiment ID],ROW()-1))</f>
        <v>Not Requested</v>
      </c>
      <c r="B220">
        <f>Sampling!E218</f>
        <v>0</v>
      </c>
      <c r="G220">
        <f t="shared" si="8"/>
        <v>3552.5</v>
      </c>
      <c r="H2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0">
        <f t="shared" si="9"/>
        <v>3752.6</v>
      </c>
      <c r="K220" t="e">
        <f t="shared" si="10"/>
        <v>#DIV/0!</v>
      </c>
    </row>
    <row r="221" spans="1:11" hidden="1" x14ac:dyDescent="0.25">
      <c r="A221" t="str" cm="1">
        <f t="array" ref="A221">IF(ISBLANK(INDEX(SampleList[GC],ROW()-1)),"Not Requested",INDEX(SampleList[Experiment ID],ROW()-1))</f>
        <v>Not Requested</v>
      </c>
      <c r="B221">
        <f>Sampling!E219</f>
        <v>0</v>
      </c>
      <c r="G221">
        <f t="shared" si="8"/>
        <v>3552.5</v>
      </c>
      <c r="H2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1">
        <f t="shared" si="9"/>
        <v>3752.6</v>
      </c>
      <c r="K221" t="e">
        <f t="shared" si="10"/>
        <v>#DIV/0!</v>
      </c>
    </row>
    <row r="222" spans="1:11" hidden="1" x14ac:dyDescent="0.25">
      <c r="A222" t="str" cm="1">
        <f t="array" ref="A222">IF(ISBLANK(INDEX(SampleList[GC],ROW()-1)),"Not Requested",INDEX(SampleList[Experiment ID],ROW()-1))</f>
        <v>Not Requested</v>
      </c>
      <c r="B222">
        <f>Sampling!E220</f>
        <v>0</v>
      </c>
      <c r="G222">
        <f t="shared" si="8"/>
        <v>3552.5</v>
      </c>
      <c r="H2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2">
        <f t="shared" si="9"/>
        <v>3752.6</v>
      </c>
      <c r="K222" t="e">
        <f t="shared" si="10"/>
        <v>#DIV/0!</v>
      </c>
    </row>
    <row r="223" spans="1:11" hidden="1" x14ac:dyDescent="0.25">
      <c r="A223" t="str" cm="1">
        <f t="array" ref="A223">IF(ISBLANK(INDEX(SampleList[GC],ROW()-1)),"Not Requested",INDEX(SampleList[Experiment ID],ROW()-1))</f>
        <v>Not Requested</v>
      </c>
      <c r="B223">
        <f>Sampling!E221</f>
        <v>0</v>
      </c>
      <c r="G223">
        <f t="shared" si="8"/>
        <v>3552.5</v>
      </c>
      <c r="H2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3">
        <f t="shared" si="9"/>
        <v>3752.6</v>
      </c>
      <c r="K223" t="e">
        <f t="shared" si="10"/>
        <v>#DIV/0!</v>
      </c>
    </row>
    <row r="224" spans="1:11" hidden="1" x14ac:dyDescent="0.25">
      <c r="A224" t="str" cm="1">
        <f t="array" ref="A224">IF(ISBLANK(INDEX(SampleList[GC],ROW()-1)),"Not Requested",INDEX(SampleList[Experiment ID],ROW()-1))</f>
        <v>Not Requested</v>
      </c>
      <c r="B224">
        <f>Sampling!E222</f>
        <v>0</v>
      </c>
      <c r="G224">
        <f t="shared" si="8"/>
        <v>3552.5</v>
      </c>
      <c r="H2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4">
        <f t="shared" si="9"/>
        <v>3752.6</v>
      </c>
      <c r="K224" t="e">
        <f t="shared" si="10"/>
        <v>#DIV/0!</v>
      </c>
    </row>
    <row r="225" spans="1:11" hidden="1" x14ac:dyDescent="0.25">
      <c r="A225" t="str" cm="1">
        <f t="array" ref="A225">IF(ISBLANK(INDEX(SampleList[GC],ROW()-1)),"Not Requested",INDEX(SampleList[Experiment ID],ROW()-1))</f>
        <v>Not Requested</v>
      </c>
      <c r="B225">
        <f>Sampling!E223</f>
        <v>0</v>
      </c>
      <c r="G225">
        <f t="shared" ref="G225:G288" si="11">24.5*145</f>
        <v>3552.5</v>
      </c>
      <c r="H2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5">
        <f t="shared" si="9"/>
        <v>3752.6</v>
      </c>
      <c r="K225" t="e">
        <f t="shared" si="10"/>
        <v>#DIV/0!</v>
      </c>
    </row>
    <row r="226" spans="1:11" hidden="1" x14ac:dyDescent="0.25">
      <c r="A226" t="str" cm="1">
        <f t="array" ref="A226">IF(ISBLANK(INDEX(SampleList[GC],ROW()-1)),"Not Requested",INDEX(SampleList[Experiment ID],ROW()-1))</f>
        <v>Not Requested</v>
      </c>
      <c r="B226">
        <f>Sampling!E224</f>
        <v>0</v>
      </c>
      <c r="G226">
        <f t="shared" si="11"/>
        <v>3552.5</v>
      </c>
      <c r="H2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6">
        <f t="shared" si="9"/>
        <v>3752.6</v>
      </c>
      <c r="K226" t="e">
        <f t="shared" si="10"/>
        <v>#DIV/0!</v>
      </c>
    </row>
    <row r="227" spans="1:11" hidden="1" x14ac:dyDescent="0.25">
      <c r="A227" t="str" cm="1">
        <f t="array" ref="A227">IF(ISBLANK(INDEX(SampleList[GC],ROW()-1)),"Not Requested",INDEX(SampleList[Experiment ID],ROW()-1))</f>
        <v>Not Requested</v>
      </c>
      <c r="B227">
        <f>Sampling!E225</f>
        <v>0</v>
      </c>
      <c r="G227">
        <f t="shared" si="11"/>
        <v>3552.5</v>
      </c>
      <c r="H2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7">
        <f t="shared" si="9"/>
        <v>3752.6</v>
      </c>
      <c r="K227" t="e">
        <f t="shared" si="10"/>
        <v>#DIV/0!</v>
      </c>
    </row>
    <row r="228" spans="1:11" hidden="1" x14ac:dyDescent="0.25">
      <c r="A228" t="str" cm="1">
        <f t="array" ref="A228">IF(ISBLANK(INDEX(SampleList[GC],ROW()-1)),"Not Requested",INDEX(SampleList[Experiment ID],ROW()-1))</f>
        <v>Not Requested</v>
      </c>
      <c r="B228">
        <f>Sampling!E226</f>
        <v>0</v>
      </c>
      <c r="G228">
        <f t="shared" si="11"/>
        <v>3552.5</v>
      </c>
      <c r="H2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8">
        <f t="shared" si="9"/>
        <v>3752.6</v>
      </c>
      <c r="K228" t="e">
        <f t="shared" si="10"/>
        <v>#DIV/0!</v>
      </c>
    </row>
    <row r="229" spans="1:11" hidden="1" x14ac:dyDescent="0.25">
      <c r="A229" t="str" cm="1">
        <f t="array" ref="A229">IF(ISBLANK(INDEX(SampleList[GC],ROW()-1)),"Not Requested",INDEX(SampleList[Experiment ID],ROW()-1))</f>
        <v>Not Requested</v>
      </c>
      <c r="B229">
        <f>Sampling!E227</f>
        <v>0</v>
      </c>
      <c r="G229">
        <f t="shared" si="11"/>
        <v>3552.5</v>
      </c>
      <c r="H2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29">
        <f t="shared" si="9"/>
        <v>3752.6</v>
      </c>
      <c r="K229" t="e">
        <f t="shared" si="10"/>
        <v>#DIV/0!</v>
      </c>
    </row>
    <row r="230" spans="1:11" hidden="1" x14ac:dyDescent="0.25">
      <c r="A230" t="str" cm="1">
        <f t="array" ref="A230">IF(ISBLANK(INDEX(SampleList[GC],ROW()-1)),"Not Requested",INDEX(SampleList[Experiment ID],ROW()-1))</f>
        <v>Not Requested</v>
      </c>
      <c r="B230">
        <f>Sampling!E228</f>
        <v>0</v>
      </c>
      <c r="G230">
        <f t="shared" si="11"/>
        <v>3552.5</v>
      </c>
      <c r="H2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0">
        <f t="shared" si="9"/>
        <v>3752.6</v>
      </c>
      <c r="K230" t="e">
        <f t="shared" si="10"/>
        <v>#DIV/0!</v>
      </c>
    </row>
    <row r="231" spans="1:11" hidden="1" x14ac:dyDescent="0.25">
      <c r="A231" t="str" cm="1">
        <f t="array" ref="A231">IF(ISBLANK(INDEX(SampleList[GC],ROW()-1)),"Not Requested",INDEX(SampleList[Experiment ID],ROW()-1))</f>
        <v>Not Requested</v>
      </c>
      <c r="B231">
        <f>Sampling!E229</f>
        <v>0</v>
      </c>
      <c r="G231">
        <f t="shared" si="11"/>
        <v>3552.5</v>
      </c>
      <c r="H2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1">
        <f t="shared" si="9"/>
        <v>3752.6</v>
      </c>
      <c r="K231" t="e">
        <f t="shared" si="10"/>
        <v>#DIV/0!</v>
      </c>
    </row>
    <row r="232" spans="1:11" hidden="1" x14ac:dyDescent="0.25">
      <c r="A232" t="str" cm="1">
        <f t="array" ref="A232">IF(ISBLANK(INDEX(SampleList[GC],ROW()-1)),"Not Requested",INDEX(SampleList[Experiment ID],ROW()-1))</f>
        <v>Not Requested</v>
      </c>
      <c r="B232">
        <f>Sampling!E230</f>
        <v>0</v>
      </c>
      <c r="G232">
        <f t="shared" si="11"/>
        <v>3552.5</v>
      </c>
      <c r="H2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2">
        <f t="shared" si="9"/>
        <v>3752.6</v>
      </c>
      <c r="K232" t="e">
        <f t="shared" si="10"/>
        <v>#DIV/0!</v>
      </c>
    </row>
    <row r="233" spans="1:11" hidden="1" x14ac:dyDescent="0.25">
      <c r="A233" t="str" cm="1">
        <f t="array" ref="A233">IF(ISBLANK(INDEX(SampleList[GC],ROW()-1)),"Not Requested",INDEX(SampleList[Experiment ID],ROW()-1))</f>
        <v>Not Requested</v>
      </c>
      <c r="B233">
        <f>Sampling!E231</f>
        <v>0</v>
      </c>
      <c r="G233">
        <f t="shared" si="11"/>
        <v>3552.5</v>
      </c>
      <c r="H2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3">
        <f t="shared" si="9"/>
        <v>3752.6</v>
      </c>
      <c r="K233" t="e">
        <f t="shared" si="10"/>
        <v>#DIV/0!</v>
      </c>
    </row>
    <row r="234" spans="1:11" hidden="1" x14ac:dyDescent="0.25">
      <c r="A234" t="str" cm="1">
        <f t="array" ref="A234">IF(ISBLANK(INDEX(SampleList[GC],ROW()-1)),"Not Requested",INDEX(SampleList[Experiment ID],ROW()-1))</f>
        <v>Not Requested</v>
      </c>
      <c r="B234">
        <f>Sampling!E232</f>
        <v>0</v>
      </c>
      <c r="G234">
        <f t="shared" si="11"/>
        <v>3552.5</v>
      </c>
      <c r="H2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4">
        <f t="shared" si="9"/>
        <v>3752.6</v>
      </c>
      <c r="K234" t="e">
        <f t="shared" si="10"/>
        <v>#DIV/0!</v>
      </c>
    </row>
    <row r="235" spans="1:11" hidden="1" x14ac:dyDescent="0.25">
      <c r="A235" t="str" cm="1">
        <f t="array" ref="A235">IF(ISBLANK(INDEX(SampleList[GC],ROW()-1)),"Not Requested",INDEX(SampleList[Experiment ID],ROW()-1))</f>
        <v>Not Requested</v>
      </c>
      <c r="B235">
        <f>Sampling!E233</f>
        <v>0</v>
      </c>
      <c r="G235">
        <f t="shared" si="11"/>
        <v>3552.5</v>
      </c>
      <c r="H2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5">
        <f t="shared" si="9"/>
        <v>3752.6</v>
      </c>
      <c r="K235" t="e">
        <f t="shared" si="10"/>
        <v>#DIV/0!</v>
      </c>
    </row>
    <row r="236" spans="1:11" hidden="1" x14ac:dyDescent="0.25">
      <c r="A236" t="str" cm="1">
        <f t="array" ref="A236">IF(ISBLANK(INDEX(SampleList[GC],ROW()-1)),"Not Requested",INDEX(SampleList[Experiment ID],ROW()-1))</f>
        <v>Not Requested</v>
      </c>
      <c r="B236">
        <f>Sampling!E234</f>
        <v>0</v>
      </c>
      <c r="G236">
        <f t="shared" si="11"/>
        <v>3552.5</v>
      </c>
      <c r="H2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6">
        <f t="shared" si="9"/>
        <v>3752.6</v>
      </c>
      <c r="K236" t="e">
        <f t="shared" si="10"/>
        <v>#DIV/0!</v>
      </c>
    </row>
    <row r="237" spans="1:11" hidden="1" x14ac:dyDescent="0.25">
      <c r="A237" t="str" cm="1">
        <f t="array" ref="A237">IF(ISBLANK(INDEX(SampleList[GC],ROW()-1)),"Not Requested",INDEX(SampleList[Experiment ID],ROW()-1))</f>
        <v>Not Requested</v>
      </c>
      <c r="B237">
        <f>Sampling!E235</f>
        <v>0</v>
      </c>
      <c r="G237">
        <f t="shared" si="11"/>
        <v>3552.5</v>
      </c>
      <c r="H2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7">
        <f t="shared" si="9"/>
        <v>3752.6</v>
      </c>
      <c r="K237" t="e">
        <f t="shared" si="10"/>
        <v>#DIV/0!</v>
      </c>
    </row>
    <row r="238" spans="1:11" hidden="1" x14ac:dyDescent="0.25">
      <c r="A238" t="str" cm="1">
        <f t="array" ref="A238">IF(ISBLANK(INDEX(SampleList[GC],ROW()-1)),"Not Requested",INDEX(SampleList[Experiment ID],ROW()-1))</f>
        <v>Not Requested</v>
      </c>
      <c r="B238">
        <f>Sampling!E236</f>
        <v>0</v>
      </c>
      <c r="G238">
        <f t="shared" si="11"/>
        <v>3552.5</v>
      </c>
      <c r="H2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8">
        <f t="shared" si="9"/>
        <v>3752.6</v>
      </c>
      <c r="K238" t="e">
        <f t="shared" si="10"/>
        <v>#DIV/0!</v>
      </c>
    </row>
    <row r="239" spans="1:11" hidden="1" x14ac:dyDescent="0.25">
      <c r="A239" t="str" cm="1">
        <f t="array" ref="A239">IF(ISBLANK(INDEX(SampleList[GC],ROW()-1)),"Not Requested",INDEX(SampleList[Experiment ID],ROW()-1))</f>
        <v>Not Requested</v>
      </c>
      <c r="B239">
        <f>Sampling!E237</f>
        <v>0</v>
      </c>
      <c r="G239">
        <f t="shared" si="11"/>
        <v>3552.5</v>
      </c>
      <c r="H2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39">
        <f t="shared" si="9"/>
        <v>3752.6</v>
      </c>
      <c r="K239" t="e">
        <f t="shared" si="10"/>
        <v>#DIV/0!</v>
      </c>
    </row>
    <row r="240" spans="1:11" hidden="1" x14ac:dyDescent="0.25">
      <c r="A240" t="str" cm="1">
        <f t="array" ref="A240">IF(ISBLANK(INDEX(SampleList[GC],ROW()-1)),"Not Requested",INDEX(SampleList[Experiment ID],ROW()-1))</f>
        <v>Not Requested</v>
      </c>
      <c r="B240">
        <f>Sampling!E238</f>
        <v>0</v>
      </c>
      <c r="G240">
        <f t="shared" si="11"/>
        <v>3552.5</v>
      </c>
      <c r="H2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0">
        <f t="shared" si="9"/>
        <v>3752.6</v>
      </c>
      <c r="K240" t="e">
        <f t="shared" si="10"/>
        <v>#DIV/0!</v>
      </c>
    </row>
    <row r="241" spans="1:11" hidden="1" x14ac:dyDescent="0.25">
      <c r="A241" t="str" cm="1">
        <f t="array" ref="A241">IF(ISBLANK(INDEX(SampleList[GC],ROW()-1)),"Not Requested",INDEX(SampleList[Experiment ID],ROW()-1))</f>
        <v>Not Requested</v>
      </c>
      <c r="B241">
        <f>Sampling!E239</f>
        <v>0</v>
      </c>
      <c r="G241">
        <f t="shared" si="11"/>
        <v>3552.5</v>
      </c>
      <c r="H2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1">
        <f t="shared" si="9"/>
        <v>3752.6</v>
      </c>
      <c r="K241" t="e">
        <f t="shared" si="10"/>
        <v>#DIV/0!</v>
      </c>
    </row>
    <row r="242" spans="1:11" hidden="1" x14ac:dyDescent="0.25">
      <c r="A242" t="str" cm="1">
        <f t="array" ref="A242">IF(ISBLANK(INDEX(SampleList[GC],ROW()-1)),"Not Requested",INDEX(SampleList[Experiment ID],ROW()-1))</f>
        <v>Not Requested</v>
      </c>
      <c r="B242">
        <f>Sampling!E240</f>
        <v>0</v>
      </c>
      <c r="G242">
        <f t="shared" si="11"/>
        <v>3552.5</v>
      </c>
      <c r="H2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2">
        <f t="shared" si="9"/>
        <v>3752.6</v>
      </c>
      <c r="K242" t="e">
        <f t="shared" si="10"/>
        <v>#DIV/0!</v>
      </c>
    </row>
    <row r="243" spans="1:11" hidden="1" x14ac:dyDescent="0.25">
      <c r="A243" t="str" cm="1">
        <f t="array" ref="A243">IF(ISBLANK(INDEX(SampleList[GC],ROW()-1)),"Not Requested",INDEX(SampleList[Experiment ID],ROW()-1))</f>
        <v>Not Requested</v>
      </c>
      <c r="B243">
        <f>Sampling!E241</f>
        <v>0</v>
      </c>
      <c r="G243">
        <f t="shared" si="11"/>
        <v>3552.5</v>
      </c>
      <c r="H2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3">
        <f t="shared" si="9"/>
        <v>3752.6</v>
      </c>
      <c r="K243" t="e">
        <f t="shared" si="10"/>
        <v>#DIV/0!</v>
      </c>
    </row>
    <row r="244" spans="1:11" hidden="1" x14ac:dyDescent="0.25">
      <c r="A244" t="str" cm="1">
        <f t="array" ref="A244">IF(ISBLANK(INDEX(SampleList[GC],ROW()-1)),"Not Requested",INDEX(SampleList[Experiment ID],ROW()-1))</f>
        <v>Not Requested</v>
      </c>
      <c r="B244">
        <f>Sampling!E242</f>
        <v>0</v>
      </c>
      <c r="G244">
        <f t="shared" si="11"/>
        <v>3552.5</v>
      </c>
      <c r="H2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4">
        <f t="shared" si="9"/>
        <v>3752.6</v>
      </c>
      <c r="K244" t="e">
        <f t="shared" si="10"/>
        <v>#DIV/0!</v>
      </c>
    </row>
    <row r="245" spans="1:11" hidden="1" x14ac:dyDescent="0.25">
      <c r="A245" t="str" cm="1">
        <f t="array" ref="A245">IF(ISBLANK(INDEX(SampleList[GC],ROW()-1)),"Not Requested",INDEX(SampleList[Experiment ID],ROW()-1))</f>
        <v>Not Requested</v>
      </c>
      <c r="B245">
        <f>Sampling!E243</f>
        <v>0</v>
      </c>
      <c r="G245">
        <f t="shared" si="11"/>
        <v>3552.5</v>
      </c>
      <c r="H2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5">
        <f t="shared" si="9"/>
        <v>3752.6</v>
      </c>
      <c r="K245" t="e">
        <f t="shared" si="10"/>
        <v>#DIV/0!</v>
      </c>
    </row>
    <row r="246" spans="1:11" hidden="1" x14ac:dyDescent="0.25">
      <c r="A246" t="str" cm="1">
        <f t="array" ref="A246">IF(ISBLANK(INDEX(SampleList[GC],ROW()-1)),"Not Requested",INDEX(SampleList[Experiment ID],ROW()-1))</f>
        <v>Not Requested</v>
      </c>
      <c r="B246">
        <f>Sampling!E244</f>
        <v>0</v>
      </c>
      <c r="G246">
        <f t="shared" si="11"/>
        <v>3552.5</v>
      </c>
      <c r="H2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6">
        <f t="shared" si="9"/>
        <v>3752.6</v>
      </c>
      <c r="K246" t="e">
        <f t="shared" si="10"/>
        <v>#DIV/0!</v>
      </c>
    </row>
    <row r="247" spans="1:11" hidden="1" x14ac:dyDescent="0.25">
      <c r="A247" t="str" cm="1">
        <f t="array" ref="A247">IF(ISBLANK(INDEX(SampleList[GC],ROW()-1)),"Not Requested",INDEX(SampleList[Experiment ID],ROW()-1))</f>
        <v>Not Requested</v>
      </c>
      <c r="B247">
        <f>Sampling!E245</f>
        <v>0</v>
      </c>
      <c r="G247">
        <f t="shared" si="11"/>
        <v>3552.5</v>
      </c>
      <c r="H2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7">
        <f t="shared" si="9"/>
        <v>3752.6</v>
      </c>
      <c r="K247" t="e">
        <f t="shared" si="10"/>
        <v>#DIV/0!</v>
      </c>
    </row>
    <row r="248" spans="1:11" hidden="1" x14ac:dyDescent="0.25">
      <c r="A248" t="str" cm="1">
        <f t="array" ref="A248">IF(ISBLANK(INDEX(SampleList[GC],ROW()-1)),"Not Requested",INDEX(SampleList[Experiment ID],ROW()-1))</f>
        <v>Not Requested</v>
      </c>
      <c r="B248">
        <f>Sampling!E246</f>
        <v>0</v>
      </c>
      <c r="G248">
        <f t="shared" si="11"/>
        <v>3552.5</v>
      </c>
      <c r="H2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8">
        <f t="shared" si="9"/>
        <v>3752.6</v>
      </c>
      <c r="K248" t="e">
        <f t="shared" si="10"/>
        <v>#DIV/0!</v>
      </c>
    </row>
    <row r="249" spans="1:11" hidden="1" x14ac:dyDescent="0.25">
      <c r="A249" t="str" cm="1">
        <f t="array" ref="A249">IF(ISBLANK(INDEX(SampleList[GC],ROW()-1)),"Not Requested",INDEX(SampleList[Experiment ID],ROW()-1))</f>
        <v>Not Requested</v>
      </c>
      <c r="B249">
        <f>Sampling!E247</f>
        <v>0</v>
      </c>
      <c r="G249">
        <f t="shared" si="11"/>
        <v>3552.5</v>
      </c>
      <c r="H2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49">
        <f t="shared" si="9"/>
        <v>3752.6</v>
      </c>
      <c r="K249" t="e">
        <f t="shared" si="10"/>
        <v>#DIV/0!</v>
      </c>
    </row>
    <row r="250" spans="1:11" hidden="1" x14ac:dyDescent="0.25">
      <c r="A250" t="str" cm="1">
        <f t="array" ref="A250">IF(ISBLANK(INDEX(SampleList[GC],ROW()-1)),"Not Requested",INDEX(SampleList[Experiment ID],ROW()-1))</f>
        <v>Not Requested</v>
      </c>
      <c r="B250">
        <f>Sampling!E248</f>
        <v>0</v>
      </c>
      <c r="G250">
        <f t="shared" si="11"/>
        <v>3552.5</v>
      </c>
      <c r="H2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0">
        <f t="shared" si="9"/>
        <v>3752.6</v>
      </c>
      <c r="K250" t="e">
        <f t="shared" si="10"/>
        <v>#DIV/0!</v>
      </c>
    </row>
    <row r="251" spans="1:11" hidden="1" x14ac:dyDescent="0.25">
      <c r="A251" t="str" cm="1">
        <f t="array" ref="A251">IF(ISBLANK(INDEX(SampleList[GC],ROW()-1)),"Not Requested",INDEX(SampleList[Experiment ID],ROW()-1))</f>
        <v>Not Requested</v>
      </c>
      <c r="B251">
        <f>Sampling!E249</f>
        <v>0</v>
      </c>
      <c r="G251">
        <f t="shared" si="11"/>
        <v>3552.5</v>
      </c>
      <c r="H2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1">
        <f t="shared" si="9"/>
        <v>3752.6</v>
      </c>
      <c r="K251" t="e">
        <f t="shared" si="10"/>
        <v>#DIV/0!</v>
      </c>
    </row>
    <row r="252" spans="1:11" hidden="1" x14ac:dyDescent="0.25">
      <c r="A252" t="str" cm="1">
        <f t="array" ref="A252">IF(ISBLANK(INDEX(SampleList[GC],ROW()-1)),"Not Requested",INDEX(SampleList[Experiment ID],ROW()-1))</f>
        <v>Not Requested</v>
      </c>
      <c r="B252">
        <f>Sampling!E250</f>
        <v>0</v>
      </c>
      <c r="G252">
        <f t="shared" si="11"/>
        <v>3552.5</v>
      </c>
      <c r="H2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2">
        <f t="shared" si="9"/>
        <v>3752.6</v>
      </c>
      <c r="K252" t="e">
        <f t="shared" si="10"/>
        <v>#DIV/0!</v>
      </c>
    </row>
    <row r="253" spans="1:11" hidden="1" x14ac:dyDescent="0.25">
      <c r="A253" t="str" cm="1">
        <f t="array" ref="A253">IF(ISBLANK(INDEX(SampleList[GC],ROW()-1)),"Not Requested",INDEX(SampleList[Experiment ID],ROW()-1))</f>
        <v>Not Requested</v>
      </c>
      <c r="B253">
        <f>Sampling!E251</f>
        <v>0</v>
      </c>
      <c r="G253">
        <f t="shared" si="11"/>
        <v>3552.5</v>
      </c>
      <c r="H2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3">
        <f t="shared" si="9"/>
        <v>3752.6</v>
      </c>
      <c r="K253" t="e">
        <f t="shared" si="10"/>
        <v>#DIV/0!</v>
      </c>
    </row>
    <row r="254" spans="1:11" hidden="1" x14ac:dyDescent="0.25">
      <c r="A254" t="str" cm="1">
        <f t="array" ref="A254">IF(ISBLANK(INDEX(SampleList[GC],ROW()-1)),"Not Requested",INDEX(SampleList[Experiment ID],ROW()-1))</f>
        <v>Not Requested</v>
      </c>
      <c r="B254">
        <f>Sampling!E252</f>
        <v>0</v>
      </c>
      <c r="G254">
        <f t="shared" si="11"/>
        <v>3552.5</v>
      </c>
      <c r="H2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4">
        <f t="shared" si="9"/>
        <v>3752.6</v>
      </c>
      <c r="K254" t="e">
        <f t="shared" si="10"/>
        <v>#DIV/0!</v>
      </c>
    </row>
    <row r="255" spans="1:11" hidden="1" x14ac:dyDescent="0.25">
      <c r="A255" t="str" cm="1">
        <f t="array" ref="A255">IF(ISBLANK(INDEX(SampleList[GC],ROW()-1)),"Not Requested",INDEX(SampleList[Experiment ID],ROW()-1))</f>
        <v>Not Requested</v>
      </c>
      <c r="B255">
        <f>Sampling!E253</f>
        <v>0</v>
      </c>
      <c r="G255">
        <f t="shared" si="11"/>
        <v>3552.5</v>
      </c>
      <c r="H2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5">
        <f t="shared" si="9"/>
        <v>3752.6</v>
      </c>
      <c r="K255" t="e">
        <f t="shared" si="10"/>
        <v>#DIV/0!</v>
      </c>
    </row>
    <row r="256" spans="1:11" hidden="1" x14ac:dyDescent="0.25">
      <c r="A256" t="str" cm="1">
        <f t="array" ref="A256">IF(ISBLANK(INDEX(SampleList[GC],ROW()-1)),"Not Requested",INDEX(SampleList[Experiment ID],ROW()-1))</f>
        <v>Not Requested</v>
      </c>
      <c r="B256">
        <f>Sampling!E254</f>
        <v>0</v>
      </c>
      <c r="G256">
        <f t="shared" si="11"/>
        <v>3552.5</v>
      </c>
      <c r="H2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6">
        <f t="shared" si="9"/>
        <v>3752.6</v>
      </c>
      <c r="K256" t="e">
        <f t="shared" si="10"/>
        <v>#DIV/0!</v>
      </c>
    </row>
    <row r="257" spans="1:11" hidden="1" x14ac:dyDescent="0.25">
      <c r="A257" t="str" cm="1">
        <f t="array" ref="A257">IF(ISBLANK(INDEX(SampleList[GC],ROW()-1)),"Not Requested",INDEX(SampleList[Experiment ID],ROW()-1))</f>
        <v>Not Requested</v>
      </c>
      <c r="B257">
        <f>Sampling!E255</f>
        <v>0</v>
      </c>
      <c r="G257">
        <f t="shared" si="11"/>
        <v>3552.5</v>
      </c>
      <c r="H2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7">
        <f t="shared" si="9"/>
        <v>3752.6</v>
      </c>
      <c r="K257" t="e">
        <f t="shared" si="10"/>
        <v>#DIV/0!</v>
      </c>
    </row>
    <row r="258" spans="1:11" hidden="1" x14ac:dyDescent="0.25">
      <c r="A258" t="str" cm="1">
        <f t="array" ref="A258">IF(ISBLANK(INDEX(SampleList[GC],ROW()-1)),"Not Requested",INDEX(SampleList[Experiment ID],ROW()-1))</f>
        <v>Not Requested</v>
      </c>
      <c r="B258">
        <f>Sampling!E256</f>
        <v>0</v>
      </c>
      <c r="G258">
        <f t="shared" si="11"/>
        <v>3552.5</v>
      </c>
      <c r="H2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8">
        <f t="shared" ref="I258:I321" si="12">25.88*145</f>
        <v>3752.6</v>
      </c>
      <c r="K258" t="e">
        <f t="shared" ref="K258:K321" si="13">(500/D258)*J258</f>
        <v>#DIV/0!</v>
      </c>
    </row>
    <row r="259" spans="1:11" hidden="1" x14ac:dyDescent="0.25">
      <c r="A259" t="str" cm="1">
        <f t="array" ref="A259">IF(ISBLANK(INDEX(SampleList[GC],ROW()-1)),"Not Requested",INDEX(SampleList[Experiment ID],ROW()-1))</f>
        <v>Not Requested</v>
      </c>
      <c r="B259">
        <f>Sampling!E257</f>
        <v>0</v>
      </c>
      <c r="G259">
        <f t="shared" si="11"/>
        <v>3552.5</v>
      </c>
      <c r="H2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59">
        <f t="shared" si="12"/>
        <v>3752.6</v>
      </c>
      <c r="K259" t="e">
        <f t="shared" si="13"/>
        <v>#DIV/0!</v>
      </c>
    </row>
    <row r="260" spans="1:11" hidden="1" x14ac:dyDescent="0.25">
      <c r="A260" t="str" cm="1">
        <f t="array" ref="A260">IF(ISBLANK(INDEX(SampleList[GC],ROW()-1)),"Not Requested",INDEX(SampleList[Experiment ID],ROW()-1))</f>
        <v>Not Requested</v>
      </c>
      <c r="B260">
        <f>Sampling!E258</f>
        <v>0</v>
      </c>
      <c r="G260">
        <f t="shared" si="11"/>
        <v>3552.5</v>
      </c>
      <c r="H2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0">
        <f t="shared" si="12"/>
        <v>3752.6</v>
      </c>
      <c r="K260" t="e">
        <f t="shared" si="13"/>
        <v>#DIV/0!</v>
      </c>
    </row>
    <row r="261" spans="1:11" hidden="1" x14ac:dyDescent="0.25">
      <c r="A261" t="str" cm="1">
        <f t="array" ref="A261">IF(ISBLANK(INDEX(SampleList[GC],ROW()-1)),"Not Requested",INDEX(SampleList[Experiment ID],ROW()-1))</f>
        <v>Not Requested</v>
      </c>
      <c r="B261">
        <f>Sampling!E259</f>
        <v>0</v>
      </c>
      <c r="G261">
        <f t="shared" si="11"/>
        <v>3552.5</v>
      </c>
      <c r="H2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1">
        <f t="shared" si="12"/>
        <v>3752.6</v>
      </c>
      <c r="K261" t="e">
        <f t="shared" si="13"/>
        <v>#DIV/0!</v>
      </c>
    </row>
    <row r="262" spans="1:11" hidden="1" x14ac:dyDescent="0.25">
      <c r="A262" t="str" cm="1">
        <f t="array" ref="A262">IF(ISBLANK(INDEX(SampleList[GC],ROW()-1)),"Not Requested",INDEX(SampleList[Experiment ID],ROW()-1))</f>
        <v>Not Requested</v>
      </c>
      <c r="B262">
        <f>Sampling!E260</f>
        <v>0</v>
      </c>
      <c r="G262">
        <f t="shared" si="11"/>
        <v>3552.5</v>
      </c>
      <c r="H2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2">
        <f t="shared" si="12"/>
        <v>3752.6</v>
      </c>
      <c r="K262" t="e">
        <f t="shared" si="13"/>
        <v>#DIV/0!</v>
      </c>
    </row>
    <row r="263" spans="1:11" hidden="1" x14ac:dyDescent="0.25">
      <c r="A263" t="str" cm="1">
        <f t="array" ref="A263">IF(ISBLANK(INDEX(SampleList[GC],ROW()-1)),"Not Requested",INDEX(SampleList[Experiment ID],ROW()-1))</f>
        <v>Not Requested</v>
      </c>
      <c r="B263">
        <f>Sampling!E261</f>
        <v>0</v>
      </c>
      <c r="G263">
        <f t="shared" si="11"/>
        <v>3552.5</v>
      </c>
      <c r="H2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3">
        <f t="shared" si="12"/>
        <v>3752.6</v>
      </c>
      <c r="K263" t="e">
        <f t="shared" si="13"/>
        <v>#DIV/0!</v>
      </c>
    </row>
    <row r="264" spans="1:11" hidden="1" x14ac:dyDescent="0.25">
      <c r="A264" t="str" cm="1">
        <f t="array" ref="A264">IF(ISBLANK(INDEX(SampleList[GC],ROW()-1)),"Not Requested",INDEX(SampleList[Experiment ID],ROW()-1))</f>
        <v>Not Requested</v>
      </c>
      <c r="B264">
        <f>Sampling!E262</f>
        <v>0</v>
      </c>
      <c r="G264">
        <f t="shared" si="11"/>
        <v>3552.5</v>
      </c>
      <c r="H2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4">
        <f t="shared" si="12"/>
        <v>3752.6</v>
      </c>
      <c r="K264" t="e">
        <f t="shared" si="13"/>
        <v>#DIV/0!</v>
      </c>
    </row>
    <row r="265" spans="1:11" hidden="1" x14ac:dyDescent="0.25">
      <c r="A265" t="str" cm="1">
        <f t="array" ref="A265">IF(ISBLANK(INDEX(SampleList[GC],ROW()-1)),"Not Requested",INDEX(SampleList[Experiment ID],ROW()-1))</f>
        <v>Not Requested</v>
      </c>
      <c r="B265">
        <f>Sampling!E263</f>
        <v>0</v>
      </c>
      <c r="G265">
        <f t="shared" si="11"/>
        <v>3552.5</v>
      </c>
      <c r="H2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5">
        <f t="shared" si="12"/>
        <v>3752.6</v>
      </c>
      <c r="K265" t="e">
        <f t="shared" si="13"/>
        <v>#DIV/0!</v>
      </c>
    </row>
    <row r="266" spans="1:11" hidden="1" x14ac:dyDescent="0.25">
      <c r="A266" t="str" cm="1">
        <f t="array" ref="A266">IF(ISBLANK(INDEX(SampleList[GC],ROW()-1)),"Not Requested",INDEX(SampleList[Experiment ID],ROW()-1))</f>
        <v>Not Requested</v>
      </c>
      <c r="B266">
        <f>Sampling!E264</f>
        <v>0</v>
      </c>
      <c r="G266">
        <f t="shared" si="11"/>
        <v>3552.5</v>
      </c>
      <c r="H2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6">
        <f t="shared" si="12"/>
        <v>3752.6</v>
      </c>
      <c r="K266" t="e">
        <f t="shared" si="13"/>
        <v>#DIV/0!</v>
      </c>
    </row>
    <row r="267" spans="1:11" hidden="1" x14ac:dyDescent="0.25">
      <c r="A267" t="str" cm="1">
        <f t="array" ref="A267">IF(ISBLANK(INDEX(SampleList[GC],ROW()-1)),"Not Requested",INDEX(SampleList[Experiment ID],ROW()-1))</f>
        <v>Not Requested</v>
      </c>
      <c r="B267">
        <f>Sampling!E265</f>
        <v>0</v>
      </c>
      <c r="G267">
        <f t="shared" si="11"/>
        <v>3552.5</v>
      </c>
      <c r="H2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7">
        <f t="shared" si="12"/>
        <v>3752.6</v>
      </c>
      <c r="K267" t="e">
        <f t="shared" si="13"/>
        <v>#DIV/0!</v>
      </c>
    </row>
    <row r="268" spans="1:11" hidden="1" x14ac:dyDescent="0.25">
      <c r="A268" t="str" cm="1">
        <f t="array" ref="A268">IF(ISBLANK(INDEX(SampleList[GC],ROW()-1)),"Not Requested",INDEX(SampleList[Experiment ID],ROW()-1))</f>
        <v>Not Requested</v>
      </c>
      <c r="B268">
        <f>Sampling!E266</f>
        <v>0</v>
      </c>
      <c r="G268">
        <f t="shared" si="11"/>
        <v>3552.5</v>
      </c>
      <c r="H2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8">
        <f t="shared" si="12"/>
        <v>3752.6</v>
      </c>
      <c r="K268" t="e">
        <f t="shared" si="13"/>
        <v>#DIV/0!</v>
      </c>
    </row>
    <row r="269" spans="1:11" hidden="1" x14ac:dyDescent="0.25">
      <c r="A269" t="str" cm="1">
        <f t="array" ref="A269">IF(ISBLANK(INDEX(SampleList[GC],ROW()-1)),"Not Requested",INDEX(SampleList[Experiment ID],ROW()-1))</f>
        <v>Not Requested</v>
      </c>
      <c r="B269">
        <f>Sampling!E267</f>
        <v>0</v>
      </c>
      <c r="G269">
        <f t="shared" si="11"/>
        <v>3552.5</v>
      </c>
      <c r="H2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69">
        <f t="shared" si="12"/>
        <v>3752.6</v>
      </c>
      <c r="K269" t="e">
        <f t="shared" si="13"/>
        <v>#DIV/0!</v>
      </c>
    </row>
    <row r="270" spans="1:11" hidden="1" x14ac:dyDescent="0.25">
      <c r="A270" t="str" cm="1">
        <f t="array" ref="A270">IF(ISBLANK(INDEX(SampleList[GC],ROW()-1)),"Not Requested",INDEX(SampleList[Experiment ID],ROW()-1))</f>
        <v>Not Requested</v>
      </c>
      <c r="B270">
        <f>Sampling!E268</f>
        <v>0</v>
      </c>
      <c r="G270">
        <f t="shared" si="11"/>
        <v>3552.5</v>
      </c>
      <c r="H2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0">
        <f t="shared" si="12"/>
        <v>3752.6</v>
      </c>
      <c r="K270" t="e">
        <f t="shared" si="13"/>
        <v>#DIV/0!</v>
      </c>
    </row>
    <row r="271" spans="1:11" hidden="1" x14ac:dyDescent="0.25">
      <c r="A271" t="str" cm="1">
        <f t="array" ref="A271">IF(ISBLANK(INDEX(SampleList[GC],ROW()-1)),"Not Requested",INDEX(SampleList[Experiment ID],ROW()-1))</f>
        <v>Not Requested</v>
      </c>
      <c r="B271">
        <f>Sampling!E269</f>
        <v>0</v>
      </c>
      <c r="G271">
        <f t="shared" si="11"/>
        <v>3552.5</v>
      </c>
      <c r="H2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1">
        <f t="shared" si="12"/>
        <v>3752.6</v>
      </c>
      <c r="K271" t="e">
        <f t="shared" si="13"/>
        <v>#DIV/0!</v>
      </c>
    </row>
    <row r="272" spans="1:11" hidden="1" x14ac:dyDescent="0.25">
      <c r="A272" t="str" cm="1">
        <f t="array" ref="A272">IF(ISBLANK(INDEX(SampleList[GC],ROW()-1)),"Not Requested",INDEX(SampleList[Experiment ID],ROW()-1))</f>
        <v>Not Requested</v>
      </c>
      <c r="B272">
        <f>Sampling!E270</f>
        <v>0</v>
      </c>
      <c r="G272">
        <f t="shared" si="11"/>
        <v>3552.5</v>
      </c>
      <c r="H2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2">
        <f t="shared" si="12"/>
        <v>3752.6</v>
      </c>
      <c r="K272" t="e">
        <f t="shared" si="13"/>
        <v>#DIV/0!</v>
      </c>
    </row>
    <row r="273" spans="1:11" hidden="1" x14ac:dyDescent="0.25">
      <c r="A273" t="str" cm="1">
        <f t="array" ref="A273">IF(ISBLANK(INDEX(SampleList[GC],ROW()-1)),"Not Requested",INDEX(SampleList[Experiment ID],ROW()-1))</f>
        <v>Not Requested</v>
      </c>
      <c r="B273">
        <f>Sampling!E271</f>
        <v>0</v>
      </c>
      <c r="G273">
        <f t="shared" si="11"/>
        <v>3552.5</v>
      </c>
      <c r="H2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3">
        <f t="shared" si="12"/>
        <v>3752.6</v>
      </c>
      <c r="K273" t="e">
        <f t="shared" si="13"/>
        <v>#DIV/0!</v>
      </c>
    </row>
    <row r="274" spans="1:11" hidden="1" x14ac:dyDescent="0.25">
      <c r="A274" t="str" cm="1">
        <f t="array" ref="A274">IF(ISBLANK(INDEX(SampleList[GC],ROW()-1)),"Not Requested",INDEX(SampleList[Experiment ID],ROW()-1))</f>
        <v>Not Requested</v>
      </c>
      <c r="B274">
        <f>Sampling!E272</f>
        <v>0</v>
      </c>
      <c r="G274">
        <f t="shared" si="11"/>
        <v>3552.5</v>
      </c>
      <c r="H2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4">
        <f t="shared" si="12"/>
        <v>3752.6</v>
      </c>
      <c r="K274" t="e">
        <f t="shared" si="13"/>
        <v>#DIV/0!</v>
      </c>
    </row>
    <row r="275" spans="1:11" hidden="1" x14ac:dyDescent="0.25">
      <c r="A275" t="str" cm="1">
        <f t="array" ref="A275">IF(ISBLANK(INDEX(SampleList[GC],ROW()-1)),"Not Requested",INDEX(SampleList[Experiment ID],ROW()-1))</f>
        <v>Not Requested</v>
      </c>
      <c r="B275">
        <f>Sampling!E273</f>
        <v>0</v>
      </c>
      <c r="G275">
        <f t="shared" si="11"/>
        <v>3552.5</v>
      </c>
      <c r="H2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5">
        <f t="shared" si="12"/>
        <v>3752.6</v>
      </c>
      <c r="K275" t="e">
        <f t="shared" si="13"/>
        <v>#DIV/0!</v>
      </c>
    </row>
    <row r="276" spans="1:11" hidden="1" x14ac:dyDescent="0.25">
      <c r="A276" t="str" cm="1">
        <f t="array" ref="A276">IF(ISBLANK(INDEX(SampleList[GC],ROW()-1)),"Not Requested",INDEX(SampleList[Experiment ID],ROW()-1))</f>
        <v>Not Requested</v>
      </c>
      <c r="B276">
        <f>Sampling!E274</f>
        <v>0</v>
      </c>
      <c r="G276">
        <f t="shared" si="11"/>
        <v>3552.5</v>
      </c>
      <c r="H2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6">
        <f t="shared" si="12"/>
        <v>3752.6</v>
      </c>
      <c r="K276" t="e">
        <f t="shared" si="13"/>
        <v>#DIV/0!</v>
      </c>
    </row>
    <row r="277" spans="1:11" hidden="1" x14ac:dyDescent="0.25">
      <c r="A277" t="str" cm="1">
        <f t="array" ref="A277">IF(ISBLANK(INDEX(SampleList[GC],ROW()-1)),"Not Requested",INDEX(SampleList[Experiment ID],ROW()-1))</f>
        <v>Not Requested</v>
      </c>
      <c r="B277">
        <f>Sampling!E275</f>
        <v>0</v>
      </c>
      <c r="G277">
        <f t="shared" si="11"/>
        <v>3552.5</v>
      </c>
      <c r="H2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7">
        <f t="shared" si="12"/>
        <v>3752.6</v>
      </c>
      <c r="K277" t="e">
        <f t="shared" si="13"/>
        <v>#DIV/0!</v>
      </c>
    </row>
    <row r="278" spans="1:11" hidden="1" x14ac:dyDescent="0.25">
      <c r="A278" t="str" cm="1">
        <f t="array" ref="A278">IF(ISBLANK(INDEX(SampleList[GC],ROW()-1)),"Not Requested",INDEX(SampleList[Experiment ID],ROW()-1))</f>
        <v>Not Requested</v>
      </c>
      <c r="B278">
        <f>Sampling!E276</f>
        <v>0</v>
      </c>
      <c r="G278">
        <f t="shared" si="11"/>
        <v>3552.5</v>
      </c>
      <c r="H2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8">
        <f t="shared" si="12"/>
        <v>3752.6</v>
      </c>
      <c r="K278" t="e">
        <f t="shared" si="13"/>
        <v>#DIV/0!</v>
      </c>
    </row>
    <row r="279" spans="1:11" hidden="1" x14ac:dyDescent="0.25">
      <c r="A279" t="str" cm="1">
        <f t="array" ref="A279">IF(ISBLANK(INDEX(SampleList[GC],ROW()-1)),"Not Requested",INDEX(SampleList[Experiment ID],ROW()-1))</f>
        <v>Not Requested</v>
      </c>
      <c r="B279">
        <f>Sampling!E277</f>
        <v>0</v>
      </c>
      <c r="G279">
        <f t="shared" si="11"/>
        <v>3552.5</v>
      </c>
      <c r="H2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79">
        <f t="shared" si="12"/>
        <v>3752.6</v>
      </c>
      <c r="K279" t="e">
        <f t="shared" si="13"/>
        <v>#DIV/0!</v>
      </c>
    </row>
    <row r="280" spans="1:11" hidden="1" x14ac:dyDescent="0.25">
      <c r="A280" t="str" cm="1">
        <f t="array" ref="A280">IF(ISBLANK(INDEX(SampleList[GC],ROW()-1)),"Not Requested",INDEX(SampleList[Experiment ID],ROW()-1))</f>
        <v>Not Requested</v>
      </c>
      <c r="B280">
        <f>Sampling!E278</f>
        <v>0</v>
      </c>
      <c r="G280">
        <f t="shared" si="11"/>
        <v>3552.5</v>
      </c>
      <c r="H2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0">
        <f t="shared" si="12"/>
        <v>3752.6</v>
      </c>
      <c r="K280" t="e">
        <f t="shared" si="13"/>
        <v>#DIV/0!</v>
      </c>
    </row>
    <row r="281" spans="1:11" hidden="1" x14ac:dyDescent="0.25">
      <c r="A281" t="str" cm="1">
        <f t="array" ref="A281">IF(ISBLANK(INDEX(SampleList[GC],ROW()-1)),"Not Requested",INDEX(SampleList[Experiment ID],ROW()-1))</f>
        <v>Not Requested</v>
      </c>
      <c r="B281">
        <f>Sampling!E279</f>
        <v>0</v>
      </c>
      <c r="G281">
        <f t="shared" si="11"/>
        <v>3552.5</v>
      </c>
      <c r="H2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1">
        <f t="shared" si="12"/>
        <v>3752.6</v>
      </c>
      <c r="K281" t="e">
        <f t="shared" si="13"/>
        <v>#DIV/0!</v>
      </c>
    </row>
    <row r="282" spans="1:11" hidden="1" x14ac:dyDescent="0.25">
      <c r="A282" t="str" cm="1">
        <f t="array" ref="A282">IF(ISBLANK(INDEX(SampleList[GC],ROW()-1)),"Not Requested",INDEX(SampleList[Experiment ID],ROW()-1))</f>
        <v>Not Requested</v>
      </c>
      <c r="B282">
        <f>Sampling!E280</f>
        <v>0</v>
      </c>
      <c r="G282">
        <f t="shared" si="11"/>
        <v>3552.5</v>
      </c>
      <c r="H2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2">
        <f t="shared" si="12"/>
        <v>3752.6</v>
      </c>
      <c r="K282" t="e">
        <f t="shared" si="13"/>
        <v>#DIV/0!</v>
      </c>
    </row>
    <row r="283" spans="1:11" hidden="1" x14ac:dyDescent="0.25">
      <c r="A283" t="str" cm="1">
        <f t="array" ref="A283">IF(ISBLANK(INDEX(SampleList[GC],ROW()-1)),"Not Requested",INDEX(SampleList[Experiment ID],ROW()-1))</f>
        <v>Not Requested</v>
      </c>
      <c r="B283">
        <f>Sampling!E281</f>
        <v>0</v>
      </c>
      <c r="G283">
        <f t="shared" si="11"/>
        <v>3552.5</v>
      </c>
      <c r="H2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3">
        <f t="shared" si="12"/>
        <v>3752.6</v>
      </c>
      <c r="K283" t="e">
        <f t="shared" si="13"/>
        <v>#DIV/0!</v>
      </c>
    </row>
    <row r="284" spans="1:11" hidden="1" x14ac:dyDescent="0.25">
      <c r="A284" t="str" cm="1">
        <f t="array" ref="A284">IF(ISBLANK(INDEX(SampleList[GC],ROW()-1)),"Not Requested",INDEX(SampleList[Experiment ID],ROW()-1))</f>
        <v>Not Requested</v>
      </c>
      <c r="B284">
        <f>Sampling!E282</f>
        <v>0</v>
      </c>
      <c r="G284">
        <f t="shared" si="11"/>
        <v>3552.5</v>
      </c>
      <c r="H2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4">
        <f t="shared" si="12"/>
        <v>3752.6</v>
      </c>
      <c r="K284" t="e">
        <f t="shared" si="13"/>
        <v>#DIV/0!</v>
      </c>
    </row>
    <row r="285" spans="1:11" hidden="1" x14ac:dyDescent="0.25">
      <c r="A285" t="str" cm="1">
        <f t="array" ref="A285">IF(ISBLANK(INDEX(SampleList[GC],ROW()-1)),"Not Requested",INDEX(SampleList[Experiment ID],ROW()-1))</f>
        <v>Not Requested</v>
      </c>
      <c r="B285">
        <f>Sampling!E283</f>
        <v>0</v>
      </c>
      <c r="G285">
        <f t="shared" si="11"/>
        <v>3552.5</v>
      </c>
      <c r="H2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5">
        <f t="shared" si="12"/>
        <v>3752.6</v>
      </c>
      <c r="K285" t="e">
        <f t="shared" si="13"/>
        <v>#DIV/0!</v>
      </c>
    </row>
    <row r="286" spans="1:11" hidden="1" x14ac:dyDescent="0.25">
      <c r="A286" t="str" cm="1">
        <f t="array" ref="A286">IF(ISBLANK(INDEX(SampleList[GC],ROW()-1)),"Not Requested",INDEX(SampleList[Experiment ID],ROW()-1))</f>
        <v>Not Requested</v>
      </c>
      <c r="B286">
        <f>Sampling!E284</f>
        <v>0</v>
      </c>
      <c r="G286">
        <f t="shared" si="11"/>
        <v>3552.5</v>
      </c>
      <c r="H2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6">
        <f t="shared" si="12"/>
        <v>3752.6</v>
      </c>
      <c r="K286" t="e">
        <f t="shared" si="13"/>
        <v>#DIV/0!</v>
      </c>
    </row>
    <row r="287" spans="1:11" hidden="1" x14ac:dyDescent="0.25">
      <c r="A287" t="str" cm="1">
        <f t="array" ref="A287">IF(ISBLANK(INDEX(SampleList[GC],ROW()-1)),"Not Requested",INDEX(SampleList[Experiment ID],ROW()-1))</f>
        <v>Not Requested</v>
      </c>
      <c r="B287">
        <f>Sampling!E285</f>
        <v>0</v>
      </c>
      <c r="G287">
        <f t="shared" si="11"/>
        <v>3552.5</v>
      </c>
      <c r="H2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7">
        <f t="shared" si="12"/>
        <v>3752.6</v>
      </c>
      <c r="K287" t="e">
        <f t="shared" si="13"/>
        <v>#DIV/0!</v>
      </c>
    </row>
    <row r="288" spans="1:11" hidden="1" x14ac:dyDescent="0.25">
      <c r="A288" t="str" cm="1">
        <f t="array" ref="A288">IF(ISBLANK(INDEX(SampleList[GC],ROW()-1)),"Not Requested",INDEX(SampleList[Experiment ID],ROW()-1))</f>
        <v>Not Requested</v>
      </c>
      <c r="B288">
        <f>Sampling!E286</f>
        <v>0</v>
      </c>
      <c r="G288">
        <f t="shared" si="11"/>
        <v>3552.5</v>
      </c>
      <c r="H2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8">
        <f t="shared" si="12"/>
        <v>3752.6</v>
      </c>
      <c r="K288" t="e">
        <f t="shared" si="13"/>
        <v>#DIV/0!</v>
      </c>
    </row>
    <row r="289" spans="1:11" hidden="1" x14ac:dyDescent="0.25">
      <c r="A289" t="str" cm="1">
        <f t="array" ref="A289">IF(ISBLANK(INDEX(SampleList[GC],ROW()-1)),"Not Requested",INDEX(SampleList[Experiment ID],ROW()-1))</f>
        <v>Not Requested</v>
      </c>
      <c r="B289">
        <f>Sampling!E287</f>
        <v>0</v>
      </c>
      <c r="G289">
        <f t="shared" ref="G289:G352" si="14">24.5*145</f>
        <v>3552.5</v>
      </c>
      <c r="H2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89">
        <f t="shared" si="12"/>
        <v>3752.6</v>
      </c>
      <c r="K289" t="e">
        <f t="shared" si="13"/>
        <v>#DIV/0!</v>
      </c>
    </row>
    <row r="290" spans="1:11" hidden="1" x14ac:dyDescent="0.25">
      <c r="A290" t="str" cm="1">
        <f t="array" ref="A290">IF(ISBLANK(INDEX(SampleList[GC],ROW()-1)),"Not Requested",INDEX(SampleList[Experiment ID],ROW()-1))</f>
        <v>Not Requested</v>
      </c>
      <c r="B290">
        <f>Sampling!E288</f>
        <v>0</v>
      </c>
      <c r="G290">
        <f t="shared" si="14"/>
        <v>3552.5</v>
      </c>
      <c r="H2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0">
        <f t="shared" si="12"/>
        <v>3752.6</v>
      </c>
      <c r="K290" t="e">
        <f t="shared" si="13"/>
        <v>#DIV/0!</v>
      </c>
    </row>
    <row r="291" spans="1:11" hidden="1" x14ac:dyDescent="0.25">
      <c r="A291" t="str" cm="1">
        <f t="array" ref="A291">IF(ISBLANK(INDEX(SampleList[GC],ROW()-1)),"Not Requested",INDEX(SampleList[Experiment ID],ROW()-1))</f>
        <v>Not Requested</v>
      </c>
      <c r="B291">
        <f>Sampling!E289</f>
        <v>0</v>
      </c>
      <c r="G291">
        <f t="shared" si="14"/>
        <v>3552.5</v>
      </c>
      <c r="H2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1">
        <f t="shared" si="12"/>
        <v>3752.6</v>
      </c>
      <c r="K291" t="e">
        <f t="shared" si="13"/>
        <v>#DIV/0!</v>
      </c>
    </row>
    <row r="292" spans="1:11" hidden="1" x14ac:dyDescent="0.25">
      <c r="A292" t="str" cm="1">
        <f t="array" ref="A292">IF(ISBLANK(INDEX(SampleList[GC],ROW()-1)),"Not Requested",INDEX(SampleList[Experiment ID],ROW()-1))</f>
        <v>Not Requested</v>
      </c>
      <c r="B292">
        <f>Sampling!E290</f>
        <v>0</v>
      </c>
      <c r="G292">
        <f t="shared" si="14"/>
        <v>3552.5</v>
      </c>
      <c r="H2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2">
        <f t="shared" si="12"/>
        <v>3752.6</v>
      </c>
      <c r="K292" t="e">
        <f t="shared" si="13"/>
        <v>#DIV/0!</v>
      </c>
    </row>
    <row r="293" spans="1:11" hidden="1" x14ac:dyDescent="0.25">
      <c r="A293" t="str" cm="1">
        <f t="array" ref="A293">IF(ISBLANK(INDEX(SampleList[GC],ROW()-1)),"Not Requested",INDEX(SampleList[Experiment ID],ROW()-1))</f>
        <v>Not Requested</v>
      </c>
      <c r="B293">
        <f>Sampling!E291</f>
        <v>0</v>
      </c>
      <c r="G293">
        <f t="shared" si="14"/>
        <v>3552.5</v>
      </c>
      <c r="H2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3">
        <f t="shared" si="12"/>
        <v>3752.6</v>
      </c>
      <c r="K293" t="e">
        <f t="shared" si="13"/>
        <v>#DIV/0!</v>
      </c>
    </row>
    <row r="294" spans="1:11" hidden="1" x14ac:dyDescent="0.25">
      <c r="A294" t="str" cm="1">
        <f t="array" ref="A294">IF(ISBLANK(INDEX(SampleList[GC],ROW()-1)),"Not Requested",INDEX(SampleList[Experiment ID],ROW()-1))</f>
        <v>Not Requested</v>
      </c>
      <c r="B294">
        <f>Sampling!E292</f>
        <v>0</v>
      </c>
      <c r="G294">
        <f t="shared" si="14"/>
        <v>3552.5</v>
      </c>
      <c r="H2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4">
        <f t="shared" si="12"/>
        <v>3752.6</v>
      </c>
      <c r="K294" t="e">
        <f t="shared" si="13"/>
        <v>#DIV/0!</v>
      </c>
    </row>
    <row r="295" spans="1:11" hidden="1" x14ac:dyDescent="0.25">
      <c r="A295" t="str" cm="1">
        <f t="array" ref="A295">IF(ISBLANK(INDEX(SampleList[GC],ROW()-1)),"Not Requested",INDEX(SampleList[Experiment ID],ROW()-1))</f>
        <v>Not Requested</v>
      </c>
      <c r="B295">
        <f>Sampling!E293</f>
        <v>0</v>
      </c>
      <c r="G295">
        <f t="shared" si="14"/>
        <v>3552.5</v>
      </c>
      <c r="H2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5">
        <f t="shared" si="12"/>
        <v>3752.6</v>
      </c>
      <c r="K295" t="e">
        <f t="shared" si="13"/>
        <v>#DIV/0!</v>
      </c>
    </row>
    <row r="296" spans="1:11" hidden="1" x14ac:dyDescent="0.25">
      <c r="A296" t="str" cm="1">
        <f t="array" ref="A296">IF(ISBLANK(INDEX(SampleList[GC],ROW()-1)),"Not Requested",INDEX(SampleList[Experiment ID],ROW()-1))</f>
        <v>Not Requested</v>
      </c>
      <c r="B296">
        <f>Sampling!E294</f>
        <v>0</v>
      </c>
      <c r="G296">
        <f t="shared" si="14"/>
        <v>3552.5</v>
      </c>
      <c r="H2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6">
        <f t="shared" si="12"/>
        <v>3752.6</v>
      </c>
      <c r="K296" t="e">
        <f t="shared" si="13"/>
        <v>#DIV/0!</v>
      </c>
    </row>
    <row r="297" spans="1:11" hidden="1" x14ac:dyDescent="0.25">
      <c r="A297" t="str" cm="1">
        <f t="array" ref="A297">IF(ISBLANK(INDEX(SampleList[GC],ROW()-1)),"Not Requested",INDEX(SampleList[Experiment ID],ROW()-1))</f>
        <v>Not Requested</v>
      </c>
      <c r="B297">
        <f>Sampling!E295</f>
        <v>0</v>
      </c>
      <c r="G297">
        <f t="shared" si="14"/>
        <v>3552.5</v>
      </c>
      <c r="H2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7">
        <f t="shared" si="12"/>
        <v>3752.6</v>
      </c>
      <c r="K297" t="e">
        <f t="shared" si="13"/>
        <v>#DIV/0!</v>
      </c>
    </row>
    <row r="298" spans="1:11" hidden="1" x14ac:dyDescent="0.25">
      <c r="A298" t="str" cm="1">
        <f t="array" ref="A298">IF(ISBLANK(INDEX(SampleList[GC],ROW()-1)),"Not Requested",INDEX(SampleList[Experiment ID],ROW()-1))</f>
        <v>Not Requested</v>
      </c>
      <c r="B298">
        <f>Sampling!E296</f>
        <v>0</v>
      </c>
      <c r="G298">
        <f t="shared" si="14"/>
        <v>3552.5</v>
      </c>
      <c r="H2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8">
        <f t="shared" si="12"/>
        <v>3752.6</v>
      </c>
      <c r="K298" t="e">
        <f t="shared" si="13"/>
        <v>#DIV/0!</v>
      </c>
    </row>
    <row r="299" spans="1:11" hidden="1" x14ac:dyDescent="0.25">
      <c r="A299" t="str" cm="1">
        <f t="array" ref="A299">IF(ISBLANK(INDEX(SampleList[GC],ROW()-1)),"Not Requested",INDEX(SampleList[Experiment ID],ROW()-1))</f>
        <v>Not Requested</v>
      </c>
      <c r="B299">
        <f>Sampling!E297</f>
        <v>0</v>
      </c>
      <c r="G299">
        <f t="shared" si="14"/>
        <v>3552.5</v>
      </c>
      <c r="H2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299">
        <f t="shared" si="12"/>
        <v>3752.6</v>
      </c>
      <c r="K299" t="e">
        <f t="shared" si="13"/>
        <v>#DIV/0!</v>
      </c>
    </row>
    <row r="300" spans="1:11" hidden="1" x14ac:dyDescent="0.25">
      <c r="A300" t="str" cm="1">
        <f t="array" ref="A300">IF(ISBLANK(INDEX(SampleList[GC],ROW()-1)),"Not Requested",INDEX(SampleList[Experiment ID],ROW()-1))</f>
        <v>Not Requested</v>
      </c>
      <c r="B300">
        <f>Sampling!E298</f>
        <v>0</v>
      </c>
      <c r="G300">
        <f t="shared" si="14"/>
        <v>3552.5</v>
      </c>
      <c r="H3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0">
        <f t="shared" si="12"/>
        <v>3752.6</v>
      </c>
      <c r="K300" t="e">
        <f t="shared" si="13"/>
        <v>#DIV/0!</v>
      </c>
    </row>
    <row r="301" spans="1:11" hidden="1" x14ac:dyDescent="0.25">
      <c r="A301" t="str" cm="1">
        <f t="array" ref="A301">IF(ISBLANK(INDEX(SampleList[GC],ROW()-1)),"Not Requested",INDEX(SampleList[Experiment ID],ROW()-1))</f>
        <v>Not Requested</v>
      </c>
      <c r="B301">
        <f>Sampling!E299</f>
        <v>0</v>
      </c>
      <c r="G301">
        <f t="shared" si="14"/>
        <v>3552.5</v>
      </c>
      <c r="H3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1">
        <f t="shared" si="12"/>
        <v>3752.6</v>
      </c>
      <c r="K301" t="e">
        <f t="shared" si="13"/>
        <v>#DIV/0!</v>
      </c>
    </row>
    <row r="302" spans="1:11" hidden="1" x14ac:dyDescent="0.25">
      <c r="A302" t="str" cm="1">
        <f t="array" ref="A302">IF(ISBLANK(INDEX(SampleList[GC],ROW()-1)),"Not Requested",INDEX(SampleList[Experiment ID],ROW()-1))</f>
        <v>Not Requested</v>
      </c>
      <c r="B302">
        <f>Sampling!E300</f>
        <v>0</v>
      </c>
      <c r="G302">
        <f t="shared" si="14"/>
        <v>3552.5</v>
      </c>
      <c r="H3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2">
        <f t="shared" si="12"/>
        <v>3752.6</v>
      </c>
      <c r="K302" t="e">
        <f t="shared" si="13"/>
        <v>#DIV/0!</v>
      </c>
    </row>
    <row r="303" spans="1:11" hidden="1" x14ac:dyDescent="0.25">
      <c r="A303" t="str" cm="1">
        <f t="array" ref="A303">IF(ISBLANK(INDEX(SampleList[GC],ROW()-1)),"Not Requested",INDEX(SampleList[Experiment ID],ROW()-1))</f>
        <v>Not Requested</v>
      </c>
      <c r="B303">
        <f>Sampling!E301</f>
        <v>0</v>
      </c>
      <c r="G303">
        <f t="shared" si="14"/>
        <v>3552.5</v>
      </c>
      <c r="H3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3">
        <f t="shared" si="12"/>
        <v>3752.6</v>
      </c>
      <c r="K303" t="e">
        <f t="shared" si="13"/>
        <v>#DIV/0!</v>
      </c>
    </row>
    <row r="304" spans="1:11" hidden="1" x14ac:dyDescent="0.25">
      <c r="A304" t="str" cm="1">
        <f t="array" ref="A304">IF(ISBLANK(INDEX(SampleList[GC],ROW()-1)),"Not Requested",INDEX(SampleList[Experiment ID],ROW()-1))</f>
        <v>Not Requested</v>
      </c>
      <c r="B304">
        <f>Sampling!E302</f>
        <v>0</v>
      </c>
      <c r="G304">
        <f t="shared" si="14"/>
        <v>3552.5</v>
      </c>
      <c r="H3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4">
        <f t="shared" si="12"/>
        <v>3752.6</v>
      </c>
      <c r="K304" t="e">
        <f t="shared" si="13"/>
        <v>#DIV/0!</v>
      </c>
    </row>
    <row r="305" spans="1:11" hidden="1" x14ac:dyDescent="0.25">
      <c r="A305" t="str" cm="1">
        <f t="array" ref="A305">IF(ISBLANK(INDEX(SampleList[GC],ROW()-1)),"Not Requested",INDEX(SampleList[Experiment ID],ROW()-1))</f>
        <v>Not Requested</v>
      </c>
      <c r="B305">
        <f>Sampling!E303</f>
        <v>0</v>
      </c>
      <c r="G305">
        <f t="shared" si="14"/>
        <v>3552.5</v>
      </c>
      <c r="H3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5">
        <f t="shared" si="12"/>
        <v>3752.6</v>
      </c>
      <c r="K305" t="e">
        <f t="shared" si="13"/>
        <v>#DIV/0!</v>
      </c>
    </row>
    <row r="306" spans="1:11" hidden="1" x14ac:dyDescent="0.25">
      <c r="A306" t="str" cm="1">
        <f t="array" ref="A306">IF(ISBLANK(INDEX(SampleList[GC],ROW()-1)),"Not Requested",INDEX(SampleList[Experiment ID],ROW()-1))</f>
        <v>Not Requested</v>
      </c>
      <c r="B306">
        <f>Sampling!E304</f>
        <v>0</v>
      </c>
      <c r="G306">
        <f t="shared" si="14"/>
        <v>3552.5</v>
      </c>
      <c r="H3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6">
        <f t="shared" si="12"/>
        <v>3752.6</v>
      </c>
      <c r="K306" t="e">
        <f t="shared" si="13"/>
        <v>#DIV/0!</v>
      </c>
    </row>
    <row r="307" spans="1:11" hidden="1" x14ac:dyDescent="0.25">
      <c r="A307" t="str" cm="1">
        <f t="array" ref="A307">IF(ISBLANK(INDEX(SampleList[GC],ROW()-1)),"Not Requested",INDEX(SampleList[Experiment ID],ROW()-1))</f>
        <v>Not Requested</v>
      </c>
      <c r="B307">
        <f>Sampling!E305</f>
        <v>0</v>
      </c>
      <c r="G307">
        <f t="shared" si="14"/>
        <v>3552.5</v>
      </c>
      <c r="H3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7">
        <f t="shared" si="12"/>
        <v>3752.6</v>
      </c>
      <c r="K307" t="e">
        <f t="shared" si="13"/>
        <v>#DIV/0!</v>
      </c>
    </row>
    <row r="308" spans="1:11" hidden="1" x14ac:dyDescent="0.25">
      <c r="A308" t="str" cm="1">
        <f t="array" ref="A308">IF(ISBLANK(INDEX(SampleList[GC],ROW()-1)),"Not Requested",INDEX(SampleList[Experiment ID],ROW()-1))</f>
        <v>Not Requested</v>
      </c>
      <c r="B308">
        <f>Sampling!E306</f>
        <v>0</v>
      </c>
      <c r="G308">
        <f t="shared" si="14"/>
        <v>3552.5</v>
      </c>
      <c r="H3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8">
        <f t="shared" si="12"/>
        <v>3752.6</v>
      </c>
      <c r="K308" t="e">
        <f t="shared" si="13"/>
        <v>#DIV/0!</v>
      </c>
    </row>
    <row r="309" spans="1:11" hidden="1" x14ac:dyDescent="0.25">
      <c r="A309" t="str" cm="1">
        <f t="array" ref="A309">IF(ISBLANK(INDEX(SampleList[GC],ROW()-1)),"Not Requested",INDEX(SampleList[Experiment ID],ROW()-1))</f>
        <v>Not Requested</v>
      </c>
      <c r="B309">
        <f>Sampling!E307</f>
        <v>0</v>
      </c>
      <c r="G309">
        <f t="shared" si="14"/>
        <v>3552.5</v>
      </c>
      <c r="H3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09">
        <f t="shared" si="12"/>
        <v>3752.6</v>
      </c>
      <c r="K309" t="e">
        <f t="shared" si="13"/>
        <v>#DIV/0!</v>
      </c>
    </row>
    <row r="310" spans="1:11" hidden="1" x14ac:dyDescent="0.25">
      <c r="A310" t="str" cm="1">
        <f t="array" ref="A310">IF(ISBLANK(INDEX(SampleList[GC],ROW()-1)),"Not Requested",INDEX(SampleList[Experiment ID],ROW()-1))</f>
        <v>Not Requested</v>
      </c>
      <c r="B310">
        <f>Sampling!E308</f>
        <v>0</v>
      </c>
      <c r="G310">
        <f t="shared" si="14"/>
        <v>3552.5</v>
      </c>
      <c r="H3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0">
        <f t="shared" si="12"/>
        <v>3752.6</v>
      </c>
      <c r="K310" t="e">
        <f t="shared" si="13"/>
        <v>#DIV/0!</v>
      </c>
    </row>
    <row r="311" spans="1:11" hidden="1" x14ac:dyDescent="0.25">
      <c r="A311" t="str" cm="1">
        <f t="array" ref="A311">IF(ISBLANK(INDEX(SampleList[GC],ROW()-1)),"Not Requested",INDEX(SampleList[Experiment ID],ROW()-1))</f>
        <v>Not Requested</v>
      </c>
      <c r="B311">
        <f>Sampling!E309</f>
        <v>0</v>
      </c>
      <c r="G311">
        <f t="shared" si="14"/>
        <v>3552.5</v>
      </c>
      <c r="H3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1">
        <f t="shared" si="12"/>
        <v>3752.6</v>
      </c>
      <c r="K311" t="e">
        <f t="shared" si="13"/>
        <v>#DIV/0!</v>
      </c>
    </row>
    <row r="312" spans="1:11" hidden="1" x14ac:dyDescent="0.25">
      <c r="A312" t="str" cm="1">
        <f t="array" ref="A312">IF(ISBLANK(INDEX(SampleList[GC],ROW()-1)),"Not Requested",INDEX(SampleList[Experiment ID],ROW()-1))</f>
        <v>Not Requested</v>
      </c>
      <c r="B312">
        <f>Sampling!E310</f>
        <v>0</v>
      </c>
      <c r="G312">
        <f t="shared" si="14"/>
        <v>3552.5</v>
      </c>
      <c r="H3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2">
        <f t="shared" si="12"/>
        <v>3752.6</v>
      </c>
      <c r="K312" t="e">
        <f t="shared" si="13"/>
        <v>#DIV/0!</v>
      </c>
    </row>
    <row r="313" spans="1:11" hidden="1" x14ac:dyDescent="0.25">
      <c r="A313" t="str" cm="1">
        <f t="array" ref="A313">IF(ISBLANK(INDEX(SampleList[GC],ROW()-1)),"Not Requested",INDEX(SampleList[Experiment ID],ROW()-1))</f>
        <v>Not Requested</v>
      </c>
      <c r="B313">
        <f>Sampling!E311</f>
        <v>0</v>
      </c>
      <c r="G313">
        <f t="shared" si="14"/>
        <v>3552.5</v>
      </c>
      <c r="H3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3">
        <f t="shared" si="12"/>
        <v>3752.6</v>
      </c>
      <c r="K313" t="e">
        <f t="shared" si="13"/>
        <v>#DIV/0!</v>
      </c>
    </row>
    <row r="314" spans="1:11" hidden="1" x14ac:dyDescent="0.25">
      <c r="A314" t="str" cm="1">
        <f t="array" ref="A314">IF(ISBLANK(INDEX(SampleList[GC],ROW()-1)),"Not Requested",INDEX(SampleList[Experiment ID],ROW()-1))</f>
        <v>Not Requested</v>
      </c>
      <c r="B314">
        <f>Sampling!E312</f>
        <v>0</v>
      </c>
      <c r="G314">
        <f t="shared" si="14"/>
        <v>3552.5</v>
      </c>
      <c r="H3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4">
        <f t="shared" si="12"/>
        <v>3752.6</v>
      </c>
      <c r="K314" t="e">
        <f t="shared" si="13"/>
        <v>#DIV/0!</v>
      </c>
    </row>
    <row r="315" spans="1:11" hidden="1" x14ac:dyDescent="0.25">
      <c r="A315" t="str" cm="1">
        <f t="array" ref="A315">IF(ISBLANK(INDEX(SampleList[GC],ROW()-1)),"Not Requested",INDEX(SampleList[Experiment ID],ROW()-1))</f>
        <v>Not Requested</v>
      </c>
      <c r="B315">
        <f>Sampling!E313</f>
        <v>0</v>
      </c>
      <c r="G315">
        <f t="shared" si="14"/>
        <v>3552.5</v>
      </c>
      <c r="H3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5">
        <f t="shared" si="12"/>
        <v>3752.6</v>
      </c>
      <c r="K315" t="e">
        <f t="shared" si="13"/>
        <v>#DIV/0!</v>
      </c>
    </row>
    <row r="316" spans="1:11" hidden="1" x14ac:dyDescent="0.25">
      <c r="A316" t="str" cm="1">
        <f t="array" ref="A316">IF(ISBLANK(INDEX(SampleList[GC],ROW()-1)),"Not Requested",INDEX(SampleList[Experiment ID],ROW()-1))</f>
        <v>Not Requested</v>
      </c>
      <c r="B316">
        <f>Sampling!E314</f>
        <v>0</v>
      </c>
      <c r="G316">
        <f t="shared" si="14"/>
        <v>3552.5</v>
      </c>
      <c r="H3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6">
        <f t="shared" si="12"/>
        <v>3752.6</v>
      </c>
      <c r="K316" t="e">
        <f t="shared" si="13"/>
        <v>#DIV/0!</v>
      </c>
    </row>
    <row r="317" spans="1:11" hidden="1" x14ac:dyDescent="0.25">
      <c r="A317" t="str" cm="1">
        <f t="array" ref="A317">IF(ISBLANK(INDEX(SampleList[GC],ROW()-1)),"Not Requested",INDEX(SampleList[Experiment ID],ROW()-1))</f>
        <v>Not Requested</v>
      </c>
      <c r="B317">
        <f>Sampling!E315</f>
        <v>0</v>
      </c>
      <c r="G317">
        <f t="shared" si="14"/>
        <v>3552.5</v>
      </c>
      <c r="H3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7">
        <f t="shared" si="12"/>
        <v>3752.6</v>
      </c>
      <c r="K317" t="e">
        <f t="shared" si="13"/>
        <v>#DIV/0!</v>
      </c>
    </row>
    <row r="318" spans="1:11" hidden="1" x14ac:dyDescent="0.25">
      <c r="A318" t="str" cm="1">
        <f t="array" ref="A318">IF(ISBLANK(INDEX(SampleList[GC],ROW()-1)),"Not Requested",INDEX(SampleList[Experiment ID],ROW()-1))</f>
        <v>Not Requested</v>
      </c>
      <c r="B318">
        <f>Sampling!E316</f>
        <v>0</v>
      </c>
      <c r="G318">
        <f t="shared" si="14"/>
        <v>3552.5</v>
      </c>
      <c r="H3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8">
        <f t="shared" si="12"/>
        <v>3752.6</v>
      </c>
      <c r="K318" t="e">
        <f t="shared" si="13"/>
        <v>#DIV/0!</v>
      </c>
    </row>
    <row r="319" spans="1:11" hidden="1" x14ac:dyDescent="0.25">
      <c r="A319" t="str" cm="1">
        <f t="array" ref="A319">IF(ISBLANK(INDEX(SampleList[GC],ROW()-1)),"Not Requested",INDEX(SampleList[Experiment ID],ROW()-1))</f>
        <v>Not Requested</v>
      </c>
      <c r="B319">
        <f>Sampling!E317</f>
        <v>0</v>
      </c>
      <c r="G319">
        <f t="shared" si="14"/>
        <v>3552.5</v>
      </c>
      <c r="H3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19">
        <f t="shared" si="12"/>
        <v>3752.6</v>
      </c>
      <c r="K319" t="e">
        <f t="shared" si="13"/>
        <v>#DIV/0!</v>
      </c>
    </row>
    <row r="320" spans="1:11" hidden="1" x14ac:dyDescent="0.25">
      <c r="A320" t="str" cm="1">
        <f t="array" ref="A320">IF(ISBLANK(INDEX(SampleList[GC],ROW()-1)),"Not Requested",INDEX(SampleList[Experiment ID],ROW()-1))</f>
        <v>Not Requested</v>
      </c>
      <c r="B320">
        <f>Sampling!E318</f>
        <v>0</v>
      </c>
      <c r="G320">
        <f t="shared" si="14"/>
        <v>3552.5</v>
      </c>
      <c r="H3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0">
        <f t="shared" si="12"/>
        <v>3752.6</v>
      </c>
      <c r="K320" t="e">
        <f t="shared" si="13"/>
        <v>#DIV/0!</v>
      </c>
    </row>
    <row r="321" spans="1:11" hidden="1" x14ac:dyDescent="0.25">
      <c r="A321" t="str" cm="1">
        <f t="array" ref="A321">IF(ISBLANK(INDEX(SampleList[GC],ROW()-1)),"Not Requested",INDEX(SampleList[Experiment ID],ROW()-1))</f>
        <v>Not Requested</v>
      </c>
      <c r="B321">
        <f>Sampling!E319</f>
        <v>0</v>
      </c>
      <c r="G321">
        <f t="shared" si="14"/>
        <v>3552.5</v>
      </c>
      <c r="H3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1">
        <f t="shared" si="12"/>
        <v>3752.6</v>
      </c>
      <c r="K321" t="e">
        <f t="shared" si="13"/>
        <v>#DIV/0!</v>
      </c>
    </row>
    <row r="322" spans="1:11" hidden="1" x14ac:dyDescent="0.25">
      <c r="A322" t="str" cm="1">
        <f t="array" ref="A322">IF(ISBLANK(INDEX(SampleList[GC],ROW()-1)),"Not Requested",INDEX(SampleList[Experiment ID],ROW()-1))</f>
        <v>Not Requested</v>
      </c>
      <c r="B322">
        <f>Sampling!E320</f>
        <v>0</v>
      </c>
      <c r="G322">
        <f t="shared" si="14"/>
        <v>3552.5</v>
      </c>
      <c r="H3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2">
        <f t="shared" ref="I322:I385" si="15">25.88*145</f>
        <v>3752.6</v>
      </c>
      <c r="K322" t="e">
        <f t="shared" ref="K322:K385" si="16">(500/D322)*J322</f>
        <v>#DIV/0!</v>
      </c>
    </row>
    <row r="323" spans="1:11" hidden="1" x14ac:dyDescent="0.25">
      <c r="A323" t="str" cm="1">
        <f t="array" ref="A323">IF(ISBLANK(INDEX(SampleList[GC],ROW()-1)),"Not Requested",INDEX(SampleList[Experiment ID],ROW()-1))</f>
        <v>Not Requested</v>
      </c>
      <c r="B323">
        <f>Sampling!E321</f>
        <v>0</v>
      </c>
      <c r="G323">
        <f t="shared" si="14"/>
        <v>3552.5</v>
      </c>
      <c r="H3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3">
        <f t="shared" si="15"/>
        <v>3752.6</v>
      </c>
      <c r="K323" t="e">
        <f t="shared" si="16"/>
        <v>#DIV/0!</v>
      </c>
    </row>
    <row r="324" spans="1:11" hidden="1" x14ac:dyDescent="0.25">
      <c r="A324" t="str" cm="1">
        <f t="array" ref="A324">IF(ISBLANK(INDEX(SampleList[GC],ROW()-1)),"Not Requested",INDEX(SampleList[Experiment ID],ROW()-1))</f>
        <v>Not Requested</v>
      </c>
      <c r="B324">
        <f>Sampling!E322</f>
        <v>0</v>
      </c>
      <c r="G324">
        <f t="shared" si="14"/>
        <v>3552.5</v>
      </c>
      <c r="H3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4">
        <f t="shared" si="15"/>
        <v>3752.6</v>
      </c>
      <c r="K324" t="e">
        <f t="shared" si="16"/>
        <v>#DIV/0!</v>
      </c>
    </row>
    <row r="325" spans="1:11" hidden="1" x14ac:dyDescent="0.25">
      <c r="A325" t="str" cm="1">
        <f t="array" ref="A325">IF(ISBLANK(INDEX(SampleList[GC],ROW()-1)),"Not Requested",INDEX(SampleList[Experiment ID],ROW()-1))</f>
        <v>Not Requested</v>
      </c>
      <c r="B325">
        <f>Sampling!E323</f>
        <v>0</v>
      </c>
      <c r="G325">
        <f t="shared" si="14"/>
        <v>3552.5</v>
      </c>
      <c r="H3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5">
        <f t="shared" si="15"/>
        <v>3752.6</v>
      </c>
      <c r="K325" t="e">
        <f t="shared" si="16"/>
        <v>#DIV/0!</v>
      </c>
    </row>
    <row r="326" spans="1:11" hidden="1" x14ac:dyDescent="0.25">
      <c r="A326" t="str" cm="1">
        <f t="array" ref="A326">IF(ISBLANK(INDEX(SampleList[GC],ROW()-1)),"Not Requested",INDEX(SampleList[Experiment ID],ROW()-1))</f>
        <v>Not Requested</v>
      </c>
      <c r="B326">
        <f>Sampling!E324</f>
        <v>0</v>
      </c>
      <c r="G326">
        <f t="shared" si="14"/>
        <v>3552.5</v>
      </c>
      <c r="H3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6">
        <f t="shared" si="15"/>
        <v>3752.6</v>
      </c>
      <c r="K326" t="e">
        <f t="shared" si="16"/>
        <v>#DIV/0!</v>
      </c>
    </row>
    <row r="327" spans="1:11" hidden="1" x14ac:dyDescent="0.25">
      <c r="A327" t="str" cm="1">
        <f t="array" ref="A327">IF(ISBLANK(INDEX(SampleList[GC],ROW()-1)),"Not Requested",INDEX(SampleList[Experiment ID],ROW()-1))</f>
        <v>Not Requested</v>
      </c>
      <c r="B327">
        <f>Sampling!E325</f>
        <v>0</v>
      </c>
      <c r="G327">
        <f t="shared" si="14"/>
        <v>3552.5</v>
      </c>
      <c r="H3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7">
        <f t="shared" si="15"/>
        <v>3752.6</v>
      </c>
      <c r="K327" t="e">
        <f t="shared" si="16"/>
        <v>#DIV/0!</v>
      </c>
    </row>
    <row r="328" spans="1:11" hidden="1" x14ac:dyDescent="0.25">
      <c r="A328" t="str" cm="1">
        <f t="array" ref="A328">IF(ISBLANK(INDEX(SampleList[GC],ROW()-1)),"Not Requested",INDEX(SampleList[Experiment ID],ROW()-1))</f>
        <v>Not Requested</v>
      </c>
      <c r="B328">
        <f>Sampling!E326</f>
        <v>0</v>
      </c>
      <c r="G328">
        <f t="shared" si="14"/>
        <v>3552.5</v>
      </c>
      <c r="H3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8">
        <f t="shared" si="15"/>
        <v>3752.6</v>
      </c>
      <c r="K328" t="e">
        <f t="shared" si="16"/>
        <v>#DIV/0!</v>
      </c>
    </row>
    <row r="329" spans="1:11" hidden="1" x14ac:dyDescent="0.25">
      <c r="A329" t="str" cm="1">
        <f t="array" ref="A329">IF(ISBLANK(INDEX(SampleList[GC],ROW()-1)),"Not Requested",INDEX(SampleList[Experiment ID],ROW()-1))</f>
        <v>Not Requested</v>
      </c>
      <c r="B329">
        <f>Sampling!E327</f>
        <v>0</v>
      </c>
      <c r="G329">
        <f t="shared" si="14"/>
        <v>3552.5</v>
      </c>
      <c r="H3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29">
        <f t="shared" si="15"/>
        <v>3752.6</v>
      </c>
      <c r="K329" t="e">
        <f t="shared" si="16"/>
        <v>#DIV/0!</v>
      </c>
    </row>
    <row r="330" spans="1:11" hidden="1" x14ac:dyDescent="0.25">
      <c r="A330" t="str" cm="1">
        <f t="array" ref="A330">IF(ISBLANK(INDEX(SampleList[GC],ROW()-1)),"Not Requested",INDEX(SampleList[Experiment ID],ROW()-1))</f>
        <v>Not Requested</v>
      </c>
      <c r="B330">
        <f>Sampling!E328</f>
        <v>0</v>
      </c>
      <c r="G330">
        <f t="shared" si="14"/>
        <v>3552.5</v>
      </c>
      <c r="H3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0">
        <f t="shared" si="15"/>
        <v>3752.6</v>
      </c>
      <c r="K330" t="e">
        <f t="shared" si="16"/>
        <v>#DIV/0!</v>
      </c>
    </row>
    <row r="331" spans="1:11" hidden="1" x14ac:dyDescent="0.25">
      <c r="A331" t="str" cm="1">
        <f t="array" ref="A331">IF(ISBLANK(INDEX(SampleList[GC],ROW()-1)),"Not Requested",INDEX(SampleList[Experiment ID],ROW()-1))</f>
        <v>Not Requested</v>
      </c>
      <c r="B331">
        <f>Sampling!E329</f>
        <v>0</v>
      </c>
      <c r="G331">
        <f t="shared" si="14"/>
        <v>3552.5</v>
      </c>
      <c r="H3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1">
        <f t="shared" si="15"/>
        <v>3752.6</v>
      </c>
      <c r="K331" t="e">
        <f t="shared" si="16"/>
        <v>#DIV/0!</v>
      </c>
    </row>
    <row r="332" spans="1:11" hidden="1" x14ac:dyDescent="0.25">
      <c r="A332" t="str" cm="1">
        <f t="array" ref="A332">IF(ISBLANK(INDEX(SampleList[GC],ROW()-1)),"Not Requested",INDEX(SampleList[Experiment ID],ROW()-1))</f>
        <v>Not Requested</v>
      </c>
      <c r="B332">
        <f>Sampling!E330</f>
        <v>0</v>
      </c>
      <c r="G332">
        <f t="shared" si="14"/>
        <v>3552.5</v>
      </c>
      <c r="H3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2">
        <f t="shared" si="15"/>
        <v>3752.6</v>
      </c>
      <c r="K332" t="e">
        <f t="shared" si="16"/>
        <v>#DIV/0!</v>
      </c>
    </row>
    <row r="333" spans="1:11" hidden="1" x14ac:dyDescent="0.25">
      <c r="A333" t="str" cm="1">
        <f t="array" ref="A333">IF(ISBLANK(INDEX(SampleList[GC],ROW()-1)),"Not Requested",INDEX(SampleList[Experiment ID],ROW()-1))</f>
        <v>Not Requested</v>
      </c>
      <c r="B333">
        <f>Sampling!E331</f>
        <v>0</v>
      </c>
      <c r="G333">
        <f t="shared" si="14"/>
        <v>3552.5</v>
      </c>
      <c r="H3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3">
        <f t="shared" si="15"/>
        <v>3752.6</v>
      </c>
      <c r="K333" t="e">
        <f t="shared" si="16"/>
        <v>#DIV/0!</v>
      </c>
    </row>
    <row r="334" spans="1:11" hidden="1" x14ac:dyDescent="0.25">
      <c r="A334" t="str" cm="1">
        <f t="array" ref="A334">IF(ISBLANK(INDEX(SampleList[GC],ROW()-1)),"Not Requested",INDEX(SampleList[Experiment ID],ROW()-1))</f>
        <v>Not Requested</v>
      </c>
      <c r="B334">
        <f>Sampling!E332</f>
        <v>0</v>
      </c>
      <c r="G334">
        <f t="shared" si="14"/>
        <v>3552.5</v>
      </c>
      <c r="H3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4">
        <f t="shared" si="15"/>
        <v>3752.6</v>
      </c>
      <c r="K334" t="e">
        <f t="shared" si="16"/>
        <v>#DIV/0!</v>
      </c>
    </row>
    <row r="335" spans="1:11" hidden="1" x14ac:dyDescent="0.25">
      <c r="A335" t="str" cm="1">
        <f t="array" ref="A335">IF(ISBLANK(INDEX(SampleList[GC],ROW()-1)),"Not Requested",INDEX(SampleList[Experiment ID],ROW()-1))</f>
        <v>Not Requested</v>
      </c>
      <c r="B335">
        <f>Sampling!E333</f>
        <v>0</v>
      </c>
      <c r="G335">
        <f t="shared" si="14"/>
        <v>3552.5</v>
      </c>
      <c r="H3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5">
        <f t="shared" si="15"/>
        <v>3752.6</v>
      </c>
      <c r="K335" t="e">
        <f t="shared" si="16"/>
        <v>#DIV/0!</v>
      </c>
    </row>
    <row r="336" spans="1:11" hidden="1" x14ac:dyDescent="0.25">
      <c r="A336" t="str" cm="1">
        <f t="array" ref="A336">IF(ISBLANK(INDEX(SampleList[GC],ROW()-1)),"Not Requested",INDEX(SampleList[Experiment ID],ROW()-1))</f>
        <v>Not Requested</v>
      </c>
      <c r="B336">
        <f>Sampling!E334</f>
        <v>0</v>
      </c>
      <c r="G336">
        <f t="shared" si="14"/>
        <v>3552.5</v>
      </c>
      <c r="H3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6">
        <f t="shared" si="15"/>
        <v>3752.6</v>
      </c>
      <c r="K336" t="e">
        <f t="shared" si="16"/>
        <v>#DIV/0!</v>
      </c>
    </row>
    <row r="337" spans="1:11" hidden="1" x14ac:dyDescent="0.25">
      <c r="A337" t="str" cm="1">
        <f t="array" ref="A337">IF(ISBLANK(INDEX(SampleList[GC],ROW()-1)),"Not Requested",INDEX(SampleList[Experiment ID],ROW()-1))</f>
        <v>Not Requested</v>
      </c>
      <c r="B337">
        <f>Sampling!E335</f>
        <v>0</v>
      </c>
      <c r="G337">
        <f t="shared" si="14"/>
        <v>3552.5</v>
      </c>
      <c r="H3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7">
        <f t="shared" si="15"/>
        <v>3752.6</v>
      </c>
      <c r="K337" t="e">
        <f t="shared" si="16"/>
        <v>#DIV/0!</v>
      </c>
    </row>
    <row r="338" spans="1:11" hidden="1" x14ac:dyDescent="0.25">
      <c r="A338" t="str" cm="1">
        <f t="array" ref="A338">IF(ISBLANK(INDEX(SampleList[GC],ROW()-1)),"Not Requested",INDEX(SampleList[Experiment ID],ROW()-1))</f>
        <v>Not Requested</v>
      </c>
      <c r="B338">
        <f>Sampling!E336</f>
        <v>0</v>
      </c>
      <c r="G338">
        <f t="shared" si="14"/>
        <v>3552.5</v>
      </c>
      <c r="H3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8">
        <f t="shared" si="15"/>
        <v>3752.6</v>
      </c>
      <c r="K338" t="e">
        <f t="shared" si="16"/>
        <v>#DIV/0!</v>
      </c>
    </row>
    <row r="339" spans="1:11" hidden="1" x14ac:dyDescent="0.25">
      <c r="A339" t="str" cm="1">
        <f t="array" ref="A339">IF(ISBLANK(INDEX(SampleList[GC],ROW()-1)),"Not Requested",INDEX(SampleList[Experiment ID],ROW()-1))</f>
        <v>Not Requested</v>
      </c>
      <c r="B339">
        <f>Sampling!E337</f>
        <v>0</v>
      </c>
      <c r="G339">
        <f t="shared" si="14"/>
        <v>3552.5</v>
      </c>
      <c r="H3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39">
        <f t="shared" si="15"/>
        <v>3752.6</v>
      </c>
      <c r="K339" t="e">
        <f t="shared" si="16"/>
        <v>#DIV/0!</v>
      </c>
    </row>
    <row r="340" spans="1:11" hidden="1" x14ac:dyDescent="0.25">
      <c r="A340" t="str" cm="1">
        <f t="array" ref="A340">IF(ISBLANK(INDEX(SampleList[GC],ROW()-1)),"Not Requested",INDEX(SampleList[Experiment ID],ROW()-1))</f>
        <v>Not Requested</v>
      </c>
      <c r="B340">
        <f>Sampling!E338</f>
        <v>0</v>
      </c>
      <c r="G340">
        <f t="shared" si="14"/>
        <v>3552.5</v>
      </c>
      <c r="H3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0">
        <f t="shared" si="15"/>
        <v>3752.6</v>
      </c>
      <c r="K340" t="e">
        <f t="shared" si="16"/>
        <v>#DIV/0!</v>
      </c>
    </row>
    <row r="341" spans="1:11" hidden="1" x14ac:dyDescent="0.25">
      <c r="A341" t="str" cm="1">
        <f t="array" ref="A341">IF(ISBLANK(INDEX(SampleList[GC],ROW()-1)),"Not Requested",INDEX(SampleList[Experiment ID],ROW()-1))</f>
        <v>Not Requested</v>
      </c>
      <c r="B341">
        <f>Sampling!E339</f>
        <v>0</v>
      </c>
      <c r="G341">
        <f t="shared" si="14"/>
        <v>3552.5</v>
      </c>
      <c r="H3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1">
        <f t="shared" si="15"/>
        <v>3752.6</v>
      </c>
      <c r="K341" t="e">
        <f t="shared" si="16"/>
        <v>#DIV/0!</v>
      </c>
    </row>
    <row r="342" spans="1:11" hidden="1" x14ac:dyDescent="0.25">
      <c r="A342" t="str" cm="1">
        <f t="array" ref="A342">IF(ISBLANK(INDEX(SampleList[GC],ROW()-1)),"Not Requested",INDEX(SampleList[Experiment ID],ROW()-1))</f>
        <v>Not Requested</v>
      </c>
      <c r="B342">
        <f>Sampling!E340</f>
        <v>0</v>
      </c>
      <c r="G342">
        <f t="shared" si="14"/>
        <v>3552.5</v>
      </c>
      <c r="H3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2">
        <f t="shared" si="15"/>
        <v>3752.6</v>
      </c>
      <c r="K342" t="e">
        <f t="shared" si="16"/>
        <v>#DIV/0!</v>
      </c>
    </row>
    <row r="343" spans="1:11" hidden="1" x14ac:dyDescent="0.25">
      <c r="A343" t="str" cm="1">
        <f t="array" ref="A343">IF(ISBLANK(INDEX(SampleList[GC],ROW()-1)),"Not Requested",INDEX(SampleList[Experiment ID],ROW()-1))</f>
        <v>Not Requested</v>
      </c>
      <c r="B343">
        <f>Sampling!E341</f>
        <v>0</v>
      </c>
      <c r="G343">
        <f t="shared" si="14"/>
        <v>3552.5</v>
      </c>
      <c r="H3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3">
        <f t="shared" si="15"/>
        <v>3752.6</v>
      </c>
      <c r="K343" t="e">
        <f t="shared" si="16"/>
        <v>#DIV/0!</v>
      </c>
    </row>
    <row r="344" spans="1:11" hidden="1" x14ac:dyDescent="0.25">
      <c r="A344" t="str" cm="1">
        <f t="array" ref="A344">IF(ISBLANK(INDEX(SampleList[GC],ROW()-1)),"Not Requested",INDEX(SampleList[Experiment ID],ROW()-1))</f>
        <v>Not Requested</v>
      </c>
      <c r="B344">
        <f>Sampling!E342</f>
        <v>0</v>
      </c>
      <c r="G344">
        <f t="shared" si="14"/>
        <v>3552.5</v>
      </c>
      <c r="H3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4">
        <f t="shared" si="15"/>
        <v>3752.6</v>
      </c>
      <c r="K344" t="e">
        <f t="shared" si="16"/>
        <v>#DIV/0!</v>
      </c>
    </row>
    <row r="345" spans="1:11" hidden="1" x14ac:dyDescent="0.25">
      <c r="A345" t="str" cm="1">
        <f t="array" ref="A345">IF(ISBLANK(INDEX(SampleList[GC],ROW()-1)),"Not Requested",INDEX(SampleList[Experiment ID],ROW()-1))</f>
        <v>Not Requested</v>
      </c>
      <c r="B345">
        <f>Sampling!E343</f>
        <v>0</v>
      </c>
      <c r="G345">
        <f t="shared" si="14"/>
        <v>3552.5</v>
      </c>
      <c r="H3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5">
        <f t="shared" si="15"/>
        <v>3752.6</v>
      </c>
      <c r="K345" t="e">
        <f t="shared" si="16"/>
        <v>#DIV/0!</v>
      </c>
    </row>
    <row r="346" spans="1:11" hidden="1" x14ac:dyDescent="0.25">
      <c r="A346" t="str" cm="1">
        <f t="array" ref="A346">IF(ISBLANK(INDEX(SampleList[GC],ROW()-1)),"Not Requested",INDEX(SampleList[Experiment ID],ROW()-1))</f>
        <v>Not Requested</v>
      </c>
      <c r="B346">
        <f>Sampling!E344</f>
        <v>0</v>
      </c>
      <c r="G346">
        <f t="shared" si="14"/>
        <v>3552.5</v>
      </c>
      <c r="H3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6">
        <f t="shared" si="15"/>
        <v>3752.6</v>
      </c>
      <c r="K346" t="e">
        <f t="shared" si="16"/>
        <v>#DIV/0!</v>
      </c>
    </row>
    <row r="347" spans="1:11" hidden="1" x14ac:dyDescent="0.25">
      <c r="A347" t="str" cm="1">
        <f t="array" ref="A347">IF(ISBLANK(INDEX(SampleList[GC],ROW()-1)),"Not Requested",INDEX(SampleList[Experiment ID],ROW()-1))</f>
        <v>Not Requested</v>
      </c>
      <c r="B347">
        <f>Sampling!E345</f>
        <v>0</v>
      </c>
      <c r="G347">
        <f t="shared" si="14"/>
        <v>3552.5</v>
      </c>
      <c r="H3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7">
        <f t="shared" si="15"/>
        <v>3752.6</v>
      </c>
      <c r="K347" t="e">
        <f t="shared" si="16"/>
        <v>#DIV/0!</v>
      </c>
    </row>
    <row r="348" spans="1:11" hidden="1" x14ac:dyDescent="0.25">
      <c r="A348" t="str" cm="1">
        <f t="array" ref="A348">IF(ISBLANK(INDEX(SampleList[GC],ROW()-1)),"Not Requested",INDEX(SampleList[Experiment ID],ROW()-1))</f>
        <v>Not Requested</v>
      </c>
      <c r="B348">
        <f>Sampling!E346</f>
        <v>0</v>
      </c>
      <c r="G348">
        <f t="shared" si="14"/>
        <v>3552.5</v>
      </c>
      <c r="H3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8">
        <f t="shared" si="15"/>
        <v>3752.6</v>
      </c>
      <c r="K348" t="e">
        <f t="shared" si="16"/>
        <v>#DIV/0!</v>
      </c>
    </row>
    <row r="349" spans="1:11" hidden="1" x14ac:dyDescent="0.25">
      <c r="A349" t="str" cm="1">
        <f t="array" ref="A349">IF(ISBLANK(INDEX(SampleList[GC],ROW()-1)),"Not Requested",INDEX(SampleList[Experiment ID],ROW()-1))</f>
        <v>Not Requested</v>
      </c>
      <c r="B349">
        <f>Sampling!E347</f>
        <v>0</v>
      </c>
      <c r="G349">
        <f t="shared" si="14"/>
        <v>3552.5</v>
      </c>
      <c r="H3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49">
        <f t="shared" si="15"/>
        <v>3752.6</v>
      </c>
      <c r="K349" t="e">
        <f t="shared" si="16"/>
        <v>#DIV/0!</v>
      </c>
    </row>
    <row r="350" spans="1:11" hidden="1" x14ac:dyDescent="0.25">
      <c r="A350" t="str" cm="1">
        <f t="array" ref="A350">IF(ISBLANK(INDEX(SampleList[GC],ROW()-1)),"Not Requested",INDEX(SampleList[Experiment ID],ROW()-1))</f>
        <v>Not Requested</v>
      </c>
      <c r="B350">
        <f>Sampling!E348</f>
        <v>0</v>
      </c>
      <c r="G350">
        <f t="shared" si="14"/>
        <v>3552.5</v>
      </c>
      <c r="H3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0">
        <f t="shared" si="15"/>
        <v>3752.6</v>
      </c>
      <c r="K350" t="e">
        <f t="shared" si="16"/>
        <v>#DIV/0!</v>
      </c>
    </row>
    <row r="351" spans="1:11" hidden="1" x14ac:dyDescent="0.25">
      <c r="A351" t="str" cm="1">
        <f t="array" ref="A351">IF(ISBLANK(INDEX(SampleList[GC],ROW()-1)),"Not Requested",INDEX(SampleList[Experiment ID],ROW()-1))</f>
        <v>Not Requested</v>
      </c>
      <c r="B351">
        <f>Sampling!E349</f>
        <v>0</v>
      </c>
      <c r="G351">
        <f t="shared" si="14"/>
        <v>3552.5</v>
      </c>
      <c r="H3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1">
        <f t="shared" si="15"/>
        <v>3752.6</v>
      </c>
      <c r="K351" t="e">
        <f t="shared" si="16"/>
        <v>#DIV/0!</v>
      </c>
    </row>
    <row r="352" spans="1:11" hidden="1" x14ac:dyDescent="0.25">
      <c r="A352" t="str" cm="1">
        <f t="array" ref="A352">IF(ISBLANK(INDEX(SampleList[GC],ROW()-1)),"Not Requested",INDEX(SampleList[Experiment ID],ROW()-1))</f>
        <v>Not Requested</v>
      </c>
      <c r="B352">
        <f>Sampling!E350</f>
        <v>0</v>
      </c>
      <c r="G352">
        <f t="shared" si="14"/>
        <v>3552.5</v>
      </c>
      <c r="H3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2">
        <f t="shared" si="15"/>
        <v>3752.6</v>
      </c>
      <c r="K352" t="e">
        <f t="shared" si="16"/>
        <v>#DIV/0!</v>
      </c>
    </row>
    <row r="353" spans="1:11" hidden="1" x14ac:dyDescent="0.25">
      <c r="A353" t="str" cm="1">
        <f t="array" ref="A353">IF(ISBLANK(INDEX(SampleList[GC],ROW()-1)),"Not Requested",INDEX(SampleList[Experiment ID],ROW()-1))</f>
        <v>Not Requested</v>
      </c>
      <c r="B353">
        <f>Sampling!E351</f>
        <v>0</v>
      </c>
      <c r="G353">
        <f t="shared" ref="G353:G416" si="17">24.5*145</f>
        <v>3552.5</v>
      </c>
      <c r="H3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3">
        <f t="shared" si="15"/>
        <v>3752.6</v>
      </c>
      <c r="K353" t="e">
        <f t="shared" si="16"/>
        <v>#DIV/0!</v>
      </c>
    </row>
    <row r="354" spans="1:11" hidden="1" x14ac:dyDescent="0.25">
      <c r="A354" t="str" cm="1">
        <f t="array" ref="A354">IF(ISBLANK(INDEX(SampleList[GC],ROW()-1)),"Not Requested",INDEX(SampleList[Experiment ID],ROW()-1))</f>
        <v>Not Requested</v>
      </c>
      <c r="B354">
        <f>Sampling!E352</f>
        <v>0</v>
      </c>
      <c r="G354">
        <f t="shared" si="17"/>
        <v>3552.5</v>
      </c>
      <c r="H3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4">
        <f t="shared" si="15"/>
        <v>3752.6</v>
      </c>
      <c r="K354" t="e">
        <f t="shared" si="16"/>
        <v>#DIV/0!</v>
      </c>
    </row>
    <row r="355" spans="1:11" hidden="1" x14ac:dyDescent="0.25">
      <c r="A355" t="str" cm="1">
        <f t="array" ref="A355">IF(ISBLANK(INDEX(SampleList[GC],ROW()-1)),"Not Requested",INDEX(SampleList[Experiment ID],ROW()-1))</f>
        <v>Not Requested</v>
      </c>
      <c r="B355">
        <f>Sampling!E353</f>
        <v>0</v>
      </c>
      <c r="G355">
        <f t="shared" si="17"/>
        <v>3552.5</v>
      </c>
      <c r="H3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5">
        <f t="shared" si="15"/>
        <v>3752.6</v>
      </c>
      <c r="K355" t="e">
        <f t="shared" si="16"/>
        <v>#DIV/0!</v>
      </c>
    </row>
    <row r="356" spans="1:11" hidden="1" x14ac:dyDescent="0.25">
      <c r="A356" t="str" cm="1">
        <f t="array" ref="A356">IF(ISBLANK(INDEX(SampleList[GC],ROW()-1)),"Not Requested",INDEX(SampleList[Experiment ID],ROW()-1))</f>
        <v>Not Requested</v>
      </c>
      <c r="B356">
        <f>Sampling!E354</f>
        <v>0</v>
      </c>
      <c r="G356">
        <f t="shared" si="17"/>
        <v>3552.5</v>
      </c>
      <c r="H3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6">
        <f t="shared" si="15"/>
        <v>3752.6</v>
      </c>
      <c r="K356" t="e">
        <f t="shared" si="16"/>
        <v>#DIV/0!</v>
      </c>
    </row>
    <row r="357" spans="1:11" hidden="1" x14ac:dyDescent="0.25">
      <c r="A357" t="str" cm="1">
        <f t="array" ref="A357">IF(ISBLANK(INDEX(SampleList[GC],ROW()-1)),"Not Requested",INDEX(SampleList[Experiment ID],ROW()-1))</f>
        <v>Not Requested</v>
      </c>
      <c r="B357">
        <f>Sampling!E355</f>
        <v>0</v>
      </c>
      <c r="G357">
        <f t="shared" si="17"/>
        <v>3552.5</v>
      </c>
      <c r="H3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7">
        <f t="shared" si="15"/>
        <v>3752.6</v>
      </c>
      <c r="K357" t="e">
        <f t="shared" si="16"/>
        <v>#DIV/0!</v>
      </c>
    </row>
    <row r="358" spans="1:11" hidden="1" x14ac:dyDescent="0.25">
      <c r="A358" t="str" cm="1">
        <f t="array" ref="A358">IF(ISBLANK(INDEX(SampleList[GC],ROW()-1)),"Not Requested",INDEX(SampleList[Experiment ID],ROW()-1))</f>
        <v>Not Requested</v>
      </c>
      <c r="B358">
        <f>Sampling!E356</f>
        <v>0</v>
      </c>
      <c r="G358">
        <f t="shared" si="17"/>
        <v>3552.5</v>
      </c>
      <c r="H3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8">
        <f t="shared" si="15"/>
        <v>3752.6</v>
      </c>
      <c r="K358" t="e">
        <f t="shared" si="16"/>
        <v>#DIV/0!</v>
      </c>
    </row>
    <row r="359" spans="1:11" hidden="1" x14ac:dyDescent="0.25">
      <c r="A359" t="str" cm="1">
        <f t="array" ref="A359">IF(ISBLANK(INDEX(SampleList[GC],ROW()-1)),"Not Requested",INDEX(SampleList[Experiment ID],ROW()-1))</f>
        <v>Not Requested</v>
      </c>
      <c r="B359">
        <f>Sampling!E357</f>
        <v>0</v>
      </c>
      <c r="G359">
        <f t="shared" si="17"/>
        <v>3552.5</v>
      </c>
      <c r="H3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59">
        <f t="shared" si="15"/>
        <v>3752.6</v>
      </c>
      <c r="K359" t="e">
        <f t="shared" si="16"/>
        <v>#DIV/0!</v>
      </c>
    </row>
    <row r="360" spans="1:11" hidden="1" x14ac:dyDescent="0.25">
      <c r="A360" t="str" cm="1">
        <f t="array" ref="A360">IF(ISBLANK(INDEX(SampleList[GC],ROW()-1)),"Not Requested",INDEX(SampleList[Experiment ID],ROW()-1))</f>
        <v>Not Requested</v>
      </c>
      <c r="B360">
        <f>Sampling!E358</f>
        <v>0</v>
      </c>
      <c r="G360">
        <f t="shared" si="17"/>
        <v>3552.5</v>
      </c>
      <c r="H3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0">
        <f t="shared" si="15"/>
        <v>3752.6</v>
      </c>
      <c r="K360" t="e">
        <f t="shared" si="16"/>
        <v>#DIV/0!</v>
      </c>
    </row>
    <row r="361" spans="1:11" hidden="1" x14ac:dyDescent="0.25">
      <c r="A361" t="str" cm="1">
        <f t="array" ref="A361">IF(ISBLANK(INDEX(SampleList[GC],ROW()-1)),"Not Requested",INDEX(SampleList[Experiment ID],ROW()-1))</f>
        <v>Not Requested</v>
      </c>
      <c r="B361">
        <f>Sampling!E359</f>
        <v>0</v>
      </c>
      <c r="G361">
        <f t="shared" si="17"/>
        <v>3552.5</v>
      </c>
      <c r="H3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1">
        <f t="shared" si="15"/>
        <v>3752.6</v>
      </c>
      <c r="K361" t="e">
        <f t="shared" si="16"/>
        <v>#DIV/0!</v>
      </c>
    </row>
    <row r="362" spans="1:11" hidden="1" x14ac:dyDescent="0.25">
      <c r="A362" t="str" cm="1">
        <f t="array" ref="A362">IF(ISBLANK(INDEX(SampleList[GC],ROW()-1)),"Not Requested",INDEX(SampleList[Experiment ID],ROW()-1))</f>
        <v>Not Requested</v>
      </c>
      <c r="B362">
        <f>Sampling!E360</f>
        <v>0</v>
      </c>
      <c r="G362">
        <f t="shared" si="17"/>
        <v>3552.5</v>
      </c>
      <c r="H3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2">
        <f t="shared" si="15"/>
        <v>3752.6</v>
      </c>
      <c r="K362" t="e">
        <f t="shared" si="16"/>
        <v>#DIV/0!</v>
      </c>
    </row>
    <row r="363" spans="1:11" hidden="1" x14ac:dyDescent="0.25">
      <c r="A363" t="str" cm="1">
        <f t="array" ref="A363">IF(ISBLANK(INDEX(SampleList[GC],ROW()-1)),"Not Requested",INDEX(SampleList[Experiment ID],ROW()-1))</f>
        <v>Not Requested</v>
      </c>
      <c r="B363">
        <f>Sampling!E361</f>
        <v>0</v>
      </c>
      <c r="G363">
        <f t="shared" si="17"/>
        <v>3552.5</v>
      </c>
      <c r="H3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3">
        <f t="shared" si="15"/>
        <v>3752.6</v>
      </c>
      <c r="K363" t="e">
        <f t="shared" si="16"/>
        <v>#DIV/0!</v>
      </c>
    </row>
    <row r="364" spans="1:11" hidden="1" x14ac:dyDescent="0.25">
      <c r="A364" t="str" cm="1">
        <f t="array" ref="A364">IF(ISBLANK(INDEX(SampleList[GC],ROW()-1)),"Not Requested",INDEX(SampleList[Experiment ID],ROW()-1))</f>
        <v>Not Requested</v>
      </c>
      <c r="B364">
        <f>Sampling!E362</f>
        <v>0</v>
      </c>
      <c r="G364">
        <f t="shared" si="17"/>
        <v>3552.5</v>
      </c>
      <c r="H3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4">
        <f t="shared" si="15"/>
        <v>3752.6</v>
      </c>
      <c r="K364" t="e">
        <f t="shared" si="16"/>
        <v>#DIV/0!</v>
      </c>
    </row>
    <row r="365" spans="1:11" hidden="1" x14ac:dyDescent="0.25">
      <c r="A365" t="str" cm="1">
        <f t="array" ref="A365">IF(ISBLANK(INDEX(SampleList[GC],ROW()-1)),"Not Requested",INDEX(SampleList[Experiment ID],ROW()-1))</f>
        <v>Not Requested</v>
      </c>
      <c r="B365">
        <f>Sampling!E363</f>
        <v>0</v>
      </c>
      <c r="G365">
        <f t="shared" si="17"/>
        <v>3552.5</v>
      </c>
      <c r="H3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5">
        <f t="shared" si="15"/>
        <v>3752.6</v>
      </c>
      <c r="K365" t="e">
        <f t="shared" si="16"/>
        <v>#DIV/0!</v>
      </c>
    </row>
    <row r="366" spans="1:11" hidden="1" x14ac:dyDescent="0.25">
      <c r="A366" t="str" cm="1">
        <f t="array" ref="A366">IF(ISBLANK(INDEX(SampleList[GC],ROW()-1)),"Not Requested",INDEX(SampleList[Experiment ID],ROW()-1))</f>
        <v>Not Requested</v>
      </c>
      <c r="B366">
        <f>Sampling!E364</f>
        <v>0</v>
      </c>
      <c r="G366">
        <f t="shared" si="17"/>
        <v>3552.5</v>
      </c>
      <c r="H3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6">
        <f t="shared" si="15"/>
        <v>3752.6</v>
      </c>
      <c r="K366" t="e">
        <f t="shared" si="16"/>
        <v>#DIV/0!</v>
      </c>
    </row>
    <row r="367" spans="1:11" hidden="1" x14ac:dyDescent="0.25">
      <c r="A367" t="str" cm="1">
        <f t="array" ref="A367">IF(ISBLANK(INDEX(SampleList[GC],ROW()-1)),"Not Requested",INDEX(SampleList[Experiment ID],ROW()-1))</f>
        <v>Not Requested</v>
      </c>
      <c r="B367">
        <f>Sampling!E365</f>
        <v>0</v>
      </c>
      <c r="G367">
        <f t="shared" si="17"/>
        <v>3552.5</v>
      </c>
      <c r="H3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7">
        <f t="shared" si="15"/>
        <v>3752.6</v>
      </c>
      <c r="K367" t="e">
        <f t="shared" si="16"/>
        <v>#DIV/0!</v>
      </c>
    </row>
    <row r="368" spans="1:11" hidden="1" x14ac:dyDescent="0.25">
      <c r="A368" t="str" cm="1">
        <f t="array" ref="A368">IF(ISBLANK(INDEX(SampleList[GC],ROW()-1)),"Not Requested",INDEX(SampleList[Experiment ID],ROW()-1))</f>
        <v>Not Requested</v>
      </c>
      <c r="B368">
        <f>Sampling!E366</f>
        <v>0</v>
      </c>
      <c r="G368">
        <f t="shared" si="17"/>
        <v>3552.5</v>
      </c>
      <c r="H3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8">
        <f t="shared" si="15"/>
        <v>3752.6</v>
      </c>
      <c r="K368" t="e">
        <f t="shared" si="16"/>
        <v>#DIV/0!</v>
      </c>
    </row>
    <row r="369" spans="1:11" hidden="1" x14ac:dyDescent="0.25">
      <c r="A369" t="str" cm="1">
        <f t="array" ref="A369">IF(ISBLANK(INDEX(SampleList[GC],ROW()-1)),"Not Requested",INDEX(SampleList[Experiment ID],ROW()-1))</f>
        <v>Not Requested</v>
      </c>
      <c r="B369">
        <f>Sampling!E367</f>
        <v>0</v>
      </c>
      <c r="G369">
        <f t="shared" si="17"/>
        <v>3552.5</v>
      </c>
      <c r="H3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69">
        <f t="shared" si="15"/>
        <v>3752.6</v>
      </c>
      <c r="K369" t="e">
        <f t="shared" si="16"/>
        <v>#DIV/0!</v>
      </c>
    </row>
    <row r="370" spans="1:11" hidden="1" x14ac:dyDescent="0.25">
      <c r="A370" t="str" cm="1">
        <f t="array" ref="A370">IF(ISBLANK(INDEX(SampleList[GC],ROW()-1)),"Not Requested",INDEX(SampleList[Experiment ID],ROW()-1))</f>
        <v>Not Requested</v>
      </c>
      <c r="B370">
        <f>Sampling!E368</f>
        <v>0</v>
      </c>
      <c r="G370">
        <f t="shared" si="17"/>
        <v>3552.5</v>
      </c>
      <c r="H3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0">
        <f t="shared" si="15"/>
        <v>3752.6</v>
      </c>
      <c r="K370" t="e">
        <f t="shared" si="16"/>
        <v>#DIV/0!</v>
      </c>
    </row>
    <row r="371" spans="1:11" hidden="1" x14ac:dyDescent="0.25">
      <c r="A371" t="str" cm="1">
        <f t="array" ref="A371">IF(ISBLANK(INDEX(SampleList[GC],ROW()-1)),"Not Requested",INDEX(SampleList[Experiment ID],ROW()-1))</f>
        <v>Not Requested</v>
      </c>
      <c r="B371">
        <f>Sampling!E369</f>
        <v>0</v>
      </c>
      <c r="G371">
        <f t="shared" si="17"/>
        <v>3552.5</v>
      </c>
      <c r="H3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1">
        <f t="shared" si="15"/>
        <v>3752.6</v>
      </c>
      <c r="K371" t="e">
        <f t="shared" si="16"/>
        <v>#DIV/0!</v>
      </c>
    </row>
    <row r="372" spans="1:11" hidden="1" x14ac:dyDescent="0.25">
      <c r="A372" t="str" cm="1">
        <f t="array" ref="A372">IF(ISBLANK(INDEX(SampleList[GC],ROW()-1)),"Not Requested",INDEX(SampleList[Experiment ID],ROW()-1))</f>
        <v>Not Requested</v>
      </c>
      <c r="B372">
        <f>Sampling!E370</f>
        <v>0</v>
      </c>
      <c r="G372">
        <f t="shared" si="17"/>
        <v>3552.5</v>
      </c>
      <c r="H3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2">
        <f t="shared" si="15"/>
        <v>3752.6</v>
      </c>
      <c r="K372" t="e">
        <f t="shared" si="16"/>
        <v>#DIV/0!</v>
      </c>
    </row>
    <row r="373" spans="1:11" hidden="1" x14ac:dyDescent="0.25">
      <c r="A373" t="str" cm="1">
        <f t="array" ref="A373">IF(ISBLANK(INDEX(SampleList[GC],ROW()-1)),"Not Requested",INDEX(SampleList[Experiment ID],ROW()-1))</f>
        <v>Not Requested</v>
      </c>
      <c r="B373">
        <f>Sampling!E371</f>
        <v>0</v>
      </c>
      <c r="G373">
        <f t="shared" si="17"/>
        <v>3552.5</v>
      </c>
      <c r="H3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3">
        <f t="shared" si="15"/>
        <v>3752.6</v>
      </c>
      <c r="K373" t="e">
        <f t="shared" si="16"/>
        <v>#DIV/0!</v>
      </c>
    </row>
    <row r="374" spans="1:11" hidden="1" x14ac:dyDescent="0.25">
      <c r="A374" t="str" cm="1">
        <f t="array" ref="A374">IF(ISBLANK(INDEX(SampleList[GC],ROW()-1)),"Not Requested",INDEX(SampleList[Experiment ID],ROW()-1))</f>
        <v>Not Requested</v>
      </c>
      <c r="B374">
        <f>Sampling!E372</f>
        <v>0</v>
      </c>
      <c r="G374">
        <f t="shared" si="17"/>
        <v>3552.5</v>
      </c>
      <c r="H3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4">
        <f t="shared" si="15"/>
        <v>3752.6</v>
      </c>
      <c r="K374" t="e">
        <f t="shared" si="16"/>
        <v>#DIV/0!</v>
      </c>
    </row>
    <row r="375" spans="1:11" hidden="1" x14ac:dyDescent="0.25">
      <c r="A375" t="str" cm="1">
        <f t="array" ref="A375">IF(ISBLANK(INDEX(SampleList[GC],ROW()-1)),"Not Requested",INDEX(SampleList[Experiment ID],ROW()-1))</f>
        <v>Not Requested</v>
      </c>
      <c r="B375">
        <f>Sampling!E373</f>
        <v>0</v>
      </c>
      <c r="G375">
        <f t="shared" si="17"/>
        <v>3552.5</v>
      </c>
      <c r="H3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5">
        <f t="shared" si="15"/>
        <v>3752.6</v>
      </c>
      <c r="K375" t="e">
        <f t="shared" si="16"/>
        <v>#DIV/0!</v>
      </c>
    </row>
    <row r="376" spans="1:11" hidden="1" x14ac:dyDescent="0.25">
      <c r="A376" t="str" cm="1">
        <f t="array" ref="A376">IF(ISBLANK(INDEX(SampleList[GC],ROW()-1)),"Not Requested",INDEX(SampleList[Experiment ID],ROW()-1))</f>
        <v>Not Requested</v>
      </c>
      <c r="B376">
        <f>Sampling!E374</f>
        <v>0</v>
      </c>
      <c r="G376">
        <f t="shared" si="17"/>
        <v>3552.5</v>
      </c>
      <c r="H3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6">
        <f t="shared" si="15"/>
        <v>3752.6</v>
      </c>
      <c r="K376" t="e">
        <f t="shared" si="16"/>
        <v>#DIV/0!</v>
      </c>
    </row>
    <row r="377" spans="1:11" hidden="1" x14ac:dyDescent="0.25">
      <c r="A377" t="str" cm="1">
        <f t="array" ref="A377">IF(ISBLANK(INDEX(SampleList[GC],ROW()-1)),"Not Requested",INDEX(SampleList[Experiment ID],ROW()-1))</f>
        <v>Not Requested</v>
      </c>
      <c r="B377">
        <f>Sampling!E375</f>
        <v>0</v>
      </c>
      <c r="G377">
        <f t="shared" si="17"/>
        <v>3552.5</v>
      </c>
      <c r="H3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7">
        <f t="shared" si="15"/>
        <v>3752.6</v>
      </c>
      <c r="K377" t="e">
        <f t="shared" si="16"/>
        <v>#DIV/0!</v>
      </c>
    </row>
    <row r="378" spans="1:11" hidden="1" x14ac:dyDescent="0.25">
      <c r="A378" t="str" cm="1">
        <f t="array" ref="A378">IF(ISBLANK(INDEX(SampleList[GC],ROW()-1)),"Not Requested",INDEX(SampleList[Experiment ID],ROW()-1))</f>
        <v>Not Requested</v>
      </c>
      <c r="B378">
        <f>Sampling!E376</f>
        <v>0</v>
      </c>
      <c r="G378">
        <f t="shared" si="17"/>
        <v>3552.5</v>
      </c>
      <c r="H3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8">
        <f t="shared" si="15"/>
        <v>3752.6</v>
      </c>
      <c r="K378" t="e">
        <f t="shared" si="16"/>
        <v>#DIV/0!</v>
      </c>
    </row>
    <row r="379" spans="1:11" hidden="1" x14ac:dyDescent="0.25">
      <c r="A379" t="str" cm="1">
        <f t="array" ref="A379">IF(ISBLANK(INDEX(SampleList[GC],ROW()-1)),"Not Requested",INDEX(SampleList[Experiment ID],ROW()-1))</f>
        <v>Not Requested</v>
      </c>
      <c r="B379">
        <f>Sampling!E377</f>
        <v>0</v>
      </c>
      <c r="G379">
        <f t="shared" si="17"/>
        <v>3552.5</v>
      </c>
      <c r="H3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79">
        <f t="shared" si="15"/>
        <v>3752.6</v>
      </c>
      <c r="K379" t="e">
        <f t="shared" si="16"/>
        <v>#DIV/0!</v>
      </c>
    </row>
    <row r="380" spans="1:11" hidden="1" x14ac:dyDescent="0.25">
      <c r="A380" t="str" cm="1">
        <f t="array" ref="A380">IF(ISBLANK(INDEX(SampleList[GC],ROW()-1)),"Not Requested",INDEX(SampleList[Experiment ID],ROW()-1))</f>
        <v>Not Requested</v>
      </c>
      <c r="B380">
        <f>Sampling!E378</f>
        <v>0</v>
      </c>
      <c r="G380">
        <f t="shared" si="17"/>
        <v>3552.5</v>
      </c>
      <c r="H3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0">
        <f t="shared" si="15"/>
        <v>3752.6</v>
      </c>
      <c r="K380" t="e">
        <f t="shared" si="16"/>
        <v>#DIV/0!</v>
      </c>
    </row>
    <row r="381" spans="1:11" hidden="1" x14ac:dyDescent="0.25">
      <c r="A381" t="str" cm="1">
        <f t="array" ref="A381">IF(ISBLANK(INDEX(SampleList[GC],ROW()-1)),"Not Requested",INDEX(SampleList[Experiment ID],ROW()-1))</f>
        <v>Not Requested</v>
      </c>
      <c r="B381">
        <f>Sampling!E379</f>
        <v>0</v>
      </c>
      <c r="G381">
        <f t="shared" si="17"/>
        <v>3552.5</v>
      </c>
      <c r="H3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1">
        <f t="shared" si="15"/>
        <v>3752.6</v>
      </c>
      <c r="K381" t="e">
        <f t="shared" si="16"/>
        <v>#DIV/0!</v>
      </c>
    </row>
    <row r="382" spans="1:11" hidden="1" x14ac:dyDescent="0.25">
      <c r="A382" t="str" cm="1">
        <f t="array" ref="A382">IF(ISBLANK(INDEX(SampleList[GC],ROW()-1)),"Not Requested",INDEX(SampleList[Experiment ID],ROW()-1))</f>
        <v>Not Requested</v>
      </c>
      <c r="B382">
        <f>Sampling!E380</f>
        <v>0</v>
      </c>
      <c r="G382">
        <f t="shared" si="17"/>
        <v>3552.5</v>
      </c>
      <c r="H3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2">
        <f t="shared" si="15"/>
        <v>3752.6</v>
      </c>
      <c r="K382" t="e">
        <f t="shared" si="16"/>
        <v>#DIV/0!</v>
      </c>
    </row>
    <row r="383" spans="1:11" hidden="1" x14ac:dyDescent="0.25">
      <c r="A383" t="str" cm="1">
        <f t="array" ref="A383">IF(ISBLANK(INDEX(SampleList[GC],ROW()-1)),"Not Requested",INDEX(SampleList[Experiment ID],ROW()-1))</f>
        <v>Not Requested</v>
      </c>
      <c r="B383">
        <f>Sampling!E381</f>
        <v>0</v>
      </c>
      <c r="G383">
        <f t="shared" si="17"/>
        <v>3552.5</v>
      </c>
      <c r="H3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3">
        <f t="shared" si="15"/>
        <v>3752.6</v>
      </c>
      <c r="K383" t="e">
        <f t="shared" si="16"/>
        <v>#DIV/0!</v>
      </c>
    </row>
    <row r="384" spans="1:11" hidden="1" x14ac:dyDescent="0.25">
      <c r="A384" t="str" cm="1">
        <f t="array" ref="A384">IF(ISBLANK(INDEX(SampleList[GC],ROW()-1)),"Not Requested",INDEX(SampleList[Experiment ID],ROW()-1))</f>
        <v>Not Requested</v>
      </c>
      <c r="B384">
        <f>Sampling!E382</f>
        <v>0</v>
      </c>
      <c r="G384">
        <f t="shared" si="17"/>
        <v>3552.5</v>
      </c>
      <c r="H3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4">
        <f t="shared" si="15"/>
        <v>3752.6</v>
      </c>
      <c r="K384" t="e">
        <f t="shared" si="16"/>
        <v>#DIV/0!</v>
      </c>
    </row>
    <row r="385" spans="1:11" hidden="1" x14ac:dyDescent="0.25">
      <c r="A385" t="str" cm="1">
        <f t="array" ref="A385">IF(ISBLANK(INDEX(SampleList[GC],ROW()-1)),"Not Requested",INDEX(SampleList[Experiment ID],ROW()-1))</f>
        <v>Not Requested</v>
      </c>
      <c r="B385">
        <f>Sampling!E383</f>
        <v>0</v>
      </c>
      <c r="G385">
        <f t="shared" si="17"/>
        <v>3552.5</v>
      </c>
      <c r="H3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5">
        <f t="shared" si="15"/>
        <v>3752.6</v>
      </c>
      <c r="K385" t="e">
        <f t="shared" si="16"/>
        <v>#DIV/0!</v>
      </c>
    </row>
    <row r="386" spans="1:11" hidden="1" x14ac:dyDescent="0.25">
      <c r="A386" t="str" cm="1">
        <f t="array" ref="A386">IF(ISBLANK(INDEX(SampleList[GC],ROW()-1)),"Not Requested",INDEX(SampleList[Experiment ID],ROW()-1))</f>
        <v>Not Requested</v>
      </c>
      <c r="B386">
        <f>Sampling!E384</f>
        <v>0</v>
      </c>
      <c r="G386">
        <f t="shared" si="17"/>
        <v>3552.5</v>
      </c>
      <c r="H3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6">
        <f t="shared" ref="I386:I449" si="18">25.88*145</f>
        <v>3752.6</v>
      </c>
      <c r="K386" t="e">
        <f t="shared" ref="K386:K449" si="19">(500/D386)*J386</f>
        <v>#DIV/0!</v>
      </c>
    </row>
    <row r="387" spans="1:11" hidden="1" x14ac:dyDescent="0.25">
      <c r="A387" t="str" cm="1">
        <f t="array" ref="A387">IF(ISBLANK(INDEX(SampleList[GC],ROW()-1)),"Not Requested",INDEX(SampleList[Experiment ID],ROW()-1))</f>
        <v>Not Requested</v>
      </c>
      <c r="B387">
        <f>Sampling!E385</f>
        <v>0</v>
      </c>
      <c r="G387">
        <f t="shared" si="17"/>
        <v>3552.5</v>
      </c>
      <c r="H3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7">
        <f t="shared" si="18"/>
        <v>3752.6</v>
      </c>
      <c r="K387" t="e">
        <f t="shared" si="19"/>
        <v>#DIV/0!</v>
      </c>
    </row>
    <row r="388" spans="1:11" hidden="1" x14ac:dyDescent="0.25">
      <c r="A388" t="str" cm="1">
        <f t="array" ref="A388">IF(ISBLANK(INDEX(SampleList[GC],ROW()-1)),"Not Requested",INDEX(SampleList[Experiment ID],ROW()-1))</f>
        <v>Not Requested</v>
      </c>
      <c r="B388">
        <f>Sampling!E386</f>
        <v>0</v>
      </c>
      <c r="G388">
        <f t="shared" si="17"/>
        <v>3552.5</v>
      </c>
      <c r="H3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8">
        <f t="shared" si="18"/>
        <v>3752.6</v>
      </c>
      <c r="K388" t="e">
        <f t="shared" si="19"/>
        <v>#DIV/0!</v>
      </c>
    </row>
    <row r="389" spans="1:11" hidden="1" x14ac:dyDescent="0.25">
      <c r="A389" t="str" cm="1">
        <f t="array" ref="A389">IF(ISBLANK(INDEX(SampleList[GC],ROW()-1)),"Not Requested",INDEX(SampleList[Experiment ID],ROW()-1))</f>
        <v>Not Requested</v>
      </c>
      <c r="B389">
        <f>Sampling!E387</f>
        <v>0</v>
      </c>
      <c r="G389">
        <f t="shared" si="17"/>
        <v>3552.5</v>
      </c>
      <c r="H3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89">
        <f t="shared" si="18"/>
        <v>3752.6</v>
      </c>
      <c r="K389" t="e">
        <f t="shared" si="19"/>
        <v>#DIV/0!</v>
      </c>
    </row>
    <row r="390" spans="1:11" hidden="1" x14ac:dyDescent="0.25">
      <c r="A390" t="str" cm="1">
        <f t="array" ref="A390">IF(ISBLANK(INDEX(SampleList[GC],ROW()-1)),"Not Requested",INDEX(SampleList[Experiment ID],ROW()-1))</f>
        <v>Not Requested</v>
      </c>
      <c r="B390">
        <f>Sampling!E388</f>
        <v>0</v>
      </c>
      <c r="G390">
        <f t="shared" si="17"/>
        <v>3552.5</v>
      </c>
      <c r="H3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0">
        <f t="shared" si="18"/>
        <v>3752.6</v>
      </c>
      <c r="K390" t="e">
        <f t="shared" si="19"/>
        <v>#DIV/0!</v>
      </c>
    </row>
    <row r="391" spans="1:11" hidden="1" x14ac:dyDescent="0.25">
      <c r="A391" t="str" cm="1">
        <f t="array" ref="A391">IF(ISBLANK(INDEX(SampleList[GC],ROW()-1)),"Not Requested",INDEX(SampleList[Experiment ID],ROW()-1))</f>
        <v>Not Requested</v>
      </c>
      <c r="B391">
        <f>Sampling!E389</f>
        <v>0</v>
      </c>
      <c r="G391">
        <f t="shared" si="17"/>
        <v>3552.5</v>
      </c>
      <c r="H3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1">
        <f t="shared" si="18"/>
        <v>3752.6</v>
      </c>
      <c r="K391" t="e">
        <f t="shared" si="19"/>
        <v>#DIV/0!</v>
      </c>
    </row>
    <row r="392" spans="1:11" hidden="1" x14ac:dyDescent="0.25">
      <c r="A392" t="str" cm="1">
        <f t="array" ref="A392">IF(ISBLANK(INDEX(SampleList[GC],ROW()-1)),"Not Requested",INDEX(SampleList[Experiment ID],ROW()-1))</f>
        <v>Not Requested</v>
      </c>
      <c r="B392">
        <f>Sampling!E390</f>
        <v>0</v>
      </c>
      <c r="G392">
        <f t="shared" si="17"/>
        <v>3552.5</v>
      </c>
      <c r="H3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2">
        <f t="shared" si="18"/>
        <v>3752.6</v>
      </c>
      <c r="K392" t="e">
        <f t="shared" si="19"/>
        <v>#DIV/0!</v>
      </c>
    </row>
    <row r="393" spans="1:11" hidden="1" x14ac:dyDescent="0.25">
      <c r="A393" t="str" cm="1">
        <f t="array" ref="A393">IF(ISBLANK(INDEX(SampleList[GC],ROW()-1)),"Not Requested",INDEX(SampleList[Experiment ID],ROW()-1))</f>
        <v>Not Requested</v>
      </c>
      <c r="B393">
        <f>Sampling!E391</f>
        <v>0</v>
      </c>
      <c r="G393">
        <f t="shared" si="17"/>
        <v>3552.5</v>
      </c>
      <c r="H3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3">
        <f t="shared" si="18"/>
        <v>3752.6</v>
      </c>
      <c r="K393" t="e">
        <f t="shared" si="19"/>
        <v>#DIV/0!</v>
      </c>
    </row>
    <row r="394" spans="1:11" hidden="1" x14ac:dyDescent="0.25">
      <c r="A394" t="str" cm="1">
        <f t="array" ref="A394">IF(ISBLANK(INDEX(SampleList[GC],ROW()-1)),"Not Requested",INDEX(SampleList[Experiment ID],ROW()-1))</f>
        <v>Not Requested</v>
      </c>
      <c r="B394">
        <f>Sampling!E392</f>
        <v>0</v>
      </c>
      <c r="G394">
        <f t="shared" si="17"/>
        <v>3552.5</v>
      </c>
      <c r="H3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4">
        <f t="shared" si="18"/>
        <v>3752.6</v>
      </c>
      <c r="K394" t="e">
        <f t="shared" si="19"/>
        <v>#DIV/0!</v>
      </c>
    </row>
    <row r="395" spans="1:11" hidden="1" x14ac:dyDescent="0.25">
      <c r="A395" t="str" cm="1">
        <f t="array" ref="A395">IF(ISBLANK(INDEX(SampleList[GC],ROW()-1)),"Not Requested",INDEX(SampleList[Experiment ID],ROW()-1))</f>
        <v>Not Requested</v>
      </c>
      <c r="B395">
        <f>Sampling!E393</f>
        <v>0</v>
      </c>
      <c r="G395">
        <f t="shared" si="17"/>
        <v>3552.5</v>
      </c>
      <c r="H3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5">
        <f t="shared" si="18"/>
        <v>3752.6</v>
      </c>
      <c r="K395" t="e">
        <f t="shared" si="19"/>
        <v>#DIV/0!</v>
      </c>
    </row>
    <row r="396" spans="1:11" hidden="1" x14ac:dyDescent="0.25">
      <c r="A396" t="str" cm="1">
        <f t="array" ref="A396">IF(ISBLANK(INDEX(SampleList[GC],ROW()-1)),"Not Requested",INDEX(SampleList[Experiment ID],ROW()-1))</f>
        <v>Not Requested</v>
      </c>
      <c r="B396">
        <f>Sampling!E394</f>
        <v>0</v>
      </c>
      <c r="G396">
        <f t="shared" si="17"/>
        <v>3552.5</v>
      </c>
      <c r="H3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6">
        <f t="shared" si="18"/>
        <v>3752.6</v>
      </c>
      <c r="K396" t="e">
        <f t="shared" si="19"/>
        <v>#DIV/0!</v>
      </c>
    </row>
    <row r="397" spans="1:11" hidden="1" x14ac:dyDescent="0.25">
      <c r="A397" t="str" cm="1">
        <f t="array" ref="A397">IF(ISBLANK(INDEX(SampleList[GC],ROW()-1)),"Not Requested",INDEX(SampleList[Experiment ID],ROW()-1))</f>
        <v>Not Requested</v>
      </c>
      <c r="B397">
        <f>Sampling!E395</f>
        <v>0</v>
      </c>
      <c r="G397">
        <f t="shared" si="17"/>
        <v>3552.5</v>
      </c>
      <c r="H3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7">
        <f t="shared" si="18"/>
        <v>3752.6</v>
      </c>
      <c r="K397" t="e">
        <f t="shared" si="19"/>
        <v>#DIV/0!</v>
      </c>
    </row>
    <row r="398" spans="1:11" hidden="1" x14ac:dyDescent="0.25">
      <c r="A398" t="str" cm="1">
        <f t="array" ref="A398">IF(ISBLANK(INDEX(SampleList[GC],ROW()-1)),"Not Requested",INDEX(SampleList[Experiment ID],ROW()-1))</f>
        <v>Not Requested</v>
      </c>
      <c r="B398">
        <f>Sampling!E396</f>
        <v>0</v>
      </c>
      <c r="G398">
        <f t="shared" si="17"/>
        <v>3552.5</v>
      </c>
      <c r="H3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8">
        <f t="shared" si="18"/>
        <v>3752.6</v>
      </c>
      <c r="K398" t="e">
        <f t="shared" si="19"/>
        <v>#DIV/0!</v>
      </c>
    </row>
    <row r="399" spans="1:11" hidden="1" x14ac:dyDescent="0.25">
      <c r="A399" t="str" cm="1">
        <f t="array" ref="A399">IF(ISBLANK(INDEX(SampleList[GC],ROW()-1)),"Not Requested",INDEX(SampleList[Experiment ID],ROW()-1))</f>
        <v>Not Requested</v>
      </c>
      <c r="B399">
        <f>Sampling!E397</f>
        <v>0</v>
      </c>
      <c r="G399">
        <f t="shared" si="17"/>
        <v>3552.5</v>
      </c>
      <c r="H3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399">
        <f t="shared" si="18"/>
        <v>3752.6</v>
      </c>
      <c r="K399" t="e">
        <f t="shared" si="19"/>
        <v>#DIV/0!</v>
      </c>
    </row>
    <row r="400" spans="1:11" hidden="1" x14ac:dyDescent="0.25">
      <c r="A400" t="str" cm="1">
        <f t="array" ref="A400">IF(ISBLANK(INDEX(SampleList[GC],ROW()-1)),"Not Requested",INDEX(SampleList[Experiment ID],ROW()-1))</f>
        <v>Not Requested</v>
      </c>
      <c r="B400">
        <f>Sampling!E398</f>
        <v>0</v>
      </c>
      <c r="G400">
        <f t="shared" si="17"/>
        <v>3552.5</v>
      </c>
      <c r="H4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0">
        <f t="shared" si="18"/>
        <v>3752.6</v>
      </c>
      <c r="K400" t="e">
        <f t="shared" si="19"/>
        <v>#DIV/0!</v>
      </c>
    </row>
    <row r="401" spans="1:11" hidden="1" x14ac:dyDescent="0.25">
      <c r="A401" t="str" cm="1">
        <f t="array" ref="A401">IF(ISBLANK(INDEX(SampleList[GC],ROW()-1)),"Not Requested",INDEX(SampleList[Experiment ID],ROW()-1))</f>
        <v>Not Requested</v>
      </c>
      <c r="B401">
        <f>Sampling!E399</f>
        <v>0</v>
      </c>
      <c r="G401">
        <f t="shared" si="17"/>
        <v>3552.5</v>
      </c>
      <c r="H4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1">
        <f t="shared" si="18"/>
        <v>3752.6</v>
      </c>
      <c r="K401" t="e">
        <f t="shared" si="19"/>
        <v>#DIV/0!</v>
      </c>
    </row>
    <row r="402" spans="1:11" hidden="1" x14ac:dyDescent="0.25">
      <c r="A402" t="str" cm="1">
        <f t="array" ref="A402">IF(ISBLANK(INDEX(SampleList[GC],ROW()-1)),"Not Requested",INDEX(SampleList[Experiment ID],ROW()-1))</f>
        <v>Not Requested</v>
      </c>
      <c r="B402">
        <f>Sampling!E400</f>
        <v>0</v>
      </c>
      <c r="G402">
        <f t="shared" si="17"/>
        <v>3552.5</v>
      </c>
      <c r="H4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2">
        <f t="shared" si="18"/>
        <v>3752.6</v>
      </c>
      <c r="K402" t="e">
        <f t="shared" si="19"/>
        <v>#DIV/0!</v>
      </c>
    </row>
    <row r="403" spans="1:11" hidden="1" x14ac:dyDescent="0.25">
      <c r="A403" t="str" cm="1">
        <f t="array" ref="A403">IF(ISBLANK(INDEX(SampleList[GC],ROW()-1)),"Not Requested",INDEX(SampleList[Experiment ID],ROW()-1))</f>
        <v>Not Requested</v>
      </c>
      <c r="B403">
        <f>Sampling!E401</f>
        <v>0</v>
      </c>
      <c r="G403">
        <f t="shared" si="17"/>
        <v>3552.5</v>
      </c>
      <c r="H4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3">
        <f t="shared" si="18"/>
        <v>3752.6</v>
      </c>
      <c r="K403" t="e">
        <f t="shared" si="19"/>
        <v>#DIV/0!</v>
      </c>
    </row>
    <row r="404" spans="1:11" hidden="1" x14ac:dyDescent="0.25">
      <c r="A404" t="str" cm="1">
        <f t="array" ref="A404">IF(ISBLANK(INDEX(SampleList[GC],ROW()-1)),"Not Requested",INDEX(SampleList[Experiment ID],ROW()-1))</f>
        <v>Not Requested</v>
      </c>
      <c r="B404">
        <f>Sampling!E402</f>
        <v>0</v>
      </c>
      <c r="G404">
        <f t="shared" si="17"/>
        <v>3552.5</v>
      </c>
      <c r="H4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4">
        <f t="shared" si="18"/>
        <v>3752.6</v>
      </c>
      <c r="K404" t="e">
        <f t="shared" si="19"/>
        <v>#DIV/0!</v>
      </c>
    </row>
    <row r="405" spans="1:11" hidden="1" x14ac:dyDescent="0.25">
      <c r="A405" t="str" cm="1">
        <f t="array" ref="A405">IF(ISBLANK(INDEX(SampleList[GC],ROW()-1)),"Not Requested",INDEX(SampleList[Experiment ID],ROW()-1))</f>
        <v>Not Requested</v>
      </c>
      <c r="B405">
        <f>Sampling!E403</f>
        <v>0</v>
      </c>
      <c r="G405">
        <f t="shared" si="17"/>
        <v>3552.5</v>
      </c>
      <c r="H4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5">
        <f t="shared" si="18"/>
        <v>3752.6</v>
      </c>
      <c r="K405" t="e">
        <f t="shared" si="19"/>
        <v>#DIV/0!</v>
      </c>
    </row>
    <row r="406" spans="1:11" hidden="1" x14ac:dyDescent="0.25">
      <c r="A406" t="str" cm="1">
        <f t="array" ref="A406">IF(ISBLANK(INDEX(SampleList[GC],ROW()-1)),"Not Requested",INDEX(SampleList[Experiment ID],ROW()-1))</f>
        <v>Not Requested</v>
      </c>
      <c r="B406">
        <f>Sampling!E404</f>
        <v>0</v>
      </c>
      <c r="G406">
        <f t="shared" si="17"/>
        <v>3552.5</v>
      </c>
      <c r="H4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6">
        <f t="shared" si="18"/>
        <v>3752.6</v>
      </c>
      <c r="K406" t="e">
        <f t="shared" si="19"/>
        <v>#DIV/0!</v>
      </c>
    </row>
    <row r="407" spans="1:11" hidden="1" x14ac:dyDescent="0.25">
      <c r="A407" t="str" cm="1">
        <f t="array" ref="A407">IF(ISBLANK(INDEX(SampleList[GC],ROW()-1)),"Not Requested",INDEX(SampleList[Experiment ID],ROW()-1))</f>
        <v>Not Requested</v>
      </c>
      <c r="B407">
        <f>Sampling!E405</f>
        <v>0</v>
      </c>
      <c r="G407">
        <f t="shared" si="17"/>
        <v>3552.5</v>
      </c>
      <c r="H4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7">
        <f t="shared" si="18"/>
        <v>3752.6</v>
      </c>
      <c r="K407" t="e">
        <f t="shared" si="19"/>
        <v>#DIV/0!</v>
      </c>
    </row>
    <row r="408" spans="1:11" hidden="1" x14ac:dyDescent="0.25">
      <c r="A408" t="str" cm="1">
        <f t="array" ref="A408">IF(ISBLANK(INDEX(SampleList[GC],ROW()-1)),"Not Requested",INDEX(SampleList[Experiment ID],ROW()-1))</f>
        <v>Not Requested</v>
      </c>
      <c r="B408">
        <f>Sampling!E406</f>
        <v>0</v>
      </c>
      <c r="G408">
        <f t="shared" si="17"/>
        <v>3552.5</v>
      </c>
      <c r="H4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8">
        <f t="shared" si="18"/>
        <v>3752.6</v>
      </c>
      <c r="K408" t="e">
        <f t="shared" si="19"/>
        <v>#DIV/0!</v>
      </c>
    </row>
    <row r="409" spans="1:11" hidden="1" x14ac:dyDescent="0.25">
      <c r="A409" t="str" cm="1">
        <f t="array" ref="A409">IF(ISBLANK(INDEX(SampleList[GC],ROW()-1)),"Not Requested",INDEX(SampleList[Experiment ID],ROW()-1))</f>
        <v>Not Requested</v>
      </c>
      <c r="B409">
        <f>Sampling!E407</f>
        <v>0</v>
      </c>
      <c r="G409">
        <f t="shared" si="17"/>
        <v>3552.5</v>
      </c>
      <c r="H4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09">
        <f t="shared" si="18"/>
        <v>3752.6</v>
      </c>
      <c r="K409" t="e">
        <f t="shared" si="19"/>
        <v>#DIV/0!</v>
      </c>
    </row>
    <row r="410" spans="1:11" hidden="1" x14ac:dyDescent="0.25">
      <c r="A410" t="str" cm="1">
        <f t="array" ref="A410">IF(ISBLANK(INDEX(SampleList[GC],ROW()-1)),"Not Requested",INDEX(SampleList[Experiment ID],ROW()-1))</f>
        <v>Not Requested</v>
      </c>
      <c r="B410">
        <f>Sampling!E408</f>
        <v>0</v>
      </c>
      <c r="G410">
        <f t="shared" si="17"/>
        <v>3552.5</v>
      </c>
      <c r="H4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0">
        <f t="shared" si="18"/>
        <v>3752.6</v>
      </c>
      <c r="K410" t="e">
        <f t="shared" si="19"/>
        <v>#DIV/0!</v>
      </c>
    </row>
    <row r="411" spans="1:11" hidden="1" x14ac:dyDescent="0.25">
      <c r="A411" t="str" cm="1">
        <f t="array" ref="A411">IF(ISBLANK(INDEX(SampleList[GC],ROW()-1)),"Not Requested",INDEX(SampleList[Experiment ID],ROW()-1))</f>
        <v>Not Requested</v>
      </c>
      <c r="B411">
        <f>Sampling!E409</f>
        <v>0</v>
      </c>
      <c r="G411">
        <f t="shared" si="17"/>
        <v>3552.5</v>
      </c>
      <c r="H4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1">
        <f t="shared" si="18"/>
        <v>3752.6</v>
      </c>
      <c r="K411" t="e">
        <f t="shared" si="19"/>
        <v>#DIV/0!</v>
      </c>
    </row>
    <row r="412" spans="1:11" hidden="1" x14ac:dyDescent="0.25">
      <c r="A412" t="str" cm="1">
        <f t="array" ref="A412">IF(ISBLANK(INDEX(SampleList[GC],ROW()-1)),"Not Requested",INDEX(SampleList[Experiment ID],ROW()-1))</f>
        <v>Not Requested</v>
      </c>
      <c r="B412">
        <f>Sampling!E410</f>
        <v>0</v>
      </c>
      <c r="G412">
        <f t="shared" si="17"/>
        <v>3552.5</v>
      </c>
      <c r="H4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2">
        <f t="shared" si="18"/>
        <v>3752.6</v>
      </c>
      <c r="K412" t="e">
        <f t="shared" si="19"/>
        <v>#DIV/0!</v>
      </c>
    </row>
    <row r="413" spans="1:11" hidden="1" x14ac:dyDescent="0.25">
      <c r="A413" t="str" cm="1">
        <f t="array" ref="A413">IF(ISBLANK(INDEX(SampleList[GC],ROW()-1)),"Not Requested",INDEX(SampleList[Experiment ID],ROW()-1))</f>
        <v>Not Requested</v>
      </c>
      <c r="B413">
        <f>Sampling!E411</f>
        <v>0</v>
      </c>
      <c r="G413">
        <f t="shared" si="17"/>
        <v>3552.5</v>
      </c>
      <c r="H4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3">
        <f t="shared" si="18"/>
        <v>3752.6</v>
      </c>
      <c r="K413" t="e">
        <f t="shared" si="19"/>
        <v>#DIV/0!</v>
      </c>
    </row>
    <row r="414" spans="1:11" hidden="1" x14ac:dyDescent="0.25">
      <c r="A414" t="str" cm="1">
        <f t="array" ref="A414">IF(ISBLANK(INDEX(SampleList[GC],ROW()-1)),"Not Requested",INDEX(SampleList[Experiment ID],ROW()-1))</f>
        <v>Not Requested</v>
      </c>
      <c r="B414">
        <f>Sampling!E412</f>
        <v>0</v>
      </c>
      <c r="G414">
        <f t="shared" si="17"/>
        <v>3552.5</v>
      </c>
      <c r="H4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4">
        <f t="shared" si="18"/>
        <v>3752.6</v>
      </c>
      <c r="K414" t="e">
        <f t="shared" si="19"/>
        <v>#DIV/0!</v>
      </c>
    </row>
    <row r="415" spans="1:11" hidden="1" x14ac:dyDescent="0.25">
      <c r="A415" t="str" cm="1">
        <f t="array" ref="A415">IF(ISBLANK(INDEX(SampleList[GC],ROW()-1)),"Not Requested",INDEX(SampleList[Experiment ID],ROW()-1))</f>
        <v>Not Requested</v>
      </c>
      <c r="B415">
        <f>Sampling!E413</f>
        <v>0</v>
      </c>
      <c r="G415">
        <f t="shared" si="17"/>
        <v>3552.5</v>
      </c>
      <c r="H4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5">
        <f t="shared" si="18"/>
        <v>3752.6</v>
      </c>
      <c r="K415" t="e">
        <f t="shared" si="19"/>
        <v>#DIV/0!</v>
      </c>
    </row>
    <row r="416" spans="1:11" hidden="1" x14ac:dyDescent="0.25">
      <c r="A416" t="str" cm="1">
        <f t="array" ref="A416">IF(ISBLANK(INDEX(SampleList[GC],ROW()-1)),"Not Requested",INDEX(SampleList[Experiment ID],ROW()-1))</f>
        <v>Not Requested</v>
      </c>
      <c r="B416">
        <f>Sampling!E414</f>
        <v>0</v>
      </c>
      <c r="G416">
        <f t="shared" si="17"/>
        <v>3552.5</v>
      </c>
      <c r="H4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6">
        <f t="shared" si="18"/>
        <v>3752.6</v>
      </c>
      <c r="K416" t="e">
        <f t="shared" si="19"/>
        <v>#DIV/0!</v>
      </c>
    </row>
    <row r="417" spans="1:11" hidden="1" x14ac:dyDescent="0.25">
      <c r="A417" t="str" cm="1">
        <f t="array" ref="A417">IF(ISBLANK(INDEX(SampleList[GC],ROW()-1)),"Not Requested",INDEX(SampleList[Experiment ID],ROW()-1))</f>
        <v>Not Requested</v>
      </c>
      <c r="B417">
        <f>Sampling!E415</f>
        <v>0</v>
      </c>
      <c r="G417">
        <f t="shared" ref="G417:G480" si="20">24.5*145</f>
        <v>3552.5</v>
      </c>
      <c r="H4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7">
        <f t="shared" si="18"/>
        <v>3752.6</v>
      </c>
      <c r="K417" t="e">
        <f t="shared" si="19"/>
        <v>#DIV/0!</v>
      </c>
    </row>
    <row r="418" spans="1:11" hidden="1" x14ac:dyDescent="0.25">
      <c r="A418" t="str" cm="1">
        <f t="array" ref="A418">IF(ISBLANK(INDEX(SampleList[GC],ROW()-1)),"Not Requested",INDEX(SampleList[Experiment ID],ROW()-1))</f>
        <v>Not Requested</v>
      </c>
      <c r="B418">
        <f>Sampling!E416</f>
        <v>0</v>
      </c>
      <c r="G418">
        <f t="shared" si="20"/>
        <v>3552.5</v>
      </c>
      <c r="H4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8">
        <f t="shared" si="18"/>
        <v>3752.6</v>
      </c>
      <c r="K418" t="e">
        <f t="shared" si="19"/>
        <v>#DIV/0!</v>
      </c>
    </row>
    <row r="419" spans="1:11" hidden="1" x14ac:dyDescent="0.25">
      <c r="A419" t="str" cm="1">
        <f t="array" ref="A419">IF(ISBLANK(INDEX(SampleList[GC],ROW()-1)),"Not Requested",INDEX(SampleList[Experiment ID],ROW()-1))</f>
        <v>Not Requested</v>
      </c>
      <c r="B419">
        <f>Sampling!E417</f>
        <v>0</v>
      </c>
      <c r="G419">
        <f t="shared" si="20"/>
        <v>3552.5</v>
      </c>
      <c r="H4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19">
        <f t="shared" si="18"/>
        <v>3752.6</v>
      </c>
      <c r="K419" t="e">
        <f t="shared" si="19"/>
        <v>#DIV/0!</v>
      </c>
    </row>
    <row r="420" spans="1:11" hidden="1" x14ac:dyDescent="0.25">
      <c r="A420" t="str" cm="1">
        <f t="array" ref="A420">IF(ISBLANK(INDEX(SampleList[GC],ROW()-1)),"Not Requested",INDEX(SampleList[Experiment ID],ROW()-1))</f>
        <v>Not Requested</v>
      </c>
      <c r="B420">
        <f>Sampling!E418</f>
        <v>0</v>
      </c>
      <c r="G420">
        <f t="shared" si="20"/>
        <v>3552.5</v>
      </c>
      <c r="H4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0">
        <f t="shared" si="18"/>
        <v>3752.6</v>
      </c>
      <c r="K420" t="e">
        <f t="shared" si="19"/>
        <v>#DIV/0!</v>
      </c>
    </row>
    <row r="421" spans="1:11" hidden="1" x14ac:dyDescent="0.25">
      <c r="A421" t="str" cm="1">
        <f t="array" ref="A421">IF(ISBLANK(INDEX(SampleList[GC],ROW()-1)),"Not Requested",INDEX(SampleList[Experiment ID],ROW()-1))</f>
        <v>Not Requested</v>
      </c>
      <c r="B421">
        <f>Sampling!E419</f>
        <v>0</v>
      </c>
      <c r="G421">
        <f t="shared" si="20"/>
        <v>3552.5</v>
      </c>
      <c r="H4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1">
        <f t="shared" si="18"/>
        <v>3752.6</v>
      </c>
      <c r="K421" t="e">
        <f t="shared" si="19"/>
        <v>#DIV/0!</v>
      </c>
    </row>
    <row r="422" spans="1:11" hidden="1" x14ac:dyDescent="0.25">
      <c r="A422" t="str" cm="1">
        <f t="array" ref="A422">IF(ISBLANK(INDEX(SampleList[GC],ROW()-1)),"Not Requested",INDEX(SampleList[Experiment ID],ROW()-1))</f>
        <v>Not Requested</v>
      </c>
      <c r="B422">
        <f>Sampling!E420</f>
        <v>0</v>
      </c>
      <c r="G422">
        <f t="shared" si="20"/>
        <v>3552.5</v>
      </c>
      <c r="H4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2">
        <f t="shared" si="18"/>
        <v>3752.6</v>
      </c>
      <c r="K422" t="e">
        <f t="shared" si="19"/>
        <v>#DIV/0!</v>
      </c>
    </row>
    <row r="423" spans="1:11" hidden="1" x14ac:dyDescent="0.25">
      <c r="A423" t="str" cm="1">
        <f t="array" ref="A423">IF(ISBLANK(INDEX(SampleList[GC],ROW()-1)),"Not Requested",INDEX(SampleList[Experiment ID],ROW()-1))</f>
        <v>Not Requested</v>
      </c>
      <c r="B423">
        <f>Sampling!E421</f>
        <v>0</v>
      </c>
      <c r="G423">
        <f t="shared" si="20"/>
        <v>3552.5</v>
      </c>
      <c r="H4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3">
        <f t="shared" si="18"/>
        <v>3752.6</v>
      </c>
      <c r="K423" t="e">
        <f t="shared" si="19"/>
        <v>#DIV/0!</v>
      </c>
    </row>
    <row r="424" spans="1:11" hidden="1" x14ac:dyDescent="0.25">
      <c r="A424" t="str" cm="1">
        <f t="array" ref="A424">IF(ISBLANK(INDEX(SampleList[GC],ROW()-1)),"Not Requested",INDEX(SampleList[Experiment ID],ROW()-1))</f>
        <v>Not Requested</v>
      </c>
      <c r="B424">
        <f>Sampling!E422</f>
        <v>0</v>
      </c>
      <c r="G424">
        <f t="shared" si="20"/>
        <v>3552.5</v>
      </c>
      <c r="H4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4">
        <f t="shared" si="18"/>
        <v>3752.6</v>
      </c>
      <c r="K424" t="e">
        <f t="shared" si="19"/>
        <v>#DIV/0!</v>
      </c>
    </row>
    <row r="425" spans="1:11" hidden="1" x14ac:dyDescent="0.25">
      <c r="A425" t="str" cm="1">
        <f t="array" ref="A425">IF(ISBLANK(INDEX(SampleList[GC],ROW()-1)),"Not Requested",INDEX(SampleList[Experiment ID],ROW()-1))</f>
        <v>Not Requested</v>
      </c>
      <c r="B425">
        <f>Sampling!E423</f>
        <v>0</v>
      </c>
      <c r="G425">
        <f t="shared" si="20"/>
        <v>3552.5</v>
      </c>
      <c r="H4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5">
        <f t="shared" si="18"/>
        <v>3752.6</v>
      </c>
      <c r="K425" t="e">
        <f t="shared" si="19"/>
        <v>#DIV/0!</v>
      </c>
    </row>
    <row r="426" spans="1:11" hidden="1" x14ac:dyDescent="0.25">
      <c r="A426" t="str" cm="1">
        <f t="array" ref="A426">IF(ISBLANK(INDEX(SampleList[GC],ROW()-1)),"Not Requested",INDEX(SampleList[Experiment ID],ROW()-1))</f>
        <v>Not Requested</v>
      </c>
      <c r="B426">
        <f>Sampling!E424</f>
        <v>0</v>
      </c>
      <c r="G426">
        <f t="shared" si="20"/>
        <v>3552.5</v>
      </c>
      <c r="H4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6">
        <f t="shared" si="18"/>
        <v>3752.6</v>
      </c>
      <c r="K426" t="e">
        <f t="shared" si="19"/>
        <v>#DIV/0!</v>
      </c>
    </row>
    <row r="427" spans="1:11" hidden="1" x14ac:dyDescent="0.25">
      <c r="A427" t="str" cm="1">
        <f t="array" ref="A427">IF(ISBLANK(INDEX(SampleList[GC],ROW()-1)),"Not Requested",INDEX(SampleList[Experiment ID],ROW()-1))</f>
        <v>Not Requested</v>
      </c>
      <c r="B427">
        <f>Sampling!E425</f>
        <v>0</v>
      </c>
      <c r="G427">
        <f t="shared" si="20"/>
        <v>3552.5</v>
      </c>
      <c r="H4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7">
        <f t="shared" si="18"/>
        <v>3752.6</v>
      </c>
      <c r="K427" t="e">
        <f t="shared" si="19"/>
        <v>#DIV/0!</v>
      </c>
    </row>
    <row r="428" spans="1:11" hidden="1" x14ac:dyDescent="0.25">
      <c r="A428" t="str" cm="1">
        <f t="array" ref="A428">IF(ISBLANK(INDEX(SampleList[GC],ROW()-1)),"Not Requested",INDEX(SampleList[Experiment ID],ROW()-1))</f>
        <v>Not Requested</v>
      </c>
      <c r="B428">
        <f>Sampling!E426</f>
        <v>0</v>
      </c>
      <c r="G428">
        <f t="shared" si="20"/>
        <v>3552.5</v>
      </c>
      <c r="H4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8">
        <f t="shared" si="18"/>
        <v>3752.6</v>
      </c>
      <c r="K428" t="e">
        <f t="shared" si="19"/>
        <v>#DIV/0!</v>
      </c>
    </row>
    <row r="429" spans="1:11" hidden="1" x14ac:dyDescent="0.25">
      <c r="A429" t="str" cm="1">
        <f t="array" ref="A429">IF(ISBLANK(INDEX(SampleList[GC],ROW()-1)),"Not Requested",INDEX(SampleList[Experiment ID],ROW()-1))</f>
        <v>Not Requested</v>
      </c>
      <c r="B429">
        <f>Sampling!E427</f>
        <v>0</v>
      </c>
      <c r="G429">
        <f t="shared" si="20"/>
        <v>3552.5</v>
      </c>
      <c r="H4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29">
        <f t="shared" si="18"/>
        <v>3752.6</v>
      </c>
      <c r="K429" t="e">
        <f t="shared" si="19"/>
        <v>#DIV/0!</v>
      </c>
    </row>
    <row r="430" spans="1:11" hidden="1" x14ac:dyDescent="0.25">
      <c r="A430" t="str" cm="1">
        <f t="array" ref="A430">IF(ISBLANK(INDEX(SampleList[GC],ROW()-1)),"Not Requested",INDEX(SampleList[Experiment ID],ROW()-1))</f>
        <v>Not Requested</v>
      </c>
      <c r="B430">
        <f>Sampling!E428</f>
        <v>0</v>
      </c>
      <c r="G430">
        <f t="shared" si="20"/>
        <v>3552.5</v>
      </c>
      <c r="H4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0">
        <f t="shared" si="18"/>
        <v>3752.6</v>
      </c>
      <c r="K430" t="e">
        <f t="shared" si="19"/>
        <v>#DIV/0!</v>
      </c>
    </row>
    <row r="431" spans="1:11" hidden="1" x14ac:dyDescent="0.25">
      <c r="A431" t="str" cm="1">
        <f t="array" ref="A431">IF(ISBLANK(INDEX(SampleList[GC],ROW()-1)),"Not Requested",INDEX(SampleList[Experiment ID],ROW()-1))</f>
        <v>Not Requested</v>
      </c>
      <c r="B431">
        <f>Sampling!E429</f>
        <v>0</v>
      </c>
      <c r="G431">
        <f t="shared" si="20"/>
        <v>3552.5</v>
      </c>
      <c r="H4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1">
        <f t="shared" si="18"/>
        <v>3752.6</v>
      </c>
      <c r="K431" t="e">
        <f t="shared" si="19"/>
        <v>#DIV/0!</v>
      </c>
    </row>
    <row r="432" spans="1:11" hidden="1" x14ac:dyDescent="0.25">
      <c r="A432" t="str" cm="1">
        <f t="array" ref="A432">IF(ISBLANK(INDEX(SampleList[GC],ROW()-1)),"Not Requested",INDEX(SampleList[Experiment ID],ROW()-1))</f>
        <v>Not Requested</v>
      </c>
      <c r="B432">
        <f>Sampling!E430</f>
        <v>0</v>
      </c>
      <c r="G432">
        <f t="shared" si="20"/>
        <v>3552.5</v>
      </c>
      <c r="H4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2">
        <f t="shared" si="18"/>
        <v>3752.6</v>
      </c>
      <c r="K432" t="e">
        <f t="shared" si="19"/>
        <v>#DIV/0!</v>
      </c>
    </row>
    <row r="433" spans="1:11" hidden="1" x14ac:dyDescent="0.25">
      <c r="A433" t="str" cm="1">
        <f t="array" ref="A433">IF(ISBLANK(INDEX(SampleList[GC],ROW()-1)),"Not Requested",INDEX(SampleList[Experiment ID],ROW()-1))</f>
        <v>Not Requested</v>
      </c>
      <c r="B433">
        <f>Sampling!E431</f>
        <v>0</v>
      </c>
      <c r="G433">
        <f t="shared" si="20"/>
        <v>3552.5</v>
      </c>
      <c r="H4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3">
        <f t="shared" si="18"/>
        <v>3752.6</v>
      </c>
      <c r="K433" t="e">
        <f t="shared" si="19"/>
        <v>#DIV/0!</v>
      </c>
    </row>
    <row r="434" spans="1:11" hidden="1" x14ac:dyDescent="0.25">
      <c r="A434" t="str" cm="1">
        <f t="array" ref="A434">IF(ISBLANK(INDEX(SampleList[GC],ROW()-1)),"Not Requested",INDEX(SampleList[Experiment ID],ROW()-1))</f>
        <v>Not Requested</v>
      </c>
      <c r="B434">
        <f>Sampling!E432</f>
        <v>0</v>
      </c>
      <c r="G434">
        <f t="shared" si="20"/>
        <v>3552.5</v>
      </c>
      <c r="H4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4">
        <f t="shared" si="18"/>
        <v>3752.6</v>
      </c>
      <c r="K434" t="e">
        <f t="shared" si="19"/>
        <v>#DIV/0!</v>
      </c>
    </row>
    <row r="435" spans="1:11" hidden="1" x14ac:dyDescent="0.25">
      <c r="A435" t="str" cm="1">
        <f t="array" ref="A435">IF(ISBLANK(INDEX(SampleList[GC],ROW()-1)),"Not Requested",INDEX(SampleList[Experiment ID],ROW()-1))</f>
        <v>Not Requested</v>
      </c>
      <c r="B435">
        <f>Sampling!E433</f>
        <v>0</v>
      </c>
      <c r="G435">
        <f t="shared" si="20"/>
        <v>3552.5</v>
      </c>
      <c r="H4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5">
        <f t="shared" si="18"/>
        <v>3752.6</v>
      </c>
      <c r="K435" t="e">
        <f t="shared" si="19"/>
        <v>#DIV/0!</v>
      </c>
    </row>
    <row r="436" spans="1:11" hidden="1" x14ac:dyDescent="0.25">
      <c r="A436" t="str" cm="1">
        <f t="array" ref="A436">IF(ISBLANK(INDEX(SampleList[GC],ROW()-1)),"Not Requested",INDEX(SampleList[Experiment ID],ROW()-1))</f>
        <v>Not Requested</v>
      </c>
      <c r="B436">
        <f>Sampling!E434</f>
        <v>0</v>
      </c>
      <c r="G436">
        <f t="shared" si="20"/>
        <v>3552.5</v>
      </c>
      <c r="H4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6">
        <f t="shared" si="18"/>
        <v>3752.6</v>
      </c>
      <c r="K436" t="e">
        <f t="shared" si="19"/>
        <v>#DIV/0!</v>
      </c>
    </row>
    <row r="437" spans="1:11" hidden="1" x14ac:dyDescent="0.25">
      <c r="A437" t="str" cm="1">
        <f t="array" ref="A437">IF(ISBLANK(INDEX(SampleList[GC],ROW()-1)),"Not Requested",INDEX(SampleList[Experiment ID],ROW()-1))</f>
        <v>Not Requested</v>
      </c>
      <c r="B437">
        <f>Sampling!E435</f>
        <v>0</v>
      </c>
      <c r="G437">
        <f t="shared" si="20"/>
        <v>3552.5</v>
      </c>
      <c r="H4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7">
        <f t="shared" si="18"/>
        <v>3752.6</v>
      </c>
      <c r="K437" t="e">
        <f t="shared" si="19"/>
        <v>#DIV/0!</v>
      </c>
    </row>
    <row r="438" spans="1:11" hidden="1" x14ac:dyDescent="0.25">
      <c r="A438" t="str" cm="1">
        <f t="array" ref="A438">IF(ISBLANK(INDEX(SampleList[GC],ROW()-1)),"Not Requested",INDEX(SampleList[Experiment ID],ROW()-1))</f>
        <v>Not Requested</v>
      </c>
      <c r="B438">
        <f>Sampling!E436</f>
        <v>0</v>
      </c>
      <c r="G438">
        <f t="shared" si="20"/>
        <v>3552.5</v>
      </c>
      <c r="H4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8">
        <f t="shared" si="18"/>
        <v>3752.6</v>
      </c>
      <c r="K438" t="e">
        <f t="shared" si="19"/>
        <v>#DIV/0!</v>
      </c>
    </row>
    <row r="439" spans="1:11" hidden="1" x14ac:dyDescent="0.25">
      <c r="A439" t="str" cm="1">
        <f t="array" ref="A439">IF(ISBLANK(INDEX(SampleList[GC],ROW()-1)),"Not Requested",INDEX(SampleList[Experiment ID],ROW()-1))</f>
        <v>Not Requested</v>
      </c>
      <c r="B439">
        <f>Sampling!E437</f>
        <v>0</v>
      </c>
      <c r="G439">
        <f t="shared" si="20"/>
        <v>3552.5</v>
      </c>
      <c r="H4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39">
        <f t="shared" si="18"/>
        <v>3752.6</v>
      </c>
      <c r="K439" t="e">
        <f t="shared" si="19"/>
        <v>#DIV/0!</v>
      </c>
    </row>
    <row r="440" spans="1:11" hidden="1" x14ac:dyDescent="0.25">
      <c r="A440" t="str" cm="1">
        <f t="array" ref="A440">IF(ISBLANK(INDEX(SampleList[GC],ROW()-1)),"Not Requested",INDEX(SampleList[Experiment ID],ROW()-1))</f>
        <v>Not Requested</v>
      </c>
      <c r="B440">
        <f>Sampling!E438</f>
        <v>0</v>
      </c>
      <c r="G440">
        <f t="shared" si="20"/>
        <v>3552.5</v>
      </c>
      <c r="H4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0">
        <f t="shared" si="18"/>
        <v>3752.6</v>
      </c>
      <c r="K440" t="e">
        <f t="shared" si="19"/>
        <v>#DIV/0!</v>
      </c>
    </row>
    <row r="441" spans="1:11" hidden="1" x14ac:dyDescent="0.25">
      <c r="A441" t="str" cm="1">
        <f t="array" ref="A441">IF(ISBLANK(INDEX(SampleList[GC],ROW()-1)),"Not Requested",INDEX(SampleList[Experiment ID],ROW()-1))</f>
        <v>Not Requested</v>
      </c>
      <c r="B441">
        <f>Sampling!E439</f>
        <v>0</v>
      </c>
      <c r="G441">
        <f t="shared" si="20"/>
        <v>3552.5</v>
      </c>
      <c r="H4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1">
        <f t="shared" si="18"/>
        <v>3752.6</v>
      </c>
      <c r="K441" t="e">
        <f t="shared" si="19"/>
        <v>#DIV/0!</v>
      </c>
    </row>
    <row r="442" spans="1:11" hidden="1" x14ac:dyDescent="0.25">
      <c r="A442" t="str" cm="1">
        <f t="array" ref="A442">IF(ISBLANK(INDEX(SampleList[GC],ROW()-1)),"Not Requested",INDEX(SampleList[Experiment ID],ROW()-1))</f>
        <v>Not Requested</v>
      </c>
      <c r="B442">
        <f>Sampling!E440</f>
        <v>0</v>
      </c>
      <c r="G442">
        <f t="shared" si="20"/>
        <v>3552.5</v>
      </c>
      <c r="H4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2">
        <f t="shared" si="18"/>
        <v>3752.6</v>
      </c>
      <c r="K442" t="e">
        <f t="shared" si="19"/>
        <v>#DIV/0!</v>
      </c>
    </row>
    <row r="443" spans="1:11" hidden="1" x14ac:dyDescent="0.25">
      <c r="A443" t="str" cm="1">
        <f t="array" ref="A443">IF(ISBLANK(INDEX(SampleList[GC],ROW()-1)),"Not Requested",INDEX(SampleList[Experiment ID],ROW()-1))</f>
        <v>Not Requested</v>
      </c>
      <c r="B443">
        <f>Sampling!E441</f>
        <v>0</v>
      </c>
      <c r="G443">
        <f t="shared" si="20"/>
        <v>3552.5</v>
      </c>
      <c r="H4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3">
        <f t="shared" si="18"/>
        <v>3752.6</v>
      </c>
      <c r="K443" t="e">
        <f t="shared" si="19"/>
        <v>#DIV/0!</v>
      </c>
    </row>
    <row r="444" spans="1:11" hidden="1" x14ac:dyDescent="0.25">
      <c r="A444" t="str" cm="1">
        <f t="array" ref="A444">IF(ISBLANK(INDEX(SampleList[GC],ROW()-1)),"Not Requested",INDEX(SampleList[Experiment ID],ROW()-1))</f>
        <v>Not Requested</v>
      </c>
      <c r="B444">
        <f>Sampling!E442</f>
        <v>0</v>
      </c>
      <c r="G444">
        <f t="shared" si="20"/>
        <v>3552.5</v>
      </c>
      <c r="H4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4">
        <f t="shared" si="18"/>
        <v>3752.6</v>
      </c>
      <c r="K444" t="e">
        <f t="shared" si="19"/>
        <v>#DIV/0!</v>
      </c>
    </row>
    <row r="445" spans="1:11" hidden="1" x14ac:dyDescent="0.25">
      <c r="A445" t="str" cm="1">
        <f t="array" ref="A445">IF(ISBLANK(INDEX(SampleList[GC],ROW()-1)),"Not Requested",INDEX(SampleList[Experiment ID],ROW()-1))</f>
        <v>Not Requested</v>
      </c>
      <c r="B445">
        <f>Sampling!E443</f>
        <v>0</v>
      </c>
      <c r="G445">
        <f t="shared" si="20"/>
        <v>3552.5</v>
      </c>
      <c r="H4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5">
        <f t="shared" si="18"/>
        <v>3752.6</v>
      </c>
      <c r="K445" t="e">
        <f t="shared" si="19"/>
        <v>#DIV/0!</v>
      </c>
    </row>
    <row r="446" spans="1:11" hidden="1" x14ac:dyDescent="0.25">
      <c r="A446" t="str" cm="1">
        <f t="array" ref="A446">IF(ISBLANK(INDEX(SampleList[GC],ROW()-1)),"Not Requested",INDEX(SampleList[Experiment ID],ROW()-1))</f>
        <v>Not Requested</v>
      </c>
      <c r="B446">
        <f>Sampling!E444</f>
        <v>0</v>
      </c>
      <c r="G446">
        <f t="shared" si="20"/>
        <v>3552.5</v>
      </c>
      <c r="H4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6">
        <f t="shared" si="18"/>
        <v>3752.6</v>
      </c>
      <c r="K446" t="e">
        <f t="shared" si="19"/>
        <v>#DIV/0!</v>
      </c>
    </row>
    <row r="447" spans="1:11" hidden="1" x14ac:dyDescent="0.25">
      <c r="A447" t="str" cm="1">
        <f t="array" ref="A447">IF(ISBLANK(INDEX(SampleList[GC],ROW()-1)),"Not Requested",INDEX(SampleList[Experiment ID],ROW()-1))</f>
        <v>Not Requested</v>
      </c>
      <c r="B447">
        <f>Sampling!E445</f>
        <v>0</v>
      </c>
      <c r="G447">
        <f t="shared" si="20"/>
        <v>3552.5</v>
      </c>
      <c r="H4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7">
        <f t="shared" si="18"/>
        <v>3752.6</v>
      </c>
      <c r="K447" t="e">
        <f t="shared" si="19"/>
        <v>#DIV/0!</v>
      </c>
    </row>
    <row r="448" spans="1:11" hidden="1" x14ac:dyDescent="0.25">
      <c r="A448" t="str" cm="1">
        <f t="array" ref="A448">IF(ISBLANK(INDEX(SampleList[GC],ROW()-1)),"Not Requested",INDEX(SampleList[Experiment ID],ROW()-1))</f>
        <v>Not Requested</v>
      </c>
      <c r="B448">
        <f>Sampling!E446</f>
        <v>0</v>
      </c>
      <c r="G448">
        <f t="shared" si="20"/>
        <v>3552.5</v>
      </c>
      <c r="H4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8">
        <f t="shared" si="18"/>
        <v>3752.6</v>
      </c>
      <c r="K448" t="e">
        <f t="shared" si="19"/>
        <v>#DIV/0!</v>
      </c>
    </row>
    <row r="449" spans="1:11" hidden="1" x14ac:dyDescent="0.25">
      <c r="A449" t="str" cm="1">
        <f t="array" ref="A449">IF(ISBLANK(INDEX(SampleList[GC],ROW()-1)),"Not Requested",INDEX(SampleList[Experiment ID],ROW()-1))</f>
        <v>Not Requested</v>
      </c>
      <c r="B449">
        <f>Sampling!E447</f>
        <v>0</v>
      </c>
      <c r="G449">
        <f t="shared" si="20"/>
        <v>3552.5</v>
      </c>
      <c r="H4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49">
        <f t="shared" si="18"/>
        <v>3752.6</v>
      </c>
      <c r="K449" t="e">
        <f t="shared" si="19"/>
        <v>#DIV/0!</v>
      </c>
    </row>
    <row r="450" spans="1:11" hidden="1" x14ac:dyDescent="0.25">
      <c r="A450" t="str" cm="1">
        <f t="array" ref="A450">IF(ISBLANK(INDEX(SampleList[GC],ROW()-1)),"Not Requested",INDEX(SampleList[Experiment ID],ROW()-1))</f>
        <v>Not Requested</v>
      </c>
      <c r="B450">
        <f>Sampling!E448</f>
        <v>0</v>
      </c>
      <c r="G450">
        <f t="shared" si="20"/>
        <v>3552.5</v>
      </c>
      <c r="H4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0">
        <f t="shared" ref="I450:I513" si="21">25.88*145</f>
        <v>3752.6</v>
      </c>
      <c r="K450" t="e">
        <f t="shared" ref="K450:K513" si="22">(500/D450)*J450</f>
        <v>#DIV/0!</v>
      </c>
    </row>
    <row r="451" spans="1:11" hidden="1" x14ac:dyDescent="0.25">
      <c r="A451" t="str" cm="1">
        <f t="array" ref="A451">IF(ISBLANK(INDEX(SampleList[GC],ROW()-1)),"Not Requested",INDEX(SampleList[Experiment ID],ROW()-1))</f>
        <v>Not Requested</v>
      </c>
      <c r="B451">
        <f>Sampling!E449</f>
        <v>0</v>
      </c>
      <c r="G451">
        <f t="shared" si="20"/>
        <v>3552.5</v>
      </c>
      <c r="H4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1">
        <f t="shared" si="21"/>
        <v>3752.6</v>
      </c>
      <c r="K451" t="e">
        <f t="shared" si="22"/>
        <v>#DIV/0!</v>
      </c>
    </row>
    <row r="452" spans="1:11" hidden="1" x14ac:dyDescent="0.25">
      <c r="A452" t="str" cm="1">
        <f t="array" ref="A452">IF(ISBLANK(INDEX(SampleList[GC],ROW()-1)),"Not Requested",INDEX(SampleList[Experiment ID],ROW()-1))</f>
        <v>Not Requested</v>
      </c>
      <c r="B452">
        <f>Sampling!E450</f>
        <v>0</v>
      </c>
      <c r="G452">
        <f t="shared" si="20"/>
        <v>3552.5</v>
      </c>
      <c r="H4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2">
        <f t="shared" si="21"/>
        <v>3752.6</v>
      </c>
      <c r="K452" t="e">
        <f t="shared" si="22"/>
        <v>#DIV/0!</v>
      </c>
    </row>
    <row r="453" spans="1:11" hidden="1" x14ac:dyDescent="0.25">
      <c r="A453" t="str" cm="1">
        <f t="array" ref="A453">IF(ISBLANK(INDEX(SampleList[GC],ROW()-1)),"Not Requested",INDEX(SampleList[Experiment ID],ROW()-1))</f>
        <v>Not Requested</v>
      </c>
      <c r="B453">
        <f>Sampling!E451</f>
        <v>0</v>
      </c>
      <c r="G453">
        <f t="shared" si="20"/>
        <v>3552.5</v>
      </c>
      <c r="H4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3">
        <f t="shared" si="21"/>
        <v>3752.6</v>
      </c>
      <c r="K453" t="e">
        <f t="shared" si="22"/>
        <v>#DIV/0!</v>
      </c>
    </row>
    <row r="454" spans="1:11" hidden="1" x14ac:dyDescent="0.25">
      <c r="A454" t="str" cm="1">
        <f t="array" ref="A454">IF(ISBLANK(INDEX(SampleList[GC],ROW()-1)),"Not Requested",INDEX(SampleList[Experiment ID],ROW()-1))</f>
        <v>Not Requested</v>
      </c>
      <c r="B454">
        <f>Sampling!E452</f>
        <v>0</v>
      </c>
      <c r="G454">
        <f t="shared" si="20"/>
        <v>3552.5</v>
      </c>
      <c r="H4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4">
        <f t="shared" si="21"/>
        <v>3752.6</v>
      </c>
      <c r="K454" t="e">
        <f t="shared" si="22"/>
        <v>#DIV/0!</v>
      </c>
    </row>
    <row r="455" spans="1:11" hidden="1" x14ac:dyDescent="0.25">
      <c r="A455" t="str" cm="1">
        <f t="array" ref="A455">IF(ISBLANK(INDEX(SampleList[GC],ROW()-1)),"Not Requested",INDEX(SampleList[Experiment ID],ROW()-1))</f>
        <v>Not Requested</v>
      </c>
      <c r="B455">
        <f>Sampling!E453</f>
        <v>0</v>
      </c>
      <c r="G455">
        <f t="shared" si="20"/>
        <v>3552.5</v>
      </c>
      <c r="H4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5">
        <f t="shared" si="21"/>
        <v>3752.6</v>
      </c>
      <c r="K455" t="e">
        <f t="shared" si="22"/>
        <v>#DIV/0!</v>
      </c>
    </row>
    <row r="456" spans="1:11" hidden="1" x14ac:dyDescent="0.25">
      <c r="A456" t="str" cm="1">
        <f t="array" ref="A456">IF(ISBLANK(INDEX(SampleList[GC],ROW()-1)),"Not Requested",INDEX(SampleList[Experiment ID],ROW()-1))</f>
        <v>Not Requested</v>
      </c>
      <c r="B456">
        <f>Sampling!E454</f>
        <v>0</v>
      </c>
      <c r="G456">
        <f t="shared" si="20"/>
        <v>3552.5</v>
      </c>
      <c r="H4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6">
        <f t="shared" si="21"/>
        <v>3752.6</v>
      </c>
      <c r="K456" t="e">
        <f t="shared" si="22"/>
        <v>#DIV/0!</v>
      </c>
    </row>
    <row r="457" spans="1:11" hidden="1" x14ac:dyDescent="0.25">
      <c r="A457" t="str" cm="1">
        <f t="array" ref="A457">IF(ISBLANK(INDEX(SampleList[GC],ROW()-1)),"Not Requested",INDEX(SampleList[Experiment ID],ROW()-1))</f>
        <v>Not Requested</v>
      </c>
      <c r="B457">
        <f>Sampling!E455</f>
        <v>0</v>
      </c>
      <c r="G457">
        <f t="shared" si="20"/>
        <v>3552.5</v>
      </c>
      <c r="H4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7">
        <f t="shared" si="21"/>
        <v>3752.6</v>
      </c>
      <c r="K457" t="e">
        <f t="shared" si="22"/>
        <v>#DIV/0!</v>
      </c>
    </row>
    <row r="458" spans="1:11" hidden="1" x14ac:dyDescent="0.25">
      <c r="A458" t="str" cm="1">
        <f t="array" ref="A458">IF(ISBLANK(INDEX(SampleList[GC],ROW()-1)),"Not Requested",INDEX(SampleList[Experiment ID],ROW()-1))</f>
        <v>Not Requested</v>
      </c>
      <c r="B458">
        <f>Sampling!E456</f>
        <v>0</v>
      </c>
      <c r="G458">
        <f t="shared" si="20"/>
        <v>3552.5</v>
      </c>
      <c r="H4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8">
        <f t="shared" si="21"/>
        <v>3752.6</v>
      </c>
      <c r="K458" t="e">
        <f t="shared" si="22"/>
        <v>#DIV/0!</v>
      </c>
    </row>
    <row r="459" spans="1:11" hidden="1" x14ac:dyDescent="0.25">
      <c r="A459" t="str" cm="1">
        <f t="array" ref="A459">IF(ISBLANK(INDEX(SampleList[GC],ROW()-1)),"Not Requested",INDEX(SampleList[Experiment ID],ROW()-1))</f>
        <v>Not Requested</v>
      </c>
      <c r="B459">
        <f>Sampling!E457</f>
        <v>0</v>
      </c>
      <c r="G459">
        <f t="shared" si="20"/>
        <v>3552.5</v>
      </c>
      <c r="H4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59">
        <f t="shared" si="21"/>
        <v>3752.6</v>
      </c>
      <c r="K459" t="e">
        <f t="shared" si="22"/>
        <v>#DIV/0!</v>
      </c>
    </row>
    <row r="460" spans="1:11" hidden="1" x14ac:dyDescent="0.25">
      <c r="A460" t="str" cm="1">
        <f t="array" ref="A460">IF(ISBLANK(INDEX(SampleList[GC],ROW()-1)),"Not Requested",INDEX(SampleList[Experiment ID],ROW()-1))</f>
        <v>Not Requested</v>
      </c>
      <c r="B460">
        <f>Sampling!E458</f>
        <v>0</v>
      </c>
      <c r="G460">
        <f t="shared" si="20"/>
        <v>3552.5</v>
      </c>
      <c r="H4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0">
        <f t="shared" si="21"/>
        <v>3752.6</v>
      </c>
      <c r="K460" t="e">
        <f t="shared" si="22"/>
        <v>#DIV/0!</v>
      </c>
    </row>
    <row r="461" spans="1:11" hidden="1" x14ac:dyDescent="0.25">
      <c r="A461" t="str" cm="1">
        <f t="array" ref="A461">IF(ISBLANK(INDEX(SampleList[GC],ROW()-1)),"Not Requested",INDEX(SampleList[Experiment ID],ROW()-1))</f>
        <v>Not Requested</v>
      </c>
      <c r="B461">
        <f>Sampling!E459</f>
        <v>0</v>
      </c>
      <c r="G461">
        <f t="shared" si="20"/>
        <v>3552.5</v>
      </c>
      <c r="H4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1">
        <f t="shared" si="21"/>
        <v>3752.6</v>
      </c>
      <c r="K461" t="e">
        <f t="shared" si="22"/>
        <v>#DIV/0!</v>
      </c>
    </row>
    <row r="462" spans="1:11" hidden="1" x14ac:dyDescent="0.25">
      <c r="A462" t="str" cm="1">
        <f t="array" ref="A462">IF(ISBLANK(INDEX(SampleList[GC],ROW()-1)),"Not Requested",INDEX(SampleList[Experiment ID],ROW()-1))</f>
        <v>Not Requested</v>
      </c>
      <c r="B462">
        <f>Sampling!E460</f>
        <v>0</v>
      </c>
      <c r="G462">
        <f t="shared" si="20"/>
        <v>3552.5</v>
      </c>
      <c r="H4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2">
        <f t="shared" si="21"/>
        <v>3752.6</v>
      </c>
      <c r="K462" t="e">
        <f t="shared" si="22"/>
        <v>#DIV/0!</v>
      </c>
    </row>
    <row r="463" spans="1:11" hidden="1" x14ac:dyDescent="0.25">
      <c r="A463" t="str" cm="1">
        <f t="array" ref="A463">IF(ISBLANK(INDEX(SampleList[GC],ROW()-1)),"Not Requested",INDEX(SampleList[Experiment ID],ROW()-1))</f>
        <v>Not Requested</v>
      </c>
      <c r="B463">
        <f>Sampling!E461</f>
        <v>0</v>
      </c>
      <c r="G463">
        <f t="shared" si="20"/>
        <v>3552.5</v>
      </c>
      <c r="H4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3">
        <f t="shared" si="21"/>
        <v>3752.6</v>
      </c>
      <c r="K463" t="e">
        <f t="shared" si="22"/>
        <v>#DIV/0!</v>
      </c>
    </row>
    <row r="464" spans="1:11" hidden="1" x14ac:dyDescent="0.25">
      <c r="A464" t="str" cm="1">
        <f t="array" ref="A464">IF(ISBLANK(INDEX(SampleList[GC],ROW()-1)),"Not Requested",INDEX(SampleList[Experiment ID],ROW()-1))</f>
        <v>Not Requested</v>
      </c>
      <c r="B464">
        <f>Sampling!E462</f>
        <v>0</v>
      </c>
      <c r="G464">
        <f t="shared" si="20"/>
        <v>3552.5</v>
      </c>
      <c r="H4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4">
        <f t="shared" si="21"/>
        <v>3752.6</v>
      </c>
      <c r="K464" t="e">
        <f t="shared" si="22"/>
        <v>#DIV/0!</v>
      </c>
    </row>
    <row r="465" spans="1:11" hidden="1" x14ac:dyDescent="0.25">
      <c r="A465" t="str" cm="1">
        <f t="array" ref="A465">IF(ISBLANK(INDEX(SampleList[GC],ROW()-1)),"Not Requested",INDEX(SampleList[Experiment ID],ROW()-1))</f>
        <v>Not Requested</v>
      </c>
      <c r="B465">
        <f>Sampling!E463</f>
        <v>0</v>
      </c>
      <c r="G465">
        <f t="shared" si="20"/>
        <v>3552.5</v>
      </c>
      <c r="H4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5">
        <f t="shared" si="21"/>
        <v>3752.6</v>
      </c>
      <c r="K465" t="e">
        <f t="shared" si="22"/>
        <v>#DIV/0!</v>
      </c>
    </row>
    <row r="466" spans="1:11" hidden="1" x14ac:dyDescent="0.25">
      <c r="A466" t="str" cm="1">
        <f t="array" ref="A466">IF(ISBLANK(INDEX(SampleList[GC],ROW()-1)),"Not Requested",INDEX(SampleList[Experiment ID],ROW()-1))</f>
        <v>Not Requested</v>
      </c>
      <c r="B466">
        <f>Sampling!E464</f>
        <v>0</v>
      </c>
      <c r="G466">
        <f t="shared" si="20"/>
        <v>3552.5</v>
      </c>
      <c r="H4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6">
        <f t="shared" si="21"/>
        <v>3752.6</v>
      </c>
      <c r="K466" t="e">
        <f t="shared" si="22"/>
        <v>#DIV/0!</v>
      </c>
    </row>
    <row r="467" spans="1:11" hidden="1" x14ac:dyDescent="0.25">
      <c r="A467" t="str" cm="1">
        <f t="array" ref="A467">IF(ISBLANK(INDEX(SampleList[GC],ROW()-1)),"Not Requested",INDEX(SampleList[Experiment ID],ROW()-1))</f>
        <v>Not Requested</v>
      </c>
      <c r="B467">
        <f>Sampling!E465</f>
        <v>0</v>
      </c>
      <c r="G467">
        <f t="shared" si="20"/>
        <v>3552.5</v>
      </c>
      <c r="H4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7">
        <f t="shared" si="21"/>
        <v>3752.6</v>
      </c>
      <c r="K467" t="e">
        <f t="shared" si="22"/>
        <v>#DIV/0!</v>
      </c>
    </row>
    <row r="468" spans="1:11" hidden="1" x14ac:dyDescent="0.25">
      <c r="A468" t="str" cm="1">
        <f t="array" ref="A468">IF(ISBLANK(INDEX(SampleList[GC],ROW()-1)),"Not Requested",INDEX(SampleList[Experiment ID],ROW()-1))</f>
        <v>Not Requested</v>
      </c>
      <c r="B468">
        <f>Sampling!E466</f>
        <v>0</v>
      </c>
      <c r="G468">
        <f t="shared" si="20"/>
        <v>3552.5</v>
      </c>
      <c r="H4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8">
        <f t="shared" si="21"/>
        <v>3752.6</v>
      </c>
      <c r="K468" t="e">
        <f t="shared" si="22"/>
        <v>#DIV/0!</v>
      </c>
    </row>
    <row r="469" spans="1:11" hidden="1" x14ac:dyDescent="0.25">
      <c r="A469" t="str" cm="1">
        <f t="array" ref="A469">IF(ISBLANK(INDEX(SampleList[GC],ROW()-1)),"Not Requested",INDEX(SampleList[Experiment ID],ROW()-1))</f>
        <v>Not Requested</v>
      </c>
      <c r="B469">
        <f>Sampling!E467</f>
        <v>0</v>
      </c>
      <c r="G469">
        <f t="shared" si="20"/>
        <v>3552.5</v>
      </c>
      <c r="H4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69">
        <f t="shared" si="21"/>
        <v>3752.6</v>
      </c>
      <c r="K469" t="e">
        <f t="shared" si="22"/>
        <v>#DIV/0!</v>
      </c>
    </row>
    <row r="470" spans="1:11" hidden="1" x14ac:dyDescent="0.25">
      <c r="A470" t="str" cm="1">
        <f t="array" ref="A470">IF(ISBLANK(INDEX(SampleList[GC],ROW()-1)),"Not Requested",INDEX(SampleList[Experiment ID],ROW()-1))</f>
        <v>Not Requested</v>
      </c>
      <c r="B470">
        <f>Sampling!E468</f>
        <v>0</v>
      </c>
      <c r="G470">
        <f t="shared" si="20"/>
        <v>3552.5</v>
      </c>
      <c r="H4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0">
        <f t="shared" si="21"/>
        <v>3752.6</v>
      </c>
      <c r="K470" t="e">
        <f t="shared" si="22"/>
        <v>#DIV/0!</v>
      </c>
    </row>
    <row r="471" spans="1:11" hidden="1" x14ac:dyDescent="0.25">
      <c r="A471" t="str" cm="1">
        <f t="array" ref="A471">IF(ISBLANK(INDEX(SampleList[GC],ROW()-1)),"Not Requested",INDEX(SampleList[Experiment ID],ROW()-1))</f>
        <v>Not Requested</v>
      </c>
      <c r="B471">
        <f>Sampling!E469</f>
        <v>0</v>
      </c>
      <c r="G471">
        <f t="shared" si="20"/>
        <v>3552.5</v>
      </c>
      <c r="H4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1">
        <f t="shared" si="21"/>
        <v>3752.6</v>
      </c>
      <c r="K471" t="e">
        <f t="shared" si="22"/>
        <v>#DIV/0!</v>
      </c>
    </row>
    <row r="472" spans="1:11" hidden="1" x14ac:dyDescent="0.25">
      <c r="A472" t="str" cm="1">
        <f t="array" ref="A472">IF(ISBLANK(INDEX(SampleList[GC],ROW()-1)),"Not Requested",INDEX(SampleList[Experiment ID],ROW()-1))</f>
        <v>Not Requested</v>
      </c>
      <c r="B472">
        <f>Sampling!E470</f>
        <v>0</v>
      </c>
      <c r="G472">
        <f t="shared" si="20"/>
        <v>3552.5</v>
      </c>
      <c r="H4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2">
        <f t="shared" si="21"/>
        <v>3752.6</v>
      </c>
      <c r="K472" t="e">
        <f t="shared" si="22"/>
        <v>#DIV/0!</v>
      </c>
    </row>
    <row r="473" spans="1:11" hidden="1" x14ac:dyDescent="0.25">
      <c r="A473" t="str" cm="1">
        <f t="array" ref="A473">IF(ISBLANK(INDEX(SampleList[GC],ROW()-1)),"Not Requested",INDEX(SampleList[Experiment ID],ROW()-1))</f>
        <v>Not Requested</v>
      </c>
      <c r="B473">
        <f>Sampling!E471</f>
        <v>0</v>
      </c>
      <c r="G473">
        <f t="shared" si="20"/>
        <v>3552.5</v>
      </c>
      <c r="H4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3">
        <f t="shared" si="21"/>
        <v>3752.6</v>
      </c>
      <c r="K473" t="e">
        <f t="shared" si="22"/>
        <v>#DIV/0!</v>
      </c>
    </row>
    <row r="474" spans="1:11" hidden="1" x14ac:dyDescent="0.25">
      <c r="A474" t="str" cm="1">
        <f t="array" ref="A474">IF(ISBLANK(INDEX(SampleList[GC],ROW()-1)),"Not Requested",INDEX(SampleList[Experiment ID],ROW()-1))</f>
        <v>Not Requested</v>
      </c>
      <c r="B474">
        <f>Sampling!E472</f>
        <v>0</v>
      </c>
      <c r="G474">
        <f t="shared" si="20"/>
        <v>3552.5</v>
      </c>
      <c r="H4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4">
        <f t="shared" si="21"/>
        <v>3752.6</v>
      </c>
      <c r="K474" t="e">
        <f t="shared" si="22"/>
        <v>#DIV/0!</v>
      </c>
    </row>
    <row r="475" spans="1:11" hidden="1" x14ac:dyDescent="0.25">
      <c r="A475" t="str" cm="1">
        <f t="array" ref="A475">IF(ISBLANK(INDEX(SampleList[GC],ROW()-1)),"Not Requested",INDEX(SampleList[Experiment ID],ROW()-1))</f>
        <v>Not Requested</v>
      </c>
      <c r="B475">
        <f>Sampling!E473</f>
        <v>0</v>
      </c>
      <c r="G475">
        <f t="shared" si="20"/>
        <v>3552.5</v>
      </c>
      <c r="H4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5">
        <f t="shared" si="21"/>
        <v>3752.6</v>
      </c>
      <c r="K475" t="e">
        <f t="shared" si="22"/>
        <v>#DIV/0!</v>
      </c>
    </row>
    <row r="476" spans="1:11" hidden="1" x14ac:dyDescent="0.25">
      <c r="A476" t="str" cm="1">
        <f t="array" ref="A476">IF(ISBLANK(INDEX(SampleList[GC],ROW()-1)),"Not Requested",INDEX(SampleList[Experiment ID],ROW()-1))</f>
        <v>Not Requested</v>
      </c>
      <c r="B476">
        <f>Sampling!E474</f>
        <v>0</v>
      </c>
      <c r="G476">
        <f t="shared" si="20"/>
        <v>3552.5</v>
      </c>
      <c r="H4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6">
        <f t="shared" si="21"/>
        <v>3752.6</v>
      </c>
      <c r="K476" t="e">
        <f t="shared" si="22"/>
        <v>#DIV/0!</v>
      </c>
    </row>
    <row r="477" spans="1:11" hidden="1" x14ac:dyDescent="0.25">
      <c r="A477" t="str" cm="1">
        <f t="array" ref="A477">IF(ISBLANK(INDEX(SampleList[GC],ROW()-1)),"Not Requested",INDEX(SampleList[Experiment ID],ROW()-1))</f>
        <v>Not Requested</v>
      </c>
      <c r="B477">
        <f>Sampling!E475</f>
        <v>0</v>
      </c>
      <c r="G477">
        <f t="shared" si="20"/>
        <v>3552.5</v>
      </c>
      <c r="H4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7">
        <f t="shared" si="21"/>
        <v>3752.6</v>
      </c>
      <c r="K477" t="e">
        <f t="shared" si="22"/>
        <v>#DIV/0!</v>
      </c>
    </row>
    <row r="478" spans="1:11" hidden="1" x14ac:dyDescent="0.25">
      <c r="A478" t="str" cm="1">
        <f t="array" ref="A478">IF(ISBLANK(INDEX(SampleList[GC],ROW()-1)),"Not Requested",INDEX(SampleList[Experiment ID],ROW()-1))</f>
        <v>Not Requested</v>
      </c>
      <c r="B478">
        <f>Sampling!E476</f>
        <v>0</v>
      </c>
      <c r="G478">
        <f t="shared" si="20"/>
        <v>3552.5</v>
      </c>
      <c r="H4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8">
        <f t="shared" si="21"/>
        <v>3752.6</v>
      </c>
      <c r="K478" t="e">
        <f t="shared" si="22"/>
        <v>#DIV/0!</v>
      </c>
    </row>
    <row r="479" spans="1:11" hidden="1" x14ac:dyDescent="0.25">
      <c r="A479" t="str" cm="1">
        <f t="array" ref="A479">IF(ISBLANK(INDEX(SampleList[GC],ROW()-1)),"Not Requested",INDEX(SampleList[Experiment ID],ROW()-1))</f>
        <v>Not Requested</v>
      </c>
      <c r="B479">
        <f>Sampling!E477</f>
        <v>0</v>
      </c>
      <c r="G479">
        <f t="shared" si="20"/>
        <v>3552.5</v>
      </c>
      <c r="H4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79">
        <f t="shared" si="21"/>
        <v>3752.6</v>
      </c>
      <c r="K479" t="e">
        <f t="shared" si="22"/>
        <v>#DIV/0!</v>
      </c>
    </row>
    <row r="480" spans="1:11" hidden="1" x14ac:dyDescent="0.25">
      <c r="A480" t="str" cm="1">
        <f t="array" ref="A480">IF(ISBLANK(INDEX(SampleList[GC],ROW()-1)),"Not Requested",INDEX(SampleList[Experiment ID],ROW()-1))</f>
        <v>Not Requested</v>
      </c>
      <c r="B480">
        <f>Sampling!E478</f>
        <v>0</v>
      </c>
      <c r="G480">
        <f t="shared" si="20"/>
        <v>3552.5</v>
      </c>
      <c r="H4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0">
        <f t="shared" si="21"/>
        <v>3752.6</v>
      </c>
      <c r="K480" t="e">
        <f t="shared" si="22"/>
        <v>#DIV/0!</v>
      </c>
    </row>
    <row r="481" spans="1:11" hidden="1" x14ac:dyDescent="0.25">
      <c r="A481" t="str" cm="1">
        <f t="array" ref="A481">IF(ISBLANK(INDEX(SampleList[GC],ROW()-1)),"Not Requested",INDEX(SampleList[Experiment ID],ROW()-1))</f>
        <v>Not Requested</v>
      </c>
      <c r="B481">
        <f>Sampling!E479</f>
        <v>0</v>
      </c>
      <c r="G481">
        <f t="shared" ref="G481:G544" si="23">24.5*145</f>
        <v>3552.5</v>
      </c>
      <c r="H4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1">
        <f t="shared" si="21"/>
        <v>3752.6</v>
      </c>
      <c r="K481" t="e">
        <f t="shared" si="22"/>
        <v>#DIV/0!</v>
      </c>
    </row>
    <row r="482" spans="1:11" hidden="1" x14ac:dyDescent="0.25">
      <c r="A482" t="str" cm="1">
        <f t="array" ref="A482">IF(ISBLANK(INDEX(SampleList[GC],ROW()-1)),"Not Requested",INDEX(SampleList[Experiment ID],ROW()-1))</f>
        <v>Not Requested</v>
      </c>
      <c r="B482">
        <f>Sampling!E480</f>
        <v>0</v>
      </c>
      <c r="G482">
        <f t="shared" si="23"/>
        <v>3552.5</v>
      </c>
      <c r="H4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2">
        <f t="shared" si="21"/>
        <v>3752.6</v>
      </c>
      <c r="K482" t="e">
        <f t="shared" si="22"/>
        <v>#DIV/0!</v>
      </c>
    </row>
    <row r="483" spans="1:11" hidden="1" x14ac:dyDescent="0.25">
      <c r="A483" t="str" cm="1">
        <f t="array" ref="A483">IF(ISBLANK(INDEX(SampleList[GC],ROW()-1)),"Not Requested",INDEX(SampleList[Experiment ID],ROW()-1))</f>
        <v>Not Requested</v>
      </c>
      <c r="B483">
        <f>Sampling!E481</f>
        <v>0</v>
      </c>
      <c r="G483">
        <f t="shared" si="23"/>
        <v>3552.5</v>
      </c>
      <c r="H4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3">
        <f t="shared" si="21"/>
        <v>3752.6</v>
      </c>
      <c r="K483" t="e">
        <f t="shared" si="22"/>
        <v>#DIV/0!</v>
      </c>
    </row>
    <row r="484" spans="1:11" hidden="1" x14ac:dyDescent="0.25">
      <c r="A484" t="str" cm="1">
        <f t="array" ref="A484">IF(ISBLANK(INDEX(SampleList[GC],ROW()-1)),"Not Requested",INDEX(SampleList[Experiment ID],ROW()-1))</f>
        <v>Not Requested</v>
      </c>
      <c r="B484">
        <f>Sampling!E482</f>
        <v>0</v>
      </c>
      <c r="G484">
        <f t="shared" si="23"/>
        <v>3552.5</v>
      </c>
      <c r="H4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4">
        <f t="shared" si="21"/>
        <v>3752.6</v>
      </c>
      <c r="K484" t="e">
        <f t="shared" si="22"/>
        <v>#DIV/0!</v>
      </c>
    </row>
    <row r="485" spans="1:11" hidden="1" x14ac:dyDescent="0.25">
      <c r="A485" t="str" cm="1">
        <f t="array" ref="A485">IF(ISBLANK(INDEX(SampleList[GC],ROW()-1)),"Not Requested",INDEX(SampleList[Experiment ID],ROW()-1))</f>
        <v>Not Requested</v>
      </c>
      <c r="B485">
        <f>Sampling!E483</f>
        <v>0</v>
      </c>
      <c r="G485">
        <f t="shared" si="23"/>
        <v>3552.5</v>
      </c>
      <c r="H4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5">
        <f t="shared" si="21"/>
        <v>3752.6</v>
      </c>
      <c r="K485" t="e">
        <f t="shared" si="22"/>
        <v>#DIV/0!</v>
      </c>
    </row>
    <row r="486" spans="1:11" hidden="1" x14ac:dyDescent="0.25">
      <c r="A486" t="str" cm="1">
        <f t="array" ref="A486">IF(ISBLANK(INDEX(SampleList[GC],ROW()-1)),"Not Requested",INDEX(SampleList[Experiment ID],ROW()-1))</f>
        <v>Not Requested</v>
      </c>
      <c r="B486">
        <f>Sampling!E484</f>
        <v>0</v>
      </c>
      <c r="G486">
        <f t="shared" si="23"/>
        <v>3552.5</v>
      </c>
      <c r="H4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6">
        <f t="shared" si="21"/>
        <v>3752.6</v>
      </c>
      <c r="K486" t="e">
        <f t="shared" si="22"/>
        <v>#DIV/0!</v>
      </c>
    </row>
    <row r="487" spans="1:11" hidden="1" x14ac:dyDescent="0.25">
      <c r="A487" t="str" cm="1">
        <f t="array" ref="A487">IF(ISBLANK(INDEX(SampleList[GC],ROW()-1)),"Not Requested",INDEX(SampleList[Experiment ID],ROW()-1))</f>
        <v>Not Requested</v>
      </c>
      <c r="B487">
        <f>Sampling!E485</f>
        <v>0</v>
      </c>
      <c r="G487">
        <f t="shared" si="23"/>
        <v>3552.5</v>
      </c>
      <c r="H4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7">
        <f t="shared" si="21"/>
        <v>3752.6</v>
      </c>
      <c r="K487" t="e">
        <f t="shared" si="22"/>
        <v>#DIV/0!</v>
      </c>
    </row>
    <row r="488" spans="1:11" hidden="1" x14ac:dyDescent="0.25">
      <c r="A488" t="str" cm="1">
        <f t="array" ref="A488">IF(ISBLANK(INDEX(SampleList[GC],ROW()-1)),"Not Requested",INDEX(SampleList[Experiment ID],ROW()-1))</f>
        <v>Not Requested</v>
      </c>
      <c r="B488">
        <f>Sampling!E486</f>
        <v>0</v>
      </c>
      <c r="G488">
        <f t="shared" si="23"/>
        <v>3552.5</v>
      </c>
      <c r="H4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8">
        <f t="shared" si="21"/>
        <v>3752.6</v>
      </c>
      <c r="K488" t="e">
        <f t="shared" si="22"/>
        <v>#DIV/0!</v>
      </c>
    </row>
    <row r="489" spans="1:11" hidden="1" x14ac:dyDescent="0.25">
      <c r="A489" t="str" cm="1">
        <f t="array" ref="A489">IF(ISBLANK(INDEX(SampleList[GC],ROW()-1)),"Not Requested",INDEX(SampleList[Experiment ID],ROW()-1))</f>
        <v>Not Requested</v>
      </c>
      <c r="B489">
        <f>Sampling!E487</f>
        <v>0</v>
      </c>
      <c r="G489">
        <f t="shared" si="23"/>
        <v>3552.5</v>
      </c>
      <c r="H4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89">
        <f t="shared" si="21"/>
        <v>3752.6</v>
      </c>
      <c r="K489" t="e">
        <f t="shared" si="22"/>
        <v>#DIV/0!</v>
      </c>
    </row>
    <row r="490" spans="1:11" hidden="1" x14ac:dyDescent="0.25">
      <c r="A490" t="str" cm="1">
        <f t="array" ref="A490">IF(ISBLANK(INDEX(SampleList[GC],ROW()-1)),"Not Requested",INDEX(SampleList[Experiment ID],ROW()-1))</f>
        <v>Not Requested</v>
      </c>
      <c r="B490">
        <f>Sampling!E488</f>
        <v>0</v>
      </c>
      <c r="G490">
        <f t="shared" si="23"/>
        <v>3552.5</v>
      </c>
      <c r="H4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0">
        <f t="shared" si="21"/>
        <v>3752.6</v>
      </c>
      <c r="K490" t="e">
        <f t="shared" si="22"/>
        <v>#DIV/0!</v>
      </c>
    </row>
    <row r="491" spans="1:11" hidden="1" x14ac:dyDescent="0.25">
      <c r="A491" t="str" cm="1">
        <f t="array" ref="A491">IF(ISBLANK(INDEX(SampleList[GC],ROW()-1)),"Not Requested",INDEX(SampleList[Experiment ID],ROW()-1))</f>
        <v>Not Requested</v>
      </c>
      <c r="B491">
        <f>Sampling!E489</f>
        <v>0</v>
      </c>
      <c r="G491">
        <f t="shared" si="23"/>
        <v>3552.5</v>
      </c>
      <c r="H4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1">
        <f t="shared" si="21"/>
        <v>3752.6</v>
      </c>
      <c r="K491" t="e">
        <f t="shared" si="22"/>
        <v>#DIV/0!</v>
      </c>
    </row>
    <row r="492" spans="1:11" hidden="1" x14ac:dyDescent="0.25">
      <c r="A492" t="str" cm="1">
        <f t="array" ref="A492">IF(ISBLANK(INDEX(SampleList[GC],ROW()-1)),"Not Requested",INDEX(SampleList[Experiment ID],ROW()-1))</f>
        <v>Not Requested</v>
      </c>
      <c r="B492">
        <f>Sampling!E490</f>
        <v>0</v>
      </c>
      <c r="G492">
        <f t="shared" si="23"/>
        <v>3552.5</v>
      </c>
      <c r="H4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2">
        <f t="shared" si="21"/>
        <v>3752.6</v>
      </c>
      <c r="K492" t="e">
        <f t="shared" si="22"/>
        <v>#DIV/0!</v>
      </c>
    </row>
    <row r="493" spans="1:11" hidden="1" x14ac:dyDescent="0.25">
      <c r="A493" t="str" cm="1">
        <f t="array" ref="A493">IF(ISBLANK(INDEX(SampleList[GC],ROW()-1)),"Not Requested",INDEX(SampleList[Experiment ID],ROW()-1))</f>
        <v>Not Requested</v>
      </c>
      <c r="B493">
        <f>Sampling!E491</f>
        <v>0</v>
      </c>
      <c r="G493">
        <f t="shared" si="23"/>
        <v>3552.5</v>
      </c>
      <c r="H4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3">
        <f t="shared" si="21"/>
        <v>3752.6</v>
      </c>
      <c r="K493" t="e">
        <f t="shared" si="22"/>
        <v>#DIV/0!</v>
      </c>
    </row>
    <row r="494" spans="1:11" hidden="1" x14ac:dyDescent="0.25">
      <c r="A494" t="str" cm="1">
        <f t="array" ref="A494">IF(ISBLANK(INDEX(SampleList[GC],ROW()-1)),"Not Requested",INDEX(SampleList[Experiment ID],ROW()-1))</f>
        <v>Not Requested</v>
      </c>
      <c r="B494">
        <f>Sampling!E492</f>
        <v>0</v>
      </c>
      <c r="G494">
        <f t="shared" si="23"/>
        <v>3552.5</v>
      </c>
      <c r="H4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4">
        <f t="shared" si="21"/>
        <v>3752.6</v>
      </c>
      <c r="K494" t="e">
        <f t="shared" si="22"/>
        <v>#DIV/0!</v>
      </c>
    </row>
    <row r="495" spans="1:11" hidden="1" x14ac:dyDescent="0.25">
      <c r="A495" t="str" cm="1">
        <f t="array" ref="A495">IF(ISBLANK(INDEX(SampleList[GC],ROW()-1)),"Not Requested",INDEX(SampleList[Experiment ID],ROW()-1))</f>
        <v>Not Requested</v>
      </c>
      <c r="B495">
        <f>Sampling!E493</f>
        <v>0</v>
      </c>
      <c r="G495">
        <f t="shared" si="23"/>
        <v>3552.5</v>
      </c>
      <c r="H4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5">
        <f t="shared" si="21"/>
        <v>3752.6</v>
      </c>
      <c r="K495" t="e">
        <f t="shared" si="22"/>
        <v>#DIV/0!</v>
      </c>
    </row>
    <row r="496" spans="1:11" hidden="1" x14ac:dyDescent="0.25">
      <c r="A496" t="str" cm="1">
        <f t="array" ref="A496">IF(ISBLANK(INDEX(SampleList[GC],ROW()-1)),"Not Requested",INDEX(SampleList[Experiment ID],ROW()-1))</f>
        <v>Not Requested</v>
      </c>
      <c r="B496">
        <f>Sampling!E494</f>
        <v>0</v>
      </c>
      <c r="G496">
        <f t="shared" si="23"/>
        <v>3552.5</v>
      </c>
      <c r="H4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6">
        <f t="shared" si="21"/>
        <v>3752.6</v>
      </c>
      <c r="K496" t="e">
        <f t="shared" si="22"/>
        <v>#DIV/0!</v>
      </c>
    </row>
    <row r="497" spans="1:11" hidden="1" x14ac:dyDescent="0.25">
      <c r="A497" t="str" cm="1">
        <f t="array" ref="A497">IF(ISBLANK(INDEX(SampleList[GC],ROW()-1)),"Not Requested",INDEX(SampleList[Experiment ID],ROW()-1))</f>
        <v>Not Requested</v>
      </c>
      <c r="B497">
        <f>Sampling!E495</f>
        <v>0</v>
      </c>
      <c r="G497">
        <f t="shared" si="23"/>
        <v>3552.5</v>
      </c>
      <c r="H4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7">
        <f t="shared" si="21"/>
        <v>3752.6</v>
      </c>
      <c r="K497" t="e">
        <f t="shared" si="22"/>
        <v>#DIV/0!</v>
      </c>
    </row>
    <row r="498" spans="1:11" hidden="1" x14ac:dyDescent="0.25">
      <c r="A498" t="str" cm="1">
        <f t="array" ref="A498">IF(ISBLANK(INDEX(SampleList[GC],ROW()-1)),"Not Requested",INDEX(SampleList[Experiment ID],ROW()-1))</f>
        <v>Not Requested</v>
      </c>
      <c r="B498">
        <f>Sampling!E496</f>
        <v>0</v>
      </c>
      <c r="G498">
        <f t="shared" si="23"/>
        <v>3552.5</v>
      </c>
      <c r="H4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8">
        <f t="shared" si="21"/>
        <v>3752.6</v>
      </c>
      <c r="K498" t="e">
        <f t="shared" si="22"/>
        <v>#DIV/0!</v>
      </c>
    </row>
    <row r="499" spans="1:11" hidden="1" x14ac:dyDescent="0.25">
      <c r="A499" t="str" cm="1">
        <f t="array" ref="A499">IF(ISBLANK(INDEX(SampleList[GC],ROW()-1)),"Not Requested",INDEX(SampleList[Experiment ID],ROW()-1))</f>
        <v>Not Requested</v>
      </c>
      <c r="B499">
        <f>Sampling!E497</f>
        <v>0</v>
      </c>
      <c r="G499">
        <f t="shared" si="23"/>
        <v>3552.5</v>
      </c>
      <c r="H4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499">
        <f t="shared" si="21"/>
        <v>3752.6</v>
      </c>
      <c r="K499" t="e">
        <f t="shared" si="22"/>
        <v>#DIV/0!</v>
      </c>
    </row>
    <row r="500" spans="1:11" hidden="1" x14ac:dyDescent="0.25">
      <c r="A500" t="str" cm="1">
        <f t="array" ref="A500">IF(ISBLANK(INDEX(SampleList[GC],ROW()-1)),"Not Requested",INDEX(SampleList[Experiment ID],ROW()-1))</f>
        <v>Not Requested</v>
      </c>
      <c r="B500">
        <f>Sampling!E498</f>
        <v>0</v>
      </c>
      <c r="G500">
        <f t="shared" si="23"/>
        <v>3552.5</v>
      </c>
      <c r="H5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0">
        <f t="shared" si="21"/>
        <v>3752.6</v>
      </c>
      <c r="K500" t="e">
        <f t="shared" si="22"/>
        <v>#DIV/0!</v>
      </c>
    </row>
    <row r="501" spans="1:11" hidden="1" x14ac:dyDescent="0.25">
      <c r="A501" t="str" cm="1">
        <f t="array" ref="A501">IF(ISBLANK(INDEX(SampleList[GC],ROW()-1)),"Not Requested",INDEX(SampleList[Experiment ID],ROW()-1))</f>
        <v>Not Requested</v>
      </c>
      <c r="B501">
        <f>Sampling!E499</f>
        <v>0</v>
      </c>
      <c r="G501">
        <f t="shared" si="23"/>
        <v>3552.5</v>
      </c>
      <c r="H5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1">
        <f t="shared" si="21"/>
        <v>3752.6</v>
      </c>
      <c r="K501" t="e">
        <f t="shared" si="22"/>
        <v>#DIV/0!</v>
      </c>
    </row>
    <row r="502" spans="1:11" hidden="1" x14ac:dyDescent="0.25">
      <c r="A502" t="str" cm="1">
        <f t="array" ref="A502">IF(ISBLANK(INDEX(SampleList[GC],ROW()-1)),"Not Requested",INDEX(SampleList[Experiment ID],ROW()-1))</f>
        <v>Not Requested</v>
      </c>
      <c r="B502">
        <f>Sampling!E500</f>
        <v>0</v>
      </c>
      <c r="G502">
        <f t="shared" si="23"/>
        <v>3552.5</v>
      </c>
      <c r="H5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2">
        <f t="shared" si="21"/>
        <v>3752.6</v>
      </c>
      <c r="K502" t="e">
        <f t="shared" si="22"/>
        <v>#DIV/0!</v>
      </c>
    </row>
    <row r="503" spans="1:11" hidden="1" x14ac:dyDescent="0.25">
      <c r="A503" t="str" cm="1">
        <f t="array" ref="A503">IF(ISBLANK(INDEX(SampleList[GC],ROW()-1)),"Not Requested",INDEX(SampleList[Experiment ID],ROW()-1))</f>
        <v>Not Requested</v>
      </c>
      <c r="B503">
        <f>Sampling!E501</f>
        <v>0</v>
      </c>
      <c r="G503">
        <f t="shared" si="23"/>
        <v>3552.5</v>
      </c>
      <c r="H5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3">
        <f t="shared" si="21"/>
        <v>3752.6</v>
      </c>
      <c r="K503" t="e">
        <f t="shared" si="22"/>
        <v>#DIV/0!</v>
      </c>
    </row>
    <row r="504" spans="1:11" hidden="1" x14ac:dyDescent="0.25">
      <c r="A504" t="str" cm="1">
        <f t="array" ref="A504">IF(ISBLANK(INDEX(SampleList[GC],ROW()-1)),"Not Requested",INDEX(SampleList[Experiment ID],ROW()-1))</f>
        <v>Not Requested</v>
      </c>
      <c r="B504">
        <f>Sampling!E502</f>
        <v>0</v>
      </c>
      <c r="G504">
        <f t="shared" si="23"/>
        <v>3552.5</v>
      </c>
      <c r="H5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4">
        <f t="shared" si="21"/>
        <v>3752.6</v>
      </c>
      <c r="K504" t="e">
        <f t="shared" si="22"/>
        <v>#DIV/0!</v>
      </c>
    </row>
    <row r="505" spans="1:11" hidden="1" x14ac:dyDescent="0.25">
      <c r="A505" t="str" cm="1">
        <f t="array" ref="A505">IF(ISBLANK(INDEX(SampleList[GC],ROW()-1)),"Not Requested",INDEX(SampleList[Experiment ID],ROW()-1))</f>
        <v>Not Requested</v>
      </c>
      <c r="B505">
        <f>Sampling!E503</f>
        <v>0</v>
      </c>
      <c r="G505">
        <f t="shared" si="23"/>
        <v>3552.5</v>
      </c>
      <c r="H5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5">
        <f t="shared" si="21"/>
        <v>3752.6</v>
      </c>
      <c r="K505" t="e">
        <f t="shared" si="22"/>
        <v>#DIV/0!</v>
      </c>
    </row>
    <row r="506" spans="1:11" hidden="1" x14ac:dyDescent="0.25">
      <c r="A506" t="str" cm="1">
        <f t="array" ref="A506">IF(ISBLANK(INDEX(SampleList[GC],ROW()-1)),"Not Requested",INDEX(SampleList[Experiment ID],ROW()-1))</f>
        <v>Not Requested</v>
      </c>
      <c r="B506">
        <f>Sampling!E504</f>
        <v>0</v>
      </c>
      <c r="G506">
        <f t="shared" si="23"/>
        <v>3552.5</v>
      </c>
      <c r="H5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6">
        <f t="shared" si="21"/>
        <v>3752.6</v>
      </c>
      <c r="K506" t="e">
        <f t="shared" si="22"/>
        <v>#DIV/0!</v>
      </c>
    </row>
    <row r="507" spans="1:11" hidden="1" x14ac:dyDescent="0.25">
      <c r="A507" t="str" cm="1">
        <f t="array" ref="A507">IF(ISBLANK(INDEX(SampleList[GC],ROW()-1)),"Not Requested",INDEX(SampleList[Experiment ID],ROW()-1))</f>
        <v>Not Requested</v>
      </c>
      <c r="B507">
        <f>Sampling!E505</f>
        <v>0</v>
      </c>
      <c r="G507">
        <f t="shared" si="23"/>
        <v>3552.5</v>
      </c>
      <c r="H5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7">
        <f t="shared" si="21"/>
        <v>3752.6</v>
      </c>
      <c r="K507" t="e">
        <f t="shared" si="22"/>
        <v>#DIV/0!</v>
      </c>
    </row>
    <row r="508" spans="1:11" hidden="1" x14ac:dyDescent="0.25">
      <c r="A508" t="str" cm="1">
        <f t="array" ref="A508">IF(ISBLANK(INDEX(SampleList[GC],ROW()-1)),"Not Requested",INDEX(SampleList[Experiment ID],ROW()-1))</f>
        <v>Not Requested</v>
      </c>
      <c r="B508">
        <f>Sampling!E506</f>
        <v>0</v>
      </c>
      <c r="G508">
        <f t="shared" si="23"/>
        <v>3552.5</v>
      </c>
      <c r="H5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8">
        <f t="shared" si="21"/>
        <v>3752.6</v>
      </c>
      <c r="K508" t="e">
        <f t="shared" si="22"/>
        <v>#DIV/0!</v>
      </c>
    </row>
    <row r="509" spans="1:11" hidden="1" x14ac:dyDescent="0.25">
      <c r="A509" t="str" cm="1">
        <f t="array" ref="A509">IF(ISBLANK(INDEX(SampleList[GC],ROW()-1)),"Not Requested",INDEX(SampleList[Experiment ID],ROW()-1))</f>
        <v>Not Requested</v>
      </c>
      <c r="B509">
        <f>Sampling!E507</f>
        <v>0</v>
      </c>
      <c r="G509">
        <f t="shared" si="23"/>
        <v>3552.5</v>
      </c>
      <c r="H5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09">
        <f t="shared" si="21"/>
        <v>3752.6</v>
      </c>
      <c r="K509" t="e">
        <f t="shared" si="22"/>
        <v>#DIV/0!</v>
      </c>
    </row>
    <row r="510" spans="1:11" hidden="1" x14ac:dyDescent="0.25">
      <c r="A510" t="str" cm="1">
        <f t="array" ref="A510">IF(ISBLANK(INDEX(SampleList[GC],ROW()-1)),"Not Requested",INDEX(SampleList[Experiment ID],ROW()-1))</f>
        <v>Not Requested</v>
      </c>
      <c r="B510">
        <f>Sampling!E508</f>
        <v>0</v>
      </c>
      <c r="G510">
        <f t="shared" si="23"/>
        <v>3552.5</v>
      </c>
      <c r="H5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0">
        <f t="shared" si="21"/>
        <v>3752.6</v>
      </c>
      <c r="K510" t="e">
        <f t="shared" si="22"/>
        <v>#DIV/0!</v>
      </c>
    </row>
    <row r="511" spans="1:11" hidden="1" x14ac:dyDescent="0.25">
      <c r="A511" t="str" cm="1">
        <f t="array" ref="A511">IF(ISBLANK(INDEX(SampleList[GC],ROW()-1)),"Not Requested",INDEX(SampleList[Experiment ID],ROW()-1))</f>
        <v>Not Requested</v>
      </c>
      <c r="B511">
        <f>Sampling!E509</f>
        <v>0</v>
      </c>
      <c r="G511">
        <f t="shared" si="23"/>
        <v>3552.5</v>
      </c>
      <c r="H5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1">
        <f t="shared" si="21"/>
        <v>3752.6</v>
      </c>
      <c r="K511" t="e">
        <f t="shared" si="22"/>
        <v>#DIV/0!</v>
      </c>
    </row>
    <row r="512" spans="1:11" hidden="1" x14ac:dyDescent="0.25">
      <c r="A512" t="str" cm="1">
        <f t="array" ref="A512">IF(ISBLANK(INDEX(SampleList[GC],ROW()-1)),"Not Requested",INDEX(SampleList[Experiment ID],ROW()-1))</f>
        <v>Not Requested</v>
      </c>
      <c r="B512">
        <f>Sampling!E510</f>
        <v>0</v>
      </c>
      <c r="G512">
        <f t="shared" si="23"/>
        <v>3552.5</v>
      </c>
      <c r="H5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2">
        <f t="shared" si="21"/>
        <v>3752.6</v>
      </c>
      <c r="K512" t="e">
        <f t="shared" si="22"/>
        <v>#DIV/0!</v>
      </c>
    </row>
    <row r="513" spans="1:11" hidden="1" x14ac:dyDescent="0.25">
      <c r="A513" t="str" cm="1">
        <f t="array" ref="A513">IF(ISBLANK(INDEX(SampleList[GC],ROW()-1)),"Not Requested",INDEX(SampleList[Experiment ID],ROW()-1))</f>
        <v>Not Requested</v>
      </c>
      <c r="B513">
        <f>Sampling!E511</f>
        <v>0</v>
      </c>
      <c r="G513">
        <f t="shared" si="23"/>
        <v>3552.5</v>
      </c>
      <c r="H5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3">
        <f t="shared" si="21"/>
        <v>3752.6</v>
      </c>
      <c r="K513" t="e">
        <f t="shared" si="22"/>
        <v>#DIV/0!</v>
      </c>
    </row>
    <row r="514" spans="1:11" hidden="1" x14ac:dyDescent="0.25">
      <c r="A514" t="str" cm="1">
        <f t="array" ref="A514">IF(ISBLANK(INDEX(SampleList[GC],ROW()-1)),"Not Requested",INDEX(SampleList[Experiment ID],ROW()-1))</f>
        <v>Not Requested</v>
      </c>
      <c r="B514">
        <f>Sampling!E512</f>
        <v>0</v>
      </c>
      <c r="G514">
        <f t="shared" si="23"/>
        <v>3552.5</v>
      </c>
      <c r="H5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4">
        <f t="shared" ref="I514:I577" si="24">25.88*145</f>
        <v>3752.6</v>
      </c>
      <c r="K514" t="e">
        <f t="shared" ref="K514:K577" si="25">(500/D514)*J514</f>
        <v>#DIV/0!</v>
      </c>
    </row>
    <row r="515" spans="1:11" hidden="1" x14ac:dyDescent="0.25">
      <c r="A515" t="str" cm="1">
        <f t="array" ref="A515">IF(ISBLANK(INDEX(SampleList[GC],ROW()-1)),"Not Requested",INDEX(SampleList[Experiment ID],ROW()-1))</f>
        <v>Not Requested</v>
      </c>
      <c r="B515">
        <f>Sampling!E513</f>
        <v>0</v>
      </c>
      <c r="G515">
        <f t="shared" si="23"/>
        <v>3552.5</v>
      </c>
      <c r="H5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5">
        <f t="shared" si="24"/>
        <v>3752.6</v>
      </c>
      <c r="K515" t="e">
        <f t="shared" si="25"/>
        <v>#DIV/0!</v>
      </c>
    </row>
    <row r="516" spans="1:11" hidden="1" x14ac:dyDescent="0.25">
      <c r="A516" t="str" cm="1">
        <f t="array" ref="A516">IF(ISBLANK(INDEX(SampleList[GC],ROW()-1)),"Not Requested",INDEX(SampleList[Experiment ID],ROW()-1))</f>
        <v>Not Requested</v>
      </c>
      <c r="B516">
        <f>Sampling!E514</f>
        <v>0</v>
      </c>
      <c r="G516">
        <f t="shared" si="23"/>
        <v>3552.5</v>
      </c>
      <c r="H5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6">
        <f t="shared" si="24"/>
        <v>3752.6</v>
      </c>
      <c r="K516" t="e">
        <f t="shared" si="25"/>
        <v>#DIV/0!</v>
      </c>
    </row>
    <row r="517" spans="1:11" hidden="1" x14ac:dyDescent="0.25">
      <c r="A517" t="str" cm="1">
        <f t="array" ref="A517">IF(ISBLANK(INDEX(SampleList[GC],ROW()-1)),"Not Requested",INDEX(SampleList[Experiment ID],ROW()-1))</f>
        <v>Not Requested</v>
      </c>
      <c r="B517">
        <f>Sampling!E515</f>
        <v>0</v>
      </c>
      <c r="G517">
        <f t="shared" si="23"/>
        <v>3552.5</v>
      </c>
      <c r="H5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7">
        <f t="shared" si="24"/>
        <v>3752.6</v>
      </c>
      <c r="K517" t="e">
        <f t="shared" si="25"/>
        <v>#DIV/0!</v>
      </c>
    </row>
    <row r="518" spans="1:11" hidden="1" x14ac:dyDescent="0.25">
      <c r="A518" t="str" cm="1">
        <f t="array" ref="A518">IF(ISBLANK(INDEX(SampleList[GC],ROW()-1)),"Not Requested",INDEX(SampleList[Experiment ID],ROW()-1))</f>
        <v>Not Requested</v>
      </c>
      <c r="B518">
        <f>Sampling!E516</f>
        <v>0</v>
      </c>
      <c r="G518">
        <f t="shared" si="23"/>
        <v>3552.5</v>
      </c>
      <c r="H5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8">
        <f t="shared" si="24"/>
        <v>3752.6</v>
      </c>
      <c r="K518" t="e">
        <f t="shared" si="25"/>
        <v>#DIV/0!</v>
      </c>
    </row>
    <row r="519" spans="1:11" hidden="1" x14ac:dyDescent="0.25">
      <c r="A519" t="str" cm="1">
        <f t="array" ref="A519">IF(ISBLANK(INDEX(SampleList[GC],ROW()-1)),"Not Requested",INDEX(SampleList[Experiment ID],ROW()-1))</f>
        <v>Not Requested</v>
      </c>
      <c r="B519">
        <f>Sampling!E517</f>
        <v>0</v>
      </c>
      <c r="G519">
        <f t="shared" si="23"/>
        <v>3552.5</v>
      </c>
      <c r="H5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19">
        <f t="shared" si="24"/>
        <v>3752.6</v>
      </c>
      <c r="K519" t="e">
        <f t="shared" si="25"/>
        <v>#DIV/0!</v>
      </c>
    </row>
    <row r="520" spans="1:11" hidden="1" x14ac:dyDescent="0.25">
      <c r="A520" t="str" cm="1">
        <f t="array" ref="A520">IF(ISBLANK(INDEX(SampleList[GC],ROW()-1)),"Not Requested",INDEX(SampleList[Experiment ID],ROW()-1))</f>
        <v>Not Requested</v>
      </c>
      <c r="B520">
        <f>Sampling!E518</f>
        <v>0</v>
      </c>
      <c r="G520">
        <f t="shared" si="23"/>
        <v>3552.5</v>
      </c>
      <c r="H5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0">
        <f t="shared" si="24"/>
        <v>3752.6</v>
      </c>
      <c r="K520" t="e">
        <f t="shared" si="25"/>
        <v>#DIV/0!</v>
      </c>
    </row>
    <row r="521" spans="1:11" hidden="1" x14ac:dyDescent="0.25">
      <c r="A521" t="str" cm="1">
        <f t="array" ref="A521">IF(ISBLANK(INDEX(SampleList[GC],ROW()-1)),"Not Requested",INDEX(SampleList[Experiment ID],ROW()-1))</f>
        <v>Not Requested</v>
      </c>
      <c r="B521">
        <f>Sampling!E519</f>
        <v>0</v>
      </c>
      <c r="G521">
        <f t="shared" si="23"/>
        <v>3552.5</v>
      </c>
      <c r="H5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1">
        <f t="shared" si="24"/>
        <v>3752.6</v>
      </c>
      <c r="K521" t="e">
        <f t="shared" si="25"/>
        <v>#DIV/0!</v>
      </c>
    </row>
    <row r="522" spans="1:11" hidden="1" x14ac:dyDescent="0.25">
      <c r="A522" t="str" cm="1">
        <f t="array" ref="A522">IF(ISBLANK(INDEX(SampleList[GC],ROW()-1)),"Not Requested",INDEX(SampleList[Experiment ID],ROW()-1))</f>
        <v>Not Requested</v>
      </c>
      <c r="B522">
        <f>Sampling!E520</f>
        <v>0</v>
      </c>
      <c r="G522">
        <f t="shared" si="23"/>
        <v>3552.5</v>
      </c>
      <c r="H5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2">
        <f t="shared" si="24"/>
        <v>3752.6</v>
      </c>
      <c r="K522" t="e">
        <f t="shared" si="25"/>
        <v>#DIV/0!</v>
      </c>
    </row>
    <row r="523" spans="1:11" hidden="1" x14ac:dyDescent="0.25">
      <c r="A523" t="str" cm="1">
        <f t="array" ref="A523">IF(ISBLANK(INDEX(SampleList[GC],ROW()-1)),"Not Requested",INDEX(SampleList[Experiment ID],ROW()-1))</f>
        <v>Not Requested</v>
      </c>
      <c r="B523">
        <f>Sampling!E521</f>
        <v>0</v>
      </c>
      <c r="G523">
        <f t="shared" si="23"/>
        <v>3552.5</v>
      </c>
      <c r="H5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3">
        <f t="shared" si="24"/>
        <v>3752.6</v>
      </c>
      <c r="K523" t="e">
        <f t="shared" si="25"/>
        <v>#DIV/0!</v>
      </c>
    </row>
    <row r="524" spans="1:11" hidden="1" x14ac:dyDescent="0.25">
      <c r="A524" t="str" cm="1">
        <f t="array" ref="A524">IF(ISBLANK(INDEX(SampleList[GC],ROW()-1)),"Not Requested",INDEX(SampleList[Experiment ID],ROW()-1))</f>
        <v>Not Requested</v>
      </c>
      <c r="B524">
        <f>Sampling!E522</f>
        <v>0</v>
      </c>
      <c r="G524">
        <f t="shared" si="23"/>
        <v>3552.5</v>
      </c>
      <c r="H5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4">
        <f t="shared" si="24"/>
        <v>3752.6</v>
      </c>
      <c r="K524" t="e">
        <f t="shared" si="25"/>
        <v>#DIV/0!</v>
      </c>
    </row>
    <row r="525" spans="1:11" hidden="1" x14ac:dyDescent="0.25">
      <c r="A525" t="str" cm="1">
        <f t="array" ref="A525">IF(ISBLANK(INDEX(SampleList[GC],ROW()-1)),"Not Requested",INDEX(SampleList[Experiment ID],ROW()-1))</f>
        <v>Not Requested</v>
      </c>
      <c r="B525">
        <f>Sampling!E523</f>
        <v>0</v>
      </c>
      <c r="G525">
        <f t="shared" si="23"/>
        <v>3552.5</v>
      </c>
      <c r="H5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5">
        <f t="shared" si="24"/>
        <v>3752.6</v>
      </c>
      <c r="K525" t="e">
        <f t="shared" si="25"/>
        <v>#DIV/0!</v>
      </c>
    </row>
    <row r="526" spans="1:11" hidden="1" x14ac:dyDescent="0.25">
      <c r="A526" t="str" cm="1">
        <f t="array" ref="A526">IF(ISBLANK(INDEX(SampleList[GC],ROW()-1)),"Not Requested",INDEX(SampleList[Experiment ID],ROW()-1))</f>
        <v>Not Requested</v>
      </c>
      <c r="B526">
        <f>Sampling!E524</f>
        <v>0</v>
      </c>
      <c r="G526">
        <f t="shared" si="23"/>
        <v>3552.5</v>
      </c>
      <c r="H5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6">
        <f t="shared" si="24"/>
        <v>3752.6</v>
      </c>
      <c r="K526" t="e">
        <f t="shared" si="25"/>
        <v>#DIV/0!</v>
      </c>
    </row>
    <row r="527" spans="1:11" hidden="1" x14ac:dyDescent="0.25">
      <c r="A527" t="str" cm="1">
        <f t="array" ref="A527">IF(ISBLANK(INDEX(SampleList[GC],ROW()-1)),"Not Requested",INDEX(SampleList[Experiment ID],ROW()-1))</f>
        <v>Not Requested</v>
      </c>
      <c r="B527">
        <f>Sampling!E525</f>
        <v>0</v>
      </c>
      <c r="G527">
        <f t="shared" si="23"/>
        <v>3552.5</v>
      </c>
      <c r="H5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7">
        <f t="shared" si="24"/>
        <v>3752.6</v>
      </c>
      <c r="K527" t="e">
        <f t="shared" si="25"/>
        <v>#DIV/0!</v>
      </c>
    </row>
    <row r="528" spans="1:11" hidden="1" x14ac:dyDescent="0.25">
      <c r="A528" t="str" cm="1">
        <f t="array" ref="A528">IF(ISBLANK(INDEX(SampleList[GC],ROW()-1)),"Not Requested",INDEX(SampleList[Experiment ID],ROW()-1))</f>
        <v>Not Requested</v>
      </c>
      <c r="B528">
        <f>Sampling!E526</f>
        <v>0</v>
      </c>
      <c r="G528">
        <f t="shared" si="23"/>
        <v>3552.5</v>
      </c>
      <c r="H5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8">
        <f t="shared" si="24"/>
        <v>3752.6</v>
      </c>
      <c r="K528" t="e">
        <f t="shared" si="25"/>
        <v>#DIV/0!</v>
      </c>
    </row>
    <row r="529" spans="1:11" hidden="1" x14ac:dyDescent="0.25">
      <c r="A529" t="str" cm="1">
        <f t="array" ref="A529">IF(ISBLANK(INDEX(SampleList[GC],ROW()-1)),"Not Requested",INDEX(SampleList[Experiment ID],ROW()-1))</f>
        <v>Not Requested</v>
      </c>
      <c r="B529">
        <f>Sampling!E527</f>
        <v>0</v>
      </c>
      <c r="G529">
        <f t="shared" si="23"/>
        <v>3552.5</v>
      </c>
      <c r="H5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29">
        <f t="shared" si="24"/>
        <v>3752.6</v>
      </c>
      <c r="K529" t="e">
        <f t="shared" si="25"/>
        <v>#DIV/0!</v>
      </c>
    </row>
    <row r="530" spans="1:11" hidden="1" x14ac:dyDescent="0.25">
      <c r="A530" t="str" cm="1">
        <f t="array" ref="A530">IF(ISBLANK(INDEX(SampleList[GC],ROW()-1)),"Not Requested",INDEX(SampleList[Experiment ID],ROW()-1))</f>
        <v>Not Requested</v>
      </c>
      <c r="B530">
        <f>Sampling!E528</f>
        <v>0</v>
      </c>
      <c r="G530">
        <f t="shared" si="23"/>
        <v>3552.5</v>
      </c>
      <c r="H5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0">
        <f t="shared" si="24"/>
        <v>3752.6</v>
      </c>
      <c r="K530" t="e">
        <f t="shared" si="25"/>
        <v>#DIV/0!</v>
      </c>
    </row>
    <row r="531" spans="1:11" hidden="1" x14ac:dyDescent="0.25">
      <c r="A531" t="str" cm="1">
        <f t="array" ref="A531">IF(ISBLANK(INDEX(SampleList[GC],ROW()-1)),"Not Requested",INDEX(SampleList[Experiment ID],ROW()-1))</f>
        <v>Not Requested</v>
      </c>
      <c r="B531">
        <f>Sampling!E529</f>
        <v>0</v>
      </c>
      <c r="G531">
        <f t="shared" si="23"/>
        <v>3552.5</v>
      </c>
      <c r="H5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1">
        <f t="shared" si="24"/>
        <v>3752.6</v>
      </c>
      <c r="K531" t="e">
        <f t="shared" si="25"/>
        <v>#DIV/0!</v>
      </c>
    </row>
    <row r="532" spans="1:11" hidden="1" x14ac:dyDescent="0.25">
      <c r="A532" t="str" cm="1">
        <f t="array" ref="A532">IF(ISBLANK(INDEX(SampleList[GC],ROW()-1)),"Not Requested",INDEX(SampleList[Experiment ID],ROW()-1))</f>
        <v>Not Requested</v>
      </c>
      <c r="B532">
        <f>Sampling!E530</f>
        <v>0</v>
      </c>
      <c r="G532">
        <f t="shared" si="23"/>
        <v>3552.5</v>
      </c>
      <c r="H5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2">
        <f t="shared" si="24"/>
        <v>3752.6</v>
      </c>
      <c r="K532" t="e">
        <f t="shared" si="25"/>
        <v>#DIV/0!</v>
      </c>
    </row>
    <row r="533" spans="1:11" hidden="1" x14ac:dyDescent="0.25">
      <c r="A533" t="str" cm="1">
        <f t="array" ref="A533">IF(ISBLANK(INDEX(SampleList[GC],ROW()-1)),"Not Requested",INDEX(SampleList[Experiment ID],ROW()-1))</f>
        <v>Not Requested</v>
      </c>
      <c r="B533">
        <f>Sampling!E531</f>
        <v>0</v>
      </c>
      <c r="G533">
        <f t="shared" si="23"/>
        <v>3552.5</v>
      </c>
      <c r="H5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3">
        <f t="shared" si="24"/>
        <v>3752.6</v>
      </c>
      <c r="K533" t="e">
        <f t="shared" si="25"/>
        <v>#DIV/0!</v>
      </c>
    </row>
    <row r="534" spans="1:11" hidden="1" x14ac:dyDescent="0.25">
      <c r="A534" t="str" cm="1">
        <f t="array" ref="A534">IF(ISBLANK(INDEX(SampleList[GC],ROW()-1)),"Not Requested",INDEX(SampleList[Experiment ID],ROW()-1))</f>
        <v>Not Requested</v>
      </c>
      <c r="B534">
        <f>Sampling!E532</f>
        <v>0</v>
      </c>
      <c r="G534">
        <f t="shared" si="23"/>
        <v>3552.5</v>
      </c>
      <c r="H5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4">
        <f t="shared" si="24"/>
        <v>3752.6</v>
      </c>
      <c r="K534" t="e">
        <f t="shared" si="25"/>
        <v>#DIV/0!</v>
      </c>
    </row>
    <row r="535" spans="1:11" hidden="1" x14ac:dyDescent="0.25">
      <c r="A535" t="str" cm="1">
        <f t="array" ref="A535">IF(ISBLANK(INDEX(SampleList[GC],ROW()-1)),"Not Requested",INDEX(SampleList[Experiment ID],ROW()-1))</f>
        <v>Not Requested</v>
      </c>
      <c r="B535">
        <f>Sampling!E533</f>
        <v>0</v>
      </c>
      <c r="G535">
        <f t="shared" si="23"/>
        <v>3552.5</v>
      </c>
      <c r="H5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5">
        <f t="shared" si="24"/>
        <v>3752.6</v>
      </c>
      <c r="K535" t="e">
        <f t="shared" si="25"/>
        <v>#DIV/0!</v>
      </c>
    </row>
    <row r="536" spans="1:11" hidden="1" x14ac:dyDescent="0.25">
      <c r="A536" t="str" cm="1">
        <f t="array" ref="A536">IF(ISBLANK(INDEX(SampleList[GC],ROW()-1)),"Not Requested",INDEX(SampleList[Experiment ID],ROW()-1))</f>
        <v>Not Requested</v>
      </c>
      <c r="B536">
        <f>Sampling!E534</f>
        <v>0</v>
      </c>
      <c r="G536">
        <f t="shared" si="23"/>
        <v>3552.5</v>
      </c>
      <c r="H5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6">
        <f t="shared" si="24"/>
        <v>3752.6</v>
      </c>
      <c r="K536" t="e">
        <f t="shared" si="25"/>
        <v>#DIV/0!</v>
      </c>
    </row>
    <row r="537" spans="1:11" hidden="1" x14ac:dyDescent="0.25">
      <c r="A537" t="str" cm="1">
        <f t="array" ref="A537">IF(ISBLANK(INDEX(SampleList[GC],ROW()-1)),"Not Requested",INDEX(SampleList[Experiment ID],ROW()-1))</f>
        <v>Not Requested</v>
      </c>
      <c r="B537">
        <f>Sampling!E535</f>
        <v>0</v>
      </c>
      <c r="G537">
        <f t="shared" si="23"/>
        <v>3552.5</v>
      </c>
      <c r="H5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7">
        <f t="shared" si="24"/>
        <v>3752.6</v>
      </c>
      <c r="K537" t="e">
        <f t="shared" si="25"/>
        <v>#DIV/0!</v>
      </c>
    </row>
    <row r="538" spans="1:11" hidden="1" x14ac:dyDescent="0.25">
      <c r="A538" t="str" cm="1">
        <f t="array" ref="A538">IF(ISBLANK(INDEX(SampleList[GC],ROW()-1)),"Not Requested",INDEX(SampleList[Experiment ID],ROW()-1))</f>
        <v>Not Requested</v>
      </c>
      <c r="B538">
        <f>Sampling!E536</f>
        <v>0</v>
      </c>
      <c r="G538">
        <f t="shared" si="23"/>
        <v>3552.5</v>
      </c>
      <c r="H5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8">
        <f t="shared" si="24"/>
        <v>3752.6</v>
      </c>
      <c r="K538" t="e">
        <f t="shared" si="25"/>
        <v>#DIV/0!</v>
      </c>
    </row>
    <row r="539" spans="1:11" hidden="1" x14ac:dyDescent="0.25">
      <c r="A539" t="str" cm="1">
        <f t="array" ref="A539">IF(ISBLANK(INDEX(SampleList[GC],ROW()-1)),"Not Requested",INDEX(SampleList[Experiment ID],ROW()-1))</f>
        <v>Not Requested</v>
      </c>
      <c r="B539">
        <f>Sampling!E537</f>
        <v>0</v>
      </c>
      <c r="G539">
        <f t="shared" si="23"/>
        <v>3552.5</v>
      </c>
      <c r="H5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39">
        <f t="shared" si="24"/>
        <v>3752.6</v>
      </c>
      <c r="K539" t="e">
        <f t="shared" si="25"/>
        <v>#DIV/0!</v>
      </c>
    </row>
    <row r="540" spans="1:11" hidden="1" x14ac:dyDescent="0.25">
      <c r="A540" t="str" cm="1">
        <f t="array" ref="A540">IF(ISBLANK(INDEX(SampleList[GC],ROW()-1)),"Not Requested",INDEX(SampleList[Experiment ID],ROW()-1))</f>
        <v>Not Requested</v>
      </c>
      <c r="B540">
        <f>Sampling!E538</f>
        <v>0</v>
      </c>
      <c r="G540">
        <f t="shared" si="23"/>
        <v>3552.5</v>
      </c>
      <c r="H5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0">
        <f t="shared" si="24"/>
        <v>3752.6</v>
      </c>
      <c r="K540" t="e">
        <f t="shared" si="25"/>
        <v>#DIV/0!</v>
      </c>
    </row>
    <row r="541" spans="1:11" hidden="1" x14ac:dyDescent="0.25">
      <c r="A541" t="str" cm="1">
        <f t="array" ref="A541">IF(ISBLANK(INDEX(SampleList[GC],ROW()-1)),"Not Requested",INDEX(SampleList[Experiment ID],ROW()-1))</f>
        <v>Not Requested</v>
      </c>
      <c r="B541">
        <f>Sampling!E539</f>
        <v>0</v>
      </c>
      <c r="G541">
        <f t="shared" si="23"/>
        <v>3552.5</v>
      </c>
      <c r="H5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1">
        <f t="shared" si="24"/>
        <v>3752.6</v>
      </c>
      <c r="K541" t="e">
        <f t="shared" si="25"/>
        <v>#DIV/0!</v>
      </c>
    </row>
    <row r="542" spans="1:11" hidden="1" x14ac:dyDescent="0.25">
      <c r="A542" t="str" cm="1">
        <f t="array" ref="A542">IF(ISBLANK(INDEX(SampleList[GC],ROW()-1)),"Not Requested",INDEX(SampleList[Experiment ID],ROW()-1))</f>
        <v>Not Requested</v>
      </c>
      <c r="B542">
        <f>Sampling!E540</f>
        <v>0</v>
      </c>
      <c r="G542">
        <f t="shared" si="23"/>
        <v>3552.5</v>
      </c>
      <c r="H5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2">
        <f t="shared" si="24"/>
        <v>3752.6</v>
      </c>
      <c r="K542" t="e">
        <f t="shared" si="25"/>
        <v>#DIV/0!</v>
      </c>
    </row>
    <row r="543" spans="1:11" hidden="1" x14ac:dyDescent="0.25">
      <c r="A543" t="str" cm="1">
        <f t="array" ref="A543">IF(ISBLANK(INDEX(SampleList[GC],ROW()-1)),"Not Requested",INDEX(SampleList[Experiment ID],ROW()-1))</f>
        <v>Not Requested</v>
      </c>
      <c r="B543">
        <f>Sampling!E541</f>
        <v>0</v>
      </c>
      <c r="G543">
        <f t="shared" si="23"/>
        <v>3552.5</v>
      </c>
      <c r="H5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3">
        <f t="shared" si="24"/>
        <v>3752.6</v>
      </c>
      <c r="K543" t="e">
        <f t="shared" si="25"/>
        <v>#DIV/0!</v>
      </c>
    </row>
    <row r="544" spans="1:11" hidden="1" x14ac:dyDescent="0.25">
      <c r="A544" t="str" cm="1">
        <f t="array" ref="A544">IF(ISBLANK(INDEX(SampleList[GC],ROW()-1)),"Not Requested",INDEX(SampleList[Experiment ID],ROW()-1))</f>
        <v>Not Requested</v>
      </c>
      <c r="B544">
        <f>Sampling!E542</f>
        <v>0</v>
      </c>
      <c r="G544">
        <f t="shared" si="23"/>
        <v>3552.5</v>
      </c>
      <c r="H5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4">
        <f t="shared" si="24"/>
        <v>3752.6</v>
      </c>
      <c r="K544" t="e">
        <f t="shared" si="25"/>
        <v>#DIV/0!</v>
      </c>
    </row>
    <row r="545" spans="1:11" hidden="1" x14ac:dyDescent="0.25">
      <c r="A545" t="str" cm="1">
        <f t="array" ref="A545">IF(ISBLANK(INDEX(SampleList[GC],ROW()-1)),"Not Requested",INDEX(SampleList[Experiment ID],ROW()-1))</f>
        <v>Not Requested</v>
      </c>
      <c r="B545">
        <f>Sampling!E543</f>
        <v>0</v>
      </c>
      <c r="G545">
        <f t="shared" ref="G545:G608" si="26">24.5*145</f>
        <v>3552.5</v>
      </c>
      <c r="H5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5">
        <f t="shared" si="24"/>
        <v>3752.6</v>
      </c>
      <c r="K545" t="e">
        <f t="shared" si="25"/>
        <v>#DIV/0!</v>
      </c>
    </row>
    <row r="546" spans="1:11" hidden="1" x14ac:dyDescent="0.25">
      <c r="A546" t="str" cm="1">
        <f t="array" ref="A546">IF(ISBLANK(INDEX(SampleList[GC],ROW()-1)),"Not Requested",INDEX(SampleList[Experiment ID],ROW()-1))</f>
        <v>Not Requested</v>
      </c>
      <c r="B546">
        <f>Sampling!E544</f>
        <v>0</v>
      </c>
      <c r="G546">
        <f t="shared" si="26"/>
        <v>3552.5</v>
      </c>
      <c r="H5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6">
        <f t="shared" si="24"/>
        <v>3752.6</v>
      </c>
      <c r="K546" t="e">
        <f t="shared" si="25"/>
        <v>#DIV/0!</v>
      </c>
    </row>
    <row r="547" spans="1:11" hidden="1" x14ac:dyDescent="0.25">
      <c r="A547" t="str" cm="1">
        <f t="array" ref="A547">IF(ISBLANK(INDEX(SampleList[GC],ROW()-1)),"Not Requested",INDEX(SampleList[Experiment ID],ROW()-1))</f>
        <v>Not Requested</v>
      </c>
      <c r="B547">
        <f>Sampling!E545</f>
        <v>0</v>
      </c>
      <c r="G547">
        <f t="shared" si="26"/>
        <v>3552.5</v>
      </c>
      <c r="H5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7">
        <f t="shared" si="24"/>
        <v>3752.6</v>
      </c>
      <c r="K547" t="e">
        <f t="shared" si="25"/>
        <v>#DIV/0!</v>
      </c>
    </row>
    <row r="548" spans="1:11" hidden="1" x14ac:dyDescent="0.25">
      <c r="A548" t="str" cm="1">
        <f t="array" ref="A548">IF(ISBLANK(INDEX(SampleList[GC],ROW()-1)),"Not Requested",INDEX(SampleList[Experiment ID],ROW()-1))</f>
        <v>Not Requested</v>
      </c>
      <c r="B548">
        <f>Sampling!E546</f>
        <v>0</v>
      </c>
      <c r="G548">
        <f t="shared" si="26"/>
        <v>3552.5</v>
      </c>
      <c r="H5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8">
        <f t="shared" si="24"/>
        <v>3752.6</v>
      </c>
      <c r="K548" t="e">
        <f t="shared" si="25"/>
        <v>#DIV/0!</v>
      </c>
    </row>
    <row r="549" spans="1:11" hidden="1" x14ac:dyDescent="0.25">
      <c r="A549" t="str" cm="1">
        <f t="array" ref="A549">IF(ISBLANK(INDEX(SampleList[GC],ROW()-1)),"Not Requested",INDEX(SampleList[Experiment ID],ROW()-1))</f>
        <v>Not Requested</v>
      </c>
      <c r="B549">
        <f>Sampling!E547</f>
        <v>0</v>
      </c>
      <c r="G549">
        <f t="shared" si="26"/>
        <v>3552.5</v>
      </c>
      <c r="H5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49">
        <f t="shared" si="24"/>
        <v>3752.6</v>
      </c>
      <c r="K549" t="e">
        <f t="shared" si="25"/>
        <v>#DIV/0!</v>
      </c>
    </row>
    <row r="550" spans="1:11" hidden="1" x14ac:dyDescent="0.25">
      <c r="A550" t="str" cm="1">
        <f t="array" ref="A550">IF(ISBLANK(INDEX(SampleList[GC],ROW()-1)),"Not Requested",INDEX(SampleList[Experiment ID],ROW()-1))</f>
        <v>Not Requested</v>
      </c>
      <c r="B550">
        <f>Sampling!E548</f>
        <v>0</v>
      </c>
      <c r="G550">
        <f t="shared" si="26"/>
        <v>3552.5</v>
      </c>
      <c r="H5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0">
        <f t="shared" si="24"/>
        <v>3752.6</v>
      </c>
      <c r="K550" t="e">
        <f t="shared" si="25"/>
        <v>#DIV/0!</v>
      </c>
    </row>
    <row r="551" spans="1:11" hidden="1" x14ac:dyDescent="0.25">
      <c r="A551" t="str" cm="1">
        <f t="array" ref="A551">IF(ISBLANK(INDEX(SampleList[GC],ROW()-1)),"Not Requested",INDEX(SampleList[Experiment ID],ROW()-1))</f>
        <v>Not Requested</v>
      </c>
      <c r="B551">
        <f>Sampling!E549</f>
        <v>0</v>
      </c>
      <c r="G551">
        <f t="shared" si="26"/>
        <v>3552.5</v>
      </c>
      <c r="H5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1">
        <f t="shared" si="24"/>
        <v>3752.6</v>
      </c>
      <c r="K551" t="e">
        <f t="shared" si="25"/>
        <v>#DIV/0!</v>
      </c>
    </row>
    <row r="552" spans="1:11" hidden="1" x14ac:dyDescent="0.25">
      <c r="A552" t="str" cm="1">
        <f t="array" ref="A552">IF(ISBLANK(INDEX(SampleList[GC],ROW()-1)),"Not Requested",INDEX(SampleList[Experiment ID],ROW()-1))</f>
        <v>Not Requested</v>
      </c>
      <c r="B552">
        <f>Sampling!E550</f>
        <v>0</v>
      </c>
      <c r="G552">
        <f t="shared" si="26"/>
        <v>3552.5</v>
      </c>
      <c r="H5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2">
        <f t="shared" si="24"/>
        <v>3752.6</v>
      </c>
      <c r="K552" t="e">
        <f t="shared" si="25"/>
        <v>#DIV/0!</v>
      </c>
    </row>
    <row r="553" spans="1:11" hidden="1" x14ac:dyDescent="0.25">
      <c r="A553" t="str" cm="1">
        <f t="array" ref="A553">IF(ISBLANK(INDEX(SampleList[GC],ROW()-1)),"Not Requested",INDEX(SampleList[Experiment ID],ROW()-1))</f>
        <v>Not Requested</v>
      </c>
      <c r="B553">
        <f>Sampling!E551</f>
        <v>0</v>
      </c>
      <c r="G553">
        <f t="shared" si="26"/>
        <v>3552.5</v>
      </c>
      <c r="H5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3">
        <f t="shared" si="24"/>
        <v>3752.6</v>
      </c>
      <c r="K553" t="e">
        <f t="shared" si="25"/>
        <v>#DIV/0!</v>
      </c>
    </row>
    <row r="554" spans="1:11" hidden="1" x14ac:dyDescent="0.25">
      <c r="A554" t="str" cm="1">
        <f t="array" ref="A554">IF(ISBLANK(INDEX(SampleList[GC],ROW()-1)),"Not Requested",INDEX(SampleList[Experiment ID],ROW()-1))</f>
        <v>Not Requested</v>
      </c>
      <c r="B554">
        <f>Sampling!E552</f>
        <v>0</v>
      </c>
      <c r="G554">
        <f t="shared" si="26"/>
        <v>3552.5</v>
      </c>
      <c r="H5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4">
        <f t="shared" si="24"/>
        <v>3752.6</v>
      </c>
      <c r="K554" t="e">
        <f t="shared" si="25"/>
        <v>#DIV/0!</v>
      </c>
    </row>
    <row r="555" spans="1:11" hidden="1" x14ac:dyDescent="0.25">
      <c r="A555" t="str" cm="1">
        <f t="array" ref="A555">IF(ISBLANK(INDEX(SampleList[GC],ROW()-1)),"Not Requested",INDEX(SampleList[Experiment ID],ROW()-1))</f>
        <v>Not Requested</v>
      </c>
      <c r="B555">
        <f>Sampling!E553</f>
        <v>0</v>
      </c>
      <c r="G555">
        <f t="shared" si="26"/>
        <v>3552.5</v>
      </c>
      <c r="H5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5">
        <f t="shared" si="24"/>
        <v>3752.6</v>
      </c>
      <c r="K555" t="e">
        <f t="shared" si="25"/>
        <v>#DIV/0!</v>
      </c>
    </row>
    <row r="556" spans="1:11" hidden="1" x14ac:dyDescent="0.25">
      <c r="A556" t="str" cm="1">
        <f t="array" ref="A556">IF(ISBLANK(INDEX(SampleList[GC],ROW()-1)),"Not Requested",INDEX(SampleList[Experiment ID],ROW()-1))</f>
        <v>Not Requested</v>
      </c>
      <c r="B556">
        <f>Sampling!E554</f>
        <v>0</v>
      </c>
      <c r="G556">
        <f t="shared" si="26"/>
        <v>3552.5</v>
      </c>
      <c r="H5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6">
        <f t="shared" si="24"/>
        <v>3752.6</v>
      </c>
      <c r="K556" t="e">
        <f t="shared" si="25"/>
        <v>#DIV/0!</v>
      </c>
    </row>
    <row r="557" spans="1:11" hidden="1" x14ac:dyDescent="0.25">
      <c r="A557" t="str" cm="1">
        <f t="array" ref="A557">IF(ISBLANK(INDEX(SampleList[GC],ROW()-1)),"Not Requested",INDEX(SampleList[Experiment ID],ROW()-1))</f>
        <v>Not Requested</v>
      </c>
      <c r="B557">
        <f>Sampling!E555</f>
        <v>0</v>
      </c>
      <c r="G557">
        <f t="shared" si="26"/>
        <v>3552.5</v>
      </c>
      <c r="H5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7">
        <f t="shared" si="24"/>
        <v>3752.6</v>
      </c>
      <c r="K557" t="e">
        <f t="shared" si="25"/>
        <v>#DIV/0!</v>
      </c>
    </row>
    <row r="558" spans="1:11" hidden="1" x14ac:dyDescent="0.25">
      <c r="A558" t="str" cm="1">
        <f t="array" ref="A558">IF(ISBLANK(INDEX(SampleList[GC],ROW()-1)),"Not Requested",INDEX(SampleList[Experiment ID],ROW()-1))</f>
        <v>Not Requested</v>
      </c>
      <c r="B558">
        <f>Sampling!E556</f>
        <v>0</v>
      </c>
      <c r="G558">
        <f t="shared" si="26"/>
        <v>3552.5</v>
      </c>
      <c r="H5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8">
        <f t="shared" si="24"/>
        <v>3752.6</v>
      </c>
      <c r="K558" t="e">
        <f t="shared" si="25"/>
        <v>#DIV/0!</v>
      </c>
    </row>
    <row r="559" spans="1:11" hidden="1" x14ac:dyDescent="0.25">
      <c r="A559" t="str" cm="1">
        <f t="array" ref="A559">IF(ISBLANK(INDEX(SampleList[GC],ROW()-1)),"Not Requested",INDEX(SampleList[Experiment ID],ROW()-1))</f>
        <v>Not Requested</v>
      </c>
      <c r="B559">
        <f>Sampling!E557</f>
        <v>0</v>
      </c>
      <c r="G559">
        <f t="shared" si="26"/>
        <v>3552.5</v>
      </c>
      <c r="H5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59">
        <f t="shared" si="24"/>
        <v>3752.6</v>
      </c>
      <c r="K559" t="e">
        <f t="shared" si="25"/>
        <v>#DIV/0!</v>
      </c>
    </row>
    <row r="560" spans="1:11" hidden="1" x14ac:dyDescent="0.25">
      <c r="A560" t="str" cm="1">
        <f t="array" ref="A560">IF(ISBLANK(INDEX(SampleList[GC],ROW()-1)),"Not Requested",INDEX(SampleList[Experiment ID],ROW()-1))</f>
        <v>Not Requested</v>
      </c>
      <c r="B560">
        <f>Sampling!E558</f>
        <v>0</v>
      </c>
      <c r="G560">
        <f t="shared" si="26"/>
        <v>3552.5</v>
      </c>
      <c r="H5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0">
        <f t="shared" si="24"/>
        <v>3752.6</v>
      </c>
      <c r="K560" t="e">
        <f t="shared" si="25"/>
        <v>#DIV/0!</v>
      </c>
    </row>
    <row r="561" spans="1:11" hidden="1" x14ac:dyDescent="0.25">
      <c r="A561" t="str" cm="1">
        <f t="array" ref="A561">IF(ISBLANK(INDEX(SampleList[GC],ROW()-1)),"Not Requested",INDEX(SampleList[Experiment ID],ROW()-1))</f>
        <v>Not Requested</v>
      </c>
      <c r="B561">
        <f>Sampling!E559</f>
        <v>0</v>
      </c>
      <c r="G561">
        <f t="shared" si="26"/>
        <v>3552.5</v>
      </c>
      <c r="H5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1">
        <f t="shared" si="24"/>
        <v>3752.6</v>
      </c>
      <c r="K561" t="e">
        <f t="shared" si="25"/>
        <v>#DIV/0!</v>
      </c>
    </row>
    <row r="562" spans="1:11" hidden="1" x14ac:dyDescent="0.25">
      <c r="A562" t="str" cm="1">
        <f t="array" ref="A562">IF(ISBLANK(INDEX(SampleList[GC],ROW()-1)),"Not Requested",INDEX(SampleList[Experiment ID],ROW()-1))</f>
        <v>Not Requested</v>
      </c>
      <c r="B562">
        <f>Sampling!E560</f>
        <v>0</v>
      </c>
      <c r="G562">
        <f t="shared" si="26"/>
        <v>3552.5</v>
      </c>
      <c r="H5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2">
        <f t="shared" si="24"/>
        <v>3752.6</v>
      </c>
      <c r="K562" t="e">
        <f t="shared" si="25"/>
        <v>#DIV/0!</v>
      </c>
    </row>
    <row r="563" spans="1:11" hidden="1" x14ac:dyDescent="0.25">
      <c r="A563" t="str" cm="1">
        <f t="array" ref="A563">IF(ISBLANK(INDEX(SampleList[GC],ROW()-1)),"Not Requested",INDEX(SampleList[Experiment ID],ROW()-1))</f>
        <v>Not Requested</v>
      </c>
      <c r="B563">
        <f>Sampling!E561</f>
        <v>0</v>
      </c>
      <c r="G563">
        <f t="shared" si="26"/>
        <v>3552.5</v>
      </c>
      <c r="H5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3">
        <f t="shared" si="24"/>
        <v>3752.6</v>
      </c>
      <c r="K563" t="e">
        <f t="shared" si="25"/>
        <v>#DIV/0!</v>
      </c>
    </row>
    <row r="564" spans="1:11" hidden="1" x14ac:dyDescent="0.25">
      <c r="A564" t="str" cm="1">
        <f t="array" ref="A564">IF(ISBLANK(INDEX(SampleList[GC],ROW()-1)),"Not Requested",INDEX(SampleList[Experiment ID],ROW()-1))</f>
        <v>Not Requested</v>
      </c>
      <c r="B564">
        <f>Sampling!E562</f>
        <v>0</v>
      </c>
      <c r="G564">
        <f t="shared" si="26"/>
        <v>3552.5</v>
      </c>
      <c r="H5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4">
        <f t="shared" si="24"/>
        <v>3752.6</v>
      </c>
      <c r="K564" t="e">
        <f t="shared" si="25"/>
        <v>#DIV/0!</v>
      </c>
    </row>
    <row r="565" spans="1:11" hidden="1" x14ac:dyDescent="0.25">
      <c r="A565" t="str" cm="1">
        <f t="array" ref="A565">IF(ISBLANK(INDEX(SampleList[GC],ROW()-1)),"Not Requested",INDEX(SampleList[Experiment ID],ROW()-1))</f>
        <v>Not Requested</v>
      </c>
      <c r="B565">
        <f>Sampling!E563</f>
        <v>0</v>
      </c>
      <c r="G565">
        <f t="shared" si="26"/>
        <v>3552.5</v>
      </c>
      <c r="H5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5">
        <f t="shared" si="24"/>
        <v>3752.6</v>
      </c>
      <c r="K565" t="e">
        <f t="shared" si="25"/>
        <v>#DIV/0!</v>
      </c>
    </row>
    <row r="566" spans="1:11" hidden="1" x14ac:dyDescent="0.25">
      <c r="A566" t="str" cm="1">
        <f t="array" ref="A566">IF(ISBLANK(INDEX(SampleList[GC],ROW()-1)),"Not Requested",INDEX(SampleList[Experiment ID],ROW()-1))</f>
        <v>Not Requested</v>
      </c>
      <c r="B566">
        <f>Sampling!E564</f>
        <v>0</v>
      </c>
      <c r="G566">
        <f t="shared" si="26"/>
        <v>3552.5</v>
      </c>
      <c r="H5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6">
        <f t="shared" si="24"/>
        <v>3752.6</v>
      </c>
      <c r="K566" t="e">
        <f t="shared" si="25"/>
        <v>#DIV/0!</v>
      </c>
    </row>
    <row r="567" spans="1:11" hidden="1" x14ac:dyDescent="0.25">
      <c r="A567" t="str" cm="1">
        <f t="array" ref="A567">IF(ISBLANK(INDEX(SampleList[GC],ROW()-1)),"Not Requested",INDEX(SampleList[Experiment ID],ROW()-1))</f>
        <v>Not Requested</v>
      </c>
      <c r="B567">
        <f>Sampling!E565</f>
        <v>0</v>
      </c>
      <c r="G567">
        <f t="shared" si="26"/>
        <v>3552.5</v>
      </c>
      <c r="H5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7">
        <f t="shared" si="24"/>
        <v>3752.6</v>
      </c>
      <c r="K567" t="e">
        <f t="shared" si="25"/>
        <v>#DIV/0!</v>
      </c>
    </row>
    <row r="568" spans="1:11" hidden="1" x14ac:dyDescent="0.25">
      <c r="A568" t="str" cm="1">
        <f t="array" ref="A568">IF(ISBLANK(INDEX(SampleList[GC],ROW()-1)),"Not Requested",INDEX(SampleList[Experiment ID],ROW()-1))</f>
        <v>Not Requested</v>
      </c>
      <c r="B568">
        <f>Sampling!E566</f>
        <v>0</v>
      </c>
      <c r="G568">
        <f t="shared" si="26"/>
        <v>3552.5</v>
      </c>
      <c r="H5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8">
        <f t="shared" si="24"/>
        <v>3752.6</v>
      </c>
      <c r="K568" t="e">
        <f t="shared" si="25"/>
        <v>#DIV/0!</v>
      </c>
    </row>
    <row r="569" spans="1:11" hidden="1" x14ac:dyDescent="0.25">
      <c r="A569" t="str" cm="1">
        <f t="array" ref="A569">IF(ISBLANK(INDEX(SampleList[GC],ROW()-1)),"Not Requested",INDEX(SampleList[Experiment ID],ROW()-1))</f>
        <v>Not Requested</v>
      </c>
      <c r="B569">
        <f>Sampling!E567</f>
        <v>0</v>
      </c>
      <c r="G569">
        <f t="shared" si="26"/>
        <v>3552.5</v>
      </c>
      <c r="H5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69">
        <f t="shared" si="24"/>
        <v>3752.6</v>
      </c>
      <c r="K569" t="e">
        <f t="shared" si="25"/>
        <v>#DIV/0!</v>
      </c>
    </row>
    <row r="570" spans="1:11" hidden="1" x14ac:dyDescent="0.25">
      <c r="A570" t="str" cm="1">
        <f t="array" ref="A570">IF(ISBLANK(INDEX(SampleList[GC],ROW()-1)),"Not Requested",INDEX(SampleList[Experiment ID],ROW()-1))</f>
        <v>Not Requested</v>
      </c>
      <c r="B570">
        <f>Sampling!E568</f>
        <v>0</v>
      </c>
      <c r="G570">
        <f t="shared" si="26"/>
        <v>3552.5</v>
      </c>
      <c r="H5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0">
        <f t="shared" si="24"/>
        <v>3752.6</v>
      </c>
      <c r="K570" t="e">
        <f t="shared" si="25"/>
        <v>#DIV/0!</v>
      </c>
    </row>
    <row r="571" spans="1:11" hidden="1" x14ac:dyDescent="0.25">
      <c r="A571" t="str" cm="1">
        <f t="array" ref="A571">IF(ISBLANK(INDEX(SampleList[GC],ROW()-1)),"Not Requested",INDEX(SampleList[Experiment ID],ROW()-1))</f>
        <v>Not Requested</v>
      </c>
      <c r="B571">
        <f>Sampling!E569</f>
        <v>0</v>
      </c>
      <c r="G571">
        <f t="shared" si="26"/>
        <v>3552.5</v>
      </c>
      <c r="H5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1">
        <f t="shared" si="24"/>
        <v>3752.6</v>
      </c>
      <c r="K571" t="e">
        <f t="shared" si="25"/>
        <v>#DIV/0!</v>
      </c>
    </row>
    <row r="572" spans="1:11" hidden="1" x14ac:dyDescent="0.25">
      <c r="A572" t="str" cm="1">
        <f t="array" ref="A572">IF(ISBLANK(INDEX(SampleList[GC],ROW()-1)),"Not Requested",INDEX(SampleList[Experiment ID],ROW()-1))</f>
        <v>Not Requested</v>
      </c>
      <c r="B572">
        <f>Sampling!E570</f>
        <v>0</v>
      </c>
      <c r="G572">
        <f t="shared" si="26"/>
        <v>3552.5</v>
      </c>
      <c r="H5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2">
        <f t="shared" si="24"/>
        <v>3752.6</v>
      </c>
      <c r="K572" t="e">
        <f t="shared" si="25"/>
        <v>#DIV/0!</v>
      </c>
    </row>
    <row r="573" spans="1:11" hidden="1" x14ac:dyDescent="0.25">
      <c r="A573" t="str" cm="1">
        <f t="array" ref="A573">IF(ISBLANK(INDEX(SampleList[GC],ROW()-1)),"Not Requested",INDEX(SampleList[Experiment ID],ROW()-1))</f>
        <v>Not Requested</v>
      </c>
      <c r="B573">
        <f>Sampling!E571</f>
        <v>0</v>
      </c>
      <c r="G573">
        <f t="shared" si="26"/>
        <v>3552.5</v>
      </c>
      <c r="H5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3">
        <f t="shared" si="24"/>
        <v>3752.6</v>
      </c>
      <c r="K573" t="e">
        <f t="shared" si="25"/>
        <v>#DIV/0!</v>
      </c>
    </row>
    <row r="574" spans="1:11" hidden="1" x14ac:dyDescent="0.25">
      <c r="A574" t="str" cm="1">
        <f t="array" ref="A574">IF(ISBLANK(INDEX(SampleList[GC],ROW()-1)),"Not Requested",INDEX(SampleList[Experiment ID],ROW()-1))</f>
        <v>Not Requested</v>
      </c>
      <c r="B574">
        <f>Sampling!E572</f>
        <v>0</v>
      </c>
      <c r="G574">
        <f t="shared" si="26"/>
        <v>3552.5</v>
      </c>
      <c r="H5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4">
        <f t="shared" si="24"/>
        <v>3752.6</v>
      </c>
      <c r="K574" t="e">
        <f t="shared" si="25"/>
        <v>#DIV/0!</v>
      </c>
    </row>
    <row r="575" spans="1:11" hidden="1" x14ac:dyDescent="0.25">
      <c r="A575" t="str" cm="1">
        <f t="array" ref="A575">IF(ISBLANK(INDEX(SampleList[GC],ROW()-1)),"Not Requested",INDEX(SampleList[Experiment ID],ROW()-1))</f>
        <v>Not Requested</v>
      </c>
      <c r="B575">
        <f>Sampling!E573</f>
        <v>0</v>
      </c>
      <c r="G575">
        <f t="shared" si="26"/>
        <v>3552.5</v>
      </c>
      <c r="H5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5">
        <f t="shared" si="24"/>
        <v>3752.6</v>
      </c>
      <c r="K575" t="e">
        <f t="shared" si="25"/>
        <v>#DIV/0!</v>
      </c>
    </row>
    <row r="576" spans="1:11" hidden="1" x14ac:dyDescent="0.25">
      <c r="A576" t="str" cm="1">
        <f t="array" ref="A576">IF(ISBLANK(INDEX(SampleList[GC],ROW()-1)),"Not Requested",INDEX(SampleList[Experiment ID],ROW()-1))</f>
        <v>Not Requested</v>
      </c>
      <c r="B576">
        <f>Sampling!E574</f>
        <v>0</v>
      </c>
      <c r="G576">
        <f t="shared" si="26"/>
        <v>3552.5</v>
      </c>
      <c r="H5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6">
        <f t="shared" si="24"/>
        <v>3752.6</v>
      </c>
      <c r="K576" t="e">
        <f t="shared" si="25"/>
        <v>#DIV/0!</v>
      </c>
    </row>
    <row r="577" spans="1:11" hidden="1" x14ac:dyDescent="0.25">
      <c r="A577" t="str" cm="1">
        <f t="array" ref="A577">IF(ISBLANK(INDEX(SampleList[GC],ROW()-1)),"Not Requested",INDEX(SampleList[Experiment ID],ROW()-1))</f>
        <v>Not Requested</v>
      </c>
      <c r="B577">
        <f>Sampling!E575</f>
        <v>0</v>
      </c>
      <c r="G577">
        <f t="shared" si="26"/>
        <v>3552.5</v>
      </c>
      <c r="H5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7">
        <f t="shared" si="24"/>
        <v>3752.6</v>
      </c>
      <c r="K577" t="e">
        <f t="shared" si="25"/>
        <v>#DIV/0!</v>
      </c>
    </row>
    <row r="578" spans="1:11" hidden="1" x14ac:dyDescent="0.25">
      <c r="A578" t="str" cm="1">
        <f t="array" ref="A578">IF(ISBLANK(INDEX(SampleList[GC],ROW()-1)),"Not Requested",INDEX(SampleList[Experiment ID],ROW()-1))</f>
        <v>Not Requested</v>
      </c>
      <c r="B578">
        <f>Sampling!E576</f>
        <v>0</v>
      </c>
      <c r="G578">
        <f t="shared" si="26"/>
        <v>3552.5</v>
      </c>
      <c r="H5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8">
        <f t="shared" ref="I578:I641" si="27">25.88*145</f>
        <v>3752.6</v>
      </c>
      <c r="K578" t="e">
        <f t="shared" ref="K578:K641" si="28">(500/D578)*J578</f>
        <v>#DIV/0!</v>
      </c>
    </row>
    <row r="579" spans="1:11" hidden="1" x14ac:dyDescent="0.25">
      <c r="A579" t="str" cm="1">
        <f t="array" ref="A579">IF(ISBLANK(INDEX(SampleList[GC],ROW()-1)),"Not Requested",INDEX(SampleList[Experiment ID],ROW()-1))</f>
        <v>Not Requested</v>
      </c>
      <c r="B579">
        <f>Sampling!E577</f>
        <v>0</v>
      </c>
      <c r="G579">
        <f t="shared" si="26"/>
        <v>3552.5</v>
      </c>
      <c r="H5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79">
        <f t="shared" si="27"/>
        <v>3752.6</v>
      </c>
      <c r="K579" t="e">
        <f t="shared" si="28"/>
        <v>#DIV/0!</v>
      </c>
    </row>
    <row r="580" spans="1:11" hidden="1" x14ac:dyDescent="0.25">
      <c r="A580" t="str" cm="1">
        <f t="array" ref="A580">IF(ISBLANK(INDEX(SampleList[GC],ROW()-1)),"Not Requested",INDEX(SampleList[Experiment ID],ROW()-1))</f>
        <v>Not Requested</v>
      </c>
      <c r="B580">
        <f>Sampling!E578</f>
        <v>0</v>
      </c>
      <c r="G580">
        <f t="shared" si="26"/>
        <v>3552.5</v>
      </c>
      <c r="H5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0">
        <f t="shared" si="27"/>
        <v>3752.6</v>
      </c>
      <c r="K580" t="e">
        <f t="shared" si="28"/>
        <v>#DIV/0!</v>
      </c>
    </row>
    <row r="581" spans="1:11" hidden="1" x14ac:dyDescent="0.25">
      <c r="A581" t="str" cm="1">
        <f t="array" ref="A581">IF(ISBLANK(INDEX(SampleList[GC],ROW()-1)),"Not Requested",INDEX(SampleList[Experiment ID],ROW()-1))</f>
        <v>Not Requested</v>
      </c>
      <c r="B581">
        <f>Sampling!E579</f>
        <v>0</v>
      </c>
      <c r="G581">
        <f t="shared" si="26"/>
        <v>3552.5</v>
      </c>
      <c r="H5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1">
        <f t="shared" si="27"/>
        <v>3752.6</v>
      </c>
      <c r="K581" t="e">
        <f t="shared" si="28"/>
        <v>#DIV/0!</v>
      </c>
    </row>
    <row r="582" spans="1:11" hidden="1" x14ac:dyDescent="0.25">
      <c r="A582" t="str" cm="1">
        <f t="array" ref="A582">IF(ISBLANK(INDEX(SampleList[GC],ROW()-1)),"Not Requested",INDEX(SampleList[Experiment ID],ROW()-1))</f>
        <v>Not Requested</v>
      </c>
      <c r="B582">
        <f>Sampling!E580</f>
        <v>0</v>
      </c>
      <c r="G582">
        <f t="shared" si="26"/>
        <v>3552.5</v>
      </c>
      <c r="H5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2">
        <f t="shared" si="27"/>
        <v>3752.6</v>
      </c>
      <c r="K582" t="e">
        <f t="shared" si="28"/>
        <v>#DIV/0!</v>
      </c>
    </row>
    <row r="583" spans="1:11" hidden="1" x14ac:dyDescent="0.25">
      <c r="A583" t="str" cm="1">
        <f t="array" ref="A583">IF(ISBLANK(INDEX(SampleList[GC],ROW()-1)),"Not Requested",INDEX(SampleList[Experiment ID],ROW()-1))</f>
        <v>Not Requested</v>
      </c>
      <c r="B583">
        <f>Sampling!E581</f>
        <v>0</v>
      </c>
      <c r="G583">
        <f t="shared" si="26"/>
        <v>3552.5</v>
      </c>
      <c r="H5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3">
        <f t="shared" si="27"/>
        <v>3752.6</v>
      </c>
      <c r="K583" t="e">
        <f t="shared" si="28"/>
        <v>#DIV/0!</v>
      </c>
    </row>
    <row r="584" spans="1:11" hidden="1" x14ac:dyDescent="0.25">
      <c r="A584" t="str" cm="1">
        <f t="array" ref="A584">IF(ISBLANK(INDEX(SampleList[GC],ROW()-1)),"Not Requested",INDEX(SampleList[Experiment ID],ROW()-1))</f>
        <v>Not Requested</v>
      </c>
      <c r="B584">
        <f>Sampling!E582</f>
        <v>0</v>
      </c>
      <c r="G584">
        <f t="shared" si="26"/>
        <v>3552.5</v>
      </c>
      <c r="H5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4">
        <f t="shared" si="27"/>
        <v>3752.6</v>
      </c>
      <c r="K584" t="e">
        <f t="shared" si="28"/>
        <v>#DIV/0!</v>
      </c>
    </row>
    <row r="585" spans="1:11" hidden="1" x14ac:dyDescent="0.25">
      <c r="A585" t="str" cm="1">
        <f t="array" ref="A585">IF(ISBLANK(INDEX(SampleList[GC],ROW()-1)),"Not Requested",INDEX(SampleList[Experiment ID],ROW()-1))</f>
        <v>Not Requested</v>
      </c>
      <c r="B585">
        <f>Sampling!E583</f>
        <v>0</v>
      </c>
      <c r="G585">
        <f t="shared" si="26"/>
        <v>3552.5</v>
      </c>
      <c r="H5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5">
        <f t="shared" si="27"/>
        <v>3752.6</v>
      </c>
      <c r="K585" t="e">
        <f t="shared" si="28"/>
        <v>#DIV/0!</v>
      </c>
    </row>
    <row r="586" spans="1:11" hidden="1" x14ac:dyDescent="0.25">
      <c r="A586" t="str" cm="1">
        <f t="array" ref="A586">IF(ISBLANK(INDEX(SampleList[GC],ROW()-1)),"Not Requested",INDEX(SampleList[Experiment ID],ROW()-1))</f>
        <v>Not Requested</v>
      </c>
      <c r="B586">
        <f>Sampling!E584</f>
        <v>0</v>
      </c>
      <c r="G586">
        <f t="shared" si="26"/>
        <v>3552.5</v>
      </c>
      <c r="H5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6">
        <f t="shared" si="27"/>
        <v>3752.6</v>
      </c>
      <c r="K586" t="e">
        <f t="shared" si="28"/>
        <v>#DIV/0!</v>
      </c>
    </row>
    <row r="587" spans="1:11" hidden="1" x14ac:dyDescent="0.25">
      <c r="A587" t="str" cm="1">
        <f t="array" ref="A587">IF(ISBLANK(INDEX(SampleList[GC],ROW()-1)),"Not Requested",INDEX(SampleList[Experiment ID],ROW()-1))</f>
        <v>Not Requested</v>
      </c>
      <c r="B587">
        <f>Sampling!E585</f>
        <v>0</v>
      </c>
      <c r="G587">
        <f t="shared" si="26"/>
        <v>3552.5</v>
      </c>
      <c r="H5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7">
        <f t="shared" si="27"/>
        <v>3752.6</v>
      </c>
      <c r="K587" t="e">
        <f t="shared" si="28"/>
        <v>#DIV/0!</v>
      </c>
    </row>
    <row r="588" spans="1:11" hidden="1" x14ac:dyDescent="0.25">
      <c r="A588" t="str" cm="1">
        <f t="array" ref="A588">IF(ISBLANK(INDEX(SampleList[GC],ROW()-1)),"Not Requested",INDEX(SampleList[Experiment ID],ROW()-1))</f>
        <v>Not Requested</v>
      </c>
      <c r="B588">
        <f>Sampling!E586</f>
        <v>0</v>
      </c>
      <c r="G588">
        <f t="shared" si="26"/>
        <v>3552.5</v>
      </c>
      <c r="H5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8">
        <f t="shared" si="27"/>
        <v>3752.6</v>
      </c>
      <c r="K588" t="e">
        <f t="shared" si="28"/>
        <v>#DIV/0!</v>
      </c>
    </row>
    <row r="589" spans="1:11" hidden="1" x14ac:dyDescent="0.25">
      <c r="A589" t="str" cm="1">
        <f t="array" ref="A589">IF(ISBLANK(INDEX(SampleList[GC],ROW()-1)),"Not Requested",INDEX(SampleList[Experiment ID],ROW()-1))</f>
        <v>Not Requested</v>
      </c>
      <c r="B589">
        <f>Sampling!E587</f>
        <v>0</v>
      </c>
      <c r="G589">
        <f t="shared" si="26"/>
        <v>3552.5</v>
      </c>
      <c r="H5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89">
        <f t="shared" si="27"/>
        <v>3752.6</v>
      </c>
      <c r="K589" t="e">
        <f t="shared" si="28"/>
        <v>#DIV/0!</v>
      </c>
    </row>
    <row r="590" spans="1:11" hidden="1" x14ac:dyDescent="0.25">
      <c r="A590" t="str" cm="1">
        <f t="array" ref="A590">IF(ISBLANK(INDEX(SampleList[GC],ROW()-1)),"Not Requested",INDEX(SampleList[Experiment ID],ROW()-1))</f>
        <v>Not Requested</v>
      </c>
      <c r="B590">
        <f>Sampling!E588</f>
        <v>0</v>
      </c>
      <c r="G590">
        <f t="shared" si="26"/>
        <v>3552.5</v>
      </c>
      <c r="H5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0">
        <f t="shared" si="27"/>
        <v>3752.6</v>
      </c>
      <c r="K590" t="e">
        <f t="shared" si="28"/>
        <v>#DIV/0!</v>
      </c>
    </row>
    <row r="591" spans="1:11" hidden="1" x14ac:dyDescent="0.25">
      <c r="A591" t="str" cm="1">
        <f t="array" ref="A591">IF(ISBLANK(INDEX(SampleList[GC],ROW()-1)),"Not Requested",INDEX(SampleList[Experiment ID],ROW()-1))</f>
        <v>Not Requested</v>
      </c>
      <c r="B591">
        <f>Sampling!E589</f>
        <v>0</v>
      </c>
      <c r="G591">
        <f t="shared" si="26"/>
        <v>3552.5</v>
      </c>
      <c r="H5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1">
        <f t="shared" si="27"/>
        <v>3752.6</v>
      </c>
      <c r="K591" t="e">
        <f t="shared" si="28"/>
        <v>#DIV/0!</v>
      </c>
    </row>
    <row r="592" spans="1:11" hidden="1" x14ac:dyDescent="0.25">
      <c r="A592" t="str" cm="1">
        <f t="array" ref="A592">IF(ISBLANK(INDEX(SampleList[GC],ROW()-1)),"Not Requested",INDEX(SampleList[Experiment ID],ROW()-1))</f>
        <v>Not Requested</v>
      </c>
      <c r="B592">
        <f>Sampling!E590</f>
        <v>0</v>
      </c>
      <c r="G592">
        <f t="shared" si="26"/>
        <v>3552.5</v>
      </c>
      <c r="H5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2">
        <f t="shared" si="27"/>
        <v>3752.6</v>
      </c>
      <c r="K592" t="e">
        <f t="shared" si="28"/>
        <v>#DIV/0!</v>
      </c>
    </row>
    <row r="593" spans="1:11" hidden="1" x14ac:dyDescent="0.25">
      <c r="A593" t="str" cm="1">
        <f t="array" ref="A593">IF(ISBLANK(INDEX(SampleList[GC],ROW()-1)),"Not Requested",INDEX(SampleList[Experiment ID],ROW()-1))</f>
        <v>Not Requested</v>
      </c>
      <c r="B593">
        <f>Sampling!E591</f>
        <v>0</v>
      </c>
      <c r="G593">
        <f t="shared" si="26"/>
        <v>3552.5</v>
      </c>
      <c r="H5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3">
        <f t="shared" si="27"/>
        <v>3752.6</v>
      </c>
      <c r="K593" t="e">
        <f t="shared" si="28"/>
        <v>#DIV/0!</v>
      </c>
    </row>
    <row r="594" spans="1:11" hidden="1" x14ac:dyDescent="0.25">
      <c r="A594" t="str" cm="1">
        <f t="array" ref="A594">IF(ISBLANK(INDEX(SampleList[GC],ROW()-1)),"Not Requested",INDEX(SampleList[Experiment ID],ROW()-1))</f>
        <v>Not Requested</v>
      </c>
      <c r="B594">
        <f>Sampling!E592</f>
        <v>0</v>
      </c>
      <c r="G594">
        <f t="shared" si="26"/>
        <v>3552.5</v>
      </c>
      <c r="H5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4">
        <f t="shared" si="27"/>
        <v>3752.6</v>
      </c>
      <c r="K594" t="e">
        <f t="shared" si="28"/>
        <v>#DIV/0!</v>
      </c>
    </row>
    <row r="595" spans="1:11" hidden="1" x14ac:dyDescent="0.25">
      <c r="A595" t="str" cm="1">
        <f t="array" ref="A595">IF(ISBLANK(INDEX(SampleList[GC],ROW()-1)),"Not Requested",INDEX(SampleList[Experiment ID],ROW()-1))</f>
        <v>Not Requested</v>
      </c>
      <c r="B595">
        <f>Sampling!E593</f>
        <v>0</v>
      </c>
      <c r="G595">
        <f t="shared" si="26"/>
        <v>3552.5</v>
      </c>
      <c r="H5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5">
        <f t="shared" si="27"/>
        <v>3752.6</v>
      </c>
      <c r="K595" t="e">
        <f t="shared" si="28"/>
        <v>#DIV/0!</v>
      </c>
    </row>
    <row r="596" spans="1:11" hidden="1" x14ac:dyDescent="0.25">
      <c r="A596" t="str" cm="1">
        <f t="array" ref="A596">IF(ISBLANK(INDEX(SampleList[GC],ROW()-1)),"Not Requested",INDEX(SampleList[Experiment ID],ROW()-1))</f>
        <v>Not Requested</v>
      </c>
      <c r="B596">
        <f>Sampling!E594</f>
        <v>0</v>
      </c>
      <c r="G596">
        <f t="shared" si="26"/>
        <v>3552.5</v>
      </c>
      <c r="H5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6">
        <f t="shared" si="27"/>
        <v>3752.6</v>
      </c>
      <c r="K596" t="e">
        <f t="shared" si="28"/>
        <v>#DIV/0!</v>
      </c>
    </row>
    <row r="597" spans="1:11" hidden="1" x14ac:dyDescent="0.25">
      <c r="A597" t="str" cm="1">
        <f t="array" ref="A597">IF(ISBLANK(INDEX(SampleList[GC],ROW()-1)),"Not Requested",INDEX(SampleList[Experiment ID],ROW()-1))</f>
        <v>Not Requested</v>
      </c>
      <c r="B597">
        <f>Sampling!E595</f>
        <v>0</v>
      </c>
      <c r="G597">
        <f t="shared" si="26"/>
        <v>3552.5</v>
      </c>
      <c r="H5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7">
        <f t="shared" si="27"/>
        <v>3752.6</v>
      </c>
      <c r="K597" t="e">
        <f t="shared" si="28"/>
        <v>#DIV/0!</v>
      </c>
    </row>
    <row r="598" spans="1:11" hidden="1" x14ac:dyDescent="0.25">
      <c r="A598" t="str" cm="1">
        <f t="array" ref="A598">IF(ISBLANK(INDEX(SampleList[GC],ROW()-1)),"Not Requested",INDEX(SampleList[Experiment ID],ROW()-1))</f>
        <v>Not Requested</v>
      </c>
      <c r="B598">
        <f>Sampling!E596</f>
        <v>0</v>
      </c>
      <c r="G598">
        <f t="shared" si="26"/>
        <v>3552.5</v>
      </c>
      <c r="H5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8">
        <f t="shared" si="27"/>
        <v>3752.6</v>
      </c>
      <c r="K598" t="e">
        <f t="shared" si="28"/>
        <v>#DIV/0!</v>
      </c>
    </row>
    <row r="599" spans="1:11" hidden="1" x14ac:dyDescent="0.25">
      <c r="A599" t="str" cm="1">
        <f t="array" ref="A599">IF(ISBLANK(INDEX(SampleList[GC],ROW()-1)),"Not Requested",INDEX(SampleList[Experiment ID],ROW()-1))</f>
        <v>Not Requested</v>
      </c>
      <c r="B599">
        <f>Sampling!E597</f>
        <v>0</v>
      </c>
      <c r="G599">
        <f t="shared" si="26"/>
        <v>3552.5</v>
      </c>
      <c r="H5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599">
        <f t="shared" si="27"/>
        <v>3752.6</v>
      </c>
      <c r="K599" t="e">
        <f t="shared" si="28"/>
        <v>#DIV/0!</v>
      </c>
    </row>
    <row r="600" spans="1:11" hidden="1" x14ac:dyDescent="0.25">
      <c r="A600" t="str" cm="1">
        <f t="array" ref="A600">IF(ISBLANK(INDEX(SampleList[GC],ROW()-1)),"Not Requested",INDEX(SampleList[Experiment ID],ROW()-1))</f>
        <v>Not Requested</v>
      </c>
      <c r="B600">
        <f>Sampling!E598</f>
        <v>0</v>
      </c>
      <c r="G600">
        <f t="shared" si="26"/>
        <v>3552.5</v>
      </c>
      <c r="H6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0">
        <f t="shared" si="27"/>
        <v>3752.6</v>
      </c>
      <c r="K600" t="e">
        <f t="shared" si="28"/>
        <v>#DIV/0!</v>
      </c>
    </row>
    <row r="601" spans="1:11" hidden="1" x14ac:dyDescent="0.25">
      <c r="A601" t="str" cm="1">
        <f t="array" ref="A601">IF(ISBLANK(INDEX(SampleList[GC],ROW()-1)),"Not Requested",INDEX(SampleList[Experiment ID],ROW()-1))</f>
        <v>Not Requested</v>
      </c>
      <c r="B601">
        <f>Sampling!E599</f>
        <v>0</v>
      </c>
      <c r="G601">
        <f t="shared" si="26"/>
        <v>3552.5</v>
      </c>
      <c r="H6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1">
        <f t="shared" si="27"/>
        <v>3752.6</v>
      </c>
      <c r="K601" t="e">
        <f t="shared" si="28"/>
        <v>#DIV/0!</v>
      </c>
    </row>
    <row r="602" spans="1:11" hidden="1" x14ac:dyDescent="0.25">
      <c r="A602" t="str" cm="1">
        <f t="array" ref="A602">IF(ISBLANK(INDEX(SampleList[GC],ROW()-1)),"Not Requested",INDEX(SampleList[Experiment ID],ROW()-1))</f>
        <v>Not Requested</v>
      </c>
      <c r="B602">
        <f>Sampling!E600</f>
        <v>0</v>
      </c>
      <c r="G602">
        <f t="shared" si="26"/>
        <v>3552.5</v>
      </c>
      <c r="H6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2">
        <f t="shared" si="27"/>
        <v>3752.6</v>
      </c>
      <c r="K602" t="e">
        <f t="shared" si="28"/>
        <v>#DIV/0!</v>
      </c>
    </row>
    <row r="603" spans="1:11" hidden="1" x14ac:dyDescent="0.25">
      <c r="A603" t="str" cm="1">
        <f t="array" ref="A603">IF(ISBLANK(INDEX(SampleList[GC],ROW()-1)),"Not Requested",INDEX(SampleList[Experiment ID],ROW()-1))</f>
        <v>Not Requested</v>
      </c>
      <c r="B603">
        <f>Sampling!E601</f>
        <v>0</v>
      </c>
      <c r="G603">
        <f t="shared" si="26"/>
        <v>3552.5</v>
      </c>
      <c r="H6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3">
        <f t="shared" si="27"/>
        <v>3752.6</v>
      </c>
      <c r="K603" t="e">
        <f t="shared" si="28"/>
        <v>#DIV/0!</v>
      </c>
    </row>
    <row r="604" spans="1:11" hidden="1" x14ac:dyDescent="0.25">
      <c r="A604" t="str" cm="1">
        <f t="array" ref="A604">IF(ISBLANK(INDEX(SampleList[GC],ROW()-1)),"Not Requested",INDEX(SampleList[Experiment ID],ROW()-1))</f>
        <v>Not Requested</v>
      </c>
      <c r="B604">
        <f>Sampling!E602</f>
        <v>0</v>
      </c>
      <c r="G604">
        <f t="shared" si="26"/>
        <v>3552.5</v>
      </c>
      <c r="H6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4">
        <f t="shared" si="27"/>
        <v>3752.6</v>
      </c>
      <c r="K604" t="e">
        <f t="shared" si="28"/>
        <v>#DIV/0!</v>
      </c>
    </row>
    <row r="605" spans="1:11" hidden="1" x14ac:dyDescent="0.25">
      <c r="A605" t="str" cm="1">
        <f t="array" ref="A605">IF(ISBLANK(INDEX(SampleList[GC],ROW()-1)),"Not Requested",INDEX(SampleList[Experiment ID],ROW()-1))</f>
        <v>Not Requested</v>
      </c>
      <c r="B605">
        <f>Sampling!E603</f>
        <v>0</v>
      </c>
      <c r="G605">
        <f t="shared" si="26"/>
        <v>3552.5</v>
      </c>
      <c r="H6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5">
        <f t="shared" si="27"/>
        <v>3752.6</v>
      </c>
      <c r="K605" t="e">
        <f t="shared" si="28"/>
        <v>#DIV/0!</v>
      </c>
    </row>
    <row r="606" spans="1:11" hidden="1" x14ac:dyDescent="0.25">
      <c r="A606" t="str" cm="1">
        <f t="array" ref="A606">IF(ISBLANK(INDEX(SampleList[GC],ROW()-1)),"Not Requested",INDEX(SampleList[Experiment ID],ROW()-1))</f>
        <v>Not Requested</v>
      </c>
      <c r="B606">
        <f>Sampling!E604</f>
        <v>0</v>
      </c>
      <c r="G606">
        <f t="shared" si="26"/>
        <v>3552.5</v>
      </c>
      <c r="H6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6">
        <f t="shared" si="27"/>
        <v>3752.6</v>
      </c>
      <c r="K606" t="e">
        <f t="shared" si="28"/>
        <v>#DIV/0!</v>
      </c>
    </row>
    <row r="607" spans="1:11" hidden="1" x14ac:dyDescent="0.25">
      <c r="A607" t="str" cm="1">
        <f t="array" ref="A607">IF(ISBLANK(INDEX(SampleList[GC],ROW()-1)),"Not Requested",INDEX(SampleList[Experiment ID],ROW()-1))</f>
        <v>Not Requested</v>
      </c>
      <c r="B607">
        <f>Sampling!E605</f>
        <v>0</v>
      </c>
      <c r="G607">
        <f t="shared" si="26"/>
        <v>3552.5</v>
      </c>
      <c r="H6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7">
        <f t="shared" si="27"/>
        <v>3752.6</v>
      </c>
      <c r="K607" t="e">
        <f t="shared" si="28"/>
        <v>#DIV/0!</v>
      </c>
    </row>
    <row r="608" spans="1:11" hidden="1" x14ac:dyDescent="0.25">
      <c r="A608" t="str" cm="1">
        <f t="array" ref="A608">IF(ISBLANK(INDEX(SampleList[GC],ROW()-1)),"Not Requested",INDEX(SampleList[Experiment ID],ROW()-1))</f>
        <v>Not Requested</v>
      </c>
      <c r="B608">
        <f>Sampling!E606</f>
        <v>0</v>
      </c>
      <c r="G608">
        <f t="shared" si="26"/>
        <v>3552.5</v>
      </c>
      <c r="H6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8">
        <f t="shared" si="27"/>
        <v>3752.6</v>
      </c>
      <c r="K608" t="e">
        <f t="shared" si="28"/>
        <v>#DIV/0!</v>
      </c>
    </row>
    <row r="609" spans="1:11" hidden="1" x14ac:dyDescent="0.25">
      <c r="A609" t="str" cm="1">
        <f t="array" ref="A609">IF(ISBLANK(INDEX(SampleList[GC],ROW()-1)),"Not Requested",INDEX(SampleList[Experiment ID],ROW()-1))</f>
        <v>Not Requested</v>
      </c>
      <c r="B609">
        <f>Sampling!E607</f>
        <v>0</v>
      </c>
      <c r="G609">
        <f t="shared" ref="G609:G672" si="29">24.5*145</f>
        <v>3552.5</v>
      </c>
      <c r="H6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09">
        <f t="shared" si="27"/>
        <v>3752.6</v>
      </c>
      <c r="K609" t="e">
        <f t="shared" si="28"/>
        <v>#DIV/0!</v>
      </c>
    </row>
    <row r="610" spans="1:11" hidden="1" x14ac:dyDescent="0.25">
      <c r="A610" t="str" cm="1">
        <f t="array" ref="A610">IF(ISBLANK(INDEX(SampleList[GC],ROW()-1)),"Not Requested",INDEX(SampleList[Experiment ID],ROW()-1))</f>
        <v>Not Requested</v>
      </c>
      <c r="B610">
        <f>Sampling!E608</f>
        <v>0</v>
      </c>
      <c r="G610">
        <f t="shared" si="29"/>
        <v>3552.5</v>
      </c>
      <c r="H6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0">
        <f t="shared" si="27"/>
        <v>3752.6</v>
      </c>
      <c r="K610" t="e">
        <f t="shared" si="28"/>
        <v>#DIV/0!</v>
      </c>
    </row>
    <row r="611" spans="1:11" hidden="1" x14ac:dyDescent="0.25">
      <c r="A611" t="str" cm="1">
        <f t="array" ref="A611">IF(ISBLANK(INDEX(SampleList[GC],ROW()-1)),"Not Requested",INDEX(SampleList[Experiment ID],ROW()-1))</f>
        <v>Not Requested</v>
      </c>
      <c r="B611">
        <f>Sampling!E609</f>
        <v>0</v>
      </c>
      <c r="G611">
        <f t="shared" si="29"/>
        <v>3552.5</v>
      </c>
      <c r="H6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1">
        <f t="shared" si="27"/>
        <v>3752.6</v>
      </c>
      <c r="K611" t="e">
        <f t="shared" si="28"/>
        <v>#DIV/0!</v>
      </c>
    </row>
    <row r="612" spans="1:11" hidden="1" x14ac:dyDescent="0.25">
      <c r="A612" t="str" cm="1">
        <f t="array" ref="A612">IF(ISBLANK(INDEX(SampleList[GC],ROW()-1)),"Not Requested",INDEX(SampleList[Experiment ID],ROW()-1))</f>
        <v>Not Requested</v>
      </c>
      <c r="B612">
        <f>Sampling!E610</f>
        <v>0</v>
      </c>
      <c r="G612">
        <f t="shared" si="29"/>
        <v>3552.5</v>
      </c>
      <c r="H6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2">
        <f t="shared" si="27"/>
        <v>3752.6</v>
      </c>
      <c r="K612" t="e">
        <f t="shared" si="28"/>
        <v>#DIV/0!</v>
      </c>
    </row>
    <row r="613" spans="1:11" hidden="1" x14ac:dyDescent="0.25">
      <c r="A613" t="str" cm="1">
        <f t="array" ref="A613">IF(ISBLANK(INDEX(SampleList[GC],ROW()-1)),"Not Requested",INDEX(SampleList[Experiment ID],ROW()-1))</f>
        <v>Not Requested</v>
      </c>
      <c r="B613">
        <f>Sampling!E611</f>
        <v>0</v>
      </c>
      <c r="G613">
        <f t="shared" si="29"/>
        <v>3552.5</v>
      </c>
      <c r="H6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3">
        <f t="shared" si="27"/>
        <v>3752.6</v>
      </c>
      <c r="K613" t="e">
        <f t="shared" si="28"/>
        <v>#DIV/0!</v>
      </c>
    </row>
    <row r="614" spans="1:11" hidden="1" x14ac:dyDescent="0.25">
      <c r="A614" t="str" cm="1">
        <f t="array" ref="A614">IF(ISBLANK(INDEX(SampleList[GC],ROW()-1)),"Not Requested",INDEX(SampleList[Experiment ID],ROW()-1))</f>
        <v>Not Requested</v>
      </c>
      <c r="B614">
        <f>Sampling!E612</f>
        <v>0</v>
      </c>
      <c r="G614">
        <f t="shared" si="29"/>
        <v>3552.5</v>
      </c>
      <c r="H6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4">
        <f t="shared" si="27"/>
        <v>3752.6</v>
      </c>
      <c r="K614" t="e">
        <f t="shared" si="28"/>
        <v>#DIV/0!</v>
      </c>
    </row>
    <row r="615" spans="1:11" hidden="1" x14ac:dyDescent="0.25">
      <c r="A615" t="str" cm="1">
        <f t="array" ref="A615">IF(ISBLANK(INDEX(SampleList[GC],ROW()-1)),"Not Requested",INDEX(SampleList[Experiment ID],ROW()-1))</f>
        <v>Not Requested</v>
      </c>
      <c r="B615">
        <f>Sampling!E613</f>
        <v>0</v>
      </c>
      <c r="G615">
        <f t="shared" si="29"/>
        <v>3552.5</v>
      </c>
      <c r="H6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5">
        <f t="shared" si="27"/>
        <v>3752.6</v>
      </c>
      <c r="K615" t="e">
        <f t="shared" si="28"/>
        <v>#DIV/0!</v>
      </c>
    </row>
    <row r="616" spans="1:11" hidden="1" x14ac:dyDescent="0.25">
      <c r="A616" t="str" cm="1">
        <f t="array" ref="A616">IF(ISBLANK(INDEX(SampleList[GC],ROW()-1)),"Not Requested",INDEX(SampleList[Experiment ID],ROW()-1))</f>
        <v>Not Requested</v>
      </c>
      <c r="B616">
        <f>Sampling!E614</f>
        <v>0</v>
      </c>
      <c r="G616">
        <f t="shared" si="29"/>
        <v>3552.5</v>
      </c>
      <c r="H6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6">
        <f t="shared" si="27"/>
        <v>3752.6</v>
      </c>
      <c r="K616" t="e">
        <f t="shared" si="28"/>
        <v>#DIV/0!</v>
      </c>
    </row>
    <row r="617" spans="1:11" hidden="1" x14ac:dyDescent="0.25">
      <c r="A617" t="str" cm="1">
        <f t="array" ref="A617">IF(ISBLANK(INDEX(SampleList[GC],ROW()-1)),"Not Requested",INDEX(SampleList[Experiment ID],ROW()-1))</f>
        <v>Not Requested</v>
      </c>
      <c r="B617">
        <f>Sampling!E615</f>
        <v>0</v>
      </c>
      <c r="G617">
        <f t="shared" si="29"/>
        <v>3552.5</v>
      </c>
      <c r="H6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7">
        <f t="shared" si="27"/>
        <v>3752.6</v>
      </c>
      <c r="K617" t="e">
        <f t="shared" si="28"/>
        <v>#DIV/0!</v>
      </c>
    </row>
    <row r="618" spans="1:11" hidden="1" x14ac:dyDescent="0.25">
      <c r="A618" t="str" cm="1">
        <f t="array" ref="A618">IF(ISBLANK(INDEX(SampleList[GC],ROW()-1)),"Not Requested",INDEX(SampleList[Experiment ID],ROW()-1))</f>
        <v>Not Requested</v>
      </c>
      <c r="B618">
        <f>Sampling!E616</f>
        <v>0</v>
      </c>
      <c r="G618">
        <f t="shared" si="29"/>
        <v>3552.5</v>
      </c>
      <c r="H6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8">
        <f t="shared" si="27"/>
        <v>3752.6</v>
      </c>
      <c r="K618" t="e">
        <f t="shared" si="28"/>
        <v>#DIV/0!</v>
      </c>
    </row>
    <row r="619" spans="1:11" hidden="1" x14ac:dyDescent="0.25">
      <c r="A619" t="str" cm="1">
        <f t="array" ref="A619">IF(ISBLANK(INDEX(SampleList[GC],ROW()-1)),"Not Requested",INDEX(SampleList[Experiment ID],ROW()-1))</f>
        <v>Not Requested</v>
      </c>
      <c r="B619">
        <f>Sampling!E617</f>
        <v>0</v>
      </c>
      <c r="G619">
        <f t="shared" si="29"/>
        <v>3552.5</v>
      </c>
      <c r="H6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19">
        <f t="shared" si="27"/>
        <v>3752.6</v>
      </c>
      <c r="K619" t="e">
        <f t="shared" si="28"/>
        <v>#DIV/0!</v>
      </c>
    </row>
    <row r="620" spans="1:11" hidden="1" x14ac:dyDescent="0.25">
      <c r="A620" t="str" cm="1">
        <f t="array" ref="A620">IF(ISBLANK(INDEX(SampleList[GC],ROW()-1)),"Not Requested",INDEX(SampleList[Experiment ID],ROW()-1))</f>
        <v>Not Requested</v>
      </c>
      <c r="B620">
        <f>Sampling!E618</f>
        <v>0</v>
      </c>
      <c r="G620">
        <f t="shared" si="29"/>
        <v>3552.5</v>
      </c>
      <c r="H6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0">
        <f t="shared" si="27"/>
        <v>3752.6</v>
      </c>
      <c r="K620" t="e">
        <f t="shared" si="28"/>
        <v>#DIV/0!</v>
      </c>
    </row>
    <row r="621" spans="1:11" hidden="1" x14ac:dyDescent="0.25">
      <c r="A621" t="str" cm="1">
        <f t="array" ref="A621">IF(ISBLANK(INDEX(SampleList[GC],ROW()-1)),"Not Requested",INDEX(SampleList[Experiment ID],ROW()-1))</f>
        <v>Not Requested</v>
      </c>
      <c r="B621">
        <f>Sampling!E619</f>
        <v>0</v>
      </c>
      <c r="G621">
        <f t="shared" si="29"/>
        <v>3552.5</v>
      </c>
      <c r="H6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1">
        <f t="shared" si="27"/>
        <v>3752.6</v>
      </c>
      <c r="K621" t="e">
        <f t="shared" si="28"/>
        <v>#DIV/0!</v>
      </c>
    </row>
    <row r="622" spans="1:11" hidden="1" x14ac:dyDescent="0.25">
      <c r="A622" t="str" cm="1">
        <f t="array" ref="A622">IF(ISBLANK(INDEX(SampleList[GC],ROW()-1)),"Not Requested",INDEX(SampleList[Experiment ID],ROW()-1))</f>
        <v>Not Requested</v>
      </c>
      <c r="B622">
        <f>Sampling!E620</f>
        <v>0</v>
      </c>
      <c r="G622">
        <f t="shared" si="29"/>
        <v>3552.5</v>
      </c>
      <c r="H6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2">
        <f t="shared" si="27"/>
        <v>3752.6</v>
      </c>
      <c r="K622" t="e">
        <f t="shared" si="28"/>
        <v>#DIV/0!</v>
      </c>
    </row>
    <row r="623" spans="1:11" hidden="1" x14ac:dyDescent="0.25">
      <c r="A623" t="str" cm="1">
        <f t="array" ref="A623">IF(ISBLANK(INDEX(SampleList[GC],ROW()-1)),"Not Requested",INDEX(SampleList[Experiment ID],ROW()-1))</f>
        <v>Not Requested</v>
      </c>
      <c r="B623">
        <f>Sampling!E621</f>
        <v>0</v>
      </c>
      <c r="G623">
        <f t="shared" si="29"/>
        <v>3552.5</v>
      </c>
      <c r="H6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3">
        <f t="shared" si="27"/>
        <v>3752.6</v>
      </c>
      <c r="K623" t="e">
        <f t="shared" si="28"/>
        <v>#DIV/0!</v>
      </c>
    </row>
    <row r="624" spans="1:11" hidden="1" x14ac:dyDescent="0.25">
      <c r="A624" t="str" cm="1">
        <f t="array" ref="A624">IF(ISBLANK(INDEX(SampleList[GC],ROW()-1)),"Not Requested",INDEX(SampleList[Experiment ID],ROW()-1))</f>
        <v>Not Requested</v>
      </c>
      <c r="B624">
        <f>Sampling!E622</f>
        <v>0</v>
      </c>
      <c r="G624">
        <f t="shared" si="29"/>
        <v>3552.5</v>
      </c>
      <c r="H6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4">
        <f t="shared" si="27"/>
        <v>3752.6</v>
      </c>
      <c r="K624" t="e">
        <f t="shared" si="28"/>
        <v>#DIV/0!</v>
      </c>
    </row>
    <row r="625" spans="1:11" hidden="1" x14ac:dyDescent="0.25">
      <c r="A625" t="str" cm="1">
        <f t="array" ref="A625">IF(ISBLANK(INDEX(SampleList[GC],ROW()-1)),"Not Requested",INDEX(SampleList[Experiment ID],ROW()-1))</f>
        <v>Not Requested</v>
      </c>
      <c r="B625">
        <f>Sampling!E623</f>
        <v>0</v>
      </c>
      <c r="G625">
        <f t="shared" si="29"/>
        <v>3552.5</v>
      </c>
      <c r="H6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5">
        <f t="shared" si="27"/>
        <v>3752.6</v>
      </c>
      <c r="K625" t="e">
        <f t="shared" si="28"/>
        <v>#DIV/0!</v>
      </c>
    </row>
    <row r="626" spans="1:11" hidden="1" x14ac:dyDescent="0.25">
      <c r="A626" t="str" cm="1">
        <f t="array" ref="A626">IF(ISBLANK(INDEX(SampleList[GC],ROW()-1)),"Not Requested",INDEX(SampleList[Experiment ID],ROW()-1))</f>
        <v>Not Requested</v>
      </c>
      <c r="B626">
        <f>Sampling!E624</f>
        <v>0</v>
      </c>
      <c r="G626">
        <f t="shared" si="29"/>
        <v>3552.5</v>
      </c>
      <c r="H6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6">
        <f t="shared" si="27"/>
        <v>3752.6</v>
      </c>
      <c r="K626" t="e">
        <f t="shared" si="28"/>
        <v>#DIV/0!</v>
      </c>
    </row>
    <row r="627" spans="1:11" hidden="1" x14ac:dyDescent="0.25">
      <c r="A627" t="str" cm="1">
        <f t="array" ref="A627">IF(ISBLANK(INDEX(SampleList[GC],ROW()-1)),"Not Requested",INDEX(SampleList[Experiment ID],ROW()-1))</f>
        <v>Not Requested</v>
      </c>
      <c r="B627">
        <f>Sampling!E625</f>
        <v>0</v>
      </c>
      <c r="G627">
        <f t="shared" si="29"/>
        <v>3552.5</v>
      </c>
      <c r="H6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7">
        <f t="shared" si="27"/>
        <v>3752.6</v>
      </c>
      <c r="K627" t="e">
        <f t="shared" si="28"/>
        <v>#DIV/0!</v>
      </c>
    </row>
    <row r="628" spans="1:11" hidden="1" x14ac:dyDescent="0.25">
      <c r="A628" t="str" cm="1">
        <f t="array" ref="A628">IF(ISBLANK(INDEX(SampleList[GC],ROW()-1)),"Not Requested",INDEX(SampleList[Experiment ID],ROW()-1))</f>
        <v>Not Requested</v>
      </c>
      <c r="B628">
        <f>Sampling!E626</f>
        <v>0</v>
      </c>
      <c r="G628">
        <f t="shared" si="29"/>
        <v>3552.5</v>
      </c>
      <c r="H6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8">
        <f t="shared" si="27"/>
        <v>3752.6</v>
      </c>
      <c r="K628" t="e">
        <f t="shared" si="28"/>
        <v>#DIV/0!</v>
      </c>
    </row>
    <row r="629" spans="1:11" hidden="1" x14ac:dyDescent="0.25">
      <c r="A629" t="str" cm="1">
        <f t="array" ref="A629">IF(ISBLANK(INDEX(SampleList[GC],ROW()-1)),"Not Requested",INDEX(SampleList[Experiment ID],ROW()-1))</f>
        <v>Not Requested</v>
      </c>
      <c r="B629">
        <f>Sampling!E627</f>
        <v>0</v>
      </c>
      <c r="G629">
        <f t="shared" si="29"/>
        <v>3552.5</v>
      </c>
      <c r="H6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29">
        <f t="shared" si="27"/>
        <v>3752.6</v>
      </c>
      <c r="K629" t="e">
        <f t="shared" si="28"/>
        <v>#DIV/0!</v>
      </c>
    </row>
    <row r="630" spans="1:11" hidden="1" x14ac:dyDescent="0.25">
      <c r="A630" t="str" cm="1">
        <f t="array" ref="A630">IF(ISBLANK(INDEX(SampleList[GC],ROW()-1)),"Not Requested",INDEX(SampleList[Experiment ID],ROW()-1))</f>
        <v>Not Requested</v>
      </c>
      <c r="B630">
        <f>Sampling!E628</f>
        <v>0</v>
      </c>
      <c r="G630">
        <f t="shared" si="29"/>
        <v>3552.5</v>
      </c>
      <c r="H6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0">
        <f t="shared" si="27"/>
        <v>3752.6</v>
      </c>
      <c r="K630" t="e">
        <f t="shared" si="28"/>
        <v>#DIV/0!</v>
      </c>
    </row>
    <row r="631" spans="1:11" hidden="1" x14ac:dyDescent="0.25">
      <c r="A631" t="str" cm="1">
        <f t="array" ref="A631">IF(ISBLANK(INDEX(SampleList[GC],ROW()-1)),"Not Requested",INDEX(SampleList[Experiment ID],ROW()-1))</f>
        <v>Not Requested</v>
      </c>
      <c r="B631">
        <f>Sampling!E629</f>
        <v>0</v>
      </c>
      <c r="G631">
        <f t="shared" si="29"/>
        <v>3552.5</v>
      </c>
      <c r="H6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1">
        <f t="shared" si="27"/>
        <v>3752.6</v>
      </c>
      <c r="K631" t="e">
        <f t="shared" si="28"/>
        <v>#DIV/0!</v>
      </c>
    </row>
    <row r="632" spans="1:11" hidden="1" x14ac:dyDescent="0.25">
      <c r="A632" t="str" cm="1">
        <f t="array" ref="A632">IF(ISBLANK(INDEX(SampleList[GC],ROW()-1)),"Not Requested",INDEX(SampleList[Experiment ID],ROW()-1))</f>
        <v>Not Requested</v>
      </c>
      <c r="B632">
        <f>Sampling!E630</f>
        <v>0</v>
      </c>
      <c r="G632">
        <f t="shared" si="29"/>
        <v>3552.5</v>
      </c>
      <c r="H6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2">
        <f t="shared" si="27"/>
        <v>3752.6</v>
      </c>
      <c r="K632" t="e">
        <f t="shared" si="28"/>
        <v>#DIV/0!</v>
      </c>
    </row>
    <row r="633" spans="1:11" hidden="1" x14ac:dyDescent="0.25">
      <c r="A633" t="str" cm="1">
        <f t="array" ref="A633">IF(ISBLANK(INDEX(SampleList[GC],ROW()-1)),"Not Requested",INDEX(SampleList[Experiment ID],ROW()-1))</f>
        <v>Not Requested</v>
      </c>
      <c r="B633">
        <f>Sampling!E631</f>
        <v>0</v>
      </c>
      <c r="G633">
        <f t="shared" si="29"/>
        <v>3552.5</v>
      </c>
      <c r="H6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3">
        <f t="shared" si="27"/>
        <v>3752.6</v>
      </c>
      <c r="K633" t="e">
        <f t="shared" si="28"/>
        <v>#DIV/0!</v>
      </c>
    </row>
    <row r="634" spans="1:11" hidden="1" x14ac:dyDescent="0.25">
      <c r="A634" t="str" cm="1">
        <f t="array" ref="A634">IF(ISBLANK(INDEX(SampleList[GC],ROW()-1)),"Not Requested",INDEX(SampleList[Experiment ID],ROW()-1))</f>
        <v>Not Requested</v>
      </c>
      <c r="B634">
        <f>Sampling!E632</f>
        <v>0</v>
      </c>
      <c r="G634">
        <f t="shared" si="29"/>
        <v>3552.5</v>
      </c>
      <c r="H6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4">
        <f t="shared" si="27"/>
        <v>3752.6</v>
      </c>
      <c r="K634" t="e">
        <f t="shared" si="28"/>
        <v>#DIV/0!</v>
      </c>
    </row>
    <row r="635" spans="1:11" hidden="1" x14ac:dyDescent="0.25">
      <c r="A635" t="str" cm="1">
        <f t="array" ref="A635">IF(ISBLANK(INDEX(SampleList[GC],ROW()-1)),"Not Requested",INDEX(SampleList[Experiment ID],ROW()-1))</f>
        <v>Not Requested</v>
      </c>
      <c r="B635">
        <f>Sampling!E633</f>
        <v>0</v>
      </c>
      <c r="G635">
        <f t="shared" si="29"/>
        <v>3552.5</v>
      </c>
      <c r="H6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5">
        <f t="shared" si="27"/>
        <v>3752.6</v>
      </c>
      <c r="K635" t="e">
        <f t="shared" si="28"/>
        <v>#DIV/0!</v>
      </c>
    </row>
    <row r="636" spans="1:11" hidden="1" x14ac:dyDescent="0.25">
      <c r="A636" t="str" cm="1">
        <f t="array" ref="A636">IF(ISBLANK(INDEX(SampleList[GC],ROW()-1)),"Not Requested",INDEX(SampleList[Experiment ID],ROW()-1))</f>
        <v>Not Requested</v>
      </c>
      <c r="B636">
        <f>Sampling!E634</f>
        <v>0</v>
      </c>
      <c r="G636">
        <f t="shared" si="29"/>
        <v>3552.5</v>
      </c>
      <c r="H6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6">
        <f t="shared" si="27"/>
        <v>3752.6</v>
      </c>
      <c r="K636" t="e">
        <f t="shared" si="28"/>
        <v>#DIV/0!</v>
      </c>
    </row>
    <row r="637" spans="1:11" hidden="1" x14ac:dyDescent="0.25">
      <c r="A637" t="str" cm="1">
        <f t="array" ref="A637">IF(ISBLANK(INDEX(SampleList[GC],ROW()-1)),"Not Requested",INDEX(SampleList[Experiment ID],ROW()-1))</f>
        <v>Not Requested</v>
      </c>
      <c r="B637">
        <f>Sampling!E635</f>
        <v>0</v>
      </c>
      <c r="G637">
        <f t="shared" si="29"/>
        <v>3552.5</v>
      </c>
      <c r="H6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7">
        <f t="shared" si="27"/>
        <v>3752.6</v>
      </c>
      <c r="K637" t="e">
        <f t="shared" si="28"/>
        <v>#DIV/0!</v>
      </c>
    </row>
    <row r="638" spans="1:11" hidden="1" x14ac:dyDescent="0.25">
      <c r="A638" t="str" cm="1">
        <f t="array" ref="A638">IF(ISBLANK(INDEX(SampleList[GC],ROW()-1)),"Not Requested",INDEX(SampleList[Experiment ID],ROW()-1))</f>
        <v>Not Requested</v>
      </c>
      <c r="B638">
        <f>Sampling!E636</f>
        <v>0</v>
      </c>
      <c r="G638">
        <f t="shared" si="29"/>
        <v>3552.5</v>
      </c>
      <c r="H6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8">
        <f t="shared" si="27"/>
        <v>3752.6</v>
      </c>
      <c r="K638" t="e">
        <f t="shared" si="28"/>
        <v>#DIV/0!</v>
      </c>
    </row>
    <row r="639" spans="1:11" hidden="1" x14ac:dyDescent="0.25">
      <c r="A639" t="str" cm="1">
        <f t="array" ref="A639">IF(ISBLANK(INDEX(SampleList[GC],ROW()-1)),"Not Requested",INDEX(SampleList[Experiment ID],ROW()-1))</f>
        <v>Not Requested</v>
      </c>
      <c r="B639">
        <f>Sampling!E637</f>
        <v>0</v>
      </c>
      <c r="G639">
        <f t="shared" si="29"/>
        <v>3552.5</v>
      </c>
      <c r="H6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39">
        <f t="shared" si="27"/>
        <v>3752.6</v>
      </c>
      <c r="K639" t="e">
        <f t="shared" si="28"/>
        <v>#DIV/0!</v>
      </c>
    </row>
    <row r="640" spans="1:11" hidden="1" x14ac:dyDescent="0.25">
      <c r="A640" t="str" cm="1">
        <f t="array" ref="A640">IF(ISBLANK(INDEX(SampleList[GC],ROW()-1)),"Not Requested",INDEX(SampleList[Experiment ID],ROW()-1))</f>
        <v>Not Requested</v>
      </c>
      <c r="B640">
        <f>Sampling!E638</f>
        <v>0</v>
      </c>
      <c r="G640">
        <f t="shared" si="29"/>
        <v>3552.5</v>
      </c>
      <c r="H6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0">
        <f t="shared" si="27"/>
        <v>3752.6</v>
      </c>
      <c r="K640" t="e">
        <f t="shared" si="28"/>
        <v>#DIV/0!</v>
      </c>
    </row>
    <row r="641" spans="1:11" hidden="1" x14ac:dyDescent="0.25">
      <c r="A641" t="str" cm="1">
        <f t="array" ref="A641">IF(ISBLANK(INDEX(SampleList[GC],ROW()-1)),"Not Requested",INDEX(SampleList[Experiment ID],ROW()-1))</f>
        <v>Not Requested</v>
      </c>
      <c r="B641">
        <f>Sampling!E639</f>
        <v>0</v>
      </c>
      <c r="G641">
        <f t="shared" si="29"/>
        <v>3552.5</v>
      </c>
      <c r="H6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1">
        <f t="shared" si="27"/>
        <v>3752.6</v>
      </c>
      <c r="K641" t="e">
        <f t="shared" si="28"/>
        <v>#DIV/0!</v>
      </c>
    </row>
    <row r="642" spans="1:11" hidden="1" x14ac:dyDescent="0.25">
      <c r="A642" t="str" cm="1">
        <f t="array" ref="A642">IF(ISBLANK(INDEX(SampleList[GC],ROW()-1)),"Not Requested",INDEX(SampleList[Experiment ID],ROW()-1))</f>
        <v>Not Requested</v>
      </c>
      <c r="B642">
        <f>Sampling!E640</f>
        <v>0</v>
      </c>
      <c r="G642">
        <f t="shared" si="29"/>
        <v>3552.5</v>
      </c>
      <c r="H6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2">
        <f t="shared" ref="I642:I705" si="30">25.88*145</f>
        <v>3752.6</v>
      </c>
      <c r="K642" t="e">
        <f t="shared" ref="K642:K705" si="31">(500/D642)*J642</f>
        <v>#DIV/0!</v>
      </c>
    </row>
    <row r="643" spans="1:11" hidden="1" x14ac:dyDescent="0.25">
      <c r="A643" t="str" cm="1">
        <f t="array" ref="A643">IF(ISBLANK(INDEX(SampleList[GC],ROW()-1)),"Not Requested",INDEX(SampleList[Experiment ID],ROW()-1))</f>
        <v>Not Requested</v>
      </c>
      <c r="B643">
        <f>Sampling!E641</f>
        <v>0</v>
      </c>
      <c r="G643">
        <f t="shared" si="29"/>
        <v>3552.5</v>
      </c>
      <c r="H6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3">
        <f t="shared" si="30"/>
        <v>3752.6</v>
      </c>
      <c r="K643" t="e">
        <f t="shared" si="31"/>
        <v>#DIV/0!</v>
      </c>
    </row>
    <row r="644" spans="1:11" hidden="1" x14ac:dyDescent="0.25">
      <c r="A644" t="str" cm="1">
        <f t="array" ref="A644">IF(ISBLANK(INDEX(SampleList[GC],ROW()-1)),"Not Requested",INDEX(SampleList[Experiment ID],ROW()-1))</f>
        <v>Not Requested</v>
      </c>
      <c r="B644">
        <f>Sampling!E642</f>
        <v>0</v>
      </c>
      <c r="G644">
        <f t="shared" si="29"/>
        <v>3552.5</v>
      </c>
      <c r="H6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4">
        <f t="shared" si="30"/>
        <v>3752.6</v>
      </c>
      <c r="K644" t="e">
        <f t="shared" si="31"/>
        <v>#DIV/0!</v>
      </c>
    </row>
    <row r="645" spans="1:11" hidden="1" x14ac:dyDescent="0.25">
      <c r="A645" t="str" cm="1">
        <f t="array" ref="A645">IF(ISBLANK(INDEX(SampleList[GC],ROW()-1)),"Not Requested",INDEX(SampleList[Experiment ID],ROW()-1))</f>
        <v>Not Requested</v>
      </c>
      <c r="B645">
        <f>Sampling!E643</f>
        <v>0</v>
      </c>
      <c r="G645">
        <f t="shared" si="29"/>
        <v>3552.5</v>
      </c>
      <c r="H6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5">
        <f t="shared" si="30"/>
        <v>3752.6</v>
      </c>
      <c r="K645" t="e">
        <f t="shared" si="31"/>
        <v>#DIV/0!</v>
      </c>
    </row>
    <row r="646" spans="1:11" hidden="1" x14ac:dyDescent="0.25">
      <c r="A646" t="str" cm="1">
        <f t="array" ref="A646">IF(ISBLANK(INDEX(SampleList[GC],ROW()-1)),"Not Requested",INDEX(SampleList[Experiment ID],ROW()-1))</f>
        <v>Not Requested</v>
      </c>
      <c r="B646">
        <f>Sampling!E644</f>
        <v>0</v>
      </c>
      <c r="G646">
        <f t="shared" si="29"/>
        <v>3552.5</v>
      </c>
      <c r="H6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6">
        <f t="shared" si="30"/>
        <v>3752.6</v>
      </c>
      <c r="K646" t="e">
        <f t="shared" si="31"/>
        <v>#DIV/0!</v>
      </c>
    </row>
    <row r="647" spans="1:11" hidden="1" x14ac:dyDescent="0.25">
      <c r="A647" t="str" cm="1">
        <f t="array" ref="A647">IF(ISBLANK(INDEX(SampleList[GC],ROW()-1)),"Not Requested",INDEX(SampleList[Experiment ID],ROW()-1))</f>
        <v>Not Requested</v>
      </c>
      <c r="B647">
        <f>Sampling!E645</f>
        <v>0</v>
      </c>
      <c r="G647">
        <f t="shared" si="29"/>
        <v>3552.5</v>
      </c>
      <c r="H6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7">
        <f t="shared" si="30"/>
        <v>3752.6</v>
      </c>
      <c r="K647" t="e">
        <f t="shared" si="31"/>
        <v>#DIV/0!</v>
      </c>
    </row>
    <row r="648" spans="1:11" hidden="1" x14ac:dyDescent="0.25">
      <c r="A648" t="str" cm="1">
        <f t="array" ref="A648">IF(ISBLANK(INDEX(SampleList[GC],ROW()-1)),"Not Requested",INDEX(SampleList[Experiment ID],ROW()-1))</f>
        <v>Not Requested</v>
      </c>
      <c r="B648">
        <f>Sampling!E646</f>
        <v>0</v>
      </c>
      <c r="G648">
        <f t="shared" si="29"/>
        <v>3552.5</v>
      </c>
      <c r="H6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8">
        <f t="shared" si="30"/>
        <v>3752.6</v>
      </c>
      <c r="K648" t="e">
        <f t="shared" si="31"/>
        <v>#DIV/0!</v>
      </c>
    </row>
    <row r="649" spans="1:11" hidden="1" x14ac:dyDescent="0.25">
      <c r="A649" t="str" cm="1">
        <f t="array" ref="A649">IF(ISBLANK(INDEX(SampleList[GC],ROW()-1)),"Not Requested",INDEX(SampleList[Experiment ID],ROW()-1))</f>
        <v>Not Requested</v>
      </c>
      <c r="B649">
        <f>Sampling!E647</f>
        <v>0</v>
      </c>
      <c r="G649">
        <f t="shared" si="29"/>
        <v>3552.5</v>
      </c>
      <c r="H6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49">
        <f t="shared" si="30"/>
        <v>3752.6</v>
      </c>
      <c r="K649" t="e">
        <f t="shared" si="31"/>
        <v>#DIV/0!</v>
      </c>
    </row>
    <row r="650" spans="1:11" hidden="1" x14ac:dyDescent="0.25">
      <c r="A650" t="str" cm="1">
        <f t="array" ref="A650">IF(ISBLANK(INDEX(SampleList[GC],ROW()-1)),"Not Requested",INDEX(SampleList[Experiment ID],ROW()-1))</f>
        <v>Not Requested</v>
      </c>
      <c r="B650">
        <f>Sampling!E648</f>
        <v>0</v>
      </c>
      <c r="G650">
        <f t="shared" si="29"/>
        <v>3552.5</v>
      </c>
      <c r="H6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0">
        <f t="shared" si="30"/>
        <v>3752.6</v>
      </c>
      <c r="K650" t="e">
        <f t="shared" si="31"/>
        <v>#DIV/0!</v>
      </c>
    </row>
    <row r="651" spans="1:11" hidden="1" x14ac:dyDescent="0.25">
      <c r="A651" t="str" cm="1">
        <f t="array" ref="A651">IF(ISBLANK(INDEX(SampleList[GC],ROW()-1)),"Not Requested",INDEX(SampleList[Experiment ID],ROW()-1))</f>
        <v>Not Requested</v>
      </c>
      <c r="B651">
        <f>Sampling!E649</f>
        <v>0</v>
      </c>
      <c r="G651">
        <f t="shared" si="29"/>
        <v>3552.5</v>
      </c>
      <c r="H6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1">
        <f t="shared" si="30"/>
        <v>3752.6</v>
      </c>
      <c r="K651" t="e">
        <f t="shared" si="31"/>
        <v>#DIV/0!</v>
      </c>
    </row>
    <row r="652" spans="1:11" hidden="1" x14ac:dyDescent="0.25">
      <c r="A652" t="str" cm="1">
        <f t="array" ref="A652">IF(ISBLANK(INDEX(SampleList[GC],ROW()-1)),"Not Requested",INDEX(SampleList[Experiment ID],ROW()-1))</f>
        <v>Not Requested</v>
      </c>
      <c r="B652">
        <f>Sampling!E650</f>
        <v>0</v>
      </c>
      <c r="G652">
        <f t="shared" si="29"/>
        <v>3552.5</v>
      </c>
      <c r="H6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2">
        <f t="shared" si="30"/>
        <v>3752.6</v>
      </c>
      <c r="K652" t="e">
        <f t="shared" si="31"/>
        <v>#DIV/0!</v>
      </c>
    </row>
    <row r="653" spans="1:11" hidden="1" x14ac:dyDescent="0.25">
      <c r="A653" t="str" cm="1">
        <f t="array" ref="A653">IF(ISBLANK(INDEX(SampleList[GC],ROW()-1)),"Not Requested",INDEX(SampleList[Experiment ID],ROW()-1))</f>
        <v>Not Requested</v>
      </c>
      <c r="B653">
        <f>Sampling!E651</f>
        <v>0</v>
      </c>
      <c r="G653">
        <f t="shared" si="29"/>
        <v>3552.5</v>
      </c>
      <c r="H6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3">
        <f t="shared" si="30"/>
        <v>3752.6</v>
      </c>
      <c r="K653" t="e">
        <f t="shared" si="31"/>
        <v>#DIV/0!</v>
      </c>
    </row>
    <row r="654" spans="1:11" hidden="1" x14ac:dyDescent="0.25">
      <c r="A654" t="str" cm="1">
        <f t="array" ref="A654">IF(ISBLANK(INDEX(SampleList[GC],ROW()-1)),"Not Requested",INDEX(SampleList[Experiment ID],ROW()-1))</f>
        <v>Not Requested</v>
      </c>
      <c r="B654">
        <f>Sampling!E652</f>
        <v>0</v>
      </c>
      <c r="G654">
        <f t="shared" si="29"/>
        <v>3552.5</v>
      </c>
      <c r="H6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4">
        <f t="shared" si="30"/>
        <v>3752.6</v>
      </c>
      <c r="K654" t="e">
        <f t="shared" si="31"/>
        <v>#DIV/0!</v>
      </c>
    </row>
    <row r="655" spans="1:11" hidden="1" x14ac:dyDescent="0.25">
      <c r="A655" t="str" cm="1">
        <f t="array" ref="A655">IF(ISBLANK(INDEX(SampleList[GC],ROW()-1)),"Not Requested",INDEX(SampleList[Experiment ID],ROW()-1))</f>
        <v>Not Requested</v>
      </c>
      <c r="B655">
        <f>Sampling!E653</f>
        <v>0</v>
      </c>
      <c r="G655">
        <f t="shared" si="29"/>
        <v>3552.5</v>
      </c>
      <c r="H6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5">
        <f t="shared" si="30"/>
        <v>3752.6</v>
      </c>
      <c r="K655" t="e">
        <f t="shared" si="31"/>
        <v>#DIV/0!</v>
      </c>
    </row>
    <row r="656" spans="1:11" hidden="1" x14ac:dyDescent="0.25">
      <c r="A656" t="str" cm="1">
        <f t="array" ref="A656">IF(ISBLANK(INDEX(SampleList[GC],ROW()-1)),"Not Requested",INDEX(SampleList[Experiment ID],ROW()-1))</f>
        <v>Not Requested</v>
      </c>
      <c r="B656">
        <f>Sampling!E654</f>
        <v>0</v>
      </c>
      <c r="G656">
        <f t="shared" si="29"/>
        <v>3552.5</v>
      </c>
      <c r="H6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6">
        <f t="shared" si="30"/>
        <v>3752.6</v>
      </c>
      <c r="K656" t="e">
        <f t="shared" si="31"/>
        <v>#DIV/0!</v>
      </c>
    </row>
    <row r="657" spans="1:11" hidden="1" x14ac:dyDescent="0.25">
      <c r="A657" t="str" cm="1">
        <f t="array" ref="A657">IF(ISBLANK(INDEX(SampleList[GC],ROW()-1)),"Not Requested",INDEX(SampleList[Experiment ID],ROW()-1))</f>
        <v>Not Requested</v>
      </c>
      <c r="B657">
        <f>Sampling!E655</f>
        <v>0</v>
      </c>
      <c r="G657">
        <f t="shared" si="29"/>
        <v>3552.5</v>
      </c>
      <c r="H6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7">
        <f t="shared" si="30"/>
        <v>3752.6</v>
      </c>
      <c r="K657" t="e">
        <f t="shared" si="31"/>
        <v>#DIV/0!</v>
      </c>
    </row>
    <row r="658" spans="1:11" hidden="1" x14ac:dyDescent="0.25">
      <c r="A658" t="str" cm="1">
        <f t="array" ref="A658">IF(ISBLANK(INDEX(SampleList[GC],ROW()-1)),"Not Requested",INDEX(SampleList[Experiment ID],ROW()-1))</f>
        <v>Not Requested</v>
      </c>
      <c r="B658">
        <f>Sampling!E656</f>
        <v>0</v>
      </c>
      <c r="G658">
        <f t="shared" si="29"/>
        <v>3552.5</v>
      </c>
      <c r="H6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8">
        <f t="shared" si="30"/>
        <v>3752.6</v>
      </c>
      <c r="K658" t="e">
        <f t="shared" si="31"/>
        <v>#DIV/0!</v>
      </c>
    </row>
    <row r="659" spans="1:11" hidden="1" x14ac:dyDescent="0.25">
      <c r="A659" t="str" cm="1">
        <f t="array" ref="A659">IF(ISBLANK(INDEX(SampleList[GC],ROW()-1)),"Not Requested",INDEX(SampleList[Experiment ID],ROW()-1))</f>
        <v>Not Requested</v>
      </c>
      <c r="B659">
        <f>Sampling!E657</f>
        <v>0</v>
      </c>
      <c r="G659">
        <f t="shared" si="29"/>
        <v>3552.5</v>
      </c>
      <c r="H6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59">
        <f t="shared" si="30"/>
        <v>3752.6</v>
      </c>
      <c r="K659" t="e">
        <f t="shared" si="31"/>
        <v>#DIV/0!</v>
      </c>
    </row>
    <row r="660" spans="1:11" hidden="1" x14ac:dyDescent="0.25">
      <c r="A660" t="str" cm="1">
        <f t="array" ref="A660">IF(ISBLANK(INDEX(SampleList[GC],ROW()-1)),"Not Requested",INDEX(SampleList[Experiment ID],ROW()-1))</f>
        <v>Not Requested</v>
      </c>
      <c r="B660">
        <f>Sampling!E658</f>
        <v>0</v>
      </c>
      <c r="G660">
        <f t="shared" si="29"/>
        <v>3552.5</v>
      </c>
      <c r="H6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0">
        <f t="shared" si="30"/>
        <v>3752.6</v>
      </c>
      <c r="K660" t="e">
        <f t="shared" si="31"/>
        <v>#DIV/0!</v>
      </c>
    </row>
    <row r="661" spans="1:11" hidden="1" x14ac:dyDescent="0.25">
      <c r="A661" t="str" cm="1">
        <f t="array" ref="A661">IF(ISBLANK(INDEX(SampleList[GC],ROW()-1)),"Not Requested",INDEX(SampleList[Experiment ID],ROW()-1))</f>
        <v>Not Requested</v>
      </c>
      <c r="B661">
        <f>Sampling!E659</f>
        <v>0</v>
      </c>
      <c r="G661">
        <f t="shared" si="29"/>
        <v>3552.5</v>
      </c>
      <c r="H6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1">
        <f t="shared" si="30"/>
        <v>3752.6</v>
      </c>
      <c r="K661" t="e">
        <f t="shared" si="31"/>
        <v>#DIV/0!</v>
      </c>
    </row>
    <row r="662" spans="1:11" hidden="1" x14ac:dyDescent="0.25">
      <c r="A662" t="str" cm="1">
        <f t="array" ref="A662">IF(ISBLANK(INDEX(SampleList[GC],ROW()-1)),"Not Requested",INDEX(SampleList[Experiment ID],ROW()-1))</f>
        <v>Not Requested</v>
      </c>
      <c r="B662">
        <f>Sampling!E660</f>
        <v>0</v>
      </c>
      <c r="G662">
        <f t="shared" si="29"/>
        <v>3552.5</v>
      </c>
      <c r="H6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2">
        <f t="shared" si="30"/>
        <v>3752.6</v>
      </c>
      <c r="K662" t="e">
        <f t="shared" si="31"/>
        <v>#DIV/0!</v>
      </c>
    </row>
    <row r="663" spans="1:11" hidden="1" x14ac:dyDescent="0.25">
      <c r="A663" t="str" cm="1">
        <f t="array" ref="A663">IF(ISBLANK(INDEX(SampleList[GC],ROW()-1)),"Not Requested",INDEX(SampleList[Experiment ID],ROW()-1))</f>
        <v>Not Requested</v>
      </c>
      <c r="B663">
        <f>Sampling!E661</f>
        <v>0</v>
      </c>
      <c r="G663">
        <f t="shared" si="29"/>
        <v>3552.5</v>
      </c>
      <c r="H6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3">
        <f t="shared" si="30"/>
        <v>3752.6</v>
      </c>
      <c r="K663" t="e">
        <f t="shared" si="31"/>
        <v>#DIV/0!</v>
      </c>
    </row>
    <row r="664" spans="1:11" hidden="1" x14ac:dyDescent="0.25">
      <c r="A664" t="str" cm="1">
        <f t="array" ref="A664">IF(ISBLANK(INDEX(SampleList[GC],ROW()-1)),"Not Requested",INDEX(SampleList[Experiment ID],ROW()-1))</f>
        <v>Not Requested</v>
      </c>
      <c r="B664">
        <f>Sampling!E662</f>
        <v>0</v>
      </c>
      <c r="G664">
        <f t="shared" si="29"/>
        <v>3552.5</v>
      </c>
      <c r="H6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4">
        <f t="shared" si="30"/>
        <v>3752.6</v>
      </c>
      <c r="K664" t="e">
        <f t="shared" si="31"/>
        <v>#DIV/0!</v>
      </c>
    </row>
    <row r="665" spans="1:11" hidden="1" x14ac:dyDescent="0.25">
      <c r="A665" t="str" cm="1">
        <f t="array" ref="A665">IF(ISBLANK(INDEX(SampleList[GC],ROW()-1)),"Not Requested",INDEX(SampleList[Experiment ID],ROW()-1))</f>
        <v>Not Requested</v>
      </c>
      <c r="B665">
        <f>Sampling!E663</f>
        <v>0</v>
      </c>
      <c r="G665">
        <f t="shared" si="29"/>
        <v>3552.5</v>
      </c>
      <c r="H6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5">
        <f t="shared" si="30"/>
        <v>3752.6</v>
      </c>
      <c r="K665" t="e">
        <f t="shared" si="31"/>
        <v>#DIV/0!</v>
      </c>
    </row>
    <row r="666" spans="1:11" hidden="1" x14ac:dyDescent="0.25">
      <c r="A666" t="str" cm="1">
        <f t="array" ref="A666">IF(ISBLANK(INDEX(SampleList[GC],ROW()-1)),"Not Requested",INDEX(SampleList[Experiment ID],ROW()-1))</f>
        <v>Not Requested</v>
      </c>
      <c r="B666">
        <f>Sampling!E664</f>
        <v>0</v>
      </c>
      <c r="G666">
        <f t="shared" si="29"/>
        <v>3552.5</v>
      </c>
      <c r="H6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6">
        <f t="shared" si="30"/>
        <v>3752.6</v>
      </c>
      <c r="K666" t="e">
        <f t="shared" si="31"/>
        <v>#DIV/0!</v>
      </c>
    </row>
    <row r="667" spans="1:11" hidden="1" x14ac:dyDescent="0.25">
      <c r="A667" t="str" cm="1">
        <f t="array" ref="A667">IF(ISBLANK(INDEX(SampleList[GC],ROW()-1)),"Not Requested",INDEX(SampleList[Experiment ID],ROW()-1))</f>
        <v>Not Requested</v>
      </c>
      <c r="B667">
        <f>Sampling!E665</f>
        <v>0</v>
      </c>
      <c r="G667">
        <f t="shared" si="29"/>
        <v>3552.5</v>
      </c>
      <c r="H6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7">
        <f t="shared" si="30"/>
        <v>3752.6</v>
      </c>
      <c r="K667" t="e">
        <f t="shared" si="31"/>
        <v>#DIV/0!</v>
      </c>
    </row>
    <row r="668" spans="1:11" hidden="1" x14ac:dyDescent="0.25">
      <c r="A668" t="str" cm="1">
        <f t="array" ref="A668">IF(ISBLANK(INDEX(SampleList[GC],ROW()-1)),"Not Requested",INDEX(SampleList[Experiment ID],ROW()-1))</f>
        <v>Not Requested</v>
      </c>
      <c r="B668">
        <f>Sampling!E666</f>
        <v>0</v>
      </c>
      <c r="G668">
        <f t="shared" si="29"/>
        <v>3552.5</v>
      </c>
      <c r="H6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8">
        <f t="shared" si="30"/>
        <v>3752.6</v>
      </c>
      <c r="K668" t="e">
        <f t="shared" si="31"/>
        <v>#DIV/0!</v>
      </c>
    </row>
    <row r="669" spans="1:11" hidden="1" x14ac:dyDescent="0.25">
      <c r="A669" t="str" cm="1">
        <f t="array" ref="A669">IF(ISBLANK(INDEX(SampleList[GC],ROW()-1)),"Not Requested",INDEX(SampleList[Experiment ID],ROW()-1))</f>
        <v>Not Requested</v>
      </c>
      <c r="B669">
        <f>Sampling!E667</f>
        <v>0</v>
      </c>
      <c r="G669">
        <f t="shared" si="29"/>
        <v>3552.5</v>
      </c>
      <c r="H6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69">
        <f t="shared" si="30"/>
        <v>3752.6</v>
      </c>
      <c r="K669" t="e">
        <f t="shared" si="31"/>
        <v>#DIV/0!</v>
      </c>
    </row>
    <row r="670" spans="1:11" hidden="1" x14ac:dyDescent="0.25">
      <c r="A670" t="str" cm="1">
        <f t="array" ref="A670">IF(ISBLANK(INDEX(SampleList[GC],ROW()-1)),"Not Requested",INDEX(SampleList[Experiment ID],ROW()-1))</f>
        <v>Not Requested</v>
      </c>
      <c r="B670">
        <f>Sampling!E668</f>
        <v>0</v>
      </c>
      <c r="G670">
        <f t="shared" si="29"/>
        <v>3552.5</v>
      </c>
      <c r="H6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0">
        <f t="shared" si="30"/>
        <v>3752.6</v>
      </c>
      <c r="K670" t="e">
        <f t="shared" si="31"/>
        <v>#DIV/0!</v>
      </c>
    </row>
    <row r="671" spans="1:11" hidden="1" x14ac:dyDescent="0.25">
      <c r="A671" t="str" cm="1">
        <f t="array" ref="A671">IF(ISBLANK(INDEX(SampleList[GC],ROW()-1)),"Not Requested",INDEX(SampleList[Experiment ID],ROW()-1))</f>
        <v>Not Requested</v>
      </c>
      <c r="B671">
        <f>Sampling!E669</f>
        <v>0</v>
      </c>
      <c r="G671">
        <f t="shared" si="29"/>
        <v>3552.5</v>
      </c>
      <c r="H6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1">
        <f t="shared" si="30"/>
        <v>3752.6</v>
      </c>
      <c r="K671" t="e">
        <f t="shared" si="31"/>
        <v>#DIV/0!</v>
      </c>
    </row>
    <row r="672" spans="1:11" hidden="1" x14ac:dyDescent="0.25">
      <c r="A672" t="str" cm="1">
        <f t="array" ref="A672">IF(ISBLANK(INDEX(SampleList[GC],ROW()-1)),"Not Requested",INDEX(SampleList[Experiment ID],ROW()-1))</f>
        <v>Not Requested</v>
      </c>
      <c r="B672">
        <f>Sampling!E670</f>
        <v>0</v>
      </c>
      <c r="G672">
        <f t="shared" si="29"/>
        <v>3552.5</v>
      </c>
      <c r="H6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2">
        <f t="shared" si="30"/>
        <v>3752.6</v>
      </c>
      <c r="K672" t="e">
        <f t="shared" si="31"/>
        <v>#DIV/0!</v>
      </c>
    </row>
    <row r="673" spans="1:11" hidden="1" x14ac:dyDescent="0.25">
      <c r="A673" t="str" cm="1">
        <f t="array" ref="A673">IF(ISBLANK(INDEX(SampleList[GC],ROW()-1)),"Not Requested",INDEX(SampleList[Experiment ID],ROW()-1))</f>
        <v>Not Requested</v>
      </c>
      <c r="B673">
        <f>Sampling!E671</f>
        <v>0</v>
      </c>
      <c r="G673">
        <f t="shared" ref="G673:G736" si="32">24.5*145</f>
        <v>3552.5</v>
      </c>
      <c r="H6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3">
        <f t="shared" si="30"/>
        <v>3752.6</v>
      </c>
      <c r="K673" t="e">
        <f t="shared" si="31"/>
        <v>#DIV/0!</v>
      </c>
    </row>
    <row r="674" spans="1:11" hidden="1" x14ac:dyDescent="0.25">
      <c r="A674" t="str" cm="1">
        <f t="array" ref="A674">IF(ISBLANK(INDEX(SampleList[GC],ROW()-1)),"Not Requested",INDEX(SampleList[Experiment ID],ROW()-1))</f>
        <v>Not Requested</v>
      </c>
      <c r="B674">
        <f>Sampling!E672</f>
        <v>0</v>
      </c>
      <c r="G674">
        <f t="shared" si="32"/>
        <v>3552.5</v>
      </c>
      <c r="H6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4">
        <f t="shared" si="30"/>
        <v>3752.6</v>
      </c>
      <c r="K674" t="e">
        <f t="shared" si="31"/>
        <v>#DIV/0!</v>
      </c>
    </row>
    <row r="675" spans="1:11" hidden="1" x14ac:dyDescent="0.25">
      <c r="A675" t="str" cm="1">
        <f t="array" ref="A675">IF(ISBLANK(INDEX(SampleList[GC],ROW()-1)),"Not Requested",INDEX(SampleList[Experiment ID],ROW()-1))</f>
        <v>Not Requested</v>
      </c>
      <c r="B675">
        <f>Sampling!E673</f>
        <v>0</v>
      </c>
      <c r="G675">
        <f t="shared" si="32"/>
        <v>3552.5</v>
      </c>
      <c r="H6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5">
        <f t="shared" si="30"/>
        <v>3752.6</v>
      </c>
      <c r="K675" t="e">
        <f t="shared" si="31"/>
        <v>#DIV/0!</v>
      </c>
    </row>
    <row r="676" spans="1:11" hidden="1" x14ac:dyDescent="0.25">
      <c r="A676" t="str" cm="1">
        <f t="array" ref="A676">IF(ISBLANK(INDEX(SampleList[GC],ROW()-1)),"Not Requested",INDEX(SampleList[Experiment ID],ROW()-1))</f>
        <v>Not Requested</v>
      </c>
      <c r="B676">
        <f>Sampling!E674</f>
        <v>0</v>
      </c>
      <c r="G676">
        <f t="shared" si="32"/>
        <v>3552.5</v>
      </c>
      <c r="H6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6">
        <f t="shared" si="30"/>
        <v>3752.6</v>
      </c>
      <c r="K676" t="e">
        <f t="shared" si="31"/>
        <v>#DIV/0!</v>
      </c>
    </row>
    <row r="677" spans="1:11" hidden="1" x14ac:dyDescent="0.25">
      <c r="A677" t="str" cm="1">
        <f t="array" ref="A677">IF(ISBLANK(INDEX(SampleList[GC],ROW()-1)),"Not Requested",INDEX(SampleList[Experiment ID],ROW()-1))</f>
        <v>Not Requested</v>
      </c>
      <c r="B677">
        <f>Sampling!E675</f>
        <v>0</v>
      </c>
      <c r="G677">
        <f t="shared" si="32"/>
        <v>3552.5</v>
      </c>
      <c r="H6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7">
        <f t="shared" si="30"/>
        <v>3752.6</v>
      </c>
      <c r="K677" t="e">
        <f t="shared" si="31"/>
        <v>#DIV/0!</v>
      </c>
    </row>
    <row r="678" spans="1:11" hidden="1" x14ac:dyDescent="0.25">
      <c r="A678" t="str" cm="1">
        <f t="array" ref="A678">IF(ISBLANK(INDEX(SampleList[GC],ROW()-1)),"Not Requested",INDEX(SampleList[Experiment ID],ROW()-1))</f>
        <v>Not Requested</v>
      </c>
      <c r="B678">
        <f>Sampling!E676</f>
        <v>0</v>
      </c>
      <c r="G678">
        <f t="shared" si="32"/>
        <v>3552.5</v>
      </c>
      <c r="H6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8">
        <f t="shared" si="30"/>
        <v>3752.6</v>
      </c>
      <c r="K678" t="e">
        <f t="shared" si="31"/>
        <v>#DIV/0!</v>
      </c>
    </row>
    <row r="679" spans="1:11" hidden="1" x14ac:dyDescent="0.25">
      <c r="A679" t="str" cm="1">
        <f t="array" ref="A679">IF(ISBLANK(INDEX(SampleList[GC],ROW()-1)),"Not Requested",INDEX(SampleList[Experiment ID],ROW()-1))</f>
        <v>Not Requested</v>
      </c>
      <c r="B679">
        <f>Sampling!E677</f>
        <v>0</v>
      </c>
      <c r="G679">
        <f t="shared" si="32"/>
        <v>3552.5</v>
      </c>
      <c r="H6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79">
        <f t="shared" si="30"/>
        <v>3752.6</v>
      </c>
      <c r="K679" t="e">
        <f t="shared" si="31"/>
        <v>#DIV/0!</v>
      </c>
    </row>
    <row r="680" spans="1:11" hidden="1" x14ac:dyDescent="0.25">
      <c r="A680" t="str" cm="1">
        <f t="array" ref="A680">IF(ISBLANK(INDEX(SampleList[GC],ROW()-1)),"Not Requested",INDEX(SampleList[Experiment ID],ROW()-1))</f>
        <v>Not Requested</v>
      </c>
      <c r="B680">
        <f>Sampling!E678</f>
        <v>0</v>
      </c>
      <c r="G680">
        <f t="shared" si="32"/>
        <v>3552.5</v>
      </c>
      <c r="H6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0">
        <f t="shared" si="30"/>
        <v>3752.6</v>
      </c>
      <c r="K680" t="e">
        <f t="shared" si="31"/>
        <v>#DIV/0!</v>
      </c>
    </row>
    <row r="681" spans="1:11" hidden="1" x14ac:dyDescent="0.25">
      <c r="A681" t="str" cm="1">
        <f t="array" ref="A681">IF(ISBLANK(INDEX(SampleList[GC],ROW()-1)),"Not Requested",INDEX(SampleList[Experiment ID],ROW()-1))</f>
        <v>Not Requested</v>
      </c>
      <c r="B681">
        <f>Sampling!E679</f>
        <v>0</v>
      </c>
      <c r="G681">
        <f t="shared" si="32"/>
        <v>3552.5</v>
      </c>
      <c r="H6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1">
        <f t="shared" si="30"/>
        <v>3752.6</v>
      </c>
      <c r="K681" t="e">
        <f t="shared" si="31"/>
        <v>#DIV/0!</v>
      </c>
    </row>
    <row r="682" spans="1:11" hidden="1" x14ac:dyDescent="0.25">
      <c r="A682" t="str" cm="1">
        <f t="array" ref="A682">IF(ISBLANK(INDEX(SampleList[GC],ROW()-1)),"Not Requested",INDEX(SampleList[Experiment ID],ROW()-1))</f>
        <v>Not Requested</v>
      </c>
      <c r="B682">
        <f>Sampling!E680</f>
        <v>0</v>
      </c>
      <c r="G682">
        <f t="shared" si="32"/>
        <v>3552.5</v>
      </c>
      <c r="H6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2">
        <f t="shared" si="30"/>
        <v>3752.6</v>
      </c>
      <c r="K682" t="e">
        <f t="shared" si="31"/>
        <v>#DIV/0!</v>
      </c>
    </row>
    <row r="683" spans="1:11" hidden="1" x14ac:dyDescent="0.25">
      <c r="A683" t="str" cm="1">
        <f t="array" ref="A683">IF(ISBLANK(INDEX(SampleList[GC],ROW()-1)),"Not Requested",INDEX(SampleList[Experiment ID],ROW()-1))</f>
        <v>Not Requested</v>
      </c>
      <c r="B683">
        <f>Sampling!E681</f>
        <v>0</v>
      </c>
      <c r="G683">
        <f t="shared" si="32"/>
        <v>3552.5</v>
      </c>
      <c r="H6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3">
        <f t="shared" si="30"/>
        <v>3752.6</v>
      </c>
      <c r="K683" t="e">
        <f t="shared" si="31"/>
        <v>#DIV/0!</v>
      </c>
    </row>
    <row r="684" spans="1:11" hidden="1" x14ac:dyDescent="0.25">
      <c r="A684" t="str" cm="1">
        <f t="array" ref="A684">IF(ISBLANK(INDEX(SampleList[GC],ROW()-1)),"Not Requested",INDEX(SampleList[Experiment ID],ROW()-1))</f>
        <v>Not Requested</v>
      </c>
      <c r="B684">
        <f>Sampling!E682</f>
        <v>0</v>
      </c>
      <c r="G684">
        <f t="shared" si="32"/>
        <v>3552.5</v>
      </c>
      <c r="H6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4">
        <f t="shared" si="30"/>
        <v>3752.6</v>
      </c>
      <c r="K684" t="e">
        <f t="shared" si="31"/>
        <v>#DIV/0!</v>
      </c>
    </row>
    <row r="685" spans="1:11" hidden="1" x14ac:dyDescent="0.25">
      <c r="A685" t="str" cm="1">
        <f t="array" ref="A685">IF(ISBLANK(INDEX(SampleList[GC],ROW()-1)),"Not Requested",INDEX(SampleList[Experiment ID],ROW()-1))</f>
        <v>Not Requested</v>
      </c>
      <c r="B685">
        <f>Sampling!E683</f>
        <v>0</v>
      </c>
      <c r="G685">
        <f t="shared" si="32"/>
        <v>3552.5</v>
      </c>
      <c r="H6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5">
        <f t="shared" si="30"/>
        <v>3752.6</v>
      </c>
      <c r="K685" t="e">
        <f t="shared" si="31"/>
        <v>#DIV/0!</v>
      </c>
    </row>
    <row r="686" spans="1:11" hidden="1" x14ac:dyDescent="0.25">
      <c r="A686" t="str" cm="1">
        <f t="array" ref="A686">IF(ISBLANK(INDEX(SampleList[GC],ROW()-1)),"Not Requested",INDEX(SampleList[Experiment ID],ROW()-1))</f>
        <v>Not Requested</v>
      </c>
      <c r="B686">
        <f>Sampling!E684</f>
        <v>0</v>
      </c>
      <c r="G686">
        <f t="shared" si="32"/>
        <v>3552.5</v>
      </c>
      <c r="H6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6">
        <f t="shared" si="30"/>
        <v>3752.6</v>
      </c>
      <c r="K686" t="e">
        <f t="shared" si="31"/>
        <v>#DIV/0!</v>
      </c>
    </row>
    <row r="687" spans="1:11" hidden="1" x14ac:dyDescent="0.25">
      <c r="A687" t="str" cm="1">
        <f t="array" ref="A687">IF(ISBLANK(INDEX(SampleList[GC],ROW()-1)),"Not Requested",INDEX(SampleList[Experiment ID],ROW()-1))</f>
        <v>Not Requested</v>
      </c>
      <c r="B687">
        <f>Sampling!E685</f>
        <v>0</v>
      </c>
      <c r="G687">
        <f t="shared" si="32"/>
        <v>3552.5</v>
      </c>
      <c r="H6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7">
        <f t="shared" si="30"/>
        <v>3752.6</v>
      </c>
      <c r="K687" t="e">
        <f t="shared" si="31"/>
        <v>#DIV/0!</v>
      </c>
    </row>
    <row r="688" spans="1:11" hidden="1" x14ac:dyDescent="0.25">
      <c r="A688" t="str" cm="1">
        <f t="array" ref="A688">IF(ISBLANK(INDEX(SampleList[GC],ROW()-1)),"Not Requested",INDEX(SampleList[Experiment ID],ROW()-1))</f>
        <v>Not Requested</v>
      </c>
      <c r="B688">
        <f>Sampling!E686</f>
        <v>0</v>
      </c>
      <c r="G688">
        <f t="shared" si="32"/>
        <v>3552.5</v>
      </c>
      <c r="H6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8">
        <f t="shared" si="30"/>
        <v>3752.6</v>
      </c>
      <c r="K688" t="e">
        <f t="shared" si="31"/>
        <v>#DIV/0!</v>
      </c>
    </row>
    <row r="689" spans="1:11" hidden="1" x14ac:dyDescent="0.25">
      <c r="A689" t="str" cm="1">
        <f t="array" ref="A689">IF(ISBLANK(INDEX(SampleList[GC],ROW()-1)),"Not Requested",INDEX(SampleList[Experiment ID],ROW()-1))</f>
        <v>Not Requested</v>
      </c>
      <c r="B689">
        <f>Sampling!E687</f>
        <v>0</v>
      </c>
      <c r="G689">
        <f t="shared" si="32"/>
        <v>3552.5</v>
      </c>
      <c r="H6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89">
        <f t="shared" si="30"/>
        <v>3752.6</v>
      </c>
      <c r="K689" t="e">
        <f t="shared" si="31"/>
        <v>#DIV/0!</v>
      </c>
    </row>
    <row r="690" spans="1:11" hidden="1" x14ac:dyDescent="0.25">
      <c r="A690" t="str" cm="1">
        <f t="array" ref="A690">IF(ISBLANK(INDEX(SampleList[GC],ROW()-1)),"Not Requested",INDEX(SampleList[Experiment ID],ROW()-1))</f>
        <v>Not Requested</v>
      </c>
      <c r="B690">
        <f>Sampling!E688</f>
        <v>0</v>
      </c>
      <c r="G690">
        <f t="shared" si="32"/>
        <v>3552.5</v>
      </c>
      <c r="H6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0">
        <f t="shared" si="30"/>
        <v>3752.6</v>
      </c>
      <c r="K690" t="e">
        <f t="shared" si="31"/>
        <v>#DIV/0!</v>
      </c>
    </row>
    <row r="691" spans="1:11" hidden="1" x14ac:dyDescent="0.25">
      <c r="A691" t="str" cm="1">
        <f t="array" ref="A691">IF(ISBLANK(INDEX(SampleList[GC],ROW()-1)),"Not Requested",INDEX(SampleList[Experiment ID],ROW()-1))</f>
        <v>Not Requested</v>
      </c>
      <c r="B691">
        <f>Sampling!E689</f>
        <v>0</v>
      </c>
      <c r="G691">
        <f t="shared" si="32"/>
        <v>3552.5</v>
      </c>
      <c r="H6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1">
        <f t="shared" si="30"/>
        <v>3752.6</v>
      </c>
      <c r="K691" t="e">
        <f t="shared" si="31"/>
        <v>#DIV/0!</v>
      </c>
    </row>
    <row r="692" spans="1:11" hidden="1" x14ac:dyDescent="0.25">
      <c r="A692" t="str" cm="1">
        <f t="array" ref="A692">IF(ISBLANK(INDEX(SampleList[GC],ROW()-1)),"Not Requested",INDEX(SampleList[Experiment ID],ROW()-1))</f>
        <v>Not Requested</v>
      </c>
      <c r="B692">
        <f>Sampling!E690</f>
        <v>0</v>
      </c>
      <c r="G692">
        <f t="shared" si="32"/>
        <v>3552.5</v>
      </c>
      <c r="H6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2">
        <f t="shared" si="30"/>
        <v>3752.6</v>
      </c>
      <c r="K692" t="e">
        <f t="shared" si="31"/>
        <v>#DIV/0!</v>
      </c>
    </row>
    <row r="693" spans="1:11" hidden="1" x14ac:dyDescent="0.25">
      <c r="A693" t="str" cm="1">
        <f t="array" ref="A693">IF(ISBLANK(INDEX(SampleList[GC],ROW()-1)),"Not Requested",INDEX(SampleList[Experiment ID],ROW()-1))</f>
        <v>Not Requested</v>
      </c>
      <c r="B693">
        <f>Sampling!E691</f>
        <v>0</v>
      </c>
      <c r="G693">
        <f t="shared" si="32"/>
        <v>3552.5</v>
      </c>
      <c r="H6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3">
        <f t="shared" si="30"/>
        <v>3752.6</v>
      </c>
      <c r="K693" t="e">
        <f t="shared" si="31"/>
        <v>#DIV/0!</v>
      </c>
    </row>
    <row r="694" spans="1:11" hidden="1" x14ac:dyDescent="0.25">
      <c r="A694" t="str" cm="1">
        <f t="array" ref="A694">IF(ISBLANK(INDEX(SampleList[GC],ROW()-1)),"Not Requested",INDEX(SampleList[Experiment ID],ROW()-1))</f>
        <v>Not Requested</v>
      </c>
      <c r="B694">
        <f>Sampling!E692</f>
        <v>0</v>
      </c>
      <c r="G694">
        <f t="shared" si="32"/>
        <v>3552.5</v>
      </c>
      <c r="H6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4">
        <f t="shared" si="30"/>
        <v>3752.6</v>
      </c>
      <c r="K694" t="e">
        <f t="shared" si="31"/>
        <v>#DIV/0!</v>
      </c>
    </row>
    <row r="695" spans="1:11" hidden="1" x14ac:dyDescent="0.25">
      <c r="A695" t="str" cm="1">
        <f t="array" ref="A695">IF(ISBLANK(INDEX(SampleList[GC],ROW()-1)),"Not Requested",INDEX(SampleList[Experiment ID],ROW()-1))</f>
        <v>Not Requested</v>
      </c>
      <c r="B695">
        <f>Sampling!E693</f>
        <v>0</v>
      </c>
      <c r="G695">
        <f t="shared" si="32"/>
        <v>3552.5</v>
      </c>
      <c r="H6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5">
        <f t="shared" si="30"/>
        <v>3752.6</v>
      </c>
      <c r="K695" t="e">
        <f t="shared" si="31"/>
        <v>#DIV/0!</v>
      </c>
    </row>
    <row r="696" spans="1:11" hidden="1" x14ac:dyDescent="0.25">
      <c r="A696" t="str" cm="1">
        <f t="array" ref="A696">IF(ISBLANK(INDEX(SampleList[GC],ROW()-1)),"Not Requested",INDEX(SampleList[Experiment ID],ROW()-1))</f>
        <v>Not Requested</v>
      </c>
      <c r="B696">
        <f>Sampling!E694</f>
        <v>0</v>
      </c>
      <c r="G696">
        <f t="shared" si="32"/>
        <v>3552.5</v>
      </c>
      <c r="H6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6">
        <f t="shared" si="30"/>
        <v>3752.6</v>
      </c>
      <c r="K696" t="e">
        <f t="shared" si="31"/>
        <v>#DIV/0!</v>
      </c>
    </row>
    <row r="697" spans="1:11" hidden="1" x14ac:dyDescent="0.25">
      <c r="A697" t="str" cm="1">
        <f t="array" ref="A697">IF(ISBLANK(INDEX(SampleList[GC],ROW()-1)),"Not Requested",INDEX(SampleList[Experiment ID],ROW()-1))</f>
        <v>Not Requested</v>
      </c>
      <c r="B697">
        <f>Sampling!E695</f>
        <v>0</v>
      </c>
      <c r="G697">
        <f t="shared" si="32"/>
        <v>3552.5</v>
      </c>
      <c r="H6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7">
        <f t="shared" si="30"/>
        <v>3752.6</v>
      </c>
      <c r="K697" t="e">
        <f t="shared" si="31"/>
        <v>#DIV/0!</v>
      </c>
    </row>
    <row r="698" spans="1:11" hidden="1" x14ac:dyDescent="0.25">
      <c r="A698" t="str" cm="1">
        <f t="array" ref="A698">IF(ISBLANK(INDEX(SampleList[GC],ROW()-1)),"Not Requested",INDEX(SampleList[Experiment ID],ROW()-1))</f>
        <v>Not Requested</v>
      </c>
      <c r="B698">
        <f>Sampling!E696</f>
        <v>0</v>
      </c>
      <c r="G698">
        <f t="shared" si="32"/>
        <v>3552.5</v>
      </c>
      <c r="H6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8">
        <f t="shared" si="30"/>
        <v>3752.6</v>
      </c>
      <c r="K698" t="e">
        <f t="shared" si="31"/>
        <v>#DIV/0!</v>
      </c>
    </row>
    <row r="699" spans="1:11" hidden="1" x14ac:dyDescent="0.25">
      <c r="A699" t="str" cm="1">
        <f t="array" ref="A699">IF(ISBLANK(INDEX(SampleList[GC],ROW()-1)),"Not Requested",INDEX(SampleList[Experiment ID],ROW()-1))</f>
        <v>Not Requested</v>
      </c>
      <c r="B699">
        <f>Sampling!E697</f>
        <v>0</v>
      </c>
      <c r="G699">
        <f t="shared" si="32"/>
        <v>3552.5</v>
      </c>
      <c r="H6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699">
        <f t="shared" si="30"/>
        <v>3752.6</v>
      </c>
      <c r="K699" t="e">
        <f t="shared" si="31"/>
        <v>#DIV/0!</v>
      </c>
    </row>
    <row r="700" spans="1:11" hidden="1" x14ac:dyDescent="0.25">
      <c r="A700" t="str" cm="1">
        <f t="array" ref="A700">IF(ISBLANK(INDEX(SampleList[GC],ROW()-1)),"Not Requested",INDEX(SampleList[Experiment ID],ROW()-1))</f>
        <v>Not Requested</v>
      </c>
      <c r="B700">
        <f>Sampling!E698</f>
        <v>0</v>
      </c>
      <c r="G700">
        <f t="shared" si="32"/>
        <v>3552.5</v>
      </c>
      <c r="H7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0">
        <f t="shared" si="30"/>
        <v>3752.6</v>
      </c>
      <c r="K700" t="e">
        <f t="shared" si="31"/>
        <v>#DIV/0!</v>
      </c>
    </row>
    <row r="701" spans="1:11" hidden="1" x14ac:dyDescent="0.25">
      <c r="A701" t="str" cm="1">
        <f t="array" ref="A701">IF(ISBLANK(INDEX(SampleList[GC],ROW()-1)),"Not Requested",INDEX(SampleList[Experiment ID],ROW()-1))</f>
        <v>Not Requested</v>
      </c>
      <c r="B701">
        <f>Sampling!E699</f>
        <v>0</v>
      </c>
      <c r="G701">
        <f t="shared" si="32"/>
        <v>3552.5</v>
      </c>
      <c r="H7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1">
        <f t="shared" si="30"/>
        <v>3752.6</v>
      </c>
      <c r="K701" t="e">
        <f t="shared" si="31"/>
        <v>#DIV/0!</v>
      </c>
    </row>
    <row r="702" spans="1:11" hidden="1" x14ac:dyDescent="0.25">
      <c r="A702" t="str" cm="1">
        <f t="array" ref="A702">IF(ISBLANK(INDEX(SampleList[GC],ROW()-1)),"Not Requested",INDEX(SampleList[Experiment ID],ROW()-1))</f>
        <v>Not Requested</v>
      </c>
      <c r="B702">
        <f>Sampling!E700</f>
        <v>0</v>
      </c>
      <c r="G702">
        <f t="shared" si="32"/>
        <v>3552.5</v>
      </c>
      <c r="H7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2">
        <f t="shared" si="30"/>
        <v>3752.6</v>
      </c>
      <c r="K702" t="e">
        <f t="shared" si="31"/>
        <v>#DIV/0!</v>
      </c>
    </row>
    <row r="703" spans="1:11" hidden="1" x14ac:dyDescent="0.25">
      <c r="A703" t="str" cm="1">
        <f t="array" ref="A703">IF(ISBLANK(INDEX(SampleList[GC],ROW()-1)),"Not Requested",INDEX(SampleList[Experiment ID],ROW()-1))</f>
        <v>Not Requested</v>
      </c>
      <c r="B703">
        <f>Sampling!E701</f>
        <v>0</v>
      </c>
      <c r="G703">
        <f t="shared" si="32"/>
        <v>3552.5</v>
      </c>
      <c r="H7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3">
        <f t="shared" si="30"/>
        <v>3752.6</v>
      </c>
      <c r="K703" t="e">
        <f t="shared" si="31"/>
        <v>#DIV/0!</v>
      </c>
    </row>
    <row r="704" spans="1:11" hidden="1" x14ac:dyDescent="0.25">
      <c r="A704" t="str" cm="1">
        <f t="array" ref="A704">IF(ISBLANK(INDEX(SampleList[GC],ROW()-1)),"Not Requested",INDEX(SampleList[Experiment ID],ROW()-1))</f>
        <v>Not Requested</v>
      </c>
      <c r="B704">
        <f>Sampling!E702</f>
        <v>0</v>
      </c>
      <c r="G704">
        <f t="shared" si="32"/>
        <v>3552.5</v>
      </c>
      <c r="H7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4">
        <f t="shared" si="30"/>
        <v>3752.6</v>
      </c>
      <c r="K704" t="e">
        <f t="shared" si="31"/>
        <v>#DIV/0!</v>
      </c>
    </row>
    <row r="705" spans="1:11" hidden="1" x14ac:dyDescent="0.25">
      <c r="A705" t="str" cm="1">
        <f t="array" ref="A705">IF(ISBLANK(INDEX(SampleList[GC],ROW()-1)),"Not Requested",INDEX(SampleList[Experiment ID],ROW()-1))</f>
        <v>Not Requested</v>
      </c>
      <c r="B705">
        <f>Sampling!E703</f>
        <v>0</v>
      </c>
      <c r="G705">
        <f t="shared" si="32"/>
        <v>3552.5</v>
      </c>
      <c r="H7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5">
        <f t="shared" si="30"/>
        <v>3752.6</v>
      </c>
      <c r="K705" t="e">
        <f t="shared" si="31"/>
        <v>#DIV/0!</v>
      </c>
    </row>
    <row r="706" spans="1:11" hidden="1" x14ac:dyDescent="0.25">
      <c r="A706" t="str" cm="1">
        <f t="array" ref="A706">IF(ISBLANK(INDEX(SampleList[GC],ROW()-1)),"Not Requested",INDEX(SampleList[Experiment ID],ROW()-1))</f>
        <v>Not Requested</v>
      </c>
      <c r="B706">
        <f>Sampling!E704</f>
        <v>0</v>
      </c>
      <c r="G706">
        <f t="shared" si="32"/>
        <v>3552.5</v>
      </c>
      <c r="H7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6">
        <f t="shared" ref="I706:I769" si="33">25.88*145</f>
        <v>3752.6</v>
      </c>
      <c r="K706" t="e">
        <f t="shared" ref="K706:K769" si="34">(500/D706)*J706</f>
        <v>#DIV/0!</v>
      </c>
    </row>
    <row r="707" spans="1:11" hidden="1" x14ac:dyDescent="0.25">
      <c r="A707" t="str" cm="1">
        <f t="array" ref="A707">IF(ISBLANK(INDEX(SampleList[GC],ROW()-1)),"Not Requested",INDEX(SampleList[Experiment ID],ROW()-1))</f>
        <v>Not Requested</v>
      </c>
      <c r="B707">
        <f>Sampling!E705</f>
        <v>0</v>
      </c>
      <c r="G707">
        <f t="shared" si="32"/>
        <v>3552.5</v>
      </c>
      <c r="H7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7">
        <f t="shared" si="33"/>
        <v>3752.6</v>
      </c>
      <c r="K707" t="e">
        <f t="shared" si="34"/>
        <v>#DIV/0!</v>
      </c>
    </row>
    <row r="708" spans="1:11" hidden="1" x14ac:dyDescent="0.25">
      <c r="A708" t="str" cm="1">
        <f t="array" ref="A708">IF(ISBLANK(INDEX(SampleList[GC],ROW()-1)),"Not Requested",INDEX(SampleList[Experiment ID],ROW()-1))</f>
        <v>Not Requested</v>
      </c>
      <c r="B708">
        <f>Sampling!E706</f>
        <v>0</v>
      </c>
      <c r="G708">
        <f t="shared" si="32"/>
        <v>3552.5</v>
      </c>
      <c r="H7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8">
        <f t="shared" si="33"/>
        <v>3752.6</v>
      </c>
      <c r="K708" t="e">
        <f t="shared" si="34"/>
        <v>#DIV/0!</v>
      </c>
    </row>
    <row r="709" spans="1:11" hidden="1" x14ac:dyDescent="0.25">
      <c r="A709" t="str" cm="1">
        <f t="array" ref="A709">IF(ISBLANK(INDEX(SampleList[GC],ROW()-1)),"Not Requested",INDEX(SampleList[Experiment ID],ROW()-1))</f>
        <v>Not Requested</v>
      </c>
      <c r="B709">
        <f>Sampling!E707</f>
        <v>0</v>
      </c>
      <c r="G709">
        <f t="shared" si="32"/>
        <v>3552.5</v>
      </c>
      <c r="H7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09">
        <f t="shared" si="33"/>
        <v>3752.6</v>
      </c>
      <c r="K709" t="e">
        <f t="shared" si="34"/>
        <v>#DIV/0!</v>
      </c>
    </row>
    <row r="710" spans="1:11" hidden="1" x14ac:dyDescent="0.25">
      <c r="A710" t="str" cm="1">
        <f t="array" ref="A710">IF(ISBLANK(INDEX(SampleList[GC],ROW()-1)),"Not Requested",INDEX(SampleList[Experiment ID],ROW()-1))</f>
        <v>Not Requested</v>
      </c>
      <c r="B710">
        <f>Sampling!E708</f>
        <v>0</v>
      </c>
      <c r="G710">
        <f t="shared" si="32"/>
        <v>3552.5</v>
      </c>
      <c r="H7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0">
        <f t="shared" si="33"/>
        <v>3752.6</v>
      </c>
      <c r="K710" t="e">
        <f t="shared" si="34"/>
        <v>#DIV/0!</v>
      </c>
    </row>
    <row r="711" spans="1:11" hidden="1" x14ac:dyDescent="0.25">
      <c r="A711" t="str" cm="1">
        <f t="array" ref="A711">IF(ISBLANK(INDEX(SampleList[GC],ROW()-1)),"Not Requested",INDEX(SampleList[Experiment ID],ROW()-1))</f>
        <v>Not Requested</v>
      </c>
      <c r="B711">
        <f>Sampling!E709</f>
        <v>0</v>
      </c>
      <c r="G711">
        <f t="shared" si="32"/>
        <v>3552.5</v>
      </c>
      <c r="H7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1">
        <f t="shared" si="33"/>
        <v>3752.6</v>
      </c>
      <c r="K711" t="e">
        <f t="shared" si="34"/>
        <v>#DIV/0!</v>
      </c>
    </row>
    <row r="712" spans="1:11" hidden="1" x14ac:dyDescent="0.25">
      <c r="A712" t="str" cm="1">
        <f t="array" ref="A712">IF(ISBLANK(INDEX(SampleList[GC],ROW()-1)),"Not Requested",INDEX(SampleList[Experiment ID],ROW()-1))</f>
        <v>Not Requested</v>
      </c>
      <c r="B712">
        <f>Sampling!E710</f>
        <v>0</v>
      </c>
      <c r="G712">
        <f t="shared" si="32"/>
        <v>3552.5</v>
      </c>
      <c r="H7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2">
        <f t="shared" si="33"/>
        <v>3752.6</v>
      </c>
      <c r="K712" t="e">
        <f t="shared" si="34"/>
        <v>#DIV/0!</v>
      </c>
    </row>
    <row r="713" spans="1:11" hidden="1" x14ac:dyDescent="0.25">
      <c r="A713" t="str" cm="1">
        <f t="array" ref="A713">IF(ISBLANK(INDEX(SampleList[GC],ROW()-1)),"Not Requested",INDEX(SampleList[Experiment ID],ROW()-1))</f>
        <v>Not Requested</v>
      </c>
      <c r="B713">
        <f>Sampling!E711</f>
        <v>0</v>
      </c>
      <c r="G713">
        <f t="shared" si="32"/>
        <v>3552.5</v>
      </c>
      <c r="H7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3">
        <f t="shared" si="33"/>
        <v>3752.6</v>
      </c>
      <c r="K713" t="e">
        <f t="shared" si="34"/>
        <v>#DIV/0!</v>
      </c>
    </row>
    <row r="714" spans="1:11" hidden="1" x14ac:dyDescent="0.25">
      <c r="A714" t="str" cm="1">
        <f t="array" ref="A714">IF(ISBLANK(INDEX(SampleList[GC],ROW()-1)),"Not Requested",INDEX(SampleList[Experiment ID],ROW()-1))</f>
        <v>Not Requested</v>
      </c>
      <c r="B714">
        <f>Sampling!E712</f>
        <v>0</v>
      </c>
      <c r="G714">
        <f t="shared" si="32"/>
        <v>3552.5</v>
      </c>
      <c r="H7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4">
        <f t="shared" si="33"/>
        <v>3752.6</v>
      </c>
      <c r="K714" t="e">
        <f t="shared" si="34"/>
        <v>#DIV/0!</v>
      </c>
    </row>
    <row r="715" spans="1:11" hidden="1" x14ac:dyDescent="0.25">
      <c r="A715" t="str" cm="1">
        <f t="array" ref="A715">IF(ISBLANK(INDEX(SampleList[GC],ROW()-1)),"Not Requested",INDEX(SampleList[Experiment ID],ROW()-1))</f>
        <v>Not Requested</v>
      </c>
      <c r="B715">
        <f>Sampling!E713</f>
        <v>0</v>
      </c>
      <c r="G715">
        <f t="shared" si="32"/>
        <v>3552.5</v>
      </c>
      <c r="H7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5">
        <f t="shared" si="33"/>
        <v>3752.6</v>
      </c>
      <c r="K715" t="e">
        <f t="shared" si="34"/>
        <v>#DIV/0!</v>
      </c>
    </row>
    <row r="716" spans="1:11" hidden="1" x14ac:dyDescent="0.25">
      <c r="A716" t="str" cm="1">
        <f t="array" ref="A716">IF(ISBLANK(INDEX(SampleList[GC],ROW()-1)),"Not Requested",INDEX(SampleList[Experiment ID],ROW()-1))</f>
        <v>Not Requested</v>
      </c>
      <c r="B716">
        <f>Sampling!E714</f>
        <v>0</v>
      </c>
      <c r="G716">
        <f t="shared" si="32"/>
        <v>3552.5</v>
      </c>
      <c r="H7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6">
        <f t="shared" si="33"/>
        <v>3752.6</v>
      </c>
      <c r="K716" t="e">
        <f t="shared" si="34"/>
        <v>#DIV/0!</v>
      </c>
    </row>
    <row r="717" spans="1:11" hidden="1" x14ac:dyDescent="0.25">
      <c r="A717" t="str" cm="1">
        <f t="array" ref="A717">IF(ISBLANK(INDEX(SampleList[GC],ROW()-1)),"Not Requested",INDEX(SampleList[Experiment ID],ROW()-1))</f>
        <v>Not Requested</v>
      </c>
      <c r="B717">
        <f>Sampling!E715</f>
        <v>0</v>
      </c>
      <c r="G717">
        <f t="shared" si="32"/>
        <v>3552.5</v>
      </c>
      <c r="H7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7">
        <f t="shared" si="33"/>
        <v>3752.6</v>
      </c>
      <c r="K717" t="e">
        <f t="shared" si="34"/>
        <v>#DIV/0!</v>
      </c>
    </row>
    <row r="718" spans="1:11" hidden="1" x14ac:dyDescent="0.25">
      <c r="A718" t="str" cm="1">
        <f t="array" ref="A718">IF(ISBLANK(INDEX(SampleList[GC],ROW()-1)),"Not Requested",INDEX(SampleList[Experiment ID],ROW()-1))</f>
        <v>Not Requested</v>
      </c>
      <c r="B718">
        <f>Sampling!E716</f>
        <v>0</v>
      </c>
      <c r="G718">
        <f t="shared" si="32"/>
        <v>3552.5</v>
      </c>
      <c r="H7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8">
        <f t="shared" si="33"/>
        <v>3752.6</v>
      </c>
      <c r="K718" t="e">
        <f t="shared" si="34"/>
        <v>#DIV/0!</v>
      </c>
    </row>
    <row r="719" spans="1:11" hidden="1" x14ac:dyDescent="0.25">
      <c r="A719" t="str" cm="1">
        <f t="array" ref="A719">IF(ISBLANK(INDEX(SampleList[GC],ROW()-1)),"Not Requested",INDEX(SampleList[Experiment ID],ROW()-1))</f>
        <v>Not Requested</v>
      </c>
      <c r="B719">
        <f>Sampling!E717</f>
        <v>0</v>
      </c>
      <c r="G719">
        <f t="shared" si="32"/>
        <v>3552.5</v>
      </c>
      <c r="H7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19">
        <f t="shared" si="33"/>
        <v>3752.6</v>
      </c>
      <c r="K719" t="e">
        <f t="shared" si="34"/>
        <v>#DIV/0!</v>
      </c>
    </row>
    <row r="720" spans="1:11" hidden="1" x14ac:dyDescent="0.25">
      <c r="A720" t="str" cm="1">
        <f t="array" ref="A720">IF(ISBLANK(INDEX(SampleList[GC],ROW()-1)),"Not Requested",INDEX(SampleList[Experiment ID],ROW()-1))</f>
        <v>Not Requested</v>
      </c>
      <c r="B720">
        <f>Sampling!E718</f>
        <v>0</v>
      </c>
      <c r="G720">
        <f t="shared" si="32"/>
        <v>3552.5</v>
      </c>
      <c r="H7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0">
        <f t="shared" si="33"/>
        <v>3752.6</v>
      </c>
      <c r="K720" t="e">
        <f t="shared" si="34"/>
        <v>#DIV/0!</v>
      </c>
    </row>
    <row r="721" spans="1:11" hidden="1" x14ac:dyDescent="0.25">
      <c r="A721" t="str" cm="1">
        <f t="array" ref="A721">IF(ISBLANK(INDEX(SampleList[GC],ROW()-1)),"Not Requested",INDEX(SampleList[Experiment ID],ROW()-1))</f>
        <v>Not Requested</v>
      </c>
      <c r="B721">
        <f>Sampling!E719</f>
        <v>0</v>
      </c>
      <c r="G721">
        <f t="shared" si="32"/>
        <v>3552.5</v>
      </c>
      <c r="H7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1">
        <f t="shared" si="33"/>
        <v>3752.6</v>
      </c>
      <c r="K721" t="e">
        <f t="shared" si="34"/>
        <v>#DIV/0!</v>
      </c>
    </row>
    <row r="722" spans="1:11" hidden="1" x14ac:dyDescent="0.25">
      <c r="A722" t="str" cm="1">
        <f t="array" ref="A722">IF(ISBLANK(INDEX(SampleList[GC],ROW()-1)),"Not Requested",INDEX(SampleList[Experiment ID],ROW()-1))</f>
        <v>Not Requested</v>
      </c>
      <c r="B722">
        <f>Sampling!E720</f>
        <v>0</v>
      </c>
      <c r="G722">
        <f t="shared" si="32"/>
        <v>3552.5</v>
      </c>
      <c r="H7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2">
        <f t="shared" si="33"/>
        <v>3752.6</v>
      </c>
      <c r="K722" t="e">
        <f t="shared" si="34"/>
        <v>#DIV/0!</v>
      </c>
    </row>
    <row r="723" spans="1:11" hidden="1" x14ac:dyDescent="0.25">
      <c r="A723" t="str" cm="1">
        <f t="array" ref="A723">IF(ISBLANK(INDEX(SampleList[GC],ROW()-1)),"Not Requested",INDEX(SampleList[Experiment ID],ROW()-1))</f>
        <v>Not Requested</v>
      </c>
      <c r="B723">
        <f>Sampling!E721</f>
        <v>0</v>
      </c>
      <c r="G723">
        <f t="shared" si="32"/>
        <v>3552.5</v>
      </c>
      <c r="H7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3">
        <f t="shared" si="33"/>
        <v>3752.6</v>
      </c>
      <c r="K723" t="e">
        <f t="shared" si="34"/>
        <v>#DIV/0!</v>
      </c>
    </row>
    <row r="724" spans="1:11" hidden="1" x14ac:dyDescent="0.25">
      <c r="A724" t="str" cm="1">
        <f t="array" ref="A724">IF(ISBLANK(INDEX(SampleList[GC],ROW()-1)),"Not Requested",INDEX(SampleList[Experiment ID],ROW()-1))</f>
        <v>Not Requested</v>
      </c>
      <c r="B724">
        <f>Sampling!E722</f>
        <v>0</v>
      </c>
      <c r="G724">
        <f t="shared" si="32"/>
        <v>3552.5</v>
      </c>
      <c r="H7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4">
        <f t="shared" si="33"/>
        <v>3752.6</v>
      </c>
      <c r="K724" t="e">
        <f t="shared" si="34"/>
        <v>#DIV/0!</v>
      </c>
    </row>
    <row r="725" spans="1:11" hidden="1" x14ac:dyDescent="0.25">
      <c r="A725" t="str" cm="1">
        <f t="array" ref="A725">IF(ISBLANK(INDEX(SampleList[GC],ROW()-1)),"Not Requested",INDEX(SampleList[Experiment ID],ROW()-1))</f>
        <v>Not Requested</v>
      </c>
      <c r="B725">
        <f>Sampling!E723</f>
        <v>0</v>
      </c>
      <c r="G725">
        <f t="shared" si="32"/>
        <v>3552.5</v>
      </c>
      <c r="H7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5">
        <f t="shared" si="33"/>
        <v>3752.6</v>
      </c>
      <c r="K725" t="e">
        <f t="shared" si="34"/>
        <v>#DIV/0!</v>
      </c>
    </row>
    <row r="726" spans="1:11" hidden="1" x14ac:dyDescent="0.25">
      <c r="A726" t="str" cm="1">
        <f t="array" ref="A726">IF(ISBLANK(INDEX(SampleList[GC],ROW()-1)),"Not Requested",INDEX(SampleList[Experiment ID],ROW()-1))</f>
        <v>Not Requested</v>
      </c>
      <c r="B726">
        <f>Sampling!E724</f>
        <v>0</v>
      </c>
      <c r="G726">
        <f t="shared" si="32"/>
        <v>3552.5</v>
      </c>
      <c r="H7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6">
        <f t="shared" si="33"/>
        <v>3752.6</v>
      </c>
      <c r="K726" t="e">
        <f t="shared" si="34"/>
        <v>#DIV/0!</v>
      </c>
    </row>
    <row r="727" spans="1:11" hidden="1" x14ac:dyDescent="0.25">
      <c r="A727" t="str" cm="1">
        <f t="array" ref="A727">IF(ISBLANK(INDEX(SampleList[GC],ROW()-1)),"Not Requested",INDEX(SampleList[Experiment ID],ROW()-1))</f>
        <v>Not Requested</v>
      </c>
      <c r="B727">
        <f>Sampling!E725</f>
        <v>0</v>
      </c>
      <c r="G727">
        <f t="shared" si="32"/>
        <v>3552.5</v>
      </c>
      <c r="H7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7">
        <f t="shared" si="33"/>
        <v>3752.6</v>
      </c>
      <c r="K727" t="e">
        <f t="shared" si="34"/>
        <v>#DIV/0!</v>
      </c>
    </row>
    <row r="728" spans="1:11" hidden="1" x14ac:dyDescent="0.25">
      <c r="A728" t="str" cm="1">
        <f t="array" ref="A728">IF(ISBLANK(INDEX(SampleList[GC],ROW()-1)),"Not Requested",INDEX(SampleList[Experiment ID],ROW()-1))</f>
        <v>Not Requested</v>
      </c>
      <c r="B728">
        <f>Sampling!E726</f>
        <v>0</v>
      </c>
      <c r="G728">
        <f t="shared" si="32"/>
        <v>3552.5</v>
      </c>
      <c r="H7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8">
        <f t="shared" si="33"/>
        <v>3752.6</v>
      </c>
      <c r="K728" t="e">
        <f t="shared" si="34"/>
        <v>#DIV/0!</v>
      </c>
    </row>
    <row r="729" spans="1:11" hidden="1" x14ac:dyDescent="0.25">
      <c r="A729" t="str" cm="1">
        <f t="array" ref="A729">IF(ISBLANK(INDEX(SampleList[GC],ROW()-1)),"Not Requested",INDEX(SampleList[Experiment ID],ROW()-1))</f>
        <v>Not Requested</v>
      </c>
      <c r="B729">
        <f>Sampling!E727</f>
        <v>0</v>
      </c>
      <c r="G729">
        <f t="shared" si="32"/>
        <v>3552.5</v>
      </c>
      <c r="H7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29">
        <f t="shared" si="33"/>
        <v>3752.6</v>
      </c>
      <c r="K729" t="e">
        <f t="shared" si="34"/>
        <v>#DIV/0!</v>
      </c>
    </row>
    <row r="730" spans="1:11" hidden="1" x14ac:dyDescent="0.25">
      <c r="A730" t="str" cm="1">
        <f t="array" ref="A730">IF(ISBLANK(INDEX(SampleList[GC],ROW()-1)),"Not Requested",INDEX(SampleList[Experiment ID],ROW()-1))</f>
        <v>Not Requested</v>
      </c>
      <c r="B730">
        <f>Sampling!E728</f>
        <v>0</v>
      </c>
      <c r="G730">
        <f t="shared" si="32"/>
        <v>3552.5</v>
      </c>
      <c r="H7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0">
        <f t="shared" si="33"/>
        <v>3752.6</v>
      </c>
      <c r="K730" t="e">
        <f t="shared" si="34"/>
        <v>#DIV/0!</v>
      </c>
    </row>
    <row r="731" spans="1:11" hidden="1" x14ac:dyDescent="0.25">
      <c r="A731" t="str" cm="1">
        <f t="array" ref="A731">IF(ISBLANK(INDEX(SampleList[GC],ROW()-1)),"Not Requested",INDEX(SampleList[Experiment ID],ROW()-1))</f>
        <v>Not Requested</v>
      </c>
      <c r="B731">
        <f>Sampling!E729</f>
        <v>0</v>
      </c>
      <c r="G731">
        <f t="shared" si="32"/>
        <v>3552.5</v>
      </c>
      <c r="H7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1">
        <f t="shared" si="33"/>
        <v>3752.6</v>
      </c>
      <c r="K731" t="e">
        <f t="shared" si="34"/>
        <v>#DIV/0!</v>
      </c>
    </row>
    <row r="732" spans="1:11" hidden="1" x14ac:dyDescent="0.25">
      <c r="A732" t="str" cm="1">
        <f t="array" ref="A732">IF(ISBLANK(INDEX(SampleList[GC],ROW()-1)),"Not Requested",INDEX(SampleList[Experiment ID],ROW()-1))</f>
        <v>Not Requested</v>
      </c>
      <c r="B732">
        <f>Sampling!E730</f>
        <v>0</v>
      </c>
      <c r="G732">
        <f t="shared" si="32"/>
        <v>3552.5</v>
      </c>
      <c r="H7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2">
        <f t="shared" si="33"/>
        <v>3752.6</v>
      </c>
      <c r="K732" t="e">
        <f t="shared" si="34"/>
        <v>#DIV/0!</v>
      </c>
    </row>
    <row r="733" spans="1:11" hidden="1" x14ac:dyDescent="0.25">
      <c r="A733" t="str" cm="1">
        <f t="array" ref="A733">IF(ISBLANK(INDEX(SampleList[GC],ROW()-1)),"Not Requested",INDEX(SampleList[Experiment ID],ROW()-1))</f>
        <v>Not Requested</v>
      </c>
      <c r="B733">
        <f>Sampling!E731</f>
        <v>0</v>
      </c>
      <c r="G733">
        <f t="shared" si="32"/>
        <v>3552.5</v>
      </c>
      <c r="H7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3">
        <f t="shared" si="33"/>
        <v>3752.6</v>
      </c>
      <c r="K733" t="e">
        <f t="shared" si="34"/>
        <v>#DIV/0!</v>
      </c>
    </row>
    <row r="734" spans="1:11" hidden="1" x14ac:dyDescent="0.25">
      <c r="A734" t="str" cm="1">
        <f t="array" ref="A734">IF(ISBLANK(INDEX(SampleList[GC],ROW()-1)),"Not Requested",INDEX(SampleList[Experiment ID],ROW()-1))</f>
        <v>Not Requested</v>
      </c>
      <c r="B734">
        <f>Sampling!E732</f>
        <v>0</v>
      </c>
      <c r="G734">
        <f t="shared" si="32"/>
        <v>3552.5</v>
      </c>
      <c r="H7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4">
        <f t="shared" si="33"/>
        <v>3752.6</v>
      </c>
      <c r="K734" t="e">
        <f t="shared" si="34"/>
        <v>#DIV/0!</v>
      </c>
    </row>
    <row r="735" spans="1:11" hidden="1" x14ac:dyDescent="0.25">
      <c r="A735" t="str" cm="1">
        <f t="array" ref="A735">IF(ISBLANK(INDEX(SampleList[GC],ROW()-1)),"Not Requested",INDEX(SampleList[Experiment ID],ROW()-1))</f>
        <v>Not Requested</v>
      </c>
      <c r="B735">
        <f>Sampling!E733</f>
        <v>0</v>
      </c>
      <c r="G735">
        <f t="shared" si="32"/>
        <v>3552.5</v>
      </c>
      <c r="H7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5">
        <f t="shared" si="33"/>
        <v>3752.6</v>
      </c>
      <c r="K735" t="e">
        <f t="shared" si="34"/>
        <v>#DIV/0!</v>
      </c>
    </row>
    <row r="736" spans="1:11" hidden="1" x14ac:dyDescent="0.25">
      <c r="A736" t="str" cm="1">
        <f t="array" ref="A736">IF(ISBLANK(INDEX(SampleList[GC],ROW()-1)),"Not Requested",INDEX(SampleList[Experiment ID],ROW()-1))</f>
        <v>Not Requested</v>
      </c>
      <c r="B736">
        <f>Sampling!E734</f>
        <v>0</v>
      </c>
      <c r="G736">
        <f t="shared" si="32"/>
        <v>3552.5</v>
      </c>
      <c r="H7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6">
        <f t="shared" si="33"/>
        <v>3752.6</v>
      </c>
      <c r="K736" t="e">
        <f t="shared" si="34"/>
        <v>#DIV/0!</v>
      </c>
    </row>
    <row r="737" spans="1:11" hidden="1" x14ac:dyDescent="0.25">
      <c r="A737" t="str" cm="1">
        <f t="array" ref="A737">IF(ISBLANK(INDEX(SampleList[GC],ROW()-1)),"Not Requested",INDEX(SampleList[Experiment ID],ROW()-1))</f>
        <v>Not Requested</v>
      </c>
      <c r="B737">
        <f>Sampling!E735</f>
        <v>0</v>
      </c>
      <c r="G737">
        <f t="shared" ref="G737:G800" si="35">24.5*145</f>
        <v>3552.5</v>
      </c>
      <c r="H7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7">
        <f t="shared" si="33"/>
        <v>3752.6</v>
      </c>
      <c r="K737" t="e">
        <f t="shared" si="34"/>
        <v>#DIV/0!</v>
      </c>
    </row>
    <row r="738" spans="1:11" hidden="1" x14ac:dyDescent="0.25">
      <c r="A738" t="str" cm="1">
        <f t="array" ref="A738">IF(ISBLANK(INDEX(SampleList[GC],ROW()-1)),"Not Requested",INDEX(SampleList[Experiment ID],ROW()-1))</f>
        <v>Not Requested</v>
      </c>
      <c r="B738">
        <f>Sampling!E736</f>
        <v>0</v>
      </c>
      <c r="G738">
        <f t="shared" si="35"/>
        <v>3552.5</v>
      </c>
      <c r="H7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8">
        <f t="shared" si="33"/>
        <v>3752.6</v>
      </c>
      <c r="K738" t="e">
        <f t="shared" si="34"/>
        <v>#DIV/0!</v>
      </c>
    </row>
    <row r="739" spans="1:11" hidden="1" x14ac:dyDescent="0.25">
      <c r="A739" t="str" cm="1">
        <f t="array" ref="A739">IF(ISBLANK(INDEX(SampleList[GC],ROW()-1)),"Not Requested",INDEX(SampleList[Experiment ID],ROW()-1))</f>
        <v>Not Requested</v>
      </c>
      <c r="B739">
        <f>Sampling!E737</f>
        <v>0</v>
      </c>
      <c r="G739">
        <f t="shared" si="35"/>
        <v>3552.5</v>
      </c>
      <c r="H7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39">
        <f t="shared" si="33"/>
        <v>3752.6</v>
      </c>
      <c r="K739" t="e">
        <f t="shared" si="34"/>
        <v>#DIV/0!</v>
      </c>
    </row>
    <row r="740" spans="1:11" hidden="1" x14ac:dyDescent="0.25">
      <c r="A740" t="str" cm="1">
        <f t="array" ref="A740">IF(ISBLANK(INDEX(SampleList[GC],ROW()-1)),"Not Requested",INDEX(SampleList[Experiment ID],ROW()-1))</f>
        <v>Not Requested</v>
      </c>
      <c r="B740">
        <f>Sampling!E738</f>
        <v>0</v>
      </c>
      <c r="G740">
        <f t="shared" si="35"/>
        <v>3552.5</v>
      </c>
      <c r="H7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0">
        <f t="shared" si="33"/>
        <v>3752.6</v>
      </c>
      <c r="K740" t="e">
        <f t="shared" si="34"/>
        <v>#DIV/0!</v>
      </c>
    </row>
    <row r="741" spans="1:11" hidden="1" x14ac:dyDescent="0.25">
      <c r="A741" t="str" cm="1">
        <f t="array" ref="A741">IF(ISBLANK(INDEX(SampleList[GC],ROW()-1)),"Not Requested",INDEX(SampleList[Experiment ID],ROW()-1))</f>
        <v>Not Requested</v>
      </c>
      <c r="B741">
        <f>Sampling!E739</f>
        <v>0</v>
      </c>
      <c r="G741">
        <f t="shared" si="35"/>
        <v>3552.5</v>
      </c>
      <c r="H7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1">
        <f t="shared" si="33"/>
        <v>3752.6</v>
      </c>
      <c r="K741" t="e">
        <f t="shared" si="34"/>
        <v>#DIV/0!</v>
      </c>
    </row>
    <row r="742" spans="1:11" hidden="1" x14ac:dyDescent="0.25">
      <c r="A742" t="str" cm="1">
        <f t="array" ref="A742">IF(ISBLANK(INDEX(SampleList[GC],ROW()-1)),"Not Requested",INDEX(SampleList[Experiment ID],ROW()-1))</f>
        <v>Not Requested</v>
      </c>
      <c r="B742">
        <f>Sampling!E740</f>
        <v>0</v>
      </c>
      <c r="G742">
        <f t="shared" si="35"/>
        <v>3552.5</v>
      </c>
      <c r="H7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2">
        <f t="shared" si="33"/>
        <v>3752.6</v>
      </c>
      <c r="K742" t="e">
        <f t="shared" si="34"/>
        <v>#DIV/0!</v>
      </c>
    </row>
    <row r="743" spans="1:11" hidden="1" x14ac:dyDescent="0.25">
      <c r="A743" t="str" cm="1">
        <f t="array" ref="A743">IF(ISBLANK(INDEX(SampleList[GC],ROW()-1)),"Not Requested",INDEX(SampleList[Experiment ID],ROW()-1))</f>
        <v>Not Requested</v>
      </c>
      <c r="B743">
        <f>Sampling!E741</f>
        <v>0</v>
      </c>
      <c r="G743">
        <f t="shared" si="35"/>
        <v>3552.5</v>
      </c>
      <c r="H7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3">
        <f t="shared" si="33"/>
        <v>3752.6</v>
      </c>
      <c r="K743" t="e">
        <f t="shared" si="34"/>
        <v>#DIV/0!</v>
      </c>
    </row>
    <row r="744" spans="1:11" hidden="1" x14ac:dyDescent="0.25">
      <c r="A744" t="str" cm="1">
        <f t="array" ref="A744">IF(ISBLANK(INDEX(SampleList[GC],ROW()-1)),"Not Requested",INDEX(SampleList[Experiment ID],ROW()-1))</f>
        <v>Not Requested</v>
      </c>
      <c r="B744">
        <f>Sampling!E742</f>
        <v>0</v>
      </c>
      <c r="G744">
        <f t="shared" si="35"/>
        <v>3552.5</v>
      </c>
      <c r="H7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4">
        <f t="shared" si="33"/>
        <v>3752.6</v>
      </c>
      <c r="K744" t="e">
        <f t="shared" si="34"/>
        <v>#DIV/0!</v>
      </c>
    </row>
    <row r="745" spans="1:11" hidden="1" x14ac:dyDescent="0.25">
      <c r="A745" t="str" cm="1">
        <f t="array" ref="A745">IF(ISBLANK(INDEX(SampleList[GC],ROW()-1)),"Not Requested",INDEX(SampleList[Experiment ID],ROW()-1))</f>
        <v>Not Requested</v>
      </c>
      <c r="B745">
        <f>Sampling!E743</f>
        <v>0</v>
      </c>
      <c r="G745">
        <f t="shared" si="35"/>
        <v>3552.5</v>
      </c>
      <c r="H7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5">
        <f t="shared" si="33"/>
        <v>3752.6</v>
      </c>
      <c r="K745" t="e">
        <f t="shared" si="34"/>
        <v>#DIV/0!</v>
      </c>
    </row>
    <row r="746" spans="1:11" hidden="1" x14ac:dyDescent="0.25">
      <c r="A746" t="str" cm="1">
        <f t="array" ref="A746">IF(ISBLANK(INDEX(SampleList[GC],ROW()-1)),"Not Requested",INDEX(SampleList[Experiment ID],ROW()-1))</f>
        <v>Not Requested</v>
      </c>
      <c r="B746">
        <f>Sampling!E744</f>
        <v>0</v>
      </c>
      <c r="G746">
        <f t="shared" si="35"/>
        <v>3552.5</v>
      </c>
      <c r="H7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6">
        <f t="shared" si="33"/>
        <v>3752.6</v>
      </c>
      <c r="K746" t="e">
        <f t="shared" si="34"/>
        <v>#DIV/0!</v>
      </c>
    </row>
    <row r="747" spans="1:11" hidden="1" x14ac:dyDescent="0.25">
      <c r="A747" t="str" cm="1">
        <f t="array" ref="A747">IF(ISBLANK(INDEX(SampleList[GC],ROW()-1)),"Not Requested",INDEX(SampleList[Experiment ID],ROW()-1))</f>
        <v>Not Requested</v>
      </c>
      <c r="B747">
        <f>Sampling!E745</f>
        <v>0</v>
      </c>
      <c r="G747">
        <f t="shared" si="35"/>
        <v>3552.5</v>
      </c>
      <c r="H7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7">
        <f t="shared" si="33"/>
        <v>3752.6</v>
      </c>
      <c r="K747" t="e">
        <f t="shared" si="34"/>
        <v>#DIV/0!</v>
      </c>
    </row>
    <row r="748" spans="1:11" hidden="1" x14ac:dyDescent="0.25">
      <c r="A748" t="str" cm="1">
        <f t="array" ref="A748">IF(ISBLANK(INDEX(SampleList[GC],ROW()-1)),"Not Requested",INDEX(SampleList[Experiment ID],ROW()-1))</f>
        <v>Not Requested</v>
      </c>
      <c r="B748">
        <f>Sampling!E746</f>
        <v>0</v>
      </c>
      <c r="G748">
        <f t="shared" si="35"/>
        <v>3552.5</v>
      </c>
      <c r="H7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8">
        <f t="shared" si="33"/>
        <v>3752.6</v>
      </c>
      <c r="K748" t="e">
        <f t="shared" si="34"/>
        <v>#DIV/0!</v>
      </c>
    </row>
    <row r="749" spans="1:11" hidden="1" x14ac:dyDescent="0.25">
      <c r="A749" t="str" cm="1">
        <f t="array" ref="A749">IF(ISBLANK(INDEX(SampleList[GC],ROW()-1)),"Not Requested",INDEX(SampleList[Experiment ID],ROW()-1))</f>
        <v>Not Requested</v>
      </c>
      <c r="B749">
        <f>Sampling!E747</f>
        <v>0</v>
      </c>
      <c r="G749">
        <f t="shared" si="35"/>
        <v>3552.5</v>
      </c>
      <c r="H7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49">
        <f t="shared" si="33"/>
        <v>3752.6</v>
      </c>
      <c r="K749" t="e">
        <f t="shared" si="34"/>
        <v>#DIV/0!</v>
      </c>
    </row>
    <row r="750" spans="1:11" hidden="1" x14ac:dyDescent="0.25">
      <c r="A750" t="str" cm="1">
        <f t="array" ref="A750">IF(ISBLANK(INDEX(SampleList[GC],ROW()-1)),"Not Requested",INDEX(SampleList[Experiment ID],ROW()-1))</f>
        <v>Not Requested</v>
      </c>
      <c r="B750">
        <f>Sampling!E748</f>
        <v>0</v>
      </c>
      <c r="G750">
        <f t="shared" si="35"/>
        <v>3552.5</v>
      </c>
      <c r="H7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0">
        <f t="shared" si="33"/>
        <v>3752.6</v>
      </c>
      <c r="K750" t="e">
        <f t="shared" si="34"/>
        <v>#DIV/0!</v>
      </c>
    </row>
    <row r="751" spans="1:11" hidden="1" x14ac:dyDescent="0.25">
      <c r="A751" t="str" cm="1">
        <f t="array" ref="A751">IF(ISBLANK(INDEX(SampleList[GC],ROW()-1)),"Not Requested",INDEX(SampleList[Experiment ID],ROW()-1))</f>
        <v>Not Requested</v>
      </c>
      <c r="B751">
        <f>Sampling!E749</f>
        <v>0</v>
      </c>
      <c r="G751">
        <f t="shared" si="35"/>
        <v>3552.5</v>
      </c>
      <c r="H7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1">
        <f t="shared" si="33"/>
        <v>3752.6</v>
      </c>
      <c r="K751" t="e">
        <f t="shared" si="34"/>
        <v>#DIV/0!</v>
      </c>
    </row>
    <row r="752" spans="1:11" hidden="1" x14ac:dyDescent="0.25">
      <c r="A752" t="str" cm="1">
        <f t="array" ref="A752">IF(ISBLANK(INDEX(SampleList[GC],ROW()-1)),"Not Requested",INDEX(SampleList[Experiment ID],ROW()-1))</f>
        <v>Not Requested</v>
      </c>
      <c r="B752">
        <f>Sampling!E750</f>
        <v>0</v>
      </c>
      <c r="G752">
        <f t="shared" si="35"/>
        <v>3552.5</v>
      </c>
      <c r="H7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2">
        <f t="shared" si="33"/>
        <v>3752.6</v>
      </c>
      <c r="K752" t="e">
        <f t="shared" si="34"/>
        <v>#DIV/0!</v>
      </c>
    </row>
    <row r="753" spans="1:11" hidden="1" x14ac:dyDescent="0.25">
      <c r="A753" t="str" cm="1">
        <f t="array" ref="A753">IF(ISBLANK(INDEX(SampleList[GC],ROW()-1)),"Not Requested",INDEX(SampleList[Experiment ID],ROW()-1))</f>
        <v>Not Requested</v>
      </c>
      <c r="B753">
        <f>Sampling!E751</f>
        <v>0</v>
      </c>
      <c r="G753">
        <f t="shared" si="35"/>
        <v>3552.5</v>
      </c>
      <c r="H7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3">
        <f t="shared" si="33"/>
        <v>3752.6</v>
      </c>
      <c r="K753" t="e">
        <f t="shared" si="34"/>
        <v>#DIV/0!</v>
      </c>
    </row>
    <row r="754" spans="1:11" hidden="1" x14ac:dyDescent="0.25">
      <c r="A754" t="str" cm="1">
        <f t="array" ref="A754">IF(ISBLANK(INDEX(SampleList[GC],ROW()-1)),"Not Requested",INDEX(SampleList[Experiment ID],ROW()-1))</f>
        <v>Not Requested</v>
      </c>
      <c r="B754">
        <f>Sampling!E752</f>
        <v>0</v>
      </c>
      <c r="G754">
        <f t="shared" si="35"/>
        <v>3552.5</v>
      </c>
      <c r="H7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4">
        <f t="shared" si="33"/>
        <v>3752.6</v>
      </c>
      <c r="K754" t="e">
        <f t="shared" si="34"/>
        <v>#DIV/0!</v>
      </c>
    </row>
    <row r="755" spans="1:11" hidden="1" x14ac:dyDescent="0.25">
      <c r="A755" t="str" cm="1">
        <f t="array" ref="A755">IF(ISBLANK(INDEX(SampleList[GC],ROW()-1)),"Not Requested",INDEX(SampleList[Experiment ID],ROW()-1))</f>
        <v>Not Requested</v>
      </c>
      <c r="B755">
        <f>Sampling!E753</f>
        <v>0</v>
      </c>
      <c r="G755">
        <f t="shared" si="35"/>
        <v>3552.5</v>
      </c>
      <c r="H7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5">
        <f t="shared" si="33"/>
        <v>3752.6</v>
      </c>
      <c r="K755" t="e">
        <f t="shared" si="34"/>
        <v>#DIV/0!</v>
      </c>
    </row>
    <row r="756" spans="1:11" hidden="1" x14ac:dyDescent="0.25">
      <c r="A756" t="str" cm="1">
        <f t="array" ref="A756">IF(ISBLANK(INDEX(SampleList[GC],ROW()-1)),"Not Requested",INDEX(SampleList[Experiment ID],ROW()-1))</f>
        <v>Not Requested</v>
      </c>
      <c r="B756">
        <f>Sampling!E754</f>
        <v>0</v>
      </c>
      <c r="G756">
        <f t="shared" si="35"/>
        <v>3552.5</v>
      </c>
      <c r="H7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6">
        <f t="shared" si="33"/>
        <v>3752.6</v>
      </c>
      <c r="K756" t="e">
        <f t="shared" si="34"/>
        <v>#DIV/0!</v>
      </c>
    </row>
    <row r="757" spans="1:11" hidden="1" x14ac:dyDescent="0.25">
      <c r="A757" t="str" cm="1">
        <f t="array" ref="A757">IF(ISBLANK(INDEX(SampleList[GC],ROW()-1)),"Not Requested",INDEX(SampleList[Experiment ID],ROW()-1))</f>
        <v>Not Requested</v>
      </c>
      <c r="B757">
        <f>Sampling!E755</f>
        <v>0</v>
      </c>
      <c r="G757">
        <f t="shared" si="35"/>
        <v>3552.5</v>
      </c>
      <c r="H7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7">
        <f t="shared" si="33"/>
        <v>3752.6</v>
      </c>
      <c r="K757" t="e">
        <f t="shared" si="34"/>
        <v>#DIV/0!</v>
      </c>
    </row>
    <row r="758" spans="1:11" hidden="1" x14ac:dyDescent="0.25">
      <c r="A758" t="str" cm="1">
        <f t="array" ref="A758">IF(ISBLANK(INDEX(SampleList[GC],ROW()-1)),"Not Requested",INDEX(SampleList[Experiment ID],ROW()-1))</f>
        <v>Not Requested</v>
      </c>
      <c r="B758">
        <f>Sampling!E756</f>
        <v>0</v>
      </c>
      <c r="G758">
        <f t="shared" si="35"/>
        <v>3552.5</v>
      </c>
      <c r="H7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8">
        <f t="shared" si="33"/>
        <v>3752.6</v>
      </c>
      <c r="K758" t="e">
        <f t="shared" si="34"/>
        <v>#DIV/0!</v>
      </c>
    </row>
    <row r="759" spans="1:11" hidden="1" x14ac:dyDescent="0.25">
      <c r="A759" t="str" cm="1">
        <f t="array" ref="A759">IF(ISBLANK(INDEX(SampleList[GC],ROW()-1)),"Not Requested",INDEX(SampleList[Experiment ID],ROW()-1))</f>
        <v>Not Requested</v>
      </c>
      <c r="B759">
        <f>Sampling!E757</f>
        <v>0</v>
      </c>
      <c r="G759">
        <f t="shared" si="35"/>
        <v>3552.5</v>
      </c>
      <c r="H7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59">
        <f t="shared" si="33"/>
        <v>3752.6</v>
      </c>
      <c r="K759" t="e">
        <f t="shared" si="34"/>
        <v>#DIV/0!</v>
      </c>
    </row>
    <row r="760" spans="1:11" hidden="1" x14ac:dyDescent="0.25">
      <c r="A760" t="str" cm="1">
        <f t="array" ref="A760">IF(ISBLANK(INDEX(SampleList[GC],ROW()-1)),"Not Requested",INDEX(SampleList[Experiment ID],ROW()-1))</f>
        <v>Not Requested</v>
      </c>
      <c r="B760">
        <f>Sampling!E758</f>
        <v>0</v>
      </c>
      <c r="G760">
        <f t="shared" si="35"/>
        <v>3552.5</v>
      </c>
      <c r="H7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0">
        <f t="shared" si="33"/>
        <v>3752.6</v>
      </c>
      <c r="K760" t="e">
        <f t="shared" si="34"/>
        <v>#DIV/0!</v>
      </c>
    </row>
    <row r="761" spans="1:11" hidden="1" x14ac:dyDescent="0.25">
      <c r="A761" t="str" cm="1">
        <f t="array" ref="A761">IF(ISBLANK(INDEX(SampleList[GC],ROW()-1)),"Not Requested",INDEX(SampleList[Experiment ID],ROW()-1))</f>
        <v>Not Requested</v>
      </c>
      <c r="B761">
        <f>Sampling!E759</f>
        <v>0</v>
      </c>
      <c r="G761">
        <f t="shared" si="35"/>
        <v>3552.5</v>
      </c>
      <c r="H7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1">
        <f t="shared" si="33"/>
        <v>3752.6</v>
      </c>
      <c r="K761" t="e">
        <f t="shared" si="34"/>
        <v>#DIV/0!</v>
      </c>
    </row>
    <row r="762" spans="1:11" hidden="1" x14ac:dyDescent="0.25">
      <c r="A762" t="str" cm="1">
        <f t="array" ref="A762">IF(ISBLANK(INDEX(SampleList[GC],ROW()-1)),"Not Requested",INDEX(SampleList[Experiment ID],ROW()-1))</f>
        <v>Not Requested</v>
      </c>
      <c r="B762">
        <f>Sampling!E760</f>
        <v>0</v>
      </c>
      <c r="G762">
        <f t="shared" si="35"/>
        <v>3552.5</v>
      </c>
      <c r="H7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2">
        <f t="shared" si="33"/>
        <v>3752.6</v>
      </c>
      <c r="K762" t="e">
        <f t="shared" si="34"/>
        <v>#DIV/0!</v>
      </c>
    </row>
    <row r="763" spans="1:11" hidden="1" x14ac:dyDescent="0.25">
      <c r="A763" t="str" cm="1">
        <f t="array" ref="A763">IF(ISBLANK(INDEX(SampleList[GC],ROW()-1)),"Not Requested",INDEX(SampleList[Experiment ID],ROW()-1))</f>
        <v>Not Requested</v>
      </c>
      <c r="B763">
        <f>Sampling!E761</f>
        <v>0</v>
      </c>
      <c r="G763">
        <f t="shared" si="35"/>
        <v>3552.5</v>
      </c>
      <c r="H7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3">
        <f t="shared" si="33"/>
        <v>3752.6</v>
      </c>
      <c r="K763" t="e">
        <f t="shared" si="34"/>
        <v>#DIV/0!</v>
      </c>
    </row>
    <row r="764" spans="1:11" hidden="1" x14ac:dyDescent="0.25">
      <c r="A764" t="str" cm="1">
        <f t="array" ref="A764">IF(ISBLANK(INDEX(SampleList[GC],ROW()-1)),"Not Requested",INDEX(SampleList[Experiment ID],ROW()-1))</f>
        <v>Not Requested</v>
      </c>
      <c r="B764">
        <f>Sampling!E762</f>
        <v>0</v>
      </c>
      <c r="G764">
        <f t="shared" si="35"/>
        <v>3552.5</v>
      </c>
      <c r="H7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4">
        <f t="shared" si="33"/>
        <v>3752.6</v>
      </c>
      <c r="K764" t="e">
        <f t="shared" si="34"/>
        <v>#DIV/0!</v>
      </c>
    </row>
    <row r="765" spans="1:11" hidden="1" x14ac:dyDescent="0.25">
      <c r="A765" t="str" cm="1">
        <f t="array" ref="A765">IF(ISBLANK(INDEX(SampleList[GC],ROW()-1)),"Not Requested",INDEX(SampleList[Experiment ID],ROW()-1))</f>
        <v>Not Requested</v>
      </c>
      <c r="B765">
        <f>Sampling!E763</f>
        <v>0</v>
      </c>
      <c r="G765">
        <f t="shared" si="35"/>
        <v>3552.5</v>
      </c>
      <c r="H7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5">
        <f t="shared" si="33"/>
        <v>3752.6</v>
      </c>
      <c r="K765" t="e">
        <f t="shared" si="34"/>
        <v>#DIV/0!</v>
      </c>
    </row>
    <row r="766" spans="1:11" hidden="1" x14ac:dyDescent="0.25">
      <c r="A766" t="str" cm="1">
        <f t="array" ref="A766">IF(ISBLANK(INDEX(SampleList[GC],ROW()-1)),"Not Requested",INDEX(SampleList[Experiment ID],ROW()-1))</f>
        <v>Not Requested</v>
      </c>
      <c r="B766">
        <f>Sampling!E764</f>
        <v>0</v>
      </c>
      <c r="G766">
        <f t="shared" si="35"/>
        <v>3552.5</v>
      </c>
      <c r="H7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6">
        <f t="shared" si="33"/>
        <v>3752.6</v>
      </c>
      <c r="K766" t="e">
        <f t="shared" si="34"/>
        <v>#DIV/0!</v>
      </c>
    </row>
    <row r="767" spans="1:11" hidden="1" x14ac:dyDescent="0.25">
      <c r="A767" t="str" cm="1">
        <f t="array" ref="A767">IF(ISBLANK(INDEX(SampleList[GC],ROW()-1)),"Not Requested",INDEX(SampleList[Experiment ID],ROW()-1))</f>
        <v>Not Requested</v>
      </c>
      <c r="B767">
        <f>Sampling!E765</f>
        <v>0</v>
      </c>
      <c r="G767">
        <f t="shared" si="35"/>
        <v>3552.5</v>
      </c>
      <c r="H7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7">
        <f t="shared" si="33"/>
        <v>3752.6</v>
      </c>
      <c r="K767" t="e">
        <f t="shared" si="34"/>
        <v>#DIV/0!</v>
      </c>
    </row>
    <row r="768" spans="1:11" hidden="1" x14ac:dyDescent="0.25">
      <c r="A768" t="str" cm="1">
        <f t="array" ref="A768">IF(ISBLANK(INDEX(SampleList[GC],ROW()-1)),"Not Requested",INDEX(SampleList[Experiment ID],ROW()-1))</f>
        <v>Not Requested</v>
      </c>
      <c r="B768">
        <f>Sampling!E766</f>
        <v>0</v>
      </c>
      <c r="G768">
        <f t="shared" si="35"/>
        <v>3552.5</v>
      </c>
      <c r="H7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8">
        <f t="shared" si="33"/>
        <v>3752.6</v>
      </c>
      <c r="K768" t="e">
        <f t="shared" si="34"/>
        <v>#DIV/0!</v>
      </c>
    </row>
    <row r="769" spans="1:11" hidden="1" x14ac:dyDescent="0.25">
      <c r="A769" t="str" cm="1">
        <f t="array" ref="A769">IF(ISBLANK(INDEX(SampleList[GC],ROW()-1)),"Not Requested",INDEX(SampleList[Experiment ID],ROW()-1))</f>
        <v>Not Requested</v>
      </c>
      <c r="B769">
        <f>Sampling!E767</f>
        <v>0</v>
      </c>
      <c r="G769">
        <f t="shared" si="35"/>
        <v>3552.5</v>
      </c>
      <c r="H7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69">
        <f t="shared" si="33"/>
        <v>3752.6</v>
      </c>
      <c r="K769" t="e">
        <f t="shared" si="34"/>
        <v>#DIV/0!</v>
      </c>
    </row>
    <row r="770" spans="1:11" hidden="1" x14ac:dyDescent="0.25">
      <c r="A770" t="str" cm="1">
        <f t="array" ref="A770">IF(ISBLANK(INDEX(SampleList[GC],ROW()-1)),"Not Requested",INDEX(SampleList[Experiment ID],ROW()-1))</f>
        <v>Not Requested</v>
      </c>
      <c r="B770">
        <f>Sampling!E768</f>
        <v>0</v>
      </c>
      <c r="G770">
        <f t="shared" si="35"/>
        <v>3552.5</v>
      </c>
      <c r="H7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0">
        <f t="shared" ref="I770:I833" si="36">25.88*145</f>
        <v>3752.6</v>
      </c>
      <c r="K770" t="e">
        <f t="shared" ref="K770:K833" si="37">(500/D770)*J770</f>
        <v>#DIV/0!</v>
      </c>
    </row>
    <row r="771" spans="1:11" hidden="1" x14ac:dyDescent="0.25">
      <c r="A771" t="str" cm="1">
        <f t="array" ref="A771">IF(ISBLANK(INDEX(SampleList[GC],ROW()-1)),"Not Requested",INDEX(SampleList[Experiment ID],ROW()-1))</f>
        <v>Not Requested</v>
      </c>
      <c r="B771">
        <f>Sampling!E769</f>
        <v>0</v>
      </c>
      <c r="G771">
        <f t="shared" si="35"/>
        <v>3552.5</v>
      </c>
      <c r="H7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1">
        <f t="shared" si="36"/>
        <v>3752.6</v>
      </c>
      <c r="K771" t="e">
        <f t="shared" si="37"/>
        <v>#DIV/0!</v>
      </c>
    </row>
    <row r="772" spans="1:11" hidden="1" x14ac:dyDescent="0.25">
      <c r="A772" t="str" cm="1">
        <f t="array" ref="A772">IF(ISBLANK(INDEX(SampleList[GC],ROW()-1)),"Not Requested",INDEX(SampleList[Experiment ID],ROW()-1))</f>
        <v>Not Requested</v>
      </c>
      <c r="B772">
        <f>Sampling!E770</f>
        <v>0</v>
      </c>
      <c r="G772">
        <f t="shared" si="35"/>
        <v>3552.5</v>
      </c>
      <c r="H7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2">
        <f t="shared" si="36"/>
        <v>3752.6</v>
      </c>
      <c r="K772" t="e">
        <f t="shared" si="37"/>
        <v>#DIV/0!</v>
      </c>
    </row>
    <row r="773" spans="1:11" hidden="1" x14ac:dyDescent="0.25">
      <c r="A773" t="str" cm="1">
        <f t="array" ref="A773">IF(ISBLANK(INDEX(SampleList[GC],ROW()-1)),"Not Requested",INDEX(SampleList[Experiment ID],ROW()-1))</f>
        <v>Not Requested</v>
      </c>
      <c r="B773">
        <f>Sampling!E771</f>
        <v>0</v>
      </c>
      <c r="G773">
        <f t="shared" si="35"/>
        <v>3552.5</v>
      </c>
      <c r="H7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3">
        <f t="shared" si="36"/>
        <v>3752.6</v>
      </c>
      <c r="K773" t="e">
        <f t="shared" si="37"/>
        <v>#DIV/0!</v>
      </c>
    </row>
    <row r="774" spans="1:11" hidden="1" x14ac:dyDescent="0.25">
      <c r="A774" t="str" cm="1">
        <f t="array" ref="A774">IF(ISBLANK(INDEX(SampleList[GC],ROW()-1)),"Not Requested",INDEX(SampleList[Experiment ID],ROW()-1))</f>
        <v>Not Requested</v>
      </c>
      <c r="B774">
        <f>Sampling!E772</f>
        <v>0</v>
      </c>
      <c r="G774">
        <f t="shared" si="35"/>
        <v>3552.5</v>
      </c>
      <c r="H7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4">
        <f t="shared" si="36"/>
        <v>3752.6</v>
      </c>
      <c r="K774" t="e">
        <f t="shared" si="37"/>
        <v>#DIV/0!</v>
      </c>
    </row>
    <row r="775" spans="1:11" hidden="1" x14ac:dyDescent="0.25">
      <c r="A775" t="str" cm="1">
        <f t="array" ref="A775">IF(ISBLANK(INDEX(SampleList[GC],ROW()-1)),"Not Requested",INDEX(SampleList[Experiment ID],ROW()-1))</f>
        <v>Not Requested</v>
      </c>
      <c r="B775">
        <f>Sampling!E773</f>
        <v>0</v>
      </c>
      <c r="G775">
        <f t="shared" si="35"/>
        <v>3552.5</v>
      </c>
      <c r="H7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5">
        <f t="shared" si="36"/>
        <v>3752.6</v>
      </c>
      <c r="K775" t="e">
        <f t="shared" si="37"/>
        <v>#DIV/0!</v>
      </c>
    </row>
    <row r="776" spans="1:11" hidden="1" x14ac:dyDescent="0.25">
      <c r="A776" t="str" cm="1">
        <f t="array" ref="A776">IF(ISBLANK(INDEX(SampleList[GC],ROW()-1)),"Not Requested",INDEX(SampleList[Experiment ID],ROW()-1))</f>
        <v>Not Requested</v>
      </c>
      <c r="B776">
        <f>Sampling!E774</f>
        <v>0</v>
      </c>
      <c r="G776">
        <f t="shared" si="35"/>
        <v>3552.5</v>
      </c>
      <c r="H7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6">
        <f t="shared" si="36"/>
        <v>3752.6</v>
      </c>
      <c r="K776" t="e">
        <f t="shared" si="37"/>
        <v>#DIV/0!</v>
      </c>
    </row>
    <row r="777" spans="1:11" hidden="1" x14ac:dyDescent="0.25">
      <c r="A777" t="str" cm="1">
        <f t="array" ref="A777">IF(ISBLANK(INDEX(SampleList[GC],ROW()-1)),"Not Requested",INDEX(SampleList[Experiment ID],ROW()-1))</f>
        <v>Not Requested</v>
      </c>
      <c r="B777">
        <f>Sampling!E775</f>
        <v>0</v>
      </c>
      <c r="G777">
        <f t="shared" si="35"/>
        <v>3552.5</v>
      </c>
      <c r="H7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7">
        <f t="shared" si="36"/>
        <v>3752.6</v>
      </c>
      <c r="K777" t="e">
        <f t="shared" si="37"/>
        <v>#DIV/0!</v>
      </c>
    </row>
    <row r="778" spans="1:11" hidden="1" x14ac:dyDescent="0.25">
      <c r="A778" t="str" cm="1">
        <f t="array" ref="A778">IF(ISBLANK(INDEX(SampleList[GC],ROW()-1)),"Not Requested",INDEX(SampleList[Experiment ID],ROW()-1))</f>
        <v>Not Requested</v>
      </c>
      <c r="B778">
        <f>Sampling!E776</f>
        <v>0</v>
      </c>
      <c r="G778">
        <f t="shared" si="35"/>
        <v>3552.5</v>
      </c>
      <c r="H7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8">
        <f t="shared" si="36"/>
        <v>3752.6</v>
      </c>
      <c r="K778" t="e">
        <f t="shared" si="37"/>
        <v>#DIV/0!</v>
      </c>
    </row>
    <row r="779" spans="1:11" hidden="1" x14ac:dyDescent="0.25">
      <c r="A779" t="str" cm="1">
        <f t="array" ref="A779">IF(ISBLANK(INDEX(SampleList[GC],ROW()-1)),"Not Requested",INDEX(SampleList[Experiment ID],ROW()-1))</f>
        <v>Not Requested</v>
      </c>
      <c r="B779">
        <f>Sampling!E777</f>
        <v>0</v>
      </c>
      <c r="G779">
        <f t="shared" si="35"/>
        <v>3552.5</v>
      </c>
      <c r="H7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79">
        <f t="shared" si="36"/>
        <v>3752.6</v>
      </c>
      <c r="K779" t="e">
        <f t="shared" si="37"/>
        <v>#DIV/0!</v>
      </c>
    </row>
    <row r="780" spans="1:11" hidden="1" x14ac:dyDescent="0.25">
      <c r="A780" t="str" cm="1">
        <f t="array" ref="A780">IF(ISBLANK(INDEX(SampleList[GC],ROW()-1)),"Not Requested",INDEX(SampleList[Experiment ID],ROW()-1))</f>
        <v>Not Requested</v>
      </c>
      <c r="B780">
        <f>Sampling!E778</f>
        <v>0</v>
      </c>
      <c r="G780">
        <f t="shared" si="35"/>
        <v>3552.5</v>
      </c>
      <c r="H7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0">
        <f t="shared" si="36"/>
        <v>3752.6</v>
      </c>
      <c r="K780" t="e">
        <f t="shared" si="37"/>
        <v>#DIV/0!</v>
      </c>
    </row>
    <row r="781" spans="1:11" hidden="1" x14ac:dyDescent="0.25">
      <c r="A781" t="str" cm="1">
        <f t="array" ref="A781">IF(ISBLANK(INDEX(SampleList[GC],ROW()-1)),"Not Requested",INDEX(SampleList[Experiment ID],ROW()-1))</f>
        <v>Not Requested</v>
      </c>
      <c r="B781">
        <f>Sampling!E779</f>
        <v>0</v>
      </c>
      <c r="G781">
        <f t="shared" si="35"/>
        <v>3552.5</v>
      </c>
      <c r="H7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1">
        <f t="shared" si="36"/>
        <v>3752.6</v>
      </c>
      <c r="K781" t="e">
        <f t="shared" si="37"/>
        <v>#DIV/0!</v>
      </c>
    </row>
    <row r="782" spans="1:11" hidden="1" x14ac:dyDescent="0.25">
      <c r="A782" t="str" cm="1">
        <f t="array" ref="A782">IF(ISBLANK(INDEX(SampleList[GC],ROW()-1)),"Not Requested",INDEX(SampleList[Experiment ID],ROW()-1))</f>
        <v>Not Requested</v>
      </c>
      <c r="B782">
        <f>Sampling!E780</f>
        <v>0</v>
      </c>
      <c r="G782">
        <f t="shared" si="35"/>
        <v>3552.5</v>
      </c>
      <c r="H7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2">
        <f t="shared" si="36"/>
        <v>3752.6</v>
      </c>
      <c r="K782" t="e">
        <f t="shared" si="37"/>
        <v>#DIV/0!</v>
      </c>
    </row>
    <row r="783" spans="1:11" hidden="1" x14ac:dyDescent="0.25">
      <c r="A783" t="str" cm="1">
        <f t="array" ref="A783">IF(ISBLANK(INDEX(SampleList[GC],ROW()-1)),"Not Requested",INDEX(SampleList[Experiment ID],ROW()-1))</f>
        <v>Not Requested</v>
      </c>
      <c r="B783">
        <f>Sampling!E781</f>
        <v>0</v>
      </c>
      <c r="G783">
        <f t="shared" si="35"/>
        <v>3552.5</v>
      </c>
      <c r="H7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3">
        <f t="shared" si="36"/>
        <v>3752.6</v>
      </c>
      <c r="K783" t="e">
        <f t="shared" si="37"/>
        <v>#DIV/0!</v>
      </c>
    </row>
    <row r="784" spans="1:11" hidden="1" x14ac:dyDescent="0.25">
      <c r="A784" t="str" cm="1">
        <f t="array" ref="A784">IF(ISBLANK(INDEX(SampleList[GC],ROW()-1)),"Not Requested",INDEX(SampleList[Experiment ID],ROW()-1))</f>
        <v>Not Requested</v>
      </c>
      <c r="B784">
        <f>Sampling!E782</f>
        <v>0</v>
      </c>
      <c r="G784">
        <f t="shared" si="35"/>
        <v>3552.5</v>
      </c>
      <c r="H7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4">
        <f t="shared" si="36"/>
        <v>3752.6</v>
      </c>
      <c r="K784" t="e">
        <f t="shared" si="37"/>
        <v>#DIV/0!</v>
      </c>
    </row>
    <row r="785" spans="1:11" hidden="1" x14ac:dyDescent="0.25">
      <c r="A785" t="str" cm="1">
        <f t="array" ref="A785">IF(ISBLANK(INDEX(SampleList[GC],ROW()-1)),"Not Requested",INDEX(SampleList[Experiment ID],ROW()-1))</f>
        <v>Not Requested</v>
      </c>
      <c r="B785">
        <f>Sampling!E783</f>
        <v>0</v>
      </c>
      <c r="G785">
        <f t="shared" si="35"/>
        <v>3552.5</v>
      </c>
      <c r="H7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5">
        <f t="shared" si="36"/>
        <v>3752.6</v>
      </c>
      <c r="K785" t="e">
        <f t="shared" si="37"/>
        <v>#DIV/0!</v>
      </c>
    </row>
    <row r="786" spans="1:11" hidden="1" x14ac:dyDescent="0.25">
      <c r="A786" t="str" cm="1">
        <f t="array" ref="A786">IF(ISBLANK(INDEX(SampleList[GC],ROW()-1)),"Not Requested",INDEX(SampleList[Experiment ID],ROW()-1))</f>
        <v>Not Requested</v>
      </c>
      <c r="B786">
        <f>Sampling!E784</f>
        <v>0</v>
      </c>
      <c r="G786">
        <f t="shared" si="35"/>
        <v>3552.5</v>
      </c>
      <c r="H7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6">
        <f t="shared" si="36"/>
        <v>3752.6</v>
      </c>
      <c r="K786" t="e">
        <f t="shared" si="37"/>
        <v>#DIV/0!</v>
      </c>
    </row>
    <row r="787" spans="1:11" hidden="1" x14ac:dyDescent="0.25">
      <c r="A787" t="str" cm="1">
        <f t="array" ref="A787">IF(ISBLANK(INDEX(SampleList[GC],ROW()-1)),"Not Requested",INDEX(SampleList[Experiment ID],ROW()-1))</f>
        <v>Not Requested</v>
      </c>
      <c r="B787">
        <f>Sampling!E785</f>
        <v>0</v>
      </c>
      <c r="G787">
        <f t="shared" si="35"/>
        <v>3552.5</v>
      </c>
      <c r="H7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7">
        <f t="shared" si="36"/>
        <v>3752.6</v>
      </c>
      <c r="K787" t="e">
        <f t="shared" si="37"/>
        <v>#DIV/0!</v>
      </c>
    </row>
    <row r="788" spans="1:11" hidden="1" x14ac:dyDescent="0.25">
      <c r="A788" t="str" cm="1">
        <f t="array" ref="A788">IF(ISBLANK(INDEX(SampleList[GC],ROW()-1)),"Not Requested",INDEX(SampleList[Experiment ID],ROW()-1))</f>
        <v>Not Requested</v>
      </c>
      <c r="B788">
        <f>Sampling!E786</f>
        <v>0</v>
      </c>
      <c r="G788">
        <f t="shared" si="35"/>
        <v>3552.5</v>
      </c>
      <c r="H7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8">
        <f t="shared" si="36"/>
        <v>3752.6</v>
      </c>
      <c r="K788" t="e">
        <f t="shared" si="37"/>
        <v>#DIV/0!</v>
      </c>
    </row>
    <row r="789" spans="1:11" hidden="1" x14ac:dyDescent="0.25">
      <c r="A789" t="str" cm="1">
        <f t="array" ref="A789">IF(ISBLANK(INDEX(SampleList[GC],ROW()-1)),"Not Requested",INDEX(SampleList[Experiment ID],ROW()-1))</f>
        <v>Not Requested</v>
      </c>
      <c r="B789">
        <f>Sampling!E787</f>
        <v>0</v>
      </c>
      <c r="G789">
        <f t="shared" si="35"/>
        <v>3552.5</v>
      </c>
      <c r="H7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89">
        <f t="shared" si="36"/>
        <v>3752.6</v>
      </c>
      <c r="K789" t="e">
        <f t="shared" si="37"/>
        <v>#DIV/0!</v>
      </c>
    </row>
    <row r="790" spans="1:11" hidden="1" x14ac:dyDescent="0.25">
      <c r="A790" t="str" cm="1">
        <f t="array" ref="A790">IF(ISBLANK(INDEX(SampleList[GC],ROW()-1)),"Not Requested",INDEX(SampleList[Experiment ID],ROW()-1))</f>
        <v>Not Requested</v>
      </c>
      <c r="B790">
        <f>Sampling!E788</f>
        <v>0</v>
      </c>
      <c r="G790">
        <f t="shared" si="35"/>
        <v>3552.5</v>
      </c>
      <c r="H7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0">
        <f t="shared" si="36"/>
        <v>3752.6</v>
      </c>
      <c r="K790" t="e">
        <f t="shared" si="37"/>
        <v>#DIV/0!</v>
      </c>
    </row>
    <row r="791" spans="1:11" hidden="1" x14ac:dyDescent="0.25">
      <c r="A791" t="str" cm="1">
        <f t="array" ref="A791">IF(ISBLANK(INDEX(SampleList[GC],ROW()-1)),"Not Requested",INDEX(SampleList[Experiment ID],ROW()-1))</f>
        <v>Not Requested</v>
      </c>
      <c r="B791">
        <f>Sampling!E789</f>
        <v>0</v>
      </c>
      <c r="G791">
        <f t="shared" si="35"/>
        <v>3552.5</v>
      </c>
      <c r="H7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1">
        <f t="shared" si="36"/>
        <v>3752.6</v>
      </c>
      <c r="K791" t="e">
        <f t="shared" si="37"/>
        <v>#DIV/0!</v>
      </c>
    </row>
    <row r="792" spans="1:11" hidden="1" x14ac:dyDescent="0.25">
      <c r="A792" t="str" cm="1">
        <f t="array" ref="A792">IF(ISBLANK(INDEX(SampleList[GC],ROW()-1)),"Not Requested",INDEX(SampleList[Experiment ID],ROW()-1))</f>
        <v>Not Requested</v>
      </c>
      <c r="B792">
        <f>Sampling!E790</f>
        <v>0</v>
      </c>
      <c r="G792">
        <f t="shared" si="35"/>
        <v>3552.5</v>
      </c>
      <c r="H7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2">
        <f t="shared" si="36"/>
        <v>3752.6</v>
      </c>
      <c r="K792" t="e">
        <f t="shared" si="37"/>
        <v>#DIV/0!</v>
      </c>
    </row>
    <row r="793" spans="1:11" hidden="1" x14ac:dyDescent="0.25">
      <c r="A793" t="str" cm="1">
        <f t="array" ref="A793">IF(ISBLANK(INDEX(SampleList[GC],ROW()-1)),"Not Requested",INDEX(SampleList[Experiment ID],ROW()-1))</f>
        <v>Not Requested</v>
      </c>
      <c r="B793">
        <f>Sampling!E791</f>
        <v>0</v>
      </c>
      <c r="G793">
        <f t="shared" si="35"/>
        <v>3552.5</v>
      </c>
      <c r="H7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3">
        <f t="shared" si="36"/>
        <v>3752.6</v>
      </c>
      <c r="K793" t="e">
        <f t="shared" si="37"/>
        <v>#DIV/0!</v>
      </c>
    </row>
    <row r="794" spans="1:11" hidden="1" x14ac:dyDescent="0.25">
      <c r="A794" t="str" cm="1">
        <f t="array" ref="A794">IF(ISBLANK(INDEX(SampleList[GC],ROW()-1)),"Not Requested",INDEX(SampleList[Experiment ID],ROW()-1))</f>
        <v>Not Requested</v>
      </c>
      <c r="B794">
        <f>Sampling!E792</f>
        <v>0</v>
      </c>
      <c r="G794">
        <f t="shared" si="35"/>
        <v>3552.5</v>
      </c>
      <c r="H7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4">
        <f t="shared" si="36"/>
        <v>3752.6</v>
      </c>
      <c r="K794" t="e">
        <f t="shared" si="37"/>
        <v>#DIV/0!</v>
      </c>
    </row>
    <row r="795" spans="1:11" hidden="1" x14ac:dyDescent="0.25">
      <c r="A795" t="str" cm="1">
        <f t="array" ref="A795">IF(ISBLANK(INDEX(SampleList[GC],ROW()-1)),"Not Requested",INDEX(SampleList[Experiment ID],ROW()-1))</f>
        <v>Not Requested</v>
      </c>
      <c r="B795">
        <f>Sampling!E793</f>
        <v>0</v>
      </c>
      <c r="G795">
        <f t="shared" si="35"/>
        <v>3552.5</v>
      </c>
      <c r="H7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5">
        <f t="shared" si="36"/>
        <v>3752.6</v>
      </c>
      <c r="K795" t="e">
        <f t="shared" si="37"/>
        <v>#DIV/0!</v>
      </c>
    </row>
    <row r="796" spans="1:11" hidden="1" x14ac:dyDescent="0.25">
      <c r="A796" t="str" cm="1">
        <f t="array" ref="A796">IF(ISBLANK(INDEX(SampleList[GC],ROW()-1)),"Not Requested",INDEX(SampleList[Experiment ID],ROW()-1))</f>
        <v>Not Requested</v>
      </c>
      <c r="B796">
        <f>Sampling!E794</f>
        <v>0</v>
      </c>
      <c r="G796">
        <f t="shared" si="35"/>
        <v>3552.5</v>
      </c>
      <c r="H7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6">
        <f t="shared" si="36"/>
        <v>3752.6</v>
      </c>
      <c r="K796" t="e">
        <f t="shared" si="37"/>
        <v>#DIV/0!</v>
      </c>
    </row>
    <row r="797" spans="1:11" hidden="1" x14ac:dyDescent="0.25">
      <c r="A797" t="str" cm="1">
        <f t="array" ref="A797">IF(ISBLANK(INDEX(SampleList[GC],ROW()-1)),"Not Requested",INDEX(SampleList[Experiment ID],ROW()-1))</f>
        <v>Not Requested</v>
      </c>
      <c r="B797">
        <f>Sampling!E795</f>
        <v>0</v>
      </c>
      <c r="G797">
        <f t="shared" si="35"/>
        <v>3552.5</v>
      </c>
      <c r="H7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7">
        <f t="shared" si="36"/>
        <v>3752.6</v>
      </c>
      <c r="K797" t="e">
        <f t="shared" si="37"/>
        <v>#DIV/0!</v>
      </c>
    </row>
    <row r="798" spans="1:11" hidden="1" x14ac:dyDescent="0.25">
      <c r="A798" t="str" cm="1">
        <f t="array" ref="A798">IF(ISBLANK(INDEX(SampleList[GC],ROW()-1)),"Not Requested",INDEX(SampleList[Experiment ID],ROW()-1))</f>
        <v>Not Requested</v>
      </c>
      <c r="B798">
        <f>Sampling!E796</f>
        <v>0</v>
      </c>
      <c r="G798">
        <f t="shared" si="35"/>
        <v>3552.5</v>
      </c>
      <c r="H7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8">
        <f t="shared" si="36"/>
        <v>3752.6</v>
      </c>
      <c r="K798" t="e">
        <f t="shared" si="37"/>
        <v>#DIV/0!</v>
      </c>
    </row>
    <row r="799" spans="1:11" hidden="1" x14ac:dyDescent="0.25">
      <c r="A799" t="str" cm="1">
        <f t="array" ref="A799">IF(ISBLANK(INDEX(SampleList[GC],ROW()-1)),"Not Requested",INDEX(SampleList[Experiment ID],ROW()-1))</f>
        <v>Not Requested</v>
      </c>
      <c r="B799">
        <f>Sampling!E797</f>
        <v>0</v>
      </c>
      <c r="G799">
        <f t="shared" si="35"/>
        <v>3552.5</v>
      </c>
      <c r="H7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799">
        <f t="shared" si="36"/>
        <v>3752.6</v>
      </c>
      <c r="K799" t="e">
        <f t="shared" si="37"/>
        <v>#DIV/0!</v>
      </c>
    </row>
    <row r="800" spans="1:11" hidden="1" x14ac:dyDescent="0.25">
      <c r="A800" t="str" cm="1">
        <f t="array" ref="A800">IF(ISBLANK(INDEX(SampleList[GC],ROW()-1)),"Not Requested",INDEX(SampleList[Experiment ID],ROW()-1))</f>
        <v>Not Requested</v>
      </c>
      <c r="B800">
        <f>Sampling!E798</f>
        <v>0</v>
      </c>
      <c r="G800">
        <f t="shared" si="35"/>
        <v>3552.5</v>
      </c>
      <c r="H8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0">
        <f t="shared" si="36"/>
        <v>3752.6</v>
      </c>
      <c r="K800" t="e">
        <f t="shared" si="37"/>
        <v>#DIV/0!</v>
      </c>
    </row>
    <row r="801" spans="1:11" hidden="1" x14ac:dyDescent="0.25">
      <c r="A801" t="str" cm="1">
        <f t="array" ref="A801">IF(ISBLANK(INDEX(SampleList[GC],ROW()-1)),"Not Requested",INDEX(SampleList[Experiment ID],ROW()-1))</f>
        <v>Not Requested</v>
      </c>
      <c r="B801">
        <f>Sampling!E799</f>
        <v>0</v>
      </c>
      <c r="G801">
        <f t="shared" ref="G801:G864" si="38">24.5*145</f>
        <v>3552.5</v>
      </c>
      <c r="H8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1">
        <f t="shared" si="36"/>
        <v>3752.6</v>
      </c>
      <c r="K801" t="e">
        <f t="shared" si="37"/>
        <v>#DIV/0!</v>
      </c>
    </row>
    <row r="802" spans="1:11" hidden="1" x14ac:dyDescent="0.25">
      <c r="A802" t="str" cm="1">
        <f t="array" ref="A802">IF(ISBLANK(INDEX(SampleList[GC],ROW()-1)),"Not Requested",INDEX(SampleList[Experiment ID],ROW()-1))</f>
        <v>Not Requested</v>
      </c>
      <c r="B802">
        <f>Sampling!E800</f>
        <v>0</v>
      </c>
      <c r="G802">
        <f t="shared" si="38"/>
        <v>3552.5</v>
      </c>
      <c r="H8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2">
        <f t="shared" si="36"/>
        <v>3752.6</v>
      </c>
      <c r="K802" t="e">
        <f t="shared" si="37"/>
        <v>#DIV/0!</v>
      </c>
    </row>
    <row r="803" spans="1:11" hidden="1" x14ac:dyDescent="0.25">
      <c r="A803" t="str" cm="1">
        <f t="array" ref="A803">IF(ISBLANK(INDEX(SampleList[GC],ROW()-1)),"Not Requested",INDEX(SampleList[Experiment ID],ROW()-1))</f>
        <v>Not Requested</v>
      </c>
      <c r="B803">
        <f>Sampling!E801</f>
        <v>0</v>
      </c>
      <c r="G803">
        <f t="shared" si="38"/>
        <v>3552.5</v>
      </c>
      <c r="H8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3">
        <f t="shared" si="36"/>
        <v>3752.6</v>
      </c>
      <c r="K803" t="e">
        <f t="shared" si="37"/>
        <v>#DIV/0!</v>
      </c>
    </row>
    <row r="804" spans="1:11" hidden="1" x14ac:dyDescent="0.25">
      <c r="A804" t="str" cm="1">
        <f t="array" ref="A804">IF(ISBLANK(INDEX(SampleList[GC],ROW()-1)),"Not Requested",INDEX(SampleList[Experiment ID],ROW()-1))</f>
        <v>Not Requested</v>
      </c>
      <c r="B804">
        <f>Sampling!E802</f>
        <v>0</v>
      </c>
      <c r="G804">
        <f t="shared" si="38"/>
        <v>3552.5</v>
      </c>
      <c r="H8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4">
        <f t="shared" si="36"/>
        <v>3752.6</v>
      </c>
      <c r="K804" t="e">
        <f t="shared" si="37"/>
        <v>#DIV/0!</v>
      </c>
    </row>
    <row r="805" spans="1:11" hidden="1" x14ac:dyDescent="0.25">
      <c r="A805" t="str" cm="1">
        <f t="array" ref="A805">IF(ISBLANK(INDEX(SampleList[GC],ROW()-1)),"Not Requested",INDEX(SampleList[Experiment ID],ROW()-1))</f>
        <v>Not Requested</v>
      </c>
      <c r="B805">
        <f>Sampling!E803</f>
        <v>0</v>
      </c>
      <c r="G805">
        <f t="shared" si="38"/>
        <v>3552.5</v>
      </c>
      <c r="H8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5">
        <f t="shared" si="36"/>
        <v>3752.6</v>
      </c>
      <c r="K805" t="e">
        <f t="shared" si="37"/>
        <v>#DIV/0!</v>
      </c>
    </row>
    <row r="806" spans="1:11" hidden="1" x14ac:dyDescent="0.25">
      <c r="A806" t="str" cm="1">
        <f t="array" ref="A806">IF(ISBLANK(INDEX(SampleList[GC],ROW()-1)),"Not Requested",INDEX(SampleList[Experiment ID],ROW()-1))</f>
        <v>Not Requested</v>
      </c>
      <c r="B806">
        <f>Sampling!E804</f>
        <v>0</v>
      </c>
      <c r="G806">
        <f t="shared" si="38"/>
        <v>3552.5</v>
      </c>
      <c r="H8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6">
        <f t="shared" si="36"/>
        <v>3752.6</v>
      </c>
      <c r="K806" t="e">
        <f t="shared" si="37"/>
        <v>#DIV/0!</v>
      </c>
    </row>
    <row r="807" spans="1:11" hidden="1" x14ac:dyDescent="0.25">
      <c r="A807" t="str" cm="1">
        <f t="array" ref="A807">IF(ISBLANK(INDEX(SampleList[GC],ROW()-1)),"Not Requested",INDEX(SampleList[Experiment ID],ROW()-1))</f>
        <v>Not Requested</v>
      </c>
      <c r="B807">
        <f>Sampling!E805</f>
        <v>0</v>
      </c>
      <c r="G807">
        <f t="shared" si="38"/>
        <v>3552.5</v>
      </c>
      <c r="H8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7">
        <f t="shared" si="36"/>
        <v>3752.6</v>
      </c>
      <c r="K807" t="e">
        <f t="shared" si="37"/>
        <v>#DIV/0!</v>
      </c>
    </row>
    <row r="808" spans="1:11" hidden="1" x14ac:dyDescent="0.25">
      <c r="A808" t="str" cm="1">
        <f t="array" ref="A808">IF(ISBLANK(INDEX(SampleList[GC],ROW()-1)),"Not Requested",INDEX(SampleList[Experiment ID],ROW()-1))</f>
        <v>Not Requested</v>
      </c>
      <c r="B808">
        <f>Sampling!E806</f>
        <v>0</v>
      </c>
      <c r="G808">
        <f t="shared" si="38"/>
        <v>3552.5</v>
      </c>
      <c r="H8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8">
        <f t="shared" si="36"/>
        <v>3752.6</v>
      </c>
      <c r="K808" t="e">
        <f t="shared" si="37"/>
        <v>#DIV/0!</v>
      </c>
    </row>
    <row r="809" spans="1:11" hidden="1" x14ac:dyDescent="0.25">
      <c r="A809" t="str" cm="1">
        <f t="array" ref="A809">IF(ISBLANK(INDEX(SampleList[GC],ROW()-1)),"Not Requested",INDEX(SampleList[Experiment ID],ROW()-1))</f>
        <v>Not Requested</v>
      </c>
      <c r="B809">
        <f>Sampling!E807</f>
        <v>0</v>
      </c>
      <c r="G809">
        <f t="shared" si="38"/>
        <v>3552.5</v>
      </c>
      <c r="H8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09">
        <f t="shared" si="36"/>
        <v>3752.6</v>
      </c>
      <c r="K809" t="e">
        <f t="shared" si="37"/>
        <v>#DIV/0!</v>
      </c>
    </row>
    <row r="810" spans="1:11" hidden="1" x14ac:dyDescent="0.25">
      <c r="A810" t="str" cm="1">
        <f t="array" ref="A810">IF(ISBLANK(INDEX(SampleList[GC],ROW()-1)),"Not Requested",INDEX(SampleList[Experiment ID],ROW()-1))</f>
        <v>Not Requested</v>
      </c>
      <c r="B810">
        <f>Sampling!E808</f>
        <v>0</v>
      </c>
      <c r="G810">
        <f t="shared" si="38"/>
        <v>3552.5</v>
      </c>
      <c r="H8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0">
        <f t="shared" si="36"/>
        <v>3752.6</v>
      </c>
      <c r="K810" t="e">
        <f t="shared" si="37"/>
        <v>#DIV/0!</v>
      </c>
    </row>
    <row r="811" spans="1:11" hidden="1" x14ac:dyDescent="0.25">
      <c r="A811" t="str" cm="1">
        <f t="array" ref="A811">IF(ISBLANK(INDEX(SampleList[GC],ROW()-1)),"Not Requested",INDEX(SampleList[Experiment ID],ROW()-1))</f>
        <v>Not Requested</v>
      </c>
      <c r="B811">
        <f>Sampling!E809</f>
        <v>0</v>
      </c>
      <c r="G811">
        <f t="shared" si="38"/>
        <v>3552.5</v>
      </c>
      <c r="H8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1">
        <f t="shared" si="36"/>
        <v>3752.6</v>
      </c>
      <c r="K811" t="e">
        <f t="shared" si="37"/>
        <v>#DIV/0!</v>
      </c>
    </row>
    <row r="812" spans="1:11" hidden="1" x14ac:dyDescent="0.25">
      <c r="A812" t="str" cm="1">
        <f t="array" ref="A812">IF(ISBLANK(INDEX(SampleList[GC],ROW()-1)),"Not Requested",INDEX(SampleList[Experiment ID],ROW()-1))</f>
        <v>Not Requested</v>
      </c>
      <c r="B812">
        <f>Sampling!E810</f>
        <v>0</v>
      </c>
      <c r="G812">
        <f t="shared" si="38"/>
        <v>3552.5</v>
      </c>
      <c r="H8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2">
        <f t="shared" si="36"/>
        <v>3752.6</v>
      </c>
      <c r="K812" t="e">
        <f t="shared" si="37"/>
        <v>#DIV/0!</v>
      </c>
    </row>
    <row r="813" spans="1:11" hidden="1" x14ac:dyDescent="0.25">
      <c r="A813" t="str" cm="1">
        <f t="array" ref="A813">IF(ISBLANK(INDEX(SampleList[GC],ROW()-1)),"Not Requested",INDEX(SampleList[Experiment ID],ROW()-1))</f>
        <v>Not Requested</v>
      </c>
      <c r="B813">
        <f>Sampling!E811</f>
        <v>0</v>
      </c>
      <c r="G813">
        <f t="shared" si="38"/>
        <v>3552.5</v>
      </c>
      <c r="H8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3">
        <f t="shared" si="36"/>
        <v>3752.6</v>
      </c>
      <c r="K813" t="e">
        <f t="shared" si="37"/>
        <v>#DIV/0!</v>
      </c>
    </row>
    <row r="814" spans="1:11" hidden="1" x14ac:dyDescent="0.25">
      <c r="A814" t="str" cm="1">
        <f t="array" ref="A814">IF(ISBLANK(INDEX(SampleList[GC],ROW()-1)),"Not Requested",INDEX(SampleList[Experiment ID],ROW()-1))</f>
        <v>Not Requested</v>
      </c>
      <c r="B814">
        <f>Sampling!E812</f>
        <v>0</v>
      </c>
      <c r="G814">
        <f t="shared" si="38"/>
        <v>3552.5</v>
      </c>
      <c r="H8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4">
        <f t="shared" si="36"/>
        <v>3752.6</v>
      </c>
      <c r="K814" t="e">
        <f t="shared" si="37"/>
        <v>#DIV/0!</v>
      </c>
    </row>
    <row r="815" spans="1:11" hidden="1" x14ac:dyDescent="0.25">
      <c r="A815" t="str" cm="1">
        <f t="array" ref="A815">IF(ISBLANK(INDEX(SampleList[GC],ROW()-1)),"Not Requested",INDEX(SampleList[Experiment ID],ROW()-1))</f>
        <v>Not Requested</v>
      </c>
      <c r="B815">
        <f>Sampling!E813</f>
        <v>0</v>
      </c>
      <c r="G815">
        <f t="shared" si="38"/>
        <v>3552.5</v>
      </c>
      <c r="H8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5">
        <f t="shared" si="36"/>
        <v>3752.6</v>
      </c>
      <c r="K815" t="e">
        <f t="shared" si="37"/>
        <v>#DIV/0!</v>
      </c>
    </row>
    <row r="816" spans="1:11" hidden="1" x14ac:dyDescent="0.25">
      <c r="A816" t="str" cm="1">
        <f t="array" ref="A816">IF(ISBLANK(INDEX(SampleList[GC],ROW()-1)),"Not Requested",INDEX(SampleList[Experiment ID],ROW()-1))</f>
        <v>Not Requested</v>
      </c>
      <c r="B816">
        <f>Sampling!E814</f>
        <v>0</v>
      </c>
      <c r="G816">
        <f t="shared" si="38"/>
        <v>3552.5</v>
      </c>
      <c r="H8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6">
        <f t="shared" si="36"/>
        <v>3752.6</v>
      </c>
      <c r="K816" t="e">
        <f t="shared" si="37"/>
        <v>#DIV/0!</v>
      </c>
    </row>
    <row r="817" spans="1:11" hidden="1" x14ac:dyDescent="0.25">
      <c r="A817" t="str" cm="1">
        <f t="array" ref="A817">IF(ISBLANK(INDEX(SampleList[GC],ROW()-1)),"Not Requested",INDEX(SampleList[Experiment ID],ROW()-1))</f>
        <v>Not Requested</v>
      </c>
      <c r="B817">
        <f>Sampling!E815</f>
        <v>0</v>
      </c>
      <c r="G817">
        <f t="shared" si="38"/>
        <v>3552.5</v>
      </c>
      <c r="H8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7">
        <f t="shared" si="36"/>
        <v>3752.6</v>
      </c>
      <c r="K817" t="e">
        <f t="shared" si="37"/>
        <v>#DIV/0!</v>
      </c>
    </row>
    <row r="818" spans="1:11" hidden="1" x14ac:dyDescent="0.25">
      <c r="A818" t="str" cm="1">
        <f t="array" ref="A818">IF(ISBLANK(INDEX(SampleList[GC],ROW()-1)),"Not Requested",INDEX(SampleList[Experiment ID],ROW()-1))</f>
        <v>Not Requested</v>
      </c>
      <c r="B818">
        <f>Sampling!E816</f>
        <v>0</v>
      </c>
      <c r="G818">
        <f t="shared" si="38"/>
        <v>3552.5</v>
      </c>
      <c r="H8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8">
        <f t="shared" si="36"/>
        <v>3752.6</v>
      </c>
      <c r="K818" t="e">
        <f t="shared" si="37"/>
        <v>#DIV/0!</v>
      </c>
    </row>
    <row r="819" spans="1:11" hidden="1" x14ac:dyDescent="0.25">
      <c r="A819" t="str" cm="1">
        <f t="array" ref="A819">IF(ISBLANK(INDEX(SampleList[GC],ROW()-1)),"Not Requested",INDEX(SampleList[Experiment ID],ROW()-1))</f>
        <v>Not Requested</v>
      </c>
      <c r="B819">
        <f>Sampling!E817</f>
        <v>0</v>
      </c>
      <c r="G819">
        <f t="shared" si="38"/>
        <v>3552.5</v>
      </c>
      <c r="H8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19">
        <f t="shared" si="36"/>
        <v>3752.6</v>
      </c>
      <c r="K819" t="e">
        <f t="shared" si="37"/>
        <v>#DIV/0!</v>
      </c>
    </row>
    <row r="820" spans="1:11" hidden="1" x14ac:dyDescent="0.25">
      <c r="A820" t="str" cm="1">
        <f t="array" ref="A820">IF(ISBLANK(INDEX(SampleList[GC],ROW()-1)),"Not Requested",INDEX(SampleList[Experiment ID],ROW()-1))</f>
        <v>Not Requested</v>
      </c>
      <c r="B820">
        <f>Sampling!E818</f>
        <v>0</v>
      </c>
      <c r="G820">
        <f t="shared" si="38"/>
        <v>3552.5</v>
      </c>
      <c r="H8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0">
        <f t="shared" si="36"/>
        <v>3752.6</v>
      </c>
      <c r="K820" t="e">
        <f t="shared" si="37"/>
        <v>#DIV/0!</v>
      </c>
    </row>
    <row r="821" spans="1:11" hidden="1" x14ac:dyDescent="0.25">
      <c r="A821" t="str" cm="1">
        <f t="array" ref="A821">IF(ISBLANK(INDEX(SampleList[GC],ROW()-1)),"Not Requested",INDEX(SampleList[Experiment ID],ROW()-1))</f>
        <v>Not Requested</v>
      </c>
      <c r="B821">
        <f>Sampling!E819</f>
        <v>0</v>
      </c>
      <c r="G821">
        <f t="shared" si="38"/>
        <v>3552.5</v>
      </c>
      <c r="H8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1">
        <f t="shared" si="36"/>
        <v>3752.6</v>
      </c>
      <c r="K821" t="e">
        <f t="shared" si="37"/>
        <v>#DIV/0!</v>
      </c>
    </row>
    <row r="822" spans="1:11" hidden="1" x14ac:dyDescent="0.25">
      <c r="A822" t="str" cm="1">
        <f t="array" ref="A822">IF(ISBLANK(INDEX(SampleList[GC],ROW()-1)),"Not Requested",INDEX(SampleList[Experiment ID],ROW()-1))</f>
        <v>Not Requested</v>
      </c>
      <c r="B822">
        <f>Sampling!E820</f>
        <v>0</v>
      </c>
      <c r="G822">
        <f t="shared" si="38"/>
        <v>3552.5</v>
      </c>
      <c r="H8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2">
        <f t="shared" si="36"/>
        <v>3752.6</v>
      </c>
      <c r="K822" t="e">
        <f t="shared" si="37"/>
        <v>#DIV/0!</v>
      </c>
    </row>
    <row r="823" spans="1:11" hidden="1" x14ac:dyDescent="0.25">
      <c r="A823" t="str" cm="1">
        <f t="array" ref="A823">IF(ISBLANK(INDEX(SampleList[GC],ROW()-1)),"Not Requested",INDEX(SampleList[Experiment ID],ROW()-1))</f>
        <v>Not Requested</v>
      </c>
      <c r="B823">
        <f>Sampling!E821</f>
        <v>0</v>
      </c>
      <c r="G823">
        <f t="shared" si="38"/>
        <v>3552.5</v>
      </c>
      <c r="H8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3">
        <f t="shared" si="36"/>
        <v>3752.6</v>
      </c>
      <c r="K823" t="e">
        <f t="shared" si="37"/>
        <v>#DIV/0!</v>
      </c>
    </row>
    <row r="824" spans="1:11" hidden="1" x14ac:dyDescent="0.25">
      <c r="A824" t="str" cm="1">
        <f t="array" ref="A824">IF(ISBLANK(INDEX(SampleList[GC],ROW()-1)),"Not Requested",INDEX(SampleList[Experiment ID],ROW()-1))</f>
        <v>Not Requested</v>
      </c>
      <c r="B824">
        <f>Sampling!E822</f>
        <v>0</v>
      </c>
      <c r="G824">
        <f t="shared" si="38"/>
        <v>3552.5</v>
      </c>
      <c r="H8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4">
        <f t="shared" si="36"/>
        <v>3752.6</v>
      </c>
      <c r="K824" t="e">
        <f t="shared" si="37"/>
        <v>#DIV/0!</v>
      </c>
    </row>
    <row r="825" spans="1:11" hidden="1" x14ac:dyDescent="0.25">
      <c r="A825" t="str" cm="1">
        <f t="array" ref="A825">IF(ISBLANK(INDEX(SampleList[GC],ROW()-1)),"Not Requested",INDEX(SampleList[Experiment ID],ROW()-1))</f>
        <v>Not Requested</v>
      </c>
      <c r="B825">
        <f>Sampling!E823</f>
        <v>0</v>
      </c>
      <c r="G825">
        <f t="shared" si="38"/>
        <v>3552.5</v>
      </c>
      <c r="H8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5">
        <f t="shared" si="36"/>
        <v>3752.6</v>
      </c>
      <c r="K825" t="e">
        <f t="shared" si="37"/>
        <v>#DIV/0!</v>
      </c>
    </row>
    <row r="826" spans="1:11" hidden="1" x14ac:dyDescent="0.25">
      <c r="A826" t="str" cm="1">
        <f t="array" ref="A826">IF(ISBLANK(INDEX(SampleList[GC],ROW()-1)),"Not Requested",INDEX(SampleList[Experiment ID],ROW()-1))</f>
        <v>Not Requested</v>
      </c>
      <c r="B826">
        <f>Sampling!E824</f>
        <v>0</v>
      </c>
      <c r="G826">
        <f t="shared" si="38"/>
        <v>3552.5</v>
      </c>
      <c r="H8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6">
        <f t="shared" si="36"/>
        <v>3752.6</v>
      </c>
      <c r="K826" t="e">
        <f t="shared" si="37"/>
        <v>#DIV/0!</v>
      </c>
    </row>
    <row r="827" spans="1:11" hidden="1" x14ac:dyDescent="0.25">
      <c r="A827" t="str" cm="1">
        <f t="array" ref="A827">IF(ISBLANK(INDEX(SampleList[GC],ROW()-1)),"Not Requested",INDEX(SampleList[Experiment ID],ROW()-1))</f>
        <v>Not Requested</v>
      </c>
      <c r="B827">
        <f>Sampling!E825</f>
        <v>0</v>
      </c>
      <c r="G827">
        <f t="shared" si="38"/>
        <v>3552.5</v>
      </c>
      <c r="H8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7">
        <f t="shared" si="36"/>
        <v>3752.6</v>
      </c>
      <c r="K827" t="e">
        <f t="shared" si="37"/>
        <v>#DIV/0!</v>
      </c>
    </row>
    <row r="828" spans="1:11" hidden="1" x14ac:dyDescent="0.25">
      <c r="A828" t="str" cm="1">
        <f t="array" ref="A828">IF(ISBLANK(INDEX(SampleList[GC],ROW()-1)),"Not Requested",INDEX(SampleList[Experiment ID],ROW()-1))</f>
        <v>Not Requested</v>
      </c>
      <c r="B828">
        <f>Sampling!E826</f>
        <v>0</v>
      </c>
      <c r="G828">
        <f t="shared" si="38"/>
        <v>3552.5</v>
      </c>
      <c r="H8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8">
        <f t="shared" si="36"/>
        <v>3752.6</v>
      </c>
      <c r="K828" t="e">
        <f t="shared" si="37"/>
        <v>#DIV/0!</v>
      </c>
    </row>
    <row r="829" spans="1:11" hidden="1" x14ac:dyDescent="0.25">
      <c r="A829" t="str" cm="1">
        <f t="array" ref="A829">IF(ISBLANK(INDEX(SampleList[GC],ROW()-1)),"Not Requested",INDEX(SampleList[Experiment ID],ROW()-1))</f>
        <v>Not Requested</v>
      </c>
      <c r="B829">
        <f>Sampling!E827</f>
        <v>0</v>
      </c>
      <c r="G829">
        <f t="shared" si="38"/>
        <v>3552.5</v>
      </c>
      <c r="H8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29">
        <f t="shared" si="36"/>
        <v>3752.6</v>
      </c>
      <c r="K829" t="e">
        <f t="shared" si="37"/>
        <v>#DIV/0!</v>
      </c>
    </row>
    <row r="830" spans="1:11" hidden="1" x14ac:dyDescent="0.25">
      <c r="A830" t="str" cm="1">
        <f t="array" ref="A830">IF(ISBLANK(INDEX(SampleList[GC],ROW()-1)),"Not Requested",INDEX(SampleList[Experiment ID],ROW()-1))</f>
        <v>Not Requested</v>
      </c>
      <c r="B830">
        <f>Sampling!E828</f>
        <v>0</v>
      </c>
      <c r="G830">
        <f t="shared" si="38"/>
        <v>3552.5</v>
      </c>
      <c r="H8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0">
        <f t="shared" si="36"/>
        <v>3752.6</v>
      </c>
      <c r="K830" t="e">
        <f t="shared" si="37"/>
        <v>#DIV/0!</v>
      </c>
    </row>
    <row r="831" spans="1:11" hidden="1" x14ac:dyDescent="0.25">
      <c r="A831" t="str" cm="1">
        <f t="array" ref="A831">IF(ISBLANK(INDEX(SampleList[GC],ROW()-1)),"Not Requested",INDEX(SampleList[Experiment ID],ROW()-1))</f>
        <v>Not Requested</v>
      </c>
      <c r="B831">
        <f>Sampling!E829</f>
        <v>0</v>
      </c>
      <c r="G831">
        <f t="shared" si="38"/>
        <v>3552.5</v>
      </c>
      <c r="H8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1">
        <f t="shared" si="36"/>
        <v>3752.6</v>
      </c>
      <c r="K831" t="e">
        <f t="shared" si="37"/>
        <v>#DIV/0!</v>
      </c>
    </row>
    <row r="832" spans="1:11" hidden="1" x14ac:dyDescent="0.25">
      <c r="A832" t="str" cm="1">
        <f t="array" ref="A832">IF(ISBLANK(INDEX(SampleList[GC],ROW()-1)),"Not Requested",INDEX(SampleList[Experiment ID],ROW()-1))</f>
        <v>Not Requested</v>
      </c>
      <c r="B832">
        <f>Sampling!E830</f>
        <v>0</v>
      </c>
      <c r="G832">
        <f t="shared" si="38"/>
        <v>3552.5</v>
      </c>
      <c r="H8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2">
        <f t="shared" si="36"/>
        <v>3752.6</v>
      </c>
      <c r="K832" t="e">
        <f t="shared" si="37"/>
        <v>#DIV/0!</v>
      </c>
    </row>
    <row r="833" spans="1:11" hidden="1" x14ac:dyDescent="0.25">
      <c r="A833" t="str" cm="1">
        <f t="array" ref="A833">IF(ISBLANK(INDEX(SampleList[GC],ROW()-1)),"Not Requested",INDEX(SampleList[Experiment ID],ROW()-1))</f>
        <v>Not Requested</v>
      </c>
      <c r="B833">
        <f>Sampling!E831</f>
        <v>0</v>
      </c>
      <c r="G833">
        <f t="shared" si="38"/>
        <v>3552.5</v>
      </c>
      <c r="H8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3">
        <f t="shared" si="36"/>
        <v>3752.6</v>
      </c>
      <c r="K833" t="e">
        <f t="shared" si="37"/>
        <v>#DIV/0!</v>
      </c>
    </row>
    <row r="834" spans="1:11" hidden="1" x14ac:dyDescent="0.25">
      <c r="A834" t="str" cm="1">
        <f t="array" ref="A834">IF(ISBLANK(INDEX(SampleList[GC],ROW()-1)),"Not Requested",INDEX(SampleList[Experiment ID],ROW()-1))</f>
        <v>Not Requested</v>
      </c>
      <c r="B834">
        <f>Sampling!E832</f>
        <v>0</v>
      </c>
      <c r="G834">
        <f t="shared" si="38"/>
        <v>3552.5</v>
      </c>
      <c r="H8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4">
        <f t="shared" ref="I834:I897" si="39">25.88*145</f>
        <v>3752.6</v>
      </c>
      <c r="K834" t="e">
        <f t="shared" ref="K834:K897" si="40">(500/D834)*J834</f>
        <v>#DIV/0!</v>
      </c>
    </row>
    <row r="835" spans="1:11" hidden="1" x14ac:dyDescent="0.25">
      <c r="A835" t="str" cm="1">
        <f t="array" ref="A835">IF(ISBLANK(INDEX(SampleList[GC],ROW()-1)),"Not Requested",INDEX(SampleList[Experiment ID],ROW()-1))</f>
        <v>Not Requested</v>
      </c>
      <c r="B835">
        <f>Sampling!E833</f>
        <v>0</v>
      </c>
      <c r="G835">
        <f t="shared" si="38"/>
        <v>3552.5</v>
      </c>
      <c r="H8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5">
        <f t="shared" si="39"/>
        <v>3752.6</v>
      </c>
      <c r="K835" t="e">
        <f t="shared" si="40"/>
        <v>#DIV/0!</v>
      </c>
    </row>
    <row r="836" spans="1:11" hidden="1" x14ac:dyDescent="0.25">
      <c r="A836" t="str" cm="1">
        <f t="array" ref="A836">IF(ISBLANK(INDEX(SampleList[GC],ROW()-1)),"Not Requested",INDEX(SampleList[Experiment ID],ROW()-1))</f>
        <v>Not Requested</v>
      </c>
      <c r="B836">
        <f>Sampling!E834</f>
        <v>0</v>
      </c>
      <c r="G836">
        <f t="shared" si="38"/>
        <v>3552.5</v>
      </c>
      <c r="H8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6">
        <f t="shared" si="39"/>
        <v>3752.6</v>
      </c>
      <c r="K836" t="e">
        <f t="shared" si="40"/>
        <v>#DIV/0!</v>
      </c>
    </row>
    <row r="837" spans="1:11" hidden="1" x14ac:dyDescent="0.25">
      <c r="A837" t="str" cm="1">
        <f t="array" ref="A837">IF(ISBLANK(INDEX(SampleList[GC],ROW()-1)),"Not Requested",INDEX(SampleList[Experiment ID],ROW()-1))</f>
        <v>Not Requested</v>
      </c>
      <c r="B837">
        <f>Sampling!E835</f>
        <v>0</v>
      </c>
      <c r="G837">
        <f t="shared" si="38"/>
        <v>3552.5</v>
      </c>
      <c r="H8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7">
        <f t="shared" si="39"/>
        <v>3752.6</v>
      </c>
      <c r="K837" t="e">
        <f t="shared" si="40"/>
        <v>#DIV/0!</v>
      </c>
    </row>
    <row r="838" spans="1:11" hidden="1" x14ac:dyDescent="0.25">
      <c r="A838" t="str" cm="1">
        <f t="array" ref="A838">IF(ISBLANK(INDEX(SampleList[GC],ROW()-1)),"Not Requested",INDEX(SampleList[Experiment ID],ROW()-1))</f>
        <v>Not Requested</v>
      </c>
      <c r="B838">
        <f>Sampling!E836</f>
        <v>0</v>
      </c>
      <c r="G838">
        <f t="shared" si="38"/>
        <v>3552.5</v>
      </c>
      <c r="H8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8">
        <f t="shared" si="39"/>
        <v>3752.6</v>
      </c>
      <c r="K838" t="e">
        <f t="shared" si="40"/>
        <v>#DIV/0!</v>
      </c>
    </row>
    <row r="839" spans="1:11" hidden="1" x14ac:dyDescent="0.25">
      <c r="A839" t="str" cm="1">
        <f t="array" ref="A839">IF(ISBLANK(INDEX(SampleList[GC],ROW()-1)),"Not Requested",INDEX(SampleList[Experiment ID],ROW()-1))</f>
        <v>Not Requested</v>
      </c>
      <c r="B839">
        <f>Sampling!E837</f>
        <v>0</v>
      </c>
      <c r="G839">
        <f t="shared" si="38"/>
        <v>3552.5</v>
      </c>
      <c r="H8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39">
        <f t="shared" si="39"/>
        <v>3752.6</v>
      </c>
      <c r="K839" t="e">
        <f t="shared" si="40"/>
        <v>#DIV/0!</v>
      </c>
    </row>
    <row r="840" spans="1:11" hidden="1" x14ac:dyDescent="0.25">
      <c r="A840" t="str" cm="1">
        <f t="array" ref="A840">IF(ISBLANK(INDEX(SampleList[GC],ROW()-1)),"Not Requested",INDEX(SampleList[Experiment ID],ROW()-1))</f>
        <v>Not Requested</v>
      </c>
      <c r="B840">
        <f>Sampling!E838</f>
        <v>0</v>
      </c>
      <c r="G840">
        <f t="shared" si="38"/>
        <v>3552.5</v>
      </c>
      <c r="H8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0">
        <f t="shared" si="39"/>
        <v>3752.6</v>
      </c>
      <c r="K840" t="e">
        <f t="shared" si="40"/>
        <v>#DIV/0!</v>
      </c>
    </row>
    <row r="841" spans="1:11" hidden="1" x14ac:dyDescent="0.25">
      <c r="A841" t="str" cm="1">
        <f t="array" ref="A841">IF(ISBLANK(INDEX(SampleList[GC],ROW()-1)),"Not Requested",INDEX(SampleList[Experiment ID],ROW()-1))</f>
        <v>Not Requested</v>
      </c>
      <c r="B841">
        <f>Sampling!E839</f>
        <v>0</v>
      </c>
      <c r="G841">
        <f t="shared" si="38"/>
        <v>3552.5</v>
      </c>
      <c r="H8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1">
        <f t="shared" si="39"/>
        <v>3752.6</v>
      </c>
      <c r="K841" t="e">
        <f t="shared" si="40"/>
        <v>#DIV/0!</v>
      </c>
    </row>
    <row r="842" spans="1:11" hidden="1" x14ac:dyDescent="0.25">
      <c r="A842" t="str" cm="1">
        <f t="array" ref="A842">IF(ISBLANK(INDEX(SampleList[GC],ROW()-1)),"Not Requested",INDEX(SampleList[Experiment ID],ROW()-1))</f>
        <v>Not Requested</v>
      </c>
      <c r="B842">
        <f>Sampling!E840</f>
        <v>0</v>
      </c>
      <c r="G842">
        <f t="shared" si="38"/>
        <v>3552.5</v>
      </c>
      <c r="H8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2">
        <f t="shared" si="39"/>
        <v>3752.6</v>
      </c>
      <c r="K842" t="e">
        <f t="shared" si="40"/>
        <v>#DIV/0!</v>
      </c>
    </row>
    <row r="843" spans="1:11" hidden="1" x14ac:dyDescent="0.25">
      <c r="A843" t="str" cm="1">
        <f t="array" ref="A843">IF(ISBLANK(INDEX(SampleList[GC],ROW()-1)),"Not Requested",INDEX(SampleList[Experiment ID],ROW()-1))</f>
        <v>Not Requested</v>
      </c>
      <c r="B843">
        <f>Sampling!E841</f>
        <v>0</v>
      </c>
      <c r="G843">
        <f t="shared" si="38"/>
        <v>3552.5</v>
      </c>
      <c r="H8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3">
        <f t="shared" si="39"/>
        <v>3752.6</v>
      </c>
      <c r="K843" t="e">
        <f t="shared" si="40"/>
        <v>#DIV/0!</v>
      </c>
    </row>
    <row r="844" spans="1:11" hidden="1" x14ac:dyDescent="0.25">
      <c r="A844" t="str" cm="1">
        <f t="array" ref="A844">IF(ISBLANK(INDEX(SampleList[GC],ROW()-1)),"Not Requested",INDEX(SampleList[Experiment ID],ROW()-1))</f>
        <v>Not Requested</v>
      </c>
      <c r="B844">
        <f>Sampling!E842</f>
        <v>0</v>
      </c>
      <c r="G844">
        <f t="shared" si="38"/>
        <v>3552.5</v>
      </c>
      <c r="H8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4">
        <f t="shared" si="39"/>
        <v>3752.6</v>
      </c>
      <c r="K844" t="e">
        <f t="shared" si="40"/>
        <v>#DIV/0!</v>
      </c>
    </row>
    <row r="845" spans="1:11" hidden="1" x14ac:dyDescent="0.25">
      <c r="A845" t="str" cm="1">
        <f t="array" ref="A845">IF(ISBLANK(INDEX(SampleList[GC],ROW()-1)),"Not Requested",INDEX(SampleList[Experiment ID],ROW()-1))</f>
        <v>Not Requested</v>
      </c>
      <c r="B845">
        <f>Sampling!E843</f>
        <v>0</v>
      </c>
      <c r="G845">
        <f t="shared" si="38"/>
        <v>3552.5</v>
      </c>
      <c r="H8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5">
        <f t="shared" si="39"/>
        <v>3752.6</v>
      </c>
      <c r="K845" t="e">
        <f t="shared" si="40"/>
        <v>#DIV/0!</v>
      </c>
    </row>
    <row r="846" spans="1:11" hidden="1" x14ac:dyDescent="0.25">
      <c r="A846" t="str" cm="1">
        <f t="array" ref="A846">IF(ISBLANK(INDEX(SampleList[GC],ROW()-1)),"Not Requested",INDEX(SampleList[Experiment ID],ROW()-1))</f>
        <v>Not Requested</v>
      </c>
      <c r="B846">
        <f>Sampling!E844</f>
        <v>0</v>
      </c>
      <c r="G846">
        <f t="shared" si="38"/>
        <v>3552.5</v>
      </c>
      <c r="H8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6">
        <f t="shared" si="39"/>
        <v>3752.6</v>
      </c>
      <c r="K846" t="e">
        <f t="shared" si="40"/>
        <v>#DIV/0!</v>
      </c>
    </row>
    <row r="847" spans="1:11" hidden="1" x14ac:dyDescent="0.25">
      <c r="A847" t="str" cm="1">
        <f t="array" ref="A847">IF(ISBLANK(INDEX(SampleList[GC],ROW()-1)),"Not Requested",INDEX(SampleList[Experiment ID],ROW()-1))</f>
        <v>Not Requested</v>
      </c>
      <c r="B847">
        <f>Sampling!E845</f>
        <v>0</v>
      </c>
      <c r="G847">
        <f t="shared" si="38"/>
        <v>3552.5</v>
      </c>
      <c r="H8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7">
        <f t="shared" si="39"/>
        <v>3752.6</v>
      </c>
      <c r="K847" t="e">
        <f t="shared" si="40"/>
        <v>#DIV/0!</v>
      </c>
    </row>
    <row r="848" spans="1:11" hidden="1" x14ac:dyDescent="0.25">
      <c r="A848" t="str" cm="1">
        <f t="array" ref="A848">IF(ISBLANK(INDEX(SampleList[GC],ROW()-1)),"Not Requested",INDEX(SampleList[Experiment ID],ROW()-1))</f>
        <v>Not Requested</v>
      </c>
      <c r="B848">
        <f>Sampling!E846</f>
        <v>0</v>
      </c>
      <c r="G848">
        <f t="shared" si="38"/>
        <v>3552.5</v>
      </c>
      <c r="H8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8">
        <f t="shared" si="39"/>
        <v>3752.6</v>
      </c>
      <c r="K848" t="e">
        <f t="shared" si="40"/>
        <v>#DIV/0!</v>
      </c>
    </row>
    <row r="849" spans="1:11" hidden="1" x14ac:dyDescent="0.25">
      <c r="A849" t="str" cm="1">
        <f t="array" ref="A849">IF(ISBLANK(INDEX(SampleList[GC],ROW()-1)),"Not Requested",INDEX(SampleList[Experiment ID],ROW()-1))</f>
        <v>Not Requested</v>
      </c>
      <c r="B849">
        <f>Sampling!E847</f>
        <v>0</v>
      </c>
      <c r="G849">
        <f t="shared" si="38"/>
        <v>3552.5</v>
      </c>
      <c r="H8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49">
        <f t="shared" si="39"/>
        <v>3752.6</v>
      </c>
      <c r="K849" t="e">
        <f t="shared" si="40"/>
        <v>#DIV/0!</v>
      </c>
    </row>
    <row r="850" spans="1:11" hidden="1" x14ac:dyDescent="0.25">
      <c r="A850" t="str" cm="1">
        <f t="array" ref="A850">IF(ISBLANK(INDEX(SampleList[GC],ROW()-1)),"Not Requested",INDEX(SampleList[Experiment ID],ROW()-1))</f>
        <v>Not Requested</v>
      </c>
      <c r="B850">
        <f>Sampling!E848</f>
        <v>0</v>
      </c>
      <c r="G850">
        <f t="shared" si="38"/>
        <v>3552.5</v>
      </c>
      <c r="H8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0">
        <f t="shared" si="39"/>
        <v>3752.6</v>
      </c>
      <c r="K850" t="e">
        <f t="shared" si="40"/>
        <v>#DIV/0!</v>
      </c>
    </row>
    <row r="851" spans="1:11" hidden="1" x14ac:dyDescent="0.25">
      <c r="A851" t="str" cm="1">
        <f t="array" ref="A851">IF(ISBLANK(INDEX(SampleList[GC],ROW()-1)),"Not Requested",INDEX(SampleList[Experiment ID],ROW()-1))</f>
        <v>Not Requested</v>
      </c>
      <c r="B851">
        <f>Sampling!E849</f>
        <v>0</v>
      </c>
      <c r="G851">
        <f t="shared" si="38"/>
        <v>3552.5</v>
      </c>
      <c r="H8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1">
        <f t="shared" si="39"/>
        <v>3752.6</v>
      </c>
      <c r="K851" t="e">
        <f t="shared" si="40"/>
        <v>#DIV/0!</v>
      </c>
    </row>
    <row r="852" spans="1:11" hidden="1" x14ac:dyDescent="0.25">
      <c r="A852" t="str" cm="1">
        <f t="array" ref="A852">IF(ISBLANK(INDEX(SampleList[GC],ROW()-1)),"Not Requested",INDEX(SampleList[Experiment ID],ROW()-1))</f>
        <v>Not Requested</v>
      </c>
      <c r="B852">
        <f>Sampling!E850</f>
        <v>0</v>
      </c>
      <c r="G852">
        <f t="shared" si="38"/>
        <v>3552.5</v>
      </c>
      <c r="H8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2">
        <f t="shared" si="39"/>
        <v>3752.6</v>
      </c>
      <c r="K852" t="e">
        <f t="shared" si="40"/>
        <v>#DIV/0!</v>
      </c>
    </row>
    <row r="853" spans="1:11" hidden="1" x14ac:dyDescent="0.25">
      <c r="A853" t="str" cm="1">
        <f t="array" ref="A853">IF(ISBLANK(INDEX(SampleList[GC],ROW()-1)),"Not Requested",INDEX(SampleList[Experiment ID],ROW()-1))</f>
        <v>Not Requested</v>
      </c>
      <c r="B853">
        <f>Sampling!E851</f>
        <v>0</v>
      </c>
      <c r="G853">
        <f t="shared" si="38"/>
        <v>3552.5</v>
      </c>
      <c r="H8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3">
        <f t="shared" si="39"/>
        <v>3752.6</v>
      </c>
      <c r="K853" t="e">
        <f t="shared" si="40"/>
        <v>#DIV/0!</v>
      </c>
    </row>
    <row r="854" spans="1:11" hidden="1" x14ac:dyDescent="0.25">
      <c r="A854" t="str" cm="1">
        <f t="array" ref="A854">IF(ISBLANK(INDEX(SampleList[GC],ROW()-1)),"Not Requested",INDEX(SampleList[Experiment ID],ROW()-1))</f>
        <v>Not Requested</v>
      </c>
      <c r="B854">
        <f>Sampling!E852</f>
        <v>0</v>
      </c>
      <c r="G854">
        <f t="shared" si="38"/>
        <v>3552.5</v>
      </c>
      <c r="H8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4">
        <f t="shared" si="39"/>
        <v>3752.6</v>
      </c>
      <c r="K854" t="e">
        <f t="shared" si="40"/>
        <v>#DIV/0!</v>
      </c>
    </row>
    <row r="855" spans="1:11" hidden="1" x14ac:dyDescent="0.25">
      <c r="A855" t="str" cm="1">
        <f t="array" ref="A855">IF(ISBLANK(INDEX(SampleList[GC],ROW()-1)),"Not Requested",INDEX(SampleList[Experiment ID],ROW()-1))</f>
        <v>Not Requested</v>
      </c>
      <c r="B855">
        <f>Sampling!E853</f>
        <v>0</v>
      </c>
      <c r="G855">
        <f t="shared" si="38"/>
        <v>3552.5</v>
      </c>
      <c r="H8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5">
        <f t="shared" si="39"/>
        <v>3752.6</v>
      </c>
      <c r="K855" t="e">
        <f t="shared" si="40"/>
        <v>#DIV/0!</v>
      </c>
    </row>
    <row r="856" spans="1:11" hidden="1" x14ac:dyDescent="0.25">
      <c r="A856" t="str" cm="1">
        <f t="array" ref="A856">IF(ISBLANK(INDEX(SampleList[GC],ROW()-1)),"Not Requested",INDEX(SampleList[Experiment ID],ROW()-1))</f>
        <v>Not Requested</v>
      </c>
      <c r="B856">
        <f>Sampling!E854</f>
        <v>0</v>
      </c>
      <c r="G856">
        <f t="shared" si="38"/>
        <v>3552.5</v>
      </c>
      <c r="H8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6">
        <f t="shared" si="39"/>
        <v>3752.6</v>
      </c>
      <c r="K856" t="e">
        <f t="shared" si="40"/>
        <v>#DIV/0!</v>
      </c>
    </row>
    <row r="857" spans="1:11" hidden="1" x14ac:dyDescent="0.25">
      <c r="A857" t="str" cm="1">
        <f t="array" ref="A857">IF(ISBLANK(INDEX(SampleList[GC],ROW()-1)),"Not Requested",INDEX(SampleList[Experiment ID],ROW()-1))</f>
        <v>Not Requested</v>
      </c>
      <c r="B857">
        <f>Sampling!E855</f>
        <v>0</v>
      </c>
      <c r="G857">
        <f t="shared" si="38"/>
        <v>3552.5</v>
      </c>
      <c r="H8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7">
        <f t="shared" si="39"/>
        <v>3752.6</v>
      </c>
      <c r="K857" t="e">
        <f t="shared" si="40"/>
        <v>#DIV/0!</v>
      </c>
    </row>
    <row r="858" spans="1:11" hidden="1" x14ac:dyDescent="0.25">
      <c r="A858" t="str" cm="1">
        <f t="array" ref="A858">IF(ISBLANK(INDEX(SampleList[GC],ROW()-1)),"Not Requested",INDEX(SampleList[Experiment ID],ROW()-1))</f>
        <v>Not Requested</v>
      </c>
      <c r="B858">
        <f>Sampling!E856</f>
        <v>0</v>
      </c>
      <c r="G858">
        <f t="shared" si="38"/>
        <v>3552.5</v>
      </c>
      <c r="H8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8">
        <f t="shared" si="39"/>
        <v>3752.6</v>
      </c>
      <c r="K858" t="e">
        <f t="shared" si="40"/>
        <v>#DIV/0!</v>
      </c>
    </row>
    <row r="859" spans="1:11" hidden="1" x14ac:dyDescent="0.25">
      <c r="A859" t="str" cm="1">
        <f t="array" ref="A859">IF(ISBLANK(INDEX(SampleList[GC],ROW()-1)),"Not Requested",INDEX(SampleList[Experiment ID],ROW()-1))</f>
        <v>Not Requested</v>
      </c>
      <c r="B859">
        <f>Sampling!E857</f>
        <v>0</v>
      </c>
      <c r="G859">
        <f t="shared" si="38"/>
        <v>3552.5</v>
      </c>
      <c r="H8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59">
        <f t="shared" si="39"/>
        <v>3752.6</v>
      </c>
      <c r="K859" t="e">
        <f t="shared" si="40"/>
        <v>#DIV/0!</v>
      </c>
    </row>
    <row r="860" spans="1:11" hidden="1" x14ac:dyDescent="0.25">
      <c r="A860" t="str" cm="1">
        <f t="array" ref="A860">IF(ISBLANK(INDEX(SampleList[GC],ROW()-1)),"Not Requested",INDEX(SampleList[Experiment ID],ROW()-1))</f>
        <v>Not Requested</v>
      </c>
      <c r="B860">
        <f>Sampling!E858</f>
        <v>0</v>
      </c>
      <c r="G860">
        <f t="shared" si="38"/>
        <v>3552.5</v>
      </c>
      <c r="H8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0">
        <f t="shared" si="39"/>
        <v>3752.6</v>
      </c>
      <c r="K860" t="e">
        <f t="shared" si="40"/>
        <v>#DIV/0!</v>
      </c>
    </row>
    <row r="861" spans="1:11" hidden="1" x14ac:dyDescent="0.25">
      <c r="A861" t="str" cm="1">
        <f t="array" ref="A861">IF(ISBLANK(INDEX(SampleList[GC],ROW()-1)),"Not Requested",INDEX(SampleList[Experiment ID],ROW()-1))</f>
        <v>Not Requested</v>
      </c>
      <c r="B861">
        <f>Sampling!E859</f>
        <v>0</v>
      </c>
      <c r="G861">
        <f t="shared" si="38"/>
        <v>3552.5</v>
      </c>
      <c r="H8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1">
        <f t="shared" si="39"/>
        <v>3752.6</v>
      </c>
      <c r="K861" t="e">
        <f t="shared" si="40"/>
        <v>#DIV/0!</v>
      </c>
    </row>
    <row r="862" spans="1:11" hidden="1" x14ac:dyDescent="0.25">
      <c r="A862" t="str" cm="1">
        <f t="array" ref="A862">IF(ISBLANK(INDEX(SampleList[GC],ROW()-1)),"Not Requested",INDEX(SampleList[Experiment ID],ROW()-1))</f>
        <v>Not Requested</v>
      </c>
      <c r="B862">
        <f>Sampling!E860</f>
        <v>0</v>
      </c>
      <c r="G862">
        <f t="shared" si="38"/>
        <v>3552.5</v>
      </c>
      <c r="H8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2">
        <f t="shared" si="39"/>
        <v>3752.6</v>
      </c>
      <c r="K862" t="e">
        <f t="shared" si="40"/>
        <v>#DIV/0!</v>
      </c>
    </row>
    <row r="863" spans="1:11" hidden="1" x14ac:dyDescent="0.25">
      <c r="A863" t="str" cm="1">
        <f t="array" ref="A863">IF(ISBLANK(INDEX(SampleList[GC],ROW()-1)),"Not Requested",INDEX(SampleList[Experiment ID],ROW()-1))</f>
        <v>Not Requested</v>
      </c>
      <c r="B863">
        <f>Sampling!E861</f>
        <v>0</v>
      </c>
      <c r="G863">
        <f t="shared" si="38"/>
        <v>3552.5</v>
      </c>
      <c r="H8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3">
        <f t="shared" si="39"/>
        <v>3752.6</v>
      </c>
      <c r="K863" t="e">
        <f t="shared" si="40"/>
        <v>#DIV/0!</v>
      </c>
    </row>
    <row r="864" spans="1:11" hidden="1" x14ac:dyDescent="0.25">
      <c r="A864" t="str" cm="1">
        <f t="array" ref="A864">IF(ISBLANK(INDEX(SampleList[GC],ROW()-1)),"Not Requested",INDEX(SampleList[Experiment ID],ROW()-1))</f>
        <v>Not Requested</v>
      </c>
      <c r="B864">
        <f>Sampling!E862</f>
        <v>0</v>
      </c>
      <c r="G864">
        <f t="shared" si="38"/>
        <v>3552.5</v>
      </c>
      <c r="H8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4">
        <f t="shared" si="39"/>
        <v>3752.6</v>
      </c>
      <c r="K864" t="e">
        <f t="shared" si="40"/>
        <v>#DIV/0!</v>
      </c>
    </row>
    <row r="865" spans="1:11" hidden="1" x14ac:dyDescent="0.25">
      <c r="A865" t="str" cm="1">
        <f t="array" ref="A865">IF(ISBLANK(INDEX(SampleList[GC],ROW()-1)),"Not Requested",INDEX(SampleList[Experiment ID],ROW()-1))</f>
        <v>Not Requested</v>
      </c>
      <c r="B865">
        <f>Sampling!E863</f>
        <v>0</v>
      </c>
      <c r="G865">
        <f t="shared" ref="G865:G928" si="41">24.5*145</f>
        <v>3552.5</v>
      </c>
      <c r="H8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5">
        <f t="shared" si="39"/>
        <v>3752.6</v>
      </c>
      <c r="K865" t="e">
        <f t="shared" si="40"/>
        <v>#DIV/0!</v>
      </c>
    </row>
    <row r="866" spans="1:11" hidden="1" x14ac:dyDescent="0.25">
      <c r="A866" t="str" cm="1">
        <f t="array" ref="A866">IF(ISBLANK(INDEX(SampleList[GC],ROW()-1)),"Not Requested",INDEX(SampleList[Experiment ID],ROW()-1))</f>
        <v>Not Requested</v>
      </c>
      <c r="B866">
        <f>Sampling!E864</f>
        <v>0</v>
      </c>
      <c r="G866">
        <f t="shared" si="41"/>
        <v>3552.5</v>
      </c>
      <c r="H8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6">
        <f t="shared" si="39"/>
        <v>3752.6</v>
      </c>
      <c r="K866" t="e">
        <f t="shared" si="40"/>
        <v>#DIV/0!</v>
      </c>
    </row>
    <row r="867" spans="1:11" hidden="1" x14ac:dyDescent="0.25">
      <c r="A867" t="str" cm="1">
        <f t="array" ref="A867">IF(ISBLANK(INDEX(SampleList[GC],ROW()-1)),"Not Requested",INDEX(SampleList[Experiment ID],ROW()-1))</f>
        <v>Not Requested</v>
      </c>
      <c r="B867">
        <f>Sampling!E865</f>
        <v>0</v>
      </c>
      <c r="G867">
        <f t="shared" si="41"/>
        <v>3552.5</v>
      </c>
      <c r="H8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7">
        <f t="shared" si="39"/>
        <v>3752.6</v>
      </c>
      <c r="K867" t="e">
        <f t="shared" si="40"/>
        <v>#DIV/0!</v>
      </c>
    </row>
    <row r="868" spans="1:11" hidden="1" x14ac:dyDescent="0.25">
      <c r="A868" t="str" cm="1">
        <f t="array" ref="A868">IF(ISBLANK(INDEX(SampleList[GC],ROW()-1)),"Not Requested",INDEX(SampleList[Experiment ID],ROW()-1))</f>
        <v>Not Requested</v>
      </c>
      <c r="B868">
        <f>Sampling!E866</f>
        <v>0</v>
      </c>
      <c r="G868">
        <f t="shared" si="41"/>
        <v>3552.5</v>
      </c>
      <c r="H8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8">
        <f t="shared" si="39"/>
        <v>3752.6</v>
      </c>
      <c r="K868" t="e">
        <f t="shared" si="40"/>
        <v>#DIV/0!</v>
      </c>
    </row>
    <row r="869" spans="1:11" hidden="1" x14ac:dyDescent="0.25">
      <c r="A869" t="str" cm="1">
        <f t="array" ref="A869">IF(ISBLANK(INDEX(SampleList[GC],ROW()-1)),"Not Requested",INDEX(SampleList[Experiment ID],ROW()-1))</f>
        <v>Not Requested</v>
      </c>
      <c r="B869">
        <f>Sampling!E867</f>
        <v>0</v>
      </c>
      <c r="G869">
        <f t="shared" si="41"/>
        <v>3552.5</v>
      </c>
      <c r="H8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69">
        <f t="shared" si="39"/>
        <v>3752.6</v>
      </c>
      <c r="K869" t="e">
        <f t="shared" si="40"/>
        <v>#DIV/0!</v>
      </c>
    </row>
    <row r="870" spans="1:11" hidden="1" x14ac:dyDescent="0.25">
      <c r="A870" t="str" cm="1">
        <f t="array" ref="A870">IF(ISBLANK(INDEX(SampleList[GC],ROW()-1)),"Not Requested",INDEX(SampleList[Experiment ID],ROW()-1))</f>
        <v>Not Requested</v>
      </c>
      <c r="B870">
        <f>Sampling!E868</f>
        <v>0</v>
      </c>
      <c r="G870">
        <f t="shared" si="41"/>
        <v>3552.5</v>
      </c>
      <c r="H8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0">
        <f t="shared" si="39"/>
        <v>3752.6</v>
      </c>
      <c r="K870" t="e">
        <f t="shared" si="40"/>
        <v>#DIV/0!</v>
      </c>
    </row>
    <row r="871" spans="1:11" hidden="1" x14ac:dyDescent="0.25">
      <c r="A871" t="str" cm="1">
        <f t="array" ref="A871">IF(ISBLANK(INDEX(SampleList[GC],ROW()-1)),"Not Requested",INDEX(SampleList[Experiment ID],ROW()-1))</f>
        <v>Not Requested</v>
      </c>
      <c r="B871">
        <f>Sampling!E869</f>
        <v>0</v>
      </c>
      <c r="G871">
        <f t="shared" si="41"/>
        <v>3552.5</v>
      </c>
      <c r="H8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1">
        <f t="shared" si="39"/>
        <v>3752.6</v>
      </c>
      <c r="K871" t="e">
        <f t="shared" si="40"/>
        <v>#DIV/0!</v>
      </c>
    </row>
    <row r="872" spans="1:11" hidden="1" x14ac:dyDescent="0.25">
      <c r="A872" t="str" cm="1">
        <f t="array" ref="A872">IF(ISBLANK(INDEX(SampleList[GC],ROW()-1)),"Not Requested",INDEX(SampleList[Experiment ID],ROW()-1))</f>
        <v>Not Requested</v>
      </c>
      <c r="B872">
        <f>Sampling!E870</f>
        <v>0</v>
      </c>
      <c r="G872">
        <f t="shared" si="41"/>
        <v>3552.5</v>
      </c>
      <c r="H8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2">
        <f t="shared" si="39"/>
        <v>3752.6</v>
      </c>
      <c r="K872" t="e">
        <f t="shared" si="40"/>
        <v>#DIV/0!</v>
      </c>
    </row>
    <row r="873" spans="1:11" hidden="1" x14ac:dyDescent="0.25">
      <c r="A873" t="str" cm="1">
        <f t="array" ref="A873">IF(ISBLANK(INDEX(SampleList[GC],ROW()-1)),"Not Requested",INDEX(SampleList[Experiment ID],ROW()-1))</f>
        <v>Not Requested</v>
      </c>
      <c r="B873">
        <f>Sampling!E871</f>
        <v>0</v>
      </c>
      <c r="G873">
        <f t="shared" si="41"/>
        <v>3552.5</v>
      </c>
      <c r="H8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3">
        <f t="shared" si="39"/>
        <v>3752.6</v>
      </c>
      <c r="K873" t="e">
        <f t="shared" si="40"/>
        <v>#DIV/0!</v>
      </c>
    </row>
    <row r="874" spans="1:11" hidden="1" x14ac:dyDescent="0.25">
      <c r="A874" t="str" cm="1">
        <f t="array" ref="A874">IF(ISBLANK(INDEX(SampleList[GC],ROW()-1)),"Not Requested",INDEX(SampleList[Experiment ID],ROW()-1))</f>
        <v>Not Requested</v>
      </c>
      <c r="B874">
        <f>Sampling!E872</f>
        <v>0</v>
      </c>
      <c r="G874">
        <f t="shared" si="41"/>
        <v>3552.5</v>
      </c>
      <c r="H8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4">
        <f t="shared" si="39"/>
        <v>3752.6</v>
      </c>
      <c r="K874" t="e">
        <f t="shared" si="40"/>
        <v>#DIV/0!</v>
      </c>
    </row>
    <row r="875" spans="1:11" hidden="1" x14ac:dyDescent="0.25">
      <c r="A875" t="str" cm="1">
        <f t="array" ref="A875">IF(ISBLANK(INDEX(SampleList[GC],ROW()-1)),"Not Requested",INDEX(SampleList[Experiment ID],ROW()-1))</f>
        <v>Not Requested</v>
      </c>
      <c r="B875">
        <f>Sampling!E873</f>
        <v>0</v>
      </c>
      <c r="G875">
        <f t="shared" si="41"/>
        <v>3552.5</v>
      </c>
      <c r="H8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5">
        <f t="shared" si="39"/>
        <v>3752.6</v>
      </c>
      <c r="K875" t="e">
        <f t="shared" si="40"/>
        <v>#DIV/0!</v>
      </c>
    </row>
    <row r="876" spans="1:11" hidden="1" x14ac:dyDescent="0.25">
      <c r="A876" t="str" cm="1">
        <f t="array" ref="A876">IF(ISBLANK(INDEX(SampleList[GC],ROW()-1)),"Not Requested",INDEX(SampleList[Experiment ID],ROW()-1))</f>
        <v>Not Requested</v>
      </c>
      <c r="B876">
        <f>Sampling!E874</f>
        <v>0</v>
      </c>
      <c r="G876">
        <f t="shared" si="41"/>
        <v>3552.5</v>
      </c>
      <c r="H8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6">
        <f t="shared" si="39"/>
        <v>3752.6</v>
      </c>
      <c r="K876" t="e">
        <f t="shared" si="40"/>
        <v>#DIV/0!</v>
      </c>
    </row>
    <row r="877" spans="1:11" hidden="1" x14ac:dyDescent="0.25">
      <c r="A877" t="str" cm="1">
        <f t="array" ref="A877">IF(ISBLANK(INDEX(SampleList[GC],ROW()-1)),"Not Requested",INDEX(SampleList[Experiment ID],ROW()-1))</f>
        <v>Not Requested</v>
      </c>
      <c r="B877">
        <f>Sampling!E875</f>
        <v>0</v>
      </c>
      <c r="G877">
        <f t="shared" si="41"/>
        <v>3552.5</v>
      </c>
      <c r="H8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7">
        <f t="shared" si="39"/>
        <v>3752.6</v>
      </c>
      <c r="K877" t="e">
        <f t="shared" si="40"/>
        <v>#DIV/0!</v>
      </c>
    </row>
    <row r="878" spans="1:11" hidden="1" x14ac:dyDescent="0.25">
      <c r="A878" t="str" cm="1">
        <f t="array" ref="A878">IF(ISBLANK(INDEX(SampleList[GC],ROW()-1)),"Not Requested",INDEX(SampleList[Experiment ID],ROW()-1))</f>
        <v>Not Requested</v>
      </c>
      <c r="B878">
        <f>Sampling!E876</f>
        <v>0</v>
      </c>
      <c r="G878">
        <f t="shared" si="41"/>
        <v>3552.5</v>
      </c>
      <c r="H8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8">
        <f t="shared" si="39"/>
        <v>3752.6</v>
      </c>
      <c r="K878" t="e">
        <f t="shared" si="40"/>
        <v>#DIV/0!</v>
      </c>
    </row>
    <row r="879" spans="1:11" hidden="1" x14ac:dyDescent="0.25">
      <c r="A879" t="str" cm="1">
        <f t="array" ref="A879">IF(ISBLANK(INDEX(SampleList[GC],ROW()-1)),"Not Requested",INDEX(SampleList[Experiment ID],ROW()-1))</f>
        <v>Not Requested</v>
      </c>
      <c r="B879">
        <f>Sampling!E877</f>
        <v>0</v>
      </c>
      <c r="G879">
        <f t="shared" si="41"/>
        <v>3552.5</v>
      </c>
      <c r="H8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79">
        <f t="shared" si="39"/>
        <v>3752.6</v>
      </c>
      <c r="K879" t="e">
        <f t="shared" si="40"/>
        <v>#DIV/0!</v>
      </c>
    </row>
    <row r="880" spans="1:11" hidden="1" x14ac:dyDescent="0.25">
      <c r="A880" t="str" cm="1">
        <f t="array" ref="A880">IF(ISBLANK(INDEX(SampleList[GC],ROW()-1)),"Not Requested",INDEX(SampleList[Experiment ID],ROW()-1))</f>
        <v>Not Requested</v>
      </c>
      <c r="B880">
        <f>Sampling!E878</f>
        <v>0</v>
      </c>
      <c r="G880">
        <f t="shared" si="41"/>
        <v>3552.5</v>
      </c>
      <c r="H8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0">
        <f t="shared" si="39"/>
        <v>3752.6</v>
      </c>
      <c r="K880" t="e">
        <f t="shared" si="40"/>
        <v>#DIV/0!</v>
      </c>
    </row>
    <row r="881" spans="1:11" hidden="1" x14ac:dyDescent="0.25">
      <c r="A881" t="str" cm="1">
        <f t="array" ref="A881">IF(ISBLANK(INDEX(SampleList[GC],ROW()-1)),"Not Requested",INDEX(SampleList[Experiment ID],ROW()-1))</f>
        <v>Not Requested</v>
      </c>
      <c r="B881">
        <f>Sampling!E879</f>
        <v>0</v>
      </c>
      <c r="G881">
        <f t="shared" si="41"/>
        <v>3552.5</v>
      </c>
      <c r="H8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1">
        <f t="shared" si="39"/>
        <v>3752.6</v>
      </c>
      <c r="K881" t="e">
        <f t="shared" si="40"/>
        <v>#DIV/0!</v>
      </c>
    </row>
    <row r="882" spans="1:11" hidden="1" x14ac:dyDescent="0.25">
      <c r="A882" t="str" cm="1">
        <f t="array" ref="A882">IF(ISBLANK(INDEX(SampleList[GC],ROW()-1)),"Not Requested",INDEX(SampleList[Experiment ID],ROW()-1))</f>
        <v>Not Requested</v>
      </c>
      <c r="B882">
        <f>Sampling!E880</f>
        <v>0</v>
      </c>
      <c r="G882">
        <f t="shared" si="41"/>
        <v>3552.5</v>
      </c>
      <c r="H8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2">
        <f t="shared" si="39"/>
        <v>3752.6</v>
      </c>
      <c r="K882" t="e">
        <f t="shared" si="40"/>
        <v>#DIV/0!</v>
      </c>
    </row>
    <row r="883" spans="1:11" hidden="1" x14ac:dyDescent="0.25">
      <c r="A883" t="str" cm="1">
        <f t="array" ref="A883">IF(ISBLANK(INDEX(SampleList[GC],ROW()-1)),"Not Requested",INDEX(SampleList[Experiment ID],ROW()-1))</f>
        <v>Not Requested</v>
      </c>
      <c r="B883">
        <f>Sampling!E881</f>
        <v>0</v>
      </c>
      <c r="G883">
        <f t="shared" si="41"/>
        <v>3552.5</v>
      </c>
      <c r="H8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3">
        <f t="shared" si="39"/>
        <v>3752.6</v>
      </c>
      <c r="K883" t="e">
        <f t="shared" si="40"/>
        <v>#DIV/0!</v>
      </c>
    </row>
    <row r="884" spans="1:11" hidden="1" x14ac:dyDescent="0.25">
      <c r="A884" t="str" cm="1">
        <f t="array" ref="A884">IF(ISBLANK(INDEX(SampleList[GC],ROW()-1)),"Not Requested",INDEX(SampleList[Experiment ID],ROW()-1))</f>
        <v>Not Requested</v>
      </c>
      <c r="B884">
        <f>Sampling!E882</f>
        <v>0</v>
      </c>
      <c r="G884">
        <f t="shared" si="41"/>
        <v>3552.5</v>
      </c>
      <c r="H8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4">
        <f t="shared" si="39"/>
        <v>3752.6</v>
      </c>
      <c r="K884" t="e">
        <f t="shared" si="40"/>
        <v>#DIV/0!</v>
      </c>
    </row>
    <row r="885" spans="1:11" hidden="1" x14ac:dyDescent="0.25">
      <c r="A885" t="str" cm="1">
        <f t="array" ref="A885">IF(ISBLANK(INDEX(SampleList[GC],ROW()-1)),"Not Requested",INDEX(SampleList[Experiment ID],ROW()-1))</f>
        <v>Not Requested</v>
      </c>
      <c r="B885">
        <f>Sampling!E883</f>
        <v>0</v>
      </c>
      <c r="G885">
        <f t="shared" si="41"/>
        <v>3552.5</v>
      </c>
      <c r="H8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5">
        <f t="shared" si="39"/>
        <v>3752.6</v>
      </c>
      <c r="K885" t="e">
        <f t="shared" si="40"/>
        <v>#DIV/0!</v>
      </c>
    </row>
    <row r="886" spans="1:11" hidden="1" x14ac:dyDescent="0.25">
      <c r="A886" t="str" cm="1">
        <f t="array" ref="A886">IF(ISBLANK(INDEX(SampleList[GC],ROW()-1)),"Not Requested",INDEX(SampleList[Experiment ID],ROW()-1))</f>
        <v>Not Requested</v>
      </c>
      <c r="B886">
        <f>Sampling!E884</f>
        <v>0</v>
      </c>
      <c r="G886">
        <f t="shared" si="41"/>
        <v>3552.5</v>
      </c>
      <c r="H8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6">
        <f t="shared" si="39"/>
        <v>3752.6</v>
      </c>
      <c r="K886" t="e">
        <f t="shared" si="40"/>
        <v>#DIV/0!</v>
      </c>
    </row>
    <row r="887" spans="1:11" hidden="1" x14ac:dyDescent="0.25">
      <c r="A887" t="str" cm="1">
        <f t="array" ref="A887">IF(ISBLANK(INDEX(SampleList[GC],ROW()-1)),"Not Requested",INDEX(SampleList[Experiment ID],ROW()-1))</f>
        <v>Not Requested</v>
      </c>
      <c r="B887">
        <f>Sampling!E885</f>
        <v>0</v>
      </c>
      <c r="G887">
        <f t="shared" si="41"/>
        <v>3552.5</v>
      </c>
      <c r="H8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7">
        <f t="shared" si="39"/>
        <v>3752.6</v>
      </c>
      <c r="K887" t="e">
        <f t="shared" si="40"/>
        <v>#DIV/0!</v>
      </c>
    </row>
    <row r="888" spans="1:11" hidden="1" x14ac:dyDescent="0.25">
      <c r="A888" t="str" cm="1">
        <f t="array" ref="A888">IF(ISBLANK(INDEX(SampleList[GC],ROW()-1)),"Not Requested",INDEX(SampleList[Experiment ID],ROW()-1))</f>
        <v>Not Requested</v>
      </c>
      <c r="B888">
        <f>Sampling!E886</f>
        <v>0</v>
      </c>
      <c r="G888">
        <f t="shared" si="41"/>
        <v>3552.5</v>
      </c>
      <c r="H8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8">
        <f t="shared" si="39"/>
        <v>3752.6</v>
      </c>
      <c r="K888" t="e">
        <f t="shared" si="40"/>
        <v>#DIV/0!</v>
      </c>
    </row>
    <row r="889" spans="1:11" hidden="1" x14ac:dyDescent="0.25">
      <c r="A889" t="str" cm="1">
        <f t="array" ref="A889">IF(ISBLANK(INDEX(SampleList[GC],ROW()-1)),"Not Requested",INDEX(SampleList[Experiment ID],ROW()-1))</f>
        <v>Not Requested</v>
      </c>
      <c r="B889">
        <f>Sampling!E887</f>
        <v>0</v>
      </c>
      <c r="G889">
        <f t="shared" si="41"/>
        <v>3552.5</v>
      </c>
      <c r="H8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89">
        <f t="shared" si="39"/>
        <v>3752.6</v>
      </c>
      <c r="K889" t="e">
        <f t="shared" si="40"/>
        <v>#DIV/0!</v>
      </c>
    </row>
    <row r="890" spans="1:11" hidden="1" x14ac:dyDescent="0.25">
      <c r="A890" t="str" cm="1">
        <f t="array" ref="A890">IF(ISBLANK(INDEX(SampleList[GC],ROW()-1)),"Not Requested",INDEX(SampleList[Experiment ID],ROW()-1))</f>
        <v>Not Requested</v>
      </c>
      <c r="B890">
        <f>Sampling!E888</f>
        <v>0</v>
      </c>
      <c r="G890">
        <f t="shared" si="41"/>
        <v>3552.5</v>
      </c>
      <c r="H8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0">
        <f t="shared" si="39"/>
        <v>3752.6</v>
      </c>
      <c r="K890" t="e">
        <f t="shared" si="40"/>
        <v>#DIV/0!</v>
      </c>
    </row>
    <row r="891" spans="1:11" hidden="1" x14ac:dyDescent="0.25">
      <c r="A891" t="str" cm="1">
        <f t="array" ref="A891">IF(ISBLANK(INDEX(SampleList[GC],ROW()-1)),"Not Requested",INDEX(SampleList[Experiment ID],ROW()-1))</f>
        <v>Not Requested</v>
      </c>
      <c r="B891">
        <f>Sampling!E889</f>
        <v>0</v>
      </c>
      <c r="G891">
        <f t="shared" si="41"/>
        <v>3552.5</v>
      </c>
      <c r="H8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1">
        <f t="shared" si="39"/>
        <v>3752.6</v>
      </c>
      <c r="K891" t="e">
        <f t="shared" si="40"/>
        <v>#DIV/0!</v>
      </c>
    </row>
    <row r="892" spans="1:11" hidden="1" x14ac:dyDescent="0.25">
      <c r="A892" t="str" cm="1">
        <f t="array" ref="A892">IF(ISBLANK(INDEX(SampleList[GC],ROW()-1)),"Not Requested",INDEX(SampleList[Experiment ID],ROW()-1))</f>
        <v>Not Requested</v>
      </c>
      <c r="B892">
        <f>Sampling!E890</f>
        <v>0</v>
      </c>
      <c r="G892">
        <f t="shared" si="41"/>
        <v>3552.5</v>
      </c>
      <c r="H8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2">
        <f t="shared" si="39"/>
        <v>3752.6</v>
      </c>
      <c r="K892" t="e">
        <f t="shared" si="40"/>
        <v>#DIV/0!</v>
      </c>
    </row>
    <row r="893" spans="1:11" hidden="1" x14ac:dyDescent="0.25">
      <c r="A893" t="str" cm="1">
        <f t="array" ref="A893">IF(ISBLANK(INDEX(SampleList[GC],ROW()-1)),"Not Requested",INDEX(SampleList[Experiment ID],ROW()-1))</f>
        <v>Not Requested</v>
      </c>
      <c r="B893">
        <f>Sampling!E891</f>
        <v>0</v>
      </c>
      <c r="G893">
        <f t="shared" si="41"/>
        <v>3552.5</v>
      </c>
      <c r="H8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3">
        <f t="shared" si="39"/>
        <v>3752.6</v>
      </c>
      <c r="K893" t="e">
        <f t="shared" si="40"/>
        <v>#DIV/0!</v>
      </c>
    </row>
    <row r="894" spans="1:11" hidden="1" x14ac:dyDescent="0.25">
      <c r="A894" t="str" cm="1">
        <f t="array" ref="A894">IF(ISBLANK(INDEX(SampleList[GC],ROW()-1)),"Not Requested",INDEX(SampleList[Experiment ID],ROW()-1))</f>
        <v>Not Requested</v>
      </c>
      <c r="B894">
        <f>Sampling!E892</f>
        <v>0</v>
      </c>
      <c r="G894">
        <f t="shared" si="41"/>
        <v>3552.5</v>
      </c>
      <c r="H8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4">
        <f t="shared" si="39"/>
        <v>3752.6</v>
      </c>
      <c r="K894" t="e">
        <f t="shared" si="40"/>
        <v>#DIV/0!</v>
      </c>
    </row>
    <row r="895" spans="1:11" hidden="1" x14ac:dyDescent="0.25">
      <c r="A895" t="str" cm="1">
        <f t="array" ref="A895">IF(ISBLANK(INDEX(SampleList[GC],ROW()-1)),"Not Requested",INDEX(SampleList[Experiment ID],ROW()-1))</f>
        <v>Not Requested</v>
      </c>
      <c r="B895">
        <f>Sampling!E893</f>
        <v>0</v>
      </c>
      <c r="G895">
        <f t="shared" si="41"/>
        <v>3552.5</v>
      </c>
      <c r="H8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5">
        <f t="shared" si="39"/>
        <v>3752.6</v>
      </c>
      <c r="K895" t="e">
        <f t="shared" si="40"/>
        <v>#DIV/0!</v>
      </c>
    </row>
    <row r="896" spans="1:11" hidden="1" x14ac:dyDescent="0.25">
      <c r="A896" t="str" cm="1">
        <f t="array" ref="A896">IF(ISBLANK(INDEX(SampleList[GC],ROW()-1)),"Not Requested",INDEX(SampleList[Experiment ID],ROW()-1))</f>
        <v>Not Requested</v>
      </c>
      <c r="B896">
        <f>Sampling!E894</f>
        <v>0</v>
      </c>
      <c r="G896">
        <f t="shared" si="41"/>
        <v>3552.5</v>
      </c>
      <c r="H8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6">
        <f t="shared" si="39"/>
        <v>3752.6</v>
      </c>
      <c r="K896" t="e">
        <f t="shared" si="40"/>
        <v>#DIV/0!</v>
      </c>
    </row>
    <row r="897" spans="1:11" hidden="1" x14ac:dyDescent="0.25">
      <c r="A897" t="str" cm="1">
        <f t="array" ref="A897">IF(ISBLANK(INDEX(SampleList[GC],ROW()-1)),"Not Requested",INDEX(SampleList[Experiment ID],ROW()-1))</f>
        <v>Not Requested</v>
      </c>
      <c r="B897">
        <f>Sampling!E895</f>
        <v>0</v>
      </c>
      <c r="G897">
        <f t="shared" si="41"/>
        <v>3552.5</v>
      </c>
      <c r="H8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7">
        <f t="shared" si="39"/>
        <v>3752.6</v>
      </c>
      <c r="K897" t="e">
        <f t="shared" si="40"/>
        <v>#DIV/0!</v>
      </c>
    </row>
    <row r="898" spans="1:11" hidden="1" x14ac:dyDescent="0.25">
      <c r="A898" t="str" cm="1">
        <f t="array" ref="A898">IF(ISBLANK(INDEX(SampleList[GC],ROW()-1)),"Not Requested",INDEX(SampleList[Experiment ID],ROW()-1))</f>
        <v>Not Requested</v>
      </c>
      <c r="B898">
        <f>Sampling!E896</f>
        <v>0</v>
      </c>
      <c r="G898">
        <f t="shared" si="41"/>
        <v>3552.5</v>
      </c>
      <c r="H8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8">
        <f t="shared" ref="I898:I961" si="42">25.88*145</f>
        <v>3752.6</v>
      </c>
      <c r="K898" t="e">
        <f t="shared" ref="K898:K961" si="43">(500/D898)*J898</f>
        <v>#DIV/0!</v>
      </c>
    </row>
    <row r="899" spans="1:11" hidden="1" x14ac:dyDescent="0.25">
      <c r="A899" t="str" cm="1">
        <f t="array" ref="A899">IF(ISBLANK(INDEX(SampleList[GC],ROW()-1)),"Not Requested",INDEX(SampleList[Experiment ID],ROW()-1))</f>
        <v>Not Requested</v>
      </c>
      <c r="B899">
        <f>Sampling!E897</f>
        <v>0</v>
      </c>
      <c r="G899">
        <f t="shared" si="41"/>
        <v>3552.5</v>
      </c>
      <c r="H8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899">
        <f t="shared" si="42"/>
        <v>3752.6</v>
      </c>
      <c r="K899" t="e">
        <f t="shared" si="43"/>
        <v>#DIV/0!</v>
      </c>
    </row>
    <row r="900" spans="1:11" hidden="1" x14ac:dyDescent="0.25">
      <c r="A900" t="str" cm="1">
        <f t="array" ref="A900">IF(ISBLANK(INDEX(SampleList[GC],ROW()-1)),"Not Requested",INDEX(SampleList[Experiment ID],ROW()-1))</f>
        <v>Not Requested</v>
      </c>
      <c r="B900">
        <f>Sampling!E898</f>
        <v>0</v>
      </c>
      <c r="G900">
        <f t="shared" si="41"/>
        <v>3552.5</v>
      </c>
      <c r="H9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0">
        <f t="shared" si="42"/>
        <v>3752.6</v>
      </c>
      <c r="K900" t="e">
        <f t="shared" si="43"/>
        <v>#DIV/0!</v>
      </c>
    </row>
    <row r="901" spans="1:11" hidden="1" x14ac:dyDescent="0.25">
      <c r="A901" t="str" cm="1">
        <f t="array" ref="A901">IF(ISBLANK(INDEX(SampleList[GC],ROW()-1)),"Not Requested",INDEX(SampleList[Experiment ID],ROW()-1))</f>
        <v>Not Requested</v>
      </c>
      <c r="B901">
        <f>Sampling!E899</f>
        <v>0</v>
      </c>
      <c r="G901">
        <f t="shared" si="41"/>
        <v>3552.5</v>
      </c>
      <c r="H90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1">
        <f t="shared" si="42"/>
        <v>3752.6</v>
      </c>
      <c r="K901" t="e">
        <f t="shared" si="43"/>
        <v>#DIV/0!</v>
      </c>
    </row>
    <row r="902" spans="1:11" hidden="1" x14ac:dyDescent="0.25">
      <c r="A902" t="str" cm="1">
        <f t="array" ref="A902">IF(ISBLANK(INDEX(SampleList[GC],ROW()-1)),"Not Requested",INDEX(SampleList[Experiment ID],ROW()-1))</f>
        <v>Not Requested</v>
      </c>
      <c r="B902">
        <f>Sampling!E900</f>
        <v>0</v>
      </c>
      <c r="G902">
        <f t="shared" si="41"/>
        <v>3552.5</v>
      </c>
      <c r="H90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2">
        <f t="shared" si="42"/>
        <v>3752.6</v>
      </c>
      <c r="K902" t="e">
        <f t="shared" si="43"/>
        <v>#DIV/0!</v>
      </c>
    </row>
    <row r="903" spans="1:11" hidden="1" x14ac:dyDescent="0.25">
      <c r="A903" t="str" cm="1">
        <f t="array" ref="A903">IF(ISBLANK(INDEX(SampleList[GC],ROW()-1)),"Not Requested",INDEX(SampleList[Experiment ID],ROW()-1))</f>
        <v>Not Requested</v>
      </c>
      <c r="B903">
        <f>Sampling!E901</f>
        <v>0</v>
      </c>
      <c r="G903">
        <f t="shared" si="41"/>
        <v>3552.5</v>
      </c>
      <c r="H90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3">
        <f t="shared" si="42"/>
        <v>3752.6</v>
      </c>
      <c r="K903" t="e">
        <f t="shared" si="43"/>
        <v>#DIV/0!</v>
      </c>
    </row>
    <row r="904" spans="1:11" hidden="1" x14ac:dyDescent="0.25">
      <c r="A904" t="str" cm="1">
        <f t="array" ref="A904">IF(ISBLANK(INDEX(SampleList[GC],ROW()-1)),"Not Requested",INDEX(SampleList[Experiment ID],ROW()-1))</f>
        <v>Not Requested</v>
      </c>
      <c r="B904">
        <f>Sampling!E902</f>
        <v>0</v>
      </c>
      <c r="G904">
        <f t="shared" si="41"/>
        <v>3552.5</v>
      </c>
      <c r="H90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4">
        <f t="shared" si="42"/>
        <v>3752.6</v>
      </c>
      <c r="K904" t="e">
        <f t="shared" si="43"/>
        <v>#DIV/0!</v>
      </c>
    </row>
    <row r="905" spans="1:11" hidden="1" x14ac:dyDescent="0.25">
      <c r="A905" t="str" cm="1">
        <f t="array" ref="A905">IF(ISBLANK(INDEX(SampleList[GC],ROW()-1)),"Not Requested",INDEX(SampleList[Experiment ID],ROW()-1))</f>
        <v>Not Requested</v>
      </c>
      <c r="B905">
        <f>Sampling!E903</f>
        <v>0</v>
      </c>
      <c r="G905">
        <f t="shared" si="41"/>
        <v>3552.5</v>
      </c>
      <c r="H90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5">
        <f t="shared" si="42"/>
        <v>3752.6</v>
      </c>
      <c r="K905" t="e">
        <f t="shared" si="43"/>
        <v>#DIV/0!</v>
      </c>
    </row>
    <row r="906" spans="1:11" hidden="1" x14ac:dyDescent="0.25">
      <c r="A906" t="str" cm="1">
        <f t="array" ref="A906">IF(ISBLANK(INDEX(SampleList[GC],ROW()-1)),"Not Requested",INDEX(SampleList[Experiment ID],ROW()-1))</f>
        <v>Not Requested</v>
      </c>
      <c r="B906">
        <f>Sampling!E904</f>
        <v>0</v>
      </c>
      <c r="G906">
        <f t="shared" si="41"/>
        <v>3552.5</v>
      </c>
      <c r="H90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6">
        <f t="shared" si="42"/>
        <v>3752.6</v>
      </c>
      <c r="K906" t="e">
        <f t="shared" si="43"/>
        <v>#DIV/0!</v>
      </c>
    </row>
    <row r="907" spans="1:11" hidden="1" x14ac:dyDescent="0.25">
      <c r="A907" t="str" cm="1">
        <f t="array" ref="A907">IF(ISBLANK(INDEX(SampleList[GC],ROW()-1)),"Not Requested",INDEX(SampleList[Experiment ID],ROW()-1))</f>
        <v>Not Requested</v>
      </c>
      <c r="B907">
        <f>Sampling!E905</f>
        <v>0</v>
      </c>
      <c r="G907">
        <f t="shared" si="41"/>
        <v>3552.5</v>
      </c>
      <c r="H90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7">
        <f t="shared" si="42"/>
        <v>3752.6</v>
      </c>
      <c r="K907" t="e">
        <f t="shared" si="43"/>
        <v>#DIV/0!</v>
      </c>
    </row>
    <row r="908" spans="1:11" hidden="1" x14ac:dyDescent="0.25">
      <c r="A908" t="str" cm="1">
        <f t="array" ref="A908">IF(ISBLANK(INDEX(SampleList[GC],ROW()-1)),"Not Requested",INDEX(SampleList[Experiment ID],ROW()-1))</f>
        <v>Not Requested</v>
      </c>
      <c r="B908">
        <f>Sampling!E906</f>
        <v>0</v>
      </c>
      <c r="G908">
        <f t="shared" si="41"/>
        <v>3552.5</v>
      </c>
      <c r="H90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8">
        <f t="shared" si="42"/>
        <v>3752.6</v>
      </c>
      <c r="K908" t="e">
        <f t="shared" si="43"/>
        <v>#DIV/0!</v>
      </c>
    </row>
    <row r="909" spans="1:11" hidden="1" x14ac:dyDescent="0.25">
      <c r="A909" t="str" cm="1">
        <f t="array" ref="A909">IF(ISBLANK(INDEX(SampleList[GC],ROW()-1)),"Not Requested",INDEX(SampleList[Experiment ID],ROW()-1))</f>
        <v>Not Requested</v>
      </c>
      <c r="B909">
        <f>Sampling!E907</f>
        <v>0</v>
      </c>
      <c r="G909">
        <f t="shared" si="41"/>
        <v>3552.5</v>
      </c>
      <c r="H90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09">
        <f t="shared" si="42"/>
        <v>3752.6</v>
      </c>
      <c r="K909" t="e">
        <f t="shared" si="43"/>
        <v>#DIV/0!</v>
      </c>
    </row>
    <row r="910" spans="1:11" hidden="1" x14ac:dyDescent="0.25">
      <c r="A910" t="str" cm="1">
        <f t="array" ref="A910">IF(ISBLANK(INDEX(SampleList[GC],ROW()-1)),"Not Requested",INDEX(SampleList[Experiment ID],ROW()-1))</f>
        <v>Not Requested</v>
      </c>
      <c r="B910">
        <f>Sampling!E908</f>
        <v>0</v>
      </c>
      <c r="G910">
        <f t="shared" si="41"/>
        <v>3552.5</v>
      </c>
      <c r="H91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0">
        <f t="shared" si="42"/>
        <v>3752.6</v>
      </c>
      <c r="K910" t="e">
        <f t="shared" si="43"/>
        <v>#DIV/0!</v>
      </c>
    </row>
    <row r="911" spans="1:11" hidden="1" x14ac:dyDescent="0.25">
      <c r="A911" t="str" cm="1">
        <f t="array" ref="A911">IF(ISBLANK(INDEX(SampleList[GC],ROW()-1)),"Not Requested",INDEX(SampleList[Experiment ID],ROW()-1))</f>
        <v>Not Requested</v>
      </c>
      <c r="B911">
        <f>Sampling!E909</f>
        <v>0</v>
      </c>
      <c r="G911">
        <f t="shared" si="41"/>
        <v>3552.5</v>
      </c>
      <c r="H91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1">
        <f t="shared" si="42"/>
        <v>3752.6</v>
      </c>
      <c r="K911" t="e">
        <f t="shared" si="43"/>
        <v>#DIV/0!</v>
      </c>
    </row>
    <row r="912" spans="1:11" hidden="1" x14ac:dyDescent="0.25">
      <c r="A912" t="str" cm="1">
        <f t="array" ref="A912">IF(ISBLANK(INDEX(SampleList[GC],ROW()-1)),"Not Requested",INDEX(SampleList[Experiment ID],ROW()-1))</f>
        <v>Not Requested</v>
      </c>
      <c r="B912">
        <f>Sampling!E910</f>
        <v>0</v>
      </c>
      <c r="G912">
        <f t="shared" si="41"/>
        <v>3552.5</v>
      </c>
      <c r="H91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2">
        <f t="shared" si="42"/>
        <v>3752.6</v>
      </c>
      <c r="K912" t="e">
        <f t="shared" si="43"/>
        <v>#DIV/0!</v>
      </c>
    </row>
    <row r="913" spans="1:11" hidden="1" x14ac:dyDescent="0.25">
      <c r="A913" t="str" cm="1">
        <f t="array" ref="A913">IF(ISBLANK(INDEX(SampleList[GC],ROW()-1)),"Not Requested",INDEX(SampleList[Experiment ID],ROW()-1))</f>
        <v>Not Requested</v>
      </c>
      <c r="B913">
        <f>Sampling!E911</f>
        <v>0</v>
      </c>
      <c r="G913">
        <f t="shared" si="41"/>
        <v>3552.5</v>
      </c>
      <c r="H91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3">
        <f t="shared" si="42"/>
        <v>3752.6</v>
      </c>
      <c r="K913" t="e">
        <f t="shared" si="43"/>
        <v>#DIV/0!</v>
      </c>
    </row>
    <row r="914" spans="1:11" hidden="1" x14ac:dyDescent="0.25">
      <c r="A914" t="str" cm="1">
        <f t="array" ref="A914">IF(ISBLANK(INDEX(SampleList[GC],ROW()-1)),"Not Requested",INDEX(SampleList[Experiment ID],ROW()-1))</f>
        <v>Not Requested</v>
      </c>
      <c r="B914">
        <f>Sampling!E912</f>
        <v>0</v>
      </c>
      <c r="G914">
        <f t="shared" si="41"/>
        <v>3552.5</v>
      </c>
      <c r="H91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4">
        <f t="shared" si="42"/>
        <v>3752.6</v>
      </c>
      <c r="K914" t="e">
        <f t="shared" si="43"/>
        <v>#DIV/0!</v>
      </c>
    </row>
    <row r="915" spans="1:11" hidden="1" x14ac:dyDescent="0.25">
      <c r="A915" t="str" cm="1">
        <f t="array" ref="A915">IF(ISBLANK(INDEX(SampleList[GC],ROW()-1)),"Not Requested",INDEX(SampleList[Experiment ID],ROW()-1))</f>
        <v>Not Requested</v>
      </c>
      <c r="B915">
        <f>Sampling!E913</f>
        <v>0</v>
      </c>
      <c r="G915">
        <f t="shared" si="41"/>
        <v>3552.5</v>
      </c>
      <c r="H91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5">
        <f t="shared" si="42"/>
        <v>3752.6</v>
      </c>
      <c r="K915" t="e">
        <f t="shared" si="43"/>
        <v>#DIV/0!</v>
      </c>
    </row>
    <row r="916" spans="1:11" hidden="1" x14ac:dyDescent="0.25">
      <c r="A916" t="str" cm="1">
        <f t="array" ref="A916">IF(ISBLANK(INDEX(SampleList[GC],ROW()-1)),"Not Requested",INDEX(SampleList[Experiment ID],ROW()-1))</f>
        <v>Not Requested</v>
      </c>
      <c r="B916">
        <f>Sampling!E914</f>
        <v>0</v>
      </c>
      <c r="G916">
        <f t="shared" si="41"/>
        <v>3552.5</v>
      </c>
      <c r="H91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6">
        <f t="shared" si="42"/>
        <v>3752.6</v>
      </c>
      <c r="K916" t="e">
        <f t="shared" si="43"/>
        <v>#DIV/0!</v>
      </c>
    </row>
    <row r="917" spans="1:11" hidden="1" x14ac:dyDescent="0.25">
      <c r="A917" t="str" cm="1">
        <f t="array" ref="A917">IF(ISBLANK(INDEX(SampleList[GC],ROW()-1)),"Not Requested",INDEX(SampleList[Experiment ID],ROW()-1))</f>
        <v>Not Requested</v>
      </c>
      <c r="B917">
        <f>Sampling!E915</f>
        <v>0</v>
      </c>
      <c r="G917">
        <f t="shared" si="41"/>
        <v>3552.5</v>
      </c>
      <c r="H91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7">
        <f t="shared" si="42"/>
        <v>3752.6</v>
      </c>
      <c r="K917" t="e">
        <f t="shared" si="43"/>
        <v>#DIV/0!</v>
      </c>
    </row>
    <row r="918" spans="1:11" hidden="1" x14ac:dyDescent="0.25">
      <c r="A918" t="str" cm="1">
        <f t="array" ref="A918">IF(ISBLANK(INDEX(SampleList[GC],ROW()-1)),"Not Requested",INDEX(SampleList[Experiment ID],ROW()-1))</f>
        <v>Not Requested</v>
      </c>
      <c r="B918">
        <f>Sampling!E916</f>
        <v>0</v>
      </c>
      <c r="G918">
        <f t="shared" si="41"/>
        <v>3552.5</v>
      </c>
      <c r="H91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8">
        <f t="shared" si="42"/>
        <v>3752.6</v>
      </c>
      <c r="K918" t="e">
        <f t="shared" si="43"/>
        <v>#DIV/0!</v>
      </c>
    </row>
    <row r="919" spans="1:11" hidden="1" x14ac:dyDescent="0.25">
      <c r="A919" t="str" cm="1">
        <f t="array" ref="A919">IF(ISBLANK(INDEX(SampleList[GC],ROW()-1)),"Not Requested",INDEX(SampleList[Experiment ID],ROW()-1))</f>
        <v>Not Requested</v>
      </c>
      <c r="B919">
        <f>Sampling!E917</f>
        <v>0</v>
      </c>
      <c r="G919">
        <f t="shared" si="41"/>
        <v>3552.5</v>
      </c>
      <c r="H91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19">
        <f t="shared" si="42"/>
        <v>3752.6</v>
      </c>
      <c r="K919" t="e">
        <f t="shared" si="43"/>
        <v>#DIV/0!</v>
      </c>
    </row>
    <row r="920" spans="1:11" hidden="1" x14ac:dyDescent="0.25">
      <c r="A920" t="str" cm="1">
        <f t="array" ref="A920">IF(ISBLANK(INDEX(SampleList[GC],ROW()-1)),"Not Requested",INDEX(SampleList[Experiment ID],ROW()-1))</f>
        <v>Not Requested</v>
      </c>
      <c r="B920">
        <f>Sampling!E918</f>
        <v>0</v>
      </c>
      <c r="G920">
        <f t="shared" si="41"/>
        <v>3552.5</v>
      </c>
      <c r="H92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0">
        <f t="shared" si="42"/>
        <v>3752.6</v>
      </c>
      <c r="K920" t="e">
        <f t="shared" si="43"/>
        <v>#DIV/0!</v>
      </c>
    </row>
    <row r="921" spans="1:11" hidden="1" x14ac:dyDescent="0.25">
      <c r="A921" t="str" cm="1">
        <f t="array" ref="A921">IF(ISBLANK(INDEX(SampleList[GC],ROW()-1)),"Not Requested",INDEX(SampleList[Experiment ID],ROW()-1))</f>
        <v>Not Requested</v>
      </c>
      <c r="B921">
        <f>Sampling!E919</f>
        <v>0</v>
      </c>
      <c r="G921">
        <f t="shared" si="41"/>
        <v>3552.5</v>
      </c>
      <c r="H92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1">
        <f t="shared" si="42"/>
        <v>3752.6</v>
      </c>
      <c r="K921" t="e">
        <f t="shared" si="43"/>
        <v>#DIV/0!</v>
      </c>
    </row>
    <row r="922" spans="1:11" hidden="1" x14ac:dyDescent="0.25">
      <c r="A922" t="str" cm="1">
        <f t="array" ref="A922">IF(ISBLANK(INDEX(SampleList[GC],ROW()-1)),"Not Requested",INDEX(SampleList[Experiment ID],ROW()-1))</f>
        <v>Not Requested</v>
      </c>
      <c r="B922">
        <f>Sampling!E920</f>
        <v>0</v>
      </c>
      <c r="G922">
        <f t="shared" si="41"/>
        <v>3552.5</v>
      </c>
      <c r="H92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2">
        <f t="shared" si="42"/>
        <v>3752.6</v>
      </c>
      <c r="K922" t="e">
        <f t="shared" si="43"/>
        <v>#DIV/0!</v>
      </c>
    </row>
    <row r="923" spans="1:11" hidden="1" x14ac:dyDescent="0.25">
      <c r="A923" t="str" cm="1">
        <f t="array" ref="A923">IF(ISBLANK(INDEX(SampleList[GC],ROW()-1)),"Not Requested",INDEX(SampleList[Experiment ID],ROW()-1))</f>
        <v>Not Requested</v>
      </c>
      <c r="B923">
        <f>Sampling!E921</f>
        <v>0</v>
      </c>
      <c r="G923">
        <f t="shared" si="41"/>
        <v>3552.5</v>
      </c>
      <c r="H92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3">
        <f t="shared" si="42"/>
        <v>3752.6</v>
      </c>
      <c r="K923" t="e">
        <f t="shared" si="43"/>
        <v>#DIV/0!</v>
      </c>
    </row>
    <row r="924" spans="1:11" hidden="1" x14ac:dyDescent="0.25">
      <c r="A924" t="str" cm="1">
        <f t="array" ref="A924">IF(ISBLANK(INDEX(SampleList[GC],ROW()-1)),"Not Requested",INDEX(SampleList[Experiment ID],ROW()-1))</f>
        <v>Not Requested</v>
      </c>
      <c r="B924">
        <f>Sampling!E922</f>
        <v>0</v>
      </c>
      <c r="G924">
        <f t="shared" si="41"/>
        <v>3552.5</v>
      </c>
      <c r="H92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4">
        <f t="shared" si="42"/>
        <v>3752.6</v>
      </c>
      <c r="K924" t="e">
        <f t="shared" si="43"/>
        <v>#DIV/0!</v>
      </c>
    </row>
    <row r="925" spans="1:11" hidden="1" x14ac:dyDescent="0.25">
      <c r="A925" t="str" cm="1">
        <f t="array" ref="A925">IF(ISBLANK(INDEX(SampleList[GC],ROW()-1)),"Not Requested",INDEX(SampleList[Experiment ID],ROW()-1))</f>
        <v>Not Requested</v>
      </c>
      <c r="B925">
        <f>Sampling!E923</f>
        <v>0</v>
      </c>
      <c r="G925">
        <f t="shared" si="41"/>
        <v>3552.5</v>
      </c>
      <c r="H92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5">
        <f t="shared" si="42"/>
        <v>3752.6</v>
      </c>
      <c r="K925" t="e">
        <f t="shared" si="43"/>
        <v>#DIV/0!</v>
      </c>
    </row>
    <row r="926" spans="1:11" hidden="1" x14ac:dyDescent="0.25">
      <c r="A926" t="str" cm="1">
        <f t="array" ref="A926">IF(ISBLANK(INDEX(SampleList[GC],ROW()-1)),"Not Requested",INDEX(SampleList[Experiment ID],ROW()-1))</f>
        <v>Not Requested</v>
      </c>
      <c r="B926">
        <f>Sampling!E924</f>
        <v>0</v>
      </c>
      <c r="G926">
        <f t="shared" si="41"/>
        <v>3552.5</v>
      </c>
      <c r="H92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6">
        <f t="shared" si="42"/>
        <v>3752.6</v>
      </c>
      <c r="K926" t="e">
        <f t="shared" si="43"/>
        <v>#DIV/0!</v>
      </c>
    </row>
    <row r="927" spans="1:11" hidden="1" x14ac:dyDescent="0.25">
      <c r="A927" t="str" cm="1">
        <f t="array" ref="A927">IF(ISBLANK(INDEX(SampleList[GC],ROW()-1)),"Not Requested",INDEX(SampleList[Experiment ID],ROW()-1))</f>
        <v>Not Requested</v>
      </c>
      <c r="B927">
        <f>Sampling!E925</f>
        <v>0</v>
      </c>
      <c r="G927">
        <f t="shared" si="41"/>
        <v>3552.5</v>
      </c>
      <c r="H92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7">
        <f t="shared" si="42"/>
        <v>3752.6</v>
      </c>
      <c r="K927" t="e">
        <f t="shared" si="43"/>
        <v>#DIV/0!</v>
      </c>
    </row>
    <row r="928" spans="1:11" hidden="1" x14ac:dyDescent="0.25">
      <c r="A928" t="str" cm="1">
        <f t="array" ref="A928">IF(ISBLANK(INDEX(SampleList[GC],ROW()-1)),"Not Requested",INDEX(SampleList[Experiment ID],ROW()-1))</f>
        <v>Not Requested</v>
      </c>
      <c r="B928">
        <f>Sampling!E926</f>
        <v>0</v>
      </c>
      <c r="G928">
        <f t="shared" si="41"/>
        <v>3552.5</v>
      </c>
      <c r="H92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8">
        <f t="shared" si="42"/>
        <v>3752.6</v>
      </c>
      <c r="K928" t="e">
        <f t="shared" si="43"/>
        <v>#DIV/0!</v>
      </c>
    </row>
    <row r="929" spans="1:11" hidden="1" x14ac:dyDescent="0.25">
      <c r="A929" t="str" cm="1">
        <f t="array" ref="A929">IF(ISBLANK(INDEX(SampleList[GC],ROW()-1)),"Not Requested",INDEX(SampleList[Experiment ID],ROW()-1))</f>
        <v>Not Requested</v>
      </c>
      <c r="B929">
        <f>Sampling!E927</f>
        <v>0</v>
      </c>
      <c r="G929">
        <f t="shared" ref="G929:G992" si="44">24.5*145</f>
        <v>3552.5</v>
      </c>
      <c r="H92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29">
        <f t="shared" si="42"/>
        <v>3752.6</v>
      </c>
      <c r="K929" t="e">
        <f t="shared" si="43"/>
        <v>#DIV/0!</v>
      </c>
    </row>
    <row r="930" spans="1:11" hidden="1" x14ac:dyDescent="0.25">
      <c r="A930" t="str" cm="1">
        <f t="array" ref="A930">IF(ISBLANK(INDEX(SampleList[GC],ROW()-1)),"Not Requested",INDEX(SampleList[Experiment ID],ROW()-1))</f>
        <v>Not Requested</v>
      </c>
      <c r="B930">
        <f>Sampling!E928</f>
        <v>0</v>
      </c>
      <c r="G930">
        <f t="shared" si="44"/>
        <v>3552.5</v>
      </c>
      <c r="H93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0">
        <f t="shared" si="42"/>
        <v>3752.6</v>
      </c>
      <c r="K930" t="e">
        <f t="shared" si="43"/>
        <v>#DIV/0!</v>
      </c>
    </row>
    <row r="931" spans="1:11" hidden="1" x14ac:dyDescent="0.25">
      <c r="A931" t="str" cm="1">
        <f t="array" ref="A931">IF(ISBLANK(INDEX(SampleList[GC],ROW()-1)),"Not Requested",INDEX(SampleList[Experiment ID],ROW()-1))</f>
        <v>Not Requested</v>
      </c>
      <c r="B931">
        <f>Sampling!E929</f>
        <v>0</v>
      </c>
      <c r="G931">
        <f t="shared" si="44"/>
        <v>3552.5</v>
      </c>
      <c r="H93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1">
        <f t="shared" si="42"/>
        <v>3752.6</v>
      </c>
      <c r="K931" t="e">
        <f t="shared" si="43"/>
        <v>#DIV/0!</v>
      </c>
    </row>
    <row r="932" spans="1:11" hidden="1" x14ac:dyDescent="0.25">
      <c r="A932" t="str" cm="1">
        <f t="array" ref="A932">IF(ISBLANK(INDEX(SampleList[GC],ROW()-1)),"Not Requested",INDEX(SampleList[Experiment ID],ROW()-1))</f>
        <v>Not Requested</v>
      </c>
      <c r="B932">
        <f>Sampling!E930</f>
        <v>0</v>
      </c>
      <c r="G932">
        <f t="shared" si="44"/>
        <v>3552.5</v>
      </c>
      <c r="H93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2">
        <f t="shared" si="42"/>
        <v>3752.6</v>
      </c>
      <c r="K932" t="e">
        <f t="shared" si="43"/>
        <v>#DIV/0!</v>
      </c>
    </row>
    <row r="933" spans="1:11" hidden="1" x14ac:dyDescent="0.25">
      <c r="A933" t="str" cm="1">
        <f t="array" ref="A933">IF(ISBLANK(INDEX(SampleList[GC],ROW()-1)),"Not Requested",INDEX(SampleList[Experiment ID],ROW()-1))</f>
        <v>Not Requested</v>
      </c>
      <c r="B933">
        <f>Sampling!E931</f>
        <v>0</v>
      </c>
      <c r="G933">
        <f t="shared" si="44"/>
        <v>3552.5</v>
      </c>
      <c r="H93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3">
        <f t="shared" si="42"/>
        <v>3752.6</v>
      </c>
      <c r="K933" t="e">
        <f t="shared" si="43"/>
        <v>#DIV/0!</v>
      </c>
    </row>
    <row r="934" spans="1:11" hidden="1" x14ac:dyDescent="0.25">
      <c r="A934" t="str" cm="1">
        <f t="array" ref="A934">IF(ISBLANK(INDEX(SampleList[GC],ROW()-1)),"Not Requested",INDEX(SampleList[Experiment ID],ROW()-1))</f>
        <v>Not Requested</v>
      </c>
      <c r="B934">
        <f>Sampling!E932</f>
        <v>0</v>
      </c>
      <c r="G934">
        <f t="shared" si="44"/>
        <v>3552.5</v>
      </c>
      <c r="H93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4">
        <f t="shared" si="42"/>
        <v>3752.6</v>
      </c>
      <c r="K934" t="e">
        <f t="shared" si="43"/>
        <v>#DIV/0!</v>
      </c>
    </row>
    <row r="935" spans="1:11" hidden="1" x14ac:dyDescent="0.25">
      <c r="A935" t="str" cm="1">
        <f t="array" ref="A935">IF(ISBLANK(INDEX(SampleList[GC],ROW()-1)),"Not Requested",INDEX(SampleList[Experiment ID],ROW()-1))</f>
        <v>Not Requested</v>
      </c>
      <c r="B935">
        <f>Sampling!E933</f>
        <v>0</v>
      </c>
      <c r="G935">
        <f t="shared" si="44"/>
        <v>3552.5</v>
      </c>
      <c r="H93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5">
        <f t="shared" si="42"/>
        <v>3752.6</v>
      </c>
      <c r="K935" t="e">
        <f t="shared" si="43"/>
        <v>#DIV/0!</v>
      </c>
    </row>
    <row r="936" spans="1:11" hidden="1" x14ac:dyDescent="0.25">
      <c r="A936" t="str" cm="1">
        <f t="array" ref="A936">IF(ISBLANK(INDEX(SampleList[GC],ROW()-1)),"Not Requested",INDEX(SampleList[Experiment ID],ROW()-1))</f>
        <v>Not Requested</v>
      </c>
      <c r="B936">
        <f>Sampling!E934</f>
        <v>0</v>
      </c>
      <c r="G936">
        <f t="shared" si="44"/>
        <v>3552.5</v>
      </c>
      <c r="H93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6">
        <f t="shared" si="42"/>
        <v>3752.6</v>
      </c>
      <c r="K936" t="e">
        <f t="shared" si="43"/>
        <v>#DIV/0!</v>
      </c>
    </row>
    <row r="937" spans="1:11" hidden="1" x14ac:dyDescent="0.25">
      <c r="A937" t="str" cm="1">
        <f t="array" ref="A937">IF(ISBLANK(INDEX(SampleList[GC],ROW()-1)),"Not Requested",INDEX(SampleList[Experiment ID],ROW()-1))</f>
        <v>Not Requested</v>
      </c>
      <c r="B937">
        <f>Sampling!E935</f>
        <v>0</v>
      </c>
      <c r="G937">
        <f t="shared" si="44"/>
        <v>3552.5</v>
      </c>
      <c r="H93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7">
        <f t="shared" si="42"/>
        <v>3752.6</v>
      </c>
      <c r="K937" t="e">
        <f t="shared" si="43"/>
        <v>#DIV/0!</v>
      </c>
    </row>
    <row r="938" spans="1:11" hidden="1" x14ac:dyDescent="0.25">
      <c r="A938" t="str" cm="1">
        <f t="array" ref="A938">IF(ISBLANK(INDEX(SampleList[GC],ROW()-1)),"Not Requested",INDEX(SampleList[Experiment ID],ROW()-1))</f>
        <v>Not Requested</v>
      </c>
      <c r="B938">
        <f>Sampling!E936</f>
        <v>0</v>
      </c>
      <c r="G938">
        <f t="shared" si="44"/>
        <v>3552.5</v>
      </c>
      <c r="H93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8">
        <f t="shared" si="42"/>
        <v>3752.6</v>
      </c>
      <c r="K938" t="e">
        <f t="shared" si="43"/>
        <v>#DIV/0!</v>
      </c>
    </row>
    <row r="939" spans="1:11" hidden="1" x14ac:dyDescent="0.25">
      <c r="A939" t="str" cm="1">
        <f t="array" ref="A939">IF(ISBLANK(INDEX(SampleList[GC],ROW()-1)),"Not Requested",INDEX(SampleList[Experiment ID],ROW()-1))</f>
        <v>Not Requested</v>
      </c>
      <c r="B939">
        <f>Sampling!E937</f>
        <v>0</v>
      </c>
      <c r="G939">
        <f t="shared" si="44"/>
        <v>3552.5</v>
      </c>
      <c r="H93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39">
        <f t="shared" si="42"/>
        <v>3752.6</v>
      </c>
      <c r="K939" t="e">
        <f t="shared" si="43"/>
        <v>#DIV/0!</v>
      </c>
    </row>
    <row r="940" spans="1:11" hidden="1" x14ac:dyDescent="0.25">
      <c r="A940" t="str" cm="1">
        <f t="array" ref="A940">IF(ISBLANK(INDEX(SampleList[GC],ROW()-1)),"Not Requested",INDEX(SampleList[Experiment ID],ROW()-1))</f>
        <v>Not Requested</v>
      </c>
      <c r="B940">
        <f>Sampling!E938</f>
        <v>0</v>
      </c>
      <c r="G940">
        <f t="shared" si="44"/>
        <v>3552.5</v>
      </c>
      <c r="H94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0">
        <f t="shared" si="42"/>
        <v>3752.6</v>
      </c>
      <c r="K940" t="e">
        <f t="shared" si="43"/>
        <v>#DIV/0!</v>
      </c>
    </row>
    <row r="941" spans="1:11" hidden="1" x14ac:dyDescent="0.25">
      <c r="A941" t="str" cm="1">
        <f t="array" ref="A941">IF(ISBLANK(INDEX(SampleList[GC],ROW()-1)),"Not Requested",INDEX(SampleList[Experiment ID],ROW()-1))</f>
        <v>Not Requested</v>
      </c>
      <c r="B941">
        <f>Sampling!E939</f>
        <v>0</v>
      </c>
      <c r="G941">
        <f t="shared" si="44"/>
        <v>3552.5</v>
      </c>
      <c r="H94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1">
        <f t="shared" si="42"/>
        <v>3752.6</v>
      </c>
      <c r="K941" t="e">
        <f t="shared" si="43"/>
        <v>#DIV/0!</v>
      </c>
    </row>
    <row r="942" spans="1:11" hidden="1" x14ac:dyDescent="0.25">
      <c r="A942" t="str" cm="1">
        <f t="array" ref="A942">IF(ISBLANK(INDEX(SampleList[GC],ROW()-1)),"Not Requested",INDEX(SampleList[Experiment ID],ROW()-1))</f>
        <v>Not Requested</v>
      </c>
      <c r="B942">
        <f>Sampling!E940</f>
        <v>0</v>
      </c>
      <c r="G942">
        <f t="shared" si="44"/>
        <v>3552.5</v>
      </c>
      <c r="H94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2">
        <f t="shared" si="42"/>
        <v>3752.6</v>
      </c>
      <c r="K942" t="e">
        <f t="shared" si="43"/>
        <v>#DIV/0!</v>
      </c>
    </row>
    <row r="943" spans="1:11" hidden="1" x14ac:dyDescent="0.25">
      <c r="A943" t="str" cm="1">
        <f t="array" ref="A943">IF(ISBLANK(INDEX(SampleList[GC],ROW()-1)),"Not Requested",INDEX(SampleList[Experiment ID],ROW()-1))</f>
        <v>Not Requested</v>
      </c>
      <c r="B943">
        <f>Sampling!E941</f>
        <v>0</v>
      </c>
      <c r="G943">
        <f t="shared" si="44"/>
        <v>3552.5</v>
      </c>
      <c r="H94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3">
        <f t="shared" si="42"/>
        <v>3752.6</v>
      </c>
      <c r="K943" t="e">
        <f t="shared" si="43"/>
        <v>#DIV/0!</v>
      </c>
    </row>
    <row r="944" spans="1:11" hidden="1" x14ac:dyDescent="0.25">
      <c r="A944" t="str" cm="1">
        <f t="array" ref="A944">IF(ISBLANK(INDEX(SampleList[GC],ROW()-1)),"Not Requested",INDEX(SampleList[Experiment ID],ROW()-1))</f>
        <v>Not Requested</v>
      </c>
      <c r="B944">
        <f>Sampling!E942</f>
        <v>0</v>
      </c>
      <c r="G944">
        <f t="shared" si="44"/>
        <v>3552.5</v>
      </c>
      <c r="H94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4">
        <f t="shared" si="42"/>
        <v>3752.6</v>
      </c>
      <c r="K944" t="e">
        <f t="shared" si="43"/>
        <v>#DIV/0!</v>
      </c>
    </row>
    <row r="945" spans="1:11" hidden="1" x14ac:dyDescent="0.25">
      <c r="A945" t="str" cm="1">
        <f t="array" ref="A945">IF(ISBLANK(INDEX(SampleList[GC],ROW()-1)),"Not Requested",INDEX(SampleList[Experiment ID],ROW()-1))</f>
        <v>Not Requested</v>
      </c>
      <c r="B945">
        <f>Sampling!E943</f>
        <v>0</v>
      </c>
      <c r="G945">
        <f t="shared" si="44"/>
        <v>3552.5</v>
      </c>
      <c r="H94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5">
        <f t="shared" si="42"/>
        <v>3752.6</v>
      </c>
      <c r="K945" t="e">
        <f t="shared" si="43"/>
        <v>#DIV/0!</v>
      </c>
    </row>
    <row r="946" spans="1:11" hidden="1" x14ac:dyDescent="0.25">
      <c r="A946" t="str" cm="1">
        <f t="array" ref="A946">IF(ISBLANK(INDEX(SampleList[GC],ROW()-1)),"Not Requested",INDEX(SampleList[Experiment ID],ROW()-1))</f>
        <v>Not Requested</v>
      </c>
      <c r="B946">
        <f>Sampling!E944</f>
        <v>0</v>
      </c>
      <c r="G946">
        <f t="shared" si="44"/>
        <v>3552.5</v>
      </c>
      <c r="H94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6">
        <f t="shared" si="42"/>
        <v>3752.6</v>
      </c>
      <c r="K946" t="e">
        <f t="shared" si="43"/>
        <v>#DIV/0!</v>
      </c>
    </row>
    <row r="947" spans="1:11" hidden="1" x14ac:dyDescent="0.25">
      <c r="A947" t="str" cm="1">
        <f t="array" ref="A947">IF(ISBLANK(INDEX(SampleList[GC],ROW()-1)),"Not Requested",INDEX(SampleList[Experiment ID],ROW()-1))</f>
        <v>Not Requested</v>
      </c>
      <c r="B947">
        <f>Sampling!E945</f>
        <v>0</v>
      </c>
      <c r="G947">
        <f t="shared" si="44"/>
        <v>3552.5</v>
      </c>
      <c r="H94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7">
        <f t="shared" si="42"/>
        <v>3752.6</v>
      </c>
      <c r="K947" t="e">
        <f t="shared" si="43"/>
        <v>#DIV/0!</v>
      </c>
    </row>
    <row r="948" spans="1:11" hidden="1" x14ac:dyDescent="0.25">
      <c r="A948" t="str" cm="1">
        <f t="array" ref="A948">IF(ISBLANK(INDEX(SampleList[GC],ROW()-1)),"Not Requested",INDEX(SampleList[Experiment ID],ROW()-1))</f>
        <v>Not Requested</v>
      </c>
      <c r="B948">
        <f>Sampling!E946</f>
        <v>0</v>
      </c>
      <c r="G948">
        <f t="shared" si="44"/>
        <v>3552.5</v>
      </c>
      <c r="H94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8">
        <f t="shared" si="42"/>
        <v>3752.6</v>
      </c>
      <c r="K948" t="e">
        <f t="shared" si="43"/>
        <v>#DIV/0!</v>
      </c>
    </row>
    <row r="949" spans="1:11" hidden="1" x14ac:dyDescent="0.25">
      <c r="A949" t="str" cm="1">
        <f t="array" ref="A949">IF(ISBLANK(INDEX(SampleList[GC],ROW()-1)),"Not Requested",INDEX(SampleList[Experiment ID],ROW()-1))</f>
        <v>Not Requested</v>
      </c>
      <c r="B949">
        <f>Sampling!E947</f>
        <v>0</v>
      </c>
      <c r="G949">
        <f t="shared" si="44"/>
        <v>3552.5</v>
      </c>
      <c r="H94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49">
        <f t="shared" si="42"/>
        <v>3752.6</v>
      </c>
      <c r="K949" t="e">
        <f t="shared" si="43"/>
        <v>#DIV/0!</v>
      </c>
    </row>
    <row r="950" spans="1:11" hidden="1" x14ac:dyDescent="0.25">
      <c r="A950" t="str" cm="1">
        <f t="array" ref="A950">IF(ISBLANK(INDEX(SampleList[GC],ROW()-1)),"Not Requested",INDEX(SampleList[Experiment ID],ROW()-1))</f>
        <v>Not Requested</v>
      </c>
      <c r="B950">
        <f>Sampling!E948</f>
        <v>0</v>
      </c>
      <c r="G950">
        <f t="shared" si="44"/>
        <v>3552.5</v>
      </c>
      <c r="H95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0">
        <f t="shared" si="42"/>
        <v>3752.6</v>
      </c>
      <c r="K950" t="e">
        <f t="shared" si="43"/>
        <v>#DIV/0!</v>
      </c>
    </row>
    <row r="951" spans="1:11" hidden="1" x14ac:dyDescent="0.25">
      <c r="A951" t="str" cm="1">
        <f t="array" ref="A951">IF(ISBLANK(INDEX(SampleList[GC],ROW()-1)),"Not Requested",INDEX(SampleList[Experiment ID],ROW()-1))</f>
        <v>Not Requested</v>
      </c>
      <c r="B951">
        <f>Sampling!E949</f>
        <v>0</v>
      </c>
      <c r="G951">
        <f t="shared" si="44"/>
        <v>3552.5</v>
      </c>
      <c r="H95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1">
        <f t="shared" si="42"/>
        <v>3752.6</v>
      </c>
      <c r="K951" t="e">
        <f t="shared" si="43"/>
        <v>#DIV/0!</v>
      </c>
    </row>
    <row r="952" spans="1:11" hidden="1" x14ac:dyDescent="0.25">
      <c r="A952" t="str" cm="1">
        <f t="array" ref="A952">IF(ISBLANK(INDEX(SampleList[GC],ROW()-1)),"Not Requested",INDEX(SampleList[Experiment ID],ROW()-1))</f>
        <v>Not Requested</v>
      </c>
      <c r="B952">
        <f>Sampling!E950</f>
        <v>0</v>
      </c>
      <c r="G952">
        <f t="shared" si="44"/>
        <v>3552.5</v>
      </c>
      <c r="H95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2">
        <f t="shared" si="42"/>
        <v>3752.6</v>
      </c>
      <c r="K952" t="e">
        <f t="shared" si="43"/>
        <v>#DIV/0!</v>
      </c>
    </row>
    <row r="953" spans="1:11" hidden="1" x14ac:dyDescent="0.25">
      <c r="A953" t="str" cm="1">
        <f t="array" ref="A953">IF(ISBLANK(INDEX(SampleList[GC],ROW()-1)),"Not Requested",INDEX(SampleList[Experiment ID],ROW()-1))</f>
        <v>Not Requested</v>
      </c>
      <c r="B953">
        <f>Sampling!E951</f>
        <v>0</v>
      </c>
      <c r="G953">
        <f t="shared" si="44"/>
        <v>3552.5</v>
      </c>
      <c r="H95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3">
        <f t="shared" si="42"/>
        <v>3752.6</v>
      </c>
      <c r="K953" t="e">
        <f t="shared" si="43"/>
        <v>#DIV/0!</v>
      </c>
    </row>
    <row r="954" spans="1:11" hidden="1" x14ac:dyDescent="0.25">
      <c r="A954" t="str" cm="1">
        <f t="array" ref="A954">IF(ISBLANK(INDEX(SampleList[GC],ROW()-1)),"Not Requested",INDEX(SampleList[Experiment ID],ROW()-1))</f>
        <v>Not Requested</v>
      </c>
      <c r="B954">
        <f>Sampling!E952</f>
        <v>0</v>
      </c>
      <c r="G954">
        <f t="shared" si="44"/>
        <v>3552.5</v>
      </c>
      <c r="H95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4">
        <f t="shared" si="42"/>
        <v>3752.6</v>
      </c>
      <c r="K954" t="e">
        <f t="shared" si="43"/>
        <v>#DIV/0!</v>
      </c>
    </row>
    <row r="955" spans="1:11" hidden="1" x14ac:dyDescent="0.25">
      <c r="A955" t="str" cm="1">
        <f t="array" ref="A955">IF(ISBLANK(INDEX(SampleList[GC],ROW()-1)),"Not Requested",INDEX(SampleList[Experiment ID],ROW()-1))</f>
        <v>Not Requested</v>
      </c>
      <c r="B955">
        <f>Sampling!E953</f>
        <v>0</v>
      </c>
      <c r="G955">
        <f t="shared" si="44"/>
        <v>3552.5</v>
      </c>
      <c r="H95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5">
        <f t="shared" si="42"/>
        <v>3752.6</v>
      </c>
      <c r="K955" t="e">
        <f t="shared" si="43"/>
        <v>#DIV/0!</v>
      </c>
    </row>
    <row r="956" spans="1:11" hidden="1" x14ac:dyDescent="0.25">
      <c r="A956" t="str" cm="1">
        <f t="array" ref="A956">IF(ISBLANK(INDEX(SampleList[GC],ROW()-1)),"Not Requested",INDEX(SampleList[Experiment ID],ROW()-1))</f>
        <v>Not Requested</v>
      </c>
      <c r="B956">
        <f>Sampling!E954</f>
        <v>0</v>
      </c>
      <c r="G956">
        <f t="shared" si="44"/>
        <v>3552.5</v>
      </c>
      <c r="H95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6">
        <f t="shared" si="42"/>
        <v>3752.6</v>
      </c>
      <c r="K956" t="e">
        <f t="shared" si="43"/>
        <v>#DIV/0!</v>
      </c>
    </row>
    <row r="957" spans="1:11" hidden="1" x14ac:dyDescent="0.25">
      <c r="A957" t="str" cm="1">
        <f t="array" ref="A957">IF(ISBLANK(INDEX(SampleList[GC],ROW()-1)),"Not Requested",INDEX(SampleList[Experiment ID],ROW()-1))</f>
        <v>Not Requested</v>
      </c>
      <c r="B957">
        <f>Sampling!E955</f>
        <v>0</v>
      </c>
      <c r="G957">
        <f t="shared" si="44"/>
        <v>3552.5</v>
      </c>
      <c r="H95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7">
        <f t="shared" si="42"/>
        <v>3752.6</v>
      </c>
      <c r="K957" t="e">
        <f t="shared" si="43"/>
        <v>#DIV/0!</v>
      </c>
    </row>
    <row r="958" spans="1:11" hidden="1" x14ac:dyDescent="0.25">
      <c r="A958" t="str" cm="1">
        <f t="array" ref="A958">IF(ISBLANK(INDEX(SampleList[GC],ROW()-1)),"Not Requested",INDEX(SampleList[Experiment ID],ROW()-1))</f>
        <v>Not Requested</v>
      </c>
      <c r="B958">
        <f>Sampling!E956</f>
        <v>0</v>
      </c>
      <c r="G958">
        <f t="shared" si="44"/>
        <v>3552.5</v>
      </c>
      <c r="H95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8">
        <f t="shared" si="42"/>
        <v>3752.6</v>
      </c>
      <c r="K958" t="e">
        <f t="shared" si="43"/>
        <v>#DIV/0!</v>
      </c>
    </row>
    <row r="959" spans="1:11" hidden="1" x14ac:dyDescent="0.25">
      <c r="A959" t="str" cm="1">
        <f t="array" ref="A959">IF(ISBLANK(INDEX(SampleList[GC],ROW()-1)),"Not Requested",INDEX(SampleList[Experiment ID],ROW()-1))</f>
        <v>Not Requested</v>
      </c>
      <c r="B959">
        <f>Sampling!E957</f>
        <v>0</v>
      </c>
      <c r="G959">
        <f t="shared" si="44"/>
        <v>3552.5</v>
      </c>
      <c r="H95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59">
        <f t="shared" si="42"/>
        <v>3752.6</v>
      </c>
      <c r="K959" t="e">
        <f t="shared" si="43"/>
        <v>#DIV/0!</v>
      </c>
    </row>
    <row r="960" spans="1:11" hidden="1" x14ac:dyDescent="0.25">
      <c r="A960" t="str" cm="1">
        <f t="array" ref="A960">IF(ISBLANK(INDEX(SampleList[GC],ROW()-1)),"Not Requested",INDEX(SampleList[Experiment ID],ROW()-1))</f>
        <v>Not Requested</v>
      </c>
      <c r="B960">
        <f>Sampling!E958</f>
        <v>0</v>
      </c>
      <c r="G960">
        <f t="shared" si="44"/>
        <v>3552.5</v>
      </c>
      <c r="H96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0">
        <f t="shared" si="42"/>
        <v>3752.6</v>
      </c>
      <c r="K960" t="e">
        <f t="shared" si="43"/>
        <v>#DIV/0!</v>
      </c>
    </row>
    <row r="961" spans="1:11" hidden="1" x14ac:dyDescent="0.25">
      <c r="A961" t="str" cm="1">
        <f t="array" ref="A961">IF(ISBLANK(INDEX(SampleList[GC],ROW()-1)),"Not Requested",INDEX(SampleList[Experiment ID],ROW()-1))</f>
        <v>Not Requested</v>
      </c>
      <c r="B961">
        <f>Sampling!E959</f>
        <v>0</v>
      </c>
      <c r="G961">
        <f t="shared" si="44"/>
        <v>3552.5</v>
      </c>
      <c r="H96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1">
        <f t="shared" si="42"/>
        <v>3752.6</v>
      </c>
      <c r="K961" t="e">
        <f t="shared" si="43"/>
        <v>#DIV/0!</v>
      </c>
    </row>
    <row r="962" spans="1:11" hidden="1" x14ac:dyDescent="0.25">
      <c r="A962" t="str" cm="1">
        <f t="array" ref="A962">IF(ISBLANK(INDEX(SampleList[GC],ROW()-1)),"Not Requested",INDEX(SampleList[Experiment ID],ROW()-1))</f>
        <v>Not Requested</v>
      </c>
      <c r="B962">
        <f>Sampling!E960</f>
        <v>0</v>
      </c>
      <c r="G962">
        <f t="shared" si="44"/>
        <v>3552.5</v>
      </c>
      <c r="H96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2">
        <f t="shared" ref="I962:I1000" si="45">25.88*145</f>
        <v>3752.6</v>
      </c>
      <c r="K962" t="e">
        <f t="shared" ref="K962:K1000" si="46">(500/D962)*J962</f>
        <v>#DIV/0!</v>
      </c>
    </row>
    <row r="963" spans="1:11" hidden="1" x14ac:dyDescent="0.25">
      <c r="A963" t="str" cm="1">
        <f t="array" ref="A963">IF(ISBLANK(INDEX(SampleList[GC],ROW()-1)),"Not Requested",INDEX(SampleList[Experiment ID],ROW()-1))</f>
        <v>Not Requested</v>
      </c>
      <c r="B963">
        <f>Sampling!E961</f>
        <v>0</v>
      </c>
      <c r="G963">
        <f t="shared" si="44"/>
        <v>3552.5</v>
      </c>
      <c r="H96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3">
        <f t="shared" si="45"/>
        <v>3752.6</v>
      </c>
      <c r="K963" t="e">
        <f t="shared" si="46"/>
        <v>#DIV/0!</v>
      </c>
    </row>
    <row r="964" spans="1:11" hidden="1" x14ac:dyDescent="0.25">
      <c r="A964" t="str" cm="1">
        <f t="array" ref="A964">IF(ISBLANK(INDEX(SampleList[GC],ROW()-1)),"Not Requested",INDEX(SampleList[Experiment ID],ROW()-1))</f>
        <v>Not Requested</v>
      </c>
      <c r="B964">
        <f>Sampling!E962</f>
        <v>0</v>
      </c>
      <c r="G964">
        <f t="shared" si="44"/>
        <v>3552.5</v>
      </c>
      <c r="H96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4">
        <f t="shared" si="45"/>
        <v>3752.6</v>
      </c>
      <c r="K964" t="e">
        <f t="shared" si="46"/>
        <v>#DIV/0!</v>
      </c>
    </row>
    <row r="965" spans="1:11" hidden="1" x14ac:dyDescent="0.25">
      <c r="A965" t="str" cm="1">
        <f t="array" ref="A965">IF(ISBLANK(INDEX(SampleList[GC],ROW()-1)),"Not Requested",INDEX(SampleList[Experiment ID],ROW()-1))</f>
        <v>Not Requested</v>
      </c>
      <c r="B965">
        <f>Sampling!E963</f>
        <v>0</v>
      </c>
      <c r="G965">
        <f t="shared" si="44"/>
        <v>3552.5</v>
      </c>
      <c r="H96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5">
        <f t="shared" si="45"/>
        <v>3752.6</v>
      </c>
      <c r="K965" t="e">
        <f t="shared" si="46"/>
        <v>#DIV/0!</v>
      </c>
    </row>
    <row r="966" spans="1:11" hidden="1" x14ac:dyDescent="0.25">
      <c r="A966" t="str" cm="1">
        <f t="array" ref="A966">IF(ISBLANK(INDEX(SampleList[GC],ROW()-1)),"Not Requested",INDEX(SampleList[Experiment ID],ROW()-1))</f>
        <v>Not Requested</v>
      </c>
      <c r="B966">
        <f>Sampling!E964</f>
        <v>0</v>
      </c>
      <c r="G966">
        <f t="shared" si="44"/>
        <v>3552.5</v>
      </c>
      <c r="H96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6">
        <f t="shared" si="45"/>
        <v>3752.6</v>
      </c>
      <c r="K966" t="e">
        <f t="shared" si="46"/>
        <v>#DIV/0!</v>
      </c>
    </row>
    <row r="967" spans="1:11" hidden="1" x14ac:dyDescent="0.25">
      <c r="A967" t="str" cm="1">
        <f t="array" ref="A967">IF(ISBLANK(INDEX(SampleList[GC],ROW()-1)),"Not Requested",INDEX(SampleList[Experiment ID],ROW()-1))</f>
        <v>Not Requested</v>
      </c>
      <c r="B967">
        <f>Sampling!E965</f>
        <v>0</v>
      </c>
      <c r="G967">
        <f t="shared" si="44"/>
        <v>3552.5</v>
      </c>
      <c r="H96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7">
        <f t="shared" si="45"/>
        <v>3752.6</v>
      </c>
      <c r="K967" t="e">
        <f t="shared" si="46"/>
        <v>#DIV/0!</v>
      </c>
    </row>
    <row r="968" spans="1:11" hidden="1" x14ac:dyDescent="0.25">
      <c r="A968" t="str" cm="1">
        <f t="array" ref="A968">IF(ISBLANK(INDEX(SampleList[GC],ROW()-1)),"Not Requested",INDEX(SampleList[Experiment ID],ROW()-1))</f>
        <v>Not Requested</v>
      </c>
      <c r="B968">
        <f>Sampling!E966</f>
        <v>0</v>
      </c>
      <c r="G968">
        <f t="shared" si="44"/>
        <v>3552.5</v>
      </c>
      <c r="H96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8">
        <f t="shared" si="45"/>
        <v>3752.6</v>
      </c>
      <c r="K968" t="e">
        <f t="shared" si="46"/>
        <v>#DIV/0!</v>
      </c>
    </row>
    <row r="969" spans="1:11" hidden="1" x14ac:dyDescent="0.25">
      <c r="A969" t="str" cm="1">
        <f t="array" ref="A969">IF(ISBLANK(INDEX(SampleList[GC],ROW()-1)),"Not Requested",INDEX(SampleList[Experiment ID],ROW()-1))</f>
        <v>Not Requested</v>
      </c>
      <c r="B969">
        <f>Sampling!E967</f>
        <v>0</v>
      </c>
      <c r="G969">
        <f t="shared" si="44"/>
        <v>3552.5</v>
      </c>
      <c r="H96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69">
        <f t="shared" si="45"/>
        <v>3752.6</v>
      </c>
      <c r="K969" t="e">
        <f t="shared" si="46"/>
        <v>#DIV/0!</v>
      </c>
    </row>
    <row r="970" spans="1:11" hidden="1" x14ac:dyDescent="0.25">
      <c r="A970" t="str" cm="1">
        <f t="array" ref="A970">IF(ISBLANK(INDEX(SampleList[GC],ROW()-1)),"Not Requested",INDEX(SampleList[Experiment ID],ROW()-1))</f>
        <v>Not Requested</v>
      </c>
      <c r="B970">
        <f>Sampling!E968</f>
        <v>0</v>
      </c>
      <c r="G970">
        <f t="shared" si="44"/>
        <v>3552.5</v>
      </c>
      <c r="H97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0">
        <f t="shared" si="45"/>
        <v>3752.6</v>
      </c>
      <c r="K970" t="e">
        <f t="shared" si="46"/>
        <v>#DIV/0!</v>
      </c>
    </row>
    <row r="971" spans="1:11" hidden="1" x14ac:dyDescent="0.25">
      <c r="A971" t="str" cm="1">
        <f t="array" ref="A971">IF(ISBLANK(INDEX(SampleList[GC],ROW()-1)),"Not Requested",INDEX(SampleList[Experiment ID],ROW()-1))</f>
        <v>Not Requested</v>
      </c>
      <c r="B971">
        <f>Sampling!E969</f>
        <v>0</v>
      </c>
      <c r="G971">
        <f t="shared" si="44"/>
        <v>3552.5</v>
      </c>
      <c r="H97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1">
        <f t="shared" si="45"/>
        <v>3752.6</v>
      </c>
      <c r="K971" t="e">
        <f t="shared" si="46"/>
        <v>#DIV/0!</v>
      </c>
    </row>
    <row r="972" spans="1:11" hidden="1" x14ac:dyDescent="0.25">
      <c r="A972" t="str" cm="1">
        <f t="array" ref="A972">IF(ISBLANK(INDEX(SampleList[GC],ROW()-1)),"Not Requested",INDEX(SampleList[Experiment ID],ROW()-1))</f>
        <v>Not Requested</v>
      </c>
      <c r="B972">
        <f>Sampling!E970</f>
        <v>0</v>
      </c>
      <c r="G972">
        <f t="shared" si="44"/>
        <v>3552.5</v>
      </c>
      <c r="H97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2">
        <f t="shared" si="45"/>
        <v>3752.6</v>
      </c>
      <c r="K972" t="e">
        <f t="shared" si="46"/>
        <v>#DIV/0!</v>
      </c>
    </row>
    <row r="973" spans="1:11" hidden="1" x14ac:dyDescent="0.25">
      <c r="A973" t="str" cm="1">
        <f t="array" ref="A973">IF(ISBLANK(INDEX(SampleList[GC],ROW()-1)),"Not Requested",INDEX(SampleList[Experiment ID],ROW()-1))</f>
        <v>Not Requested</v>
      </c>
      <c r="B973">
        <f>Sampling!E971</f>
        <v>0</v>
      </c>
      <c r="G973">
        <f t="shared" si="44"/>
        <v>3552.5</v>
      </c>
      <c r="H97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3">
        <f t="shared" si="45"/>
        <v>3752.6</v>
      </c>
      <c r="K973" t="e">
        <f t="shared" si="46"/>
        <v>#DIV/0!</v>
      </c>
    </row>
    <row r="974" spans="1:11" hidden="1" x14ac:dyDescent="0.25">
      <c r="A974" t="str" cm="1">
        <f t="array" ref="A974">IF(ISBLANK(INDEX(SampleList[GC],ROW()-1)),"Not Requested",INDEX(SampleList[Experiment ID],ROW()-1))</f>
        <v>Not Requested</v>
      </c>
      <c r="B974">
        <f>Sampling!E972</f>
        <v>0</v>
      </c>
      <c r="G974">
        <f t="shared" si="44"/>
        <v>3552.5</v>
      </c>
      <c r="H97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4">
        <f t="shared" si="45"/>
        <v>3752.6</v>
      </c>
      <c r="K974" t="e">
        <f t="shared" si="46"/>
        <v>#DIV/0!</v>
      </c>
    </row>
    <row r="975" spans="1:11" hidden="1" x14ac:dyDescent="0.25">
      <c r="A975" t="str" cm="1">
        <f t="array" ref="A975">IF(ISBLANK(INDEX(SampleList[GC],ROW()-1)),"Not Requested",INDEX(SampleList[Experiment ID],ROW()-1))</f>
        <v>Not Requested</v>
      </c>
      <c r="B975">
        <f>Sampling!E973</f>
        <v>0</v>
      </c>
      <c r="G975">
        <f t="shared" si="44"/>
        <v>3552.5</v>
      </c>
      <c r="H97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5">
        <f t="shared" si="45"/>
        <v>3752.6</v>
      </c>
      <c r="K975" t="e">
        <f t="shared" si="46"/>
        <v>#DIV/0!</v>
      </c>
    </row>
    <row r="976" spans="1:11" hidden="1" x14ac:dyDescent="0.25">
      <c r="A976" t="str" cm="1">
        <f t="array" ref="A976">IF(ISBLANK(INDEX(SampleList[GC],ROW()-1)),"Not Requested",INDEX(SampleList[Experiment ID],ROW()-1))</f>
        <v>Not Requested</v>
      </c>
      <c r="B976">
        <f>Sampling!E974</f>
        <v>0</v>
      </c>
      <c r="G976">
        <f t="shared" si="44"/>
        <v>3552.5</v>
      </c>
      <c r="H97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6">
        <f t="shared" si="45"/>
        <v>3752.6</v>
      </c>
      <c r="K976" t="e">
        <f t="shared" si="46"/>
        <v>#DIV/0!</v>
      </c>
    </row>
    <row r="977" spans="1:11" hidden="1" x14ac:dyDescent="0.25">
      <c r="A977" t="str" cm="1">
        <f t="array" ref="A977">IF(ISBLANK(INDEX(SampleList[GC],ROW()-1)),"Not Requested",INDEX(SampleList[Experiment ID],ROW()-1))</f>
        <v>Not Requested</v>
      </c>
      <c r="B977">
        <f>Sampling!E975</f>
        <v>0</v>
      </c>
      <c r="G977">
        <f t="shared" si="44"/>
        <v>3552.5</v>
      </c>
      <c r="H97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7">
        <f t="shared" si="45"/>
        <v>3752.6</v>
      </c>
      <c r="K977" t="e">
        <f t="shared" si="46"/>
        <v>#DIV/0!</v>
      </c>
    </row>
    <row r="978" spans="1:11" hidden="1" x14ac:dyDescent="0.25">
      <c r="A978" t="str" cm="1">
        <f t="array" ref="A978">IF(ISBLANK(INDEX(SampleList[GC],ROW()-1)),"Not Requested",INDEX(SampleList[Experiment ID],ROW()-1))</f>
        <v>Not Requested</v>
      </c>
      <c r="B978">
        <f>Sampling!E976</f>
        <v>0</v>
      </c>
      <c r="G978">
        <f t="shared" si="44"/>
        <v>3552.5</v>
      </c>
      <c r="H97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8">
        <f t="shared" si="45"/>
        <v>3752.6</v>
      </c>
      <c r="K978" t="e">
        <f t="shared" si="46"/>
        <v>#DIV/0!</v>
      </c>
    </row>
    <row r="979" spans="1:11" hidden="1" x14ac:dyDescent="0.25">
      <c r="A979" t="str" cm="1">
        <f t="array" ref="A979">IF(ISBLANK(INDEX(SampleList[GC],ROW()-1)),"Not Requested",INDEX(SampleList[Experiment ID],ROW()-1))</f>
        <v>Not Requested</v>
      </c>
      <c r="B979">
        <f>Sampling!E977</f>
        <v>0</v>
      </c>
      <c r="G979">
        <f t="shared" si="44"/>
        <v>3552.5</v>
      </c>
      <c r="H97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79">
        <f t="shared" si="45"/>
        <v>3752.6</v>
      </c>
      <c r="K979" t="e">
        <f t="shared" si="46"/>
        <v>#DIV/0!</v>
      </c>
    </row>
    <row r="980" spans="1:11" hidden="1" x14ac:dyDescent="0.25">
      <c r="A980" t="str" cm="1">
        <f t="array" ref="A980">IF(ISBLANK(INDEX(SampleList[GC],ROW()-1)),"Not Requested",INDEX(SampleList[Experiment ID],ROW()-1))</f>
        <v>Not Requested</v>
      </c>
      <c r="B980">
        <f>Sampling!E978</f>
        <v>0</v>
      </c>
      <c r="G980">
        <f t="shared" si="44"/>
        <v>3552.5</v>
      </c>
      <c r="H98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0">
        <f t="shared" si="45"/>
        <v>3752.6</v>
      </c>
      <c r="K980" t="e">
        <f t="shared" si="46"/>
        <v>#DIV/0!</v>
      </c>
    </row>
    <row r="981" spans="1:11" hidden="1" x14ac:dyDescent="0.25">
      <c r="A981" t="str" cm="1">
        <f t="array" ref="A981">IF(ISBLANK(INDEX(SampleList[GC],ROW()-1)),"Not Requested",INDEX(SampleList[Experiment ID],ROW()-1))</f>
        <v>Not Requested</v>
      </c>
      <c r="B981">
        <f>Sampling!E979</f>
        <v>0</v>
      </c>
      <c r="G981">
        <f t="shared" si="44"/>
        <v>3552.5</v>
      </c>
      <c r="H98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1">
        <f t="shared" si="45"/>
        <v>3752.6</v>
      </c>
      <c r="K981" t="e">
        <f t="shared" si="46"/>
        <v>#DIV/0!</v>
      </c>
    </row>
    <row r="982" spans="1:11" hidden="1" x14ac:dyDescent="0.25">
      <c r="A982" t="str" cm="1">
        <f t="array" ref="A982">IF(ISBLANK(INDEX(SampleList[GC],ROW()-1)),"Not Requested",INDEX(SampleList[Experiment ID],ROW()-1))</f>
        <v>Not Requested</v>
      </c>
      <c r="B982">
        <f>Sampling!E980</f>
        <v>0</v>
      </c>
      <c r="G982">
        <f t="shared" si="44"/>
        <v>3552.5</v>
      </c>
      <c r="H98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2">
        <f t="shared" si="45"/>
        <v>3752.6</v>
      </c>
      <c r="K982" t="e">
        <f t="shared" si="46"/>
        <v>#DIV/0!</v>
      </c>
    </row>
    <row r="983" spans="1:11" hidden="1" x14ac:dyDescent="0.25">
      <c r="A983" t="str" cm="1">
        <f t="array" ref="A983">IF(ISBLANK(INDEX(SampleList[GC],ROW()-1)),"Not Requested",INDEX(SampleList[Experiment ID],ROW()-1))</f>
        <v>Not Requested</v>
      </c>
      <c r="B983">
        <f>Sampling!E981</f>
        <v>0</v>
      </c>
      <c r="G983">
        <f t="shared" si="44"/>
        <v>3552.5</v>
      </c>
      <c r="H98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3">
        <f t="shared" si="45"/>
        <v>3752.6</v>
      </c>
      <c r="K983" t="e">
        <f t="shared" si="46"/>
        <v>#DIV/0!</v>
      </c>
    </row>
    <row r="984" spans="1:11" hidden="1" x14ac:dyDescent="0.25">
      <c r="A984" t="str" cm="1">
        <f t="array" ref="A984">IF(ISBLANK(INDEX(SampleList[GC],ROW()-1)),"Not Requested",INDEX(SampleList[Experiment ID],ROW()-1))</f>
        <v>Not Requested</v>
      </c>
      <c r="B984">
        <f>Sampling!E982</f>
        <v>0</v>
      </c>
      <c r="G984">
        <f t="shared" si="44"/>
        <v>3552.5</v>
      </c>
      <c r="H98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4">
        <f t="shared" si="45"/>
        <v>3752.6</v>
      </c>
      <c r="K984" t="e">
        <f t="shared" si="46"/>
        <v>#DIV/0!</v>
      </c>
    </row>
    <row r="985" spans="1:11" hidden="1" x14ac:dyDescent="0.25">
      <c r="A985" t="str" cm="1">
        <f t="array" ref="A985">IF(ISBLANK(INDEX(SampleList[GC],ROW()-1)),"Not Requested",INDEX(SampleList[Experiment ID],ROW()-1))</f>
        <v>Not Requested</v>
      </c>
      <c r="B985">
        <f>Sampling!E983</f>
        <v>0</v>
      </c>
      <c r="G985">
        <f t="shared" si="44"/>
        <v>3552.5</v>
      </c>
      <c r="H98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5">
        <f t="shared" si="45"/>
        <v>3752.6</v>
      </c>
      <c r="K985" t="e">
        <f t="shared" si="46"/>
        <v>#DIV/0!</v>
      </c>
    </row>
    <row r="986" spans="1:11" hidden="1" x14ac:dyDescent="0.25">
      <c r="A986" t="str" cm="1">
        <f t="array" ref="A986">IF(ISBLANK(INDEX(SampleList[GC],ROW()-1)),"Not Requested",INDEX(SampleList[Experiment ID],ROW()-1))</f>
        <v>Not Requested</v>
      </c>
      <c r="B986">
        <f>Sampling!E984</f>
        <v>0</v>
      </c>
      <c r="G986">
        <f t="shared" si="44"/>
        <v>3552.5</v>
      </c>
      <c r="H98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6">
        <f t="shared" si="45"/>
        <v>3752.6</v>
      </c>
      <c r="K986" t="e">
        <f t="shared" si="46"/>
        <v>#DIV/0!</v>
      </c>
    </row>
    <row r="987" spans="1:11" hidden="1" x14ac:dyDescent="0.25">
      <c r="A987" t="str" cm="1">
        <f t="array" ref="A987">IF(ISBLANK(INDEX(SampleList[GC],ROW()-1)),"Not Requested",INDEX(SampleList[Experiment ID],ROW()-1))</f>
        <v>Not Requested</v>
      </c>
      <c r="B987">
        <f>Sampling!E985</f>
        <v>0</v>
      </c>
      <c r="G987">
        <f t="shared" si="44"/>
        <v>3552.5</v>
      </c>
      <c r="H98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7">
        <f t="shared" si="45"/>
        <v>3752.6</v>
      </c>
      <c r="K987" t="e">
        <f t="shared" si="46"/>
        <v>#DIV/0!</v>
      </c>
    </row>
    <row r="988" spans="1:11" hidden="1" x14ac:dyDescent="0.25">
      <c r="A988" t="str" cm="1">
        <f t="array" ref="A988">IF(ISBLANK(INDEX(SampleList[GC],ROW()-1)),"Not Requested",INDEX(SampleList[Experiment ID],ROW()-1))</f>
        <v>Not Requested</v>
      </c>
      <c r="B988">
        <f>Sampling!E986</f>
        <v>0</v>
      </c>
      <c r="G988">
        <f t="shared" si="44"/>
        <v>3552.5</v>
      </c>
      <c r="H98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8">
        <f t="shared" si="45"/>
        <v>3752.6</v>
      </c>
      <c r="K988" t="e">
        <f t="shared" si="46"/>
        <v>#DIV/0!</v>
      </c>
    </row>
    <row r="989" spans="1:11" hidden="1" x14ac:dyDescent="0.25">
      <c r="A989" t="str" cm="1">
        <f t="array" ref="A989">IF(ISBLANK(INDEX(SampleList[GC],ROW()-1)),"Not Requested",INDEX(SampleList[Experiment ID],ROW()-1))</f>
        <v>Not Requested</v>
      </c>
      <c r="B989">
        <f>Sampling!E987</f>
        <v>0</v>
      </c>
      <c r="G989">
        <f t="shared" si="44"/>
        <v>3552.5</v>
      </c>
      <c r="H98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89">
        <f t="shared" si="45"/>
        <v>3752.6</v>
      </c>
      <c r="K989" t="e">
        <f t="shared" si="46"/>
        <v>#DIV/0!</v>
      </c>
    </row>
    <row r="990" spans="1:11" hidden="1" x14ac:dyDescent="0.25">
      <c r="A990" t="str" cm="1">
        <f t="array" ref="A990">IF(ISBLANK(INDEX(SampleList[GC],ROW()-1)),"Not Requested",INDEX(SampleList[Experiment ID],ROW()-1))</f>
        <v>Not Requested</v>
      </c>
      <c r="B990">
        <f>Sampling!E988</f>
        <v>0</v>
      </c>
      <c r="G990">
        <f t="shared" si="44"/>
        <v>3552.5</v>
      </c>
      <c r="H99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0">
        <f t="shared" si="45"/>
        <v>3752.6</v>
      </c>
      <c r="K990" t="e">
        <f t="shared" si="46"/>
        <v>#DIV/0!</v>
      </c>
    </row>
    <row r="991" spans="1:11" hidden="1" x14ac:dyDescent="0.25">
      <c r="A991" t="str" cm="1">
        <f t="array" ref="A991">IF(ISBLANK(INDEX(SampleList[GC],ROW()-1)),"Not Requested",INDEX(SampleList[Experiment ID],ROW()-1))</f>
        <v>Not Requested</v>
      </c>
      <c r="B991">
        <f>Sampling!E989</f>
        <v>0</v>
      </c>
      <c r="G991">
        <f t="shared" si="44"/>
        <v>3552.5</v>
      </c>
      <c r="H991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1">
        <f t="shared" si="45"/>
        <v>3752.6</v>
      </c>
      <c r="K991" t="e">
        <f t="shared" si="46"/>
        <v>#DIV/0!</v>
      </c>
    </row>
    <row r="992" spans="1:11" hidden="1" x14ac:dyDescent="0.25">
      <c r="A992" t="str" cm="1">
        <f t="array" ref="A992">IF(ISBLANK(INDEX(SampleList[GC],ROW()-1)),"Not Requested",INDEX(SampleList[Experiment ID],ROW()-1))</f>
        <v>Not Requested</v>
      </c>
      <c r="B992">
        <f>Sampling!E990</f>
        <v>0</v>
      </c>
      <c r="G992">
        <f t="shared" si="44"/>
        <v>3552.5</v>
      </c>
      <c r="H992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2">
        <f t="shared" si="45"/>
        <v>3752.6</v>
      </c>
      <c r="K992" t="e">
        <f t="shared" si="46"/>
        <v>#DIV/0!</v>
      </c>
    </row>
    <row r="993" spans="1:11" hidden="1" x14ac:dyDescent="0.25">
      <c r="A993" t="str" cm="1">
        <f t="array" ref="A993">IF(ISBLANK(INDEX(SampleList[GC],ROW()-1)),"Not Requested",INDEX(SampleList[Experiment ID],ROW()-1))</f>
        <v>Not Requested</v>
      </c>
      <c r="B993">
        <f>Sampling!E991</f>
        <v>0</v>
      </c>
      <c r="G993">
        <f t="shared" ref="G993:G1000" si="47">24.5*145</f>
        <v>3552.5</v>
      </c>
      <c r="H993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3">
        <f t="shared" si="45"/>
        <v>3752.6</v>
      </c>
      <c r="K993" t="e">
        <f t="shared" si="46"/>
        <v>#DIV/0!</v>
      </c>
    </row>
    <row r="994" spans="1:11" hidden="1" x14ac:dyDescent="0.25">
      <c r="A994" t="str" cm="1">
        <f t="array" ref="A994">IF(ISBLANK(INDEX(SampleList[GC],ROW()-1)),"Not Requested",INDEX(SampleList[Experiment ID],ROW()-1))</f>
        <v>Not Requested</v>
      </c>
      <c r="B994">
        <f>Sampling!E992</f>
        <v>0</v>
      </c>
      <c r="G994">
        <f t="shared" si="47"/>
        <v>3552.5</v>
      </c>
      <c r="H994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4">
        <f t="shared" si="45"/>
        <v>3752.6</v>
      </c>
      <c r="K994" t="e">
        <f t="shared" si="46"/>
        <v>#DIV/0!</v>
      </c>
    </row>
    <row r="995" spans="1:11" hidden="1" x14ac:dyDescent="0.25">
      <c r="A995" t="str" cm="1">
        <f t="array" ref="A995">IF(ISBLANK(INDEX(SampleList[GC],ROW()-1)),"Not Requested",INDEX(SampleList[Experiment ID],ROW()-1))</f>
        <v>Not Requested</v>
      </c>
      <c r="B995">
        <f>Sampling!E993</f>
        <v>0</v>
      </c>
      <c r="G995">
        <f t="shared" si="47"/>
        <v>3552.5</v>
      </c>
      <c r="H995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5">
        <f t="shared" si="45"/>
        <v>3752.6</v>
      </c>
      <c r="K995" t="e">
        <f t="shared" si="46"/>
        <v>#DIV/0!</v>
      </c>
    </row>
    <row r="996" spans="1:11" hidden="1" x14ac:dyDescent="0.25">
      <c r="A996" t="str" cm="1">
        <f t="array" ref="A996">IF(ISBLANK(INDEX(SampleList[GC],ROW()-1)),"Not Requested",INDEX(SampleList[Experiment ID],ROW()-1))</f>
        <v>Not Requested</v>
      </c>
      <c r="B996">
        <f>Sampling!E994</f>
        <v>0</v>
      </c>
      <c r="G996">
        <f t="shared" si="47"/>
        <v>3552.5</v>
      </c>
      <c r="H996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6">
        <f t="shared" si="45"/>
        <v>3752.6</v>
      </c>
      <c r="K996" t="e">
        <f t="shared" si="46"/>
        <v>#DIV/0!</v>
      </c>
    </row>
    <row r="997" spans="1:11" hidden="1" x14ac:dyDescent="0.25">
      <c r="A997" t="str" cm="1">
        <f t="array" ref="A997">IF(ISBLANK(INDEX(SampleList[GC],ROW()-1)),"Not Requested",INDEX(SampleList[Experiment ID],ROW()-1))</f>
        <v>Not Requested</v>
      </c>
      <c r="B997">
        <f>Sampling!E995</f>
        <v>0</v>
      </c>
      <c r="G997">
        <f t="shared" si="47"/>
        <v>3552.5</v>
      </c>
      <c r="H997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7">
        <f t="shared" si="45"/>
        <v>3752.6</v>
      </c>
      <c r="K997" t="e">
        <f t="shared" si="46"/>
        <v>#DIV/0!</v>
      </c>
    </row>
    <row r="998" spans="1:11" hidden="1" x14ac:dyDescent="0.25">
      <c r="A998" t="str" cm="1">
        <f t="array" ref="A998">IF(ISBLANK(INDEX(SampleList[GC],ROW()-1)),"Not Requested",INDEX(SampleList[Experiment ID],ROW()-1))</f>
        <v>Not Requested</v>
      </c>
      <c r="B998">
        <f>Sampling!E996</f>
        <v>0</v>
      </c>
      <c r="G998">
        <f t="shared" si="47"/>
        <v>3552.5</v>
      </c>
      <c r="H998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I998">
        <f t="shared" si="45"/>
        <v>3752.6</v>
      </c>
      <c r="K998" t="e">
        <f t="shared" si="46"/>
        <v>#DIV/0!</v>
      </c>
    </row>
    <row r="999" spans="1:11" x14ac:dyDescent="0.25">
      <c r="A999" t="e" cm="1">
        <f t="array" ref="A999">IF(ISBLANK(INDEX(SampleList[GC],ROW()-1)),"Not Requested",INDEX(SampleList[Experiment ID],ROW()-1))</f>
        <v>#REF!</v>
      </c>
      <c r="B999" t="e">
        <f>SampleList[[#This Row],[Duration (Days)]]</f>
        <v>#VALUE!</v>
      </c>
      <c r="H999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999" t="e">
        <f t="shared" si="46"/>
        <v>#DIV/0!</v>
      </c>
    </row>
    <row r="1000" spans="1:11" x14ac:dyDescent="0.25">
      <c r="A1000" t="e" cm="1">
        <f t="array" ref="A1000">IF(ISBLANK(INDEX(SampleList[GC],ROW()-1)),"Not Requested",INDEX(SampleList[Experiment ID],ROW()-1))</f>
        <v>#REF!</v>
      </c>
      <c r="B1000" t="e">
        <f>SampleList[[#This Row],[Duration (Days)]]</f>
        <v>#VALUE!</v>
      </c>
      <c r="H1000" t="str">
        <f>IF(ISBLANK(GCResults[[#This Row],[Full Loop Peak Area, Sample Gas, 20mL Injection]]),"",(500/GCResults[[#This Row],[Full Loop Calibration Peak Area, 500ppm H2 Standard 20mL Injection]])*GCResults[[#This Row],[Full Loop Peak Area, Sample Gas, 20mL Injection]])</f>
        <v/>
      </c>
      <c r="K1000" t="e">
        <f t="shared" si="46"/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1EF0-9227-4B7B-A899-2DBD895D893F}">
  <sheetPr>
    <tabColor theme="7" tint="0.39997558519241921"/>
  </sheetPr>
  <dimension ref="A1:H1000"/>
  <sheetViews>
    <sheetView workbookViewId="0">
      <selection activeCell="C1005" sqref="C1005"/>
    </sheetView>
  </sheetViews>
  <sheetFormatPr defaultRowHeight="15" x14ac:dyDescent="0.25"/>
  <cols>
    <col min="1" max="1" width="16.28515625" customWidth="1"/>
    <col min="2" max="2" width="16" customWidth="1"/>
    <col min="3" max="3" width="14.7109375" customWidth="1"/>
    <col min="4" max="4" width="13" customWidth="1"/>
    <col min="5" max="5" width="21.42578125" bestFit="1" customWidth="1"/>
    <col min="7" max="7" width="16.7109375" customWidth="1"/>
  </cols>
  <sheetData>
    <row r="1" spans="1:8" s="5" customFormat="1" x14ac:dyDescent="0.25">
      <c r="A1" s="3" t="s">
        <v>0</v>
      </c>
      <c r="B1" s="3" t="s">
        <v>3</v>
      </c>
      <c r="C1" s="5" t="s">
        <v>31</v>
      </c>
      <c r="D1" s="5" t="s">
        <v>39</v>
      </c>
      <c r="E1" s="5" t="s">
        <v>42</v>
      </c>
      <c r="F1" s="5" t="s">
        <v>104</v>
      </c>
      <c r="G1" s="5" t="s">
        <v>105</v>
      </c>
      <c r="H1" s="5" t="s">
        <v>102</v>
      </c>
    </row>
    <row r="2" spans="1:8" x14ac:dyDescent="0.25">
      <c r="A2" t="str" cm="1">
        <f t="array" ref="A2">IF(ISBLANK(INDEX(SampleList[ICP],ROW()-1)),"Not Requested",INDEX(SampleList[Experiment ID],ROW()-1))</f>
        <v>HPHT_097</v>
      </c>
      <c r="B2">
        <f>SampleList[[#This Row],[Duration (Days)]]</f>
        <v>1</v>
      </c>
      <c r="C2" s="1">
        <v>46098</v>
      </c>
      <c r="D2">
        <v>20</v>
      </c>
      <c r="E2" t="str">
        <f>ICPList[[#This Row],[Experiment ID]]&amp;"_Day"&amp;ICPList[[#This Row],[Duration (Days)]]&amp;"_"&amp;ICPList[[#This Row],[Dilution]]&amp;"x"</f>
        <v>HPHT_097_Day1_20x</v>
      </c>
      <c r="F2">
        <f>NMRResults[[#This Row],['#]]</f>
        <v>0</v>
      </c>
      <c r="G2" s="1"/>
    </row>
    <row r="3" spans="1:8" x14ac:dyDescent="0.25">
      <c r="A3" t="str" cm="1">
        <f t="array" ref="A3">IF(ISBLANK(INDEX(SampleList[ICP],ROW()-1)),"Not Requested",INDEX(SampleList[Experiment ID],ROW()-1))</f>
        <v>HPHT_070</v>
      </c>
      <c r="B3">
        <f>SampleList[[#This Row],[Duration (Days)]]</f>
        <v>60</v>
      </c>
      <c r="C3" s="1">
        <v>46098</v>
      </c>
      <c r="D3">
        <v>20</v>
      </c>
      <c r="E3" t="str">
        <f>ICPList[[#This Row],[Experiment ID]]&amp;"_Day"&amp;ICPList[[#This Row],[Duration (Days)]]&amp;"_"&amp;ICPList[[#This Row],[Dilution]]&amp;"x"</f>
        <v>HPHT_070_Day60_20x</v>
      </c>
      <c r="F3">
        <f>NMRResults[[#This Row],['#]]</f>
        <v>0</v>
      </c>
      <c r="G3" s="1"/>
    </row>
    <row r="4" spans="1:8" x14ac:dyDescent="0.25">
      <c r="A4" t="str" cm="1">
        <f t="array" ref="A4">IF(ISBLANK(INDEX(SampleList[ICP],ROW()-1)),"Not Requested",INDEX(SampleList[Experiment ID],ROW()-1))</f>
        <v>HPHT_089</v>
      </c>
      <c r="B4">
        <f>SampleList[[#This Row],[Duration (Days)]]</f>
        <v>0</v>
      </c>
      <c r="C4" s="1">
        <v>46098</v>
      </c>
      <c r="D4">
        <v>20</v>
      </c>
      <c r="E4" t="str">
        <f>ICPList[[#This Row],[Experiment ID]]&amp;"_Day"&amp;ICPList[[#This Row],[Duration (Days)]]&amp;"_"&amp;ICPList[[#This Row],[Dilution]]&amp;"x"</f>
        <v>HPHT_089_Day0_20x</v>
      </c>
      <c r="F4">
        <f>NMRResults[[#This Row],['#]]</f>
        <v>0</v>
      </c>
      <c r="G4" s="1"/>
    </row>
    <row r="5" spans="1:8" hidden="1" x14ac:dyDescent="0.25">
      <c r="A5" t="str" cm="1">
        <f t="array" ref="A5">IF(ISBLANK(INDEX(SampleList[ICP],ROW()-1)),"Not Requested",INDEX(SampleList[Experiment ID],ROW()-1))</f>
        <v>Not Requested</v>
      </c>
      <c r="B5">
        <f>Sampling!E5</f>
        <v>0</v>
      </c>
      <c r="C5" s="1"/>
      <c r="E5" t="str">
        <f>ICPList[[#This Row],[Experiment ID]]&amp;"_Day"&amp;ICPList[[#This Row],[Duration (Days)]]&amp;"_"&amp;ICPList[[#This Row],[Dilution]]&amp;"x"</f>
        <v>Not Requested_Day0_x</v>
      </c>
      <c r="F5">
        <f>NMRResults[[#This Row],['#]]</f>
        <v>0</v>
      </c>
      <c r="G5" s="1">
        <f>NMRResults[[#This Row],[Date Run]]</f>
        <v>46097</v>
      </c>
    </row>
    <row r="6" spans="1:8" hidden="1" x14ac:dyDescent="0.25">
      <c r="A6" t="str" cm="1">
        <f t="array" ref="A6">IF(ISBLANK(INDEX(SampleList[ICP],ROW()-1)),"Not Requested",INDEX(SampleList[Experiment ID],ROW()-1))</f>
        <v>Not Requested</v>
      </c>
      <c r="B6">
        <f>Sampling!E6</f>
        <v>3</v>
      </c>
      <c r="C6" s="1"/>
      <c r="E6" t="str">
        <f>ICPList[[#This Row],[Experiment ID]]&amp;"_Day"&amp;ICPList[[#This Row],[Duration (Days)]]&amp;"_"&amp;ICPList[[#This Row],[Dilution]]&amp;"x"</f>
        <v>Not Requested_Day3_x</v>
      </c>
      <c r="F6">
        <f>NMRResults[[#This Row],['#]]</f>
        <v>0</v>
      </c>
      <c r="G6" s="1">
        <f>NMRResults[[#This Row],[Date Run]]</f>
        <v>46097</v>
      </c>
    </row>
    <row r="7" spans="1:8" hidden="1" x14ac:dyDescent="0.25">
      <c r="A7" t="str" cm="1">
        <f t="array" ref="A7">IF(ISBLANK(INDEX(SampleList[ICP],ROW()-1)),"Not Requested",INDEX(SampleList[Experiment ID],ROW()-1))</f>
        <v>Not Requested</v>
      </c>
      <c r="B7">
        <f>Sampling!E7</f>
        <v>0</v>
      </c>
      <c r="C7" s="1"/>
      <c r="E7" t="str">
        <f>ICPList[[#This Row],[Experiment ID]]&amp;"_Day"&amp;ICPList[[#This Row],[Duration (Days)]]&amp;"_"&amp;ICPList[[#This Row],[Dilution]]&amp;"x"</f>
        <v>Not Requested_Day0_x</v>
      </c>
      <c r="F7">
        <f>NMRResults[[#This Row],['#]]</f>
        <v>0</v>
      </c>
      <c r="G7" s="1">
        <f>NMRResults[[#This Row],[Date Run]]</f>
        <v>46097</v>
      </c>
    </row>
    <row r="8" spans="1:8" x14ac:dyDescent="0.25">
      <c r="A8" t="str" cm="1">
        <f t="array" ref="A8">IF(ISBLANK(INDEX(SampleList[ICP],ROW()-1)),"Not Requested",INDEX(SampleList[Experiment ID],ROW()-1))</f>
        <v>HPHT_101</v>
      </c>
      <c r="B8">
        <f>SampleList[[#This Row],[Duration (Days)]]</f>
        <v>3</v>
      </c>
      <c r="C8" s="1">
        <v>46098</v>
      </c>
      <c r="D8">
        <v>20</v>
      </c>
      <c r="E8" t="str">
        <f>ICPList[[#This Row],[Experiment ID]]&amp;"_Day"&amp;ICPList[[#This Row],[Duration (Days)]]&amp;"_"&amp;ICPList[[#This Row],[Dilution]]&amp;"x"</f>
        <v>HPHT_101_Day3_20x</v>
      </c>
      <c r="F8">
        <f>NMRResults[[#This Row],['#]]</f>
        <v>0</v>
      </c>
      <c r="G8" s="1"/>
    </row>
    <row r="9" spans="1:8" x14ac:dyDescent="0.25">
      <c r="A9" t="str" cm="1">
        <f t="array" ref="A9">IF(ISBLANK(INDEX(SampleList[ICP],ROW()-1)),"Not Requested",INDEX(SampleList[Experiment ID],ROW()-1))</f>
        <v>HPHT_102</v>
      </c>
      <c r="B9">
        <f>SampleList[[#This Row],[Duration (Days)]]</f>
        <v>3</v>
      </c>
      <c r="C9" s="1">
        <v>46098</v>
      </c>
      <c r="D9">
        <v>20</v>
      </c>
      <c r="E9" t="str">
        <f>ICPList[[#This Row],[Experiment ID]]&amp;"_Day"&amp;ICPList[[#This Row],[Duration (Days)]]&amp;"_"&amp;ICPList[[#This Row],[Dilution]]&amp;"x"</f>
        <v>HPHT_102_Day3_20x</v>
      </c>
      <c r="F9">
        <f>NMRResults[[#This Row],['#]]</f>
        <v>0</v>
      </c>
      <c r="G9" s="1"/>
    </row>
    <row r="10" spans="1:8" hidden="1" x14ac:dyDescent="0.25">
      <c r="A10" t="str" cm="1">
        <f t="array" ref="A10">IF(ISBLANK(INDEX(SampleList[ICP],ROW()-1)),"Not Requested",INDEX(SampleList[Experiment ID],ROW()-1))</f>
        <v>Not Requested</v>
      </c>
      <c r="B10">
        <f>Sampling!E9</f>
        <v>3</v>
      </c>
      <c r="C10" s="1"/>
      <c r="E10" t="str">
        <f>ICPList[[#This Row],[Experiment ID]]&amp;"_Day"&amp;ICPList[[#This Row],[Duration (Days)]]&amp;"_"&amp;ICPList[[#This Row],[Dilution]]&amp;"x"</f>
        <v>Not Requested_Day3_x</v>
      </c>
      <c r="F10">
        <f>NMRResults[[#This Row],['#]]</f>
        <v>0</v>
      </c>
      <c r="G10" s="1">
        <f>NMRResults[[#This Row],[Date Run]]</f>
        <v>46097</v>
      </c>
    </row>
    <row r="11" spans="1:8" x14ac:dyDescent="0.25">
      <c r="A11" t="str" cm="1">
        <f t="array" ref="A11">IF(ISBLANK(INDEX(SampleList[ICP],ROW()-1)),"Not Requested",INDEX(SampleList[Experiment ID],ROW()-1))</f>
        <v>HPHT_097</v>
      </c>
      <c r="B11">
        <f>SampleList[[#This Row],[Duration (Days)]]</f>
        <v>4</v>
      </c>
      <c r="C11" s="1">
        <v>46098</v>
      </c>
      <c r="D11">
        <v>20</v>
      </c>
      <c r="E11" t="str">
        <f>ICPList[[#This Row],[Experiment ID]]&amp;"_Day"&amp;ICPList[[#This Row],[Duration (Days)]]&amp;"_"&amp;ICPList[[#This Row],[Dilution]]&amp;"x"</f>
        <v>HPHT_097_Day4_20x</v>
      </c>
      <c r="F11">
        <f>NMRResults[[#This Row],['#]]</f>
        <v>0</v>
      </c>
      <c r="G11" s="1"/>
    </row>
    <row r="12" spans="1:8" hidden="1" x14ac:dyDescent="0.25">
      <c r="A12" t="str" cm="1">
        <f t="array" ref="A12">IF(ISBLANK(INDEX(SampleList[ICP],ROW()-1)),"Not Requested",INDEX(SampleList[Experiment ID],ROW()-1))</f>
        <v>Not Requested</v>
      </c>
      <c r="B12">
        <f>Sampling!E11</f>
        <v>4</v>
      </c>
      <c r="E12" t="str">
        <f>ICPList[[#This Row],[Experiment ID]]&amp;"_Day"&amp;ICPList[[#This Row],[Duration (Days)]]&amp;"_"&amp;ICPList[[#This Row],[Dilution]]&amp;"x"</f>
        <v>Not Requested_Day4_x</v>
      </c>
      <c r="F12">
        <f>NMRResults[[#This Row],['#]]</f>
        <v>0</v>
      </c>
      <c r="G12" s="1">
        <f>NMRResults[[#This Row],[Date Run]]</f>
        <v>46097</v>
      </c>
    </row>
    <row r="13" spans="1:8" x14ac:dyDescent="0.25">
      <c r="A13" t="str" cm="1">
        <f t="array" ref="A13">IF(ISBLANK(INDEX(SampleList[ICP],ROW()-1)),"Not Requested",INDEX(SampleList[Experiment ID],ROW()-1))</f>
        <v>HPHT_096</v>
      </c>
      <c r="B13">
        <f>SampleList[[#This Row],[Duration (Days)]]</f>
        <v>10</v>
      </c>
      <c r="C13" s="1"/>
      <c r="D13">
        <v>20</v>
      </c>
      <c r="E13" t="str">
        <f>ICPList[[#This Row],[Experiment ID]]&amp;"_Day"&amp;ICPList[[#This Row],[Duration (Days)]]&amp;"_"&amp;ICPList[[#This Row],[Dilution]]&amp;"x"</f>
        <v>HPHT_096_Day10_20x</v>
      </c>
      <c r="F13">
        <f>NMRResults[[#This Row],['#]]</f>
        <v>0</v>
      </c>
      <c r="G13" s="1"/>
    </row>
    <row r="14" spans="1:8" hidden="1" x14ac:dyDescent="0.25">
      <c r="A14" t="str" cm="1">
        <f t="array" ref="A14">IF(ISBLANK(INDEX(SampleList[ICP],ROW()-1)),"Not Requested",INDEX(SampleList[Experiment ID],ROW()-1))</f>
        <v>HPHT_079</v>
      </c>
      <c r="B14">
        <v>29</v>
      </c>
      <c r="C14" s="1">
        <v>46098</v>
      </c>
      <c r="D14">
        <v>20</v>
      </c>
      <c r="E14" t="str">
        <f>ICPList[[#This Row],[Experiment ID]]&amp;"_Day"&amp;ICPList[[#This Row],[Duration (Days)]]&amp;"_"&amp;ICPList[[#This Row],[Dilution]]&amp;"x"</f>
        <v>HPHT_079_Day29_20x</v>
      </c>
      <c r="F14" t="s">
        <v>106</v>
      </c>
      <c r="G14" s="1"/>
    </row>
    <row r="15" spans="1:8" x14ac:dyDescent="0.25">
      <c r="A15" t="str" cm="1">
        <f t="array" ref="A15">IF(ISBLANK(INDEX(SampleList[ICP],ROW()-1)),"Not Requested",INDEX(SampleList[Experiment ID],ROW()-1))</f>
        <v>HPHT_097</v>
      </c>
      <c r="B15">
        <f>SampleList[[#This Row],[Duration (Days)]]</f>
        <v>6</v>
      </c>
      <c r="C15" s="1"/>
      <c r="D15">
        <v>20</v>
      </c>
      <c r="E15" t="str">
        <f>ICPList[[#This Row],[Experiment ID]]&amp;"_Day"&amp;ICPList[[#This Row],[Duration (Days)]]&amp;"_"&amp;ICPList[[#This Row],[Dilution]]&amp;"x"</f>
        <v>HPHT_097_Day6_20x</v>
      </c>
      <c r="F15">
        <f>NMRResults[[#This Row],['#]]</f>
        <v>0</v>
      </c>
      <c r="G15" s="1"/>
    </row>
    <row r="16" spans="1:8" hidden="1" x14ac:dyDescent="0.25">
      <c r="A16" t="str" cm="1">
        <f t="array" ref="A16">IF(ISBLANK(INDEX(SampleList[ICP],ROW()-1)),"Not Requested",INDEX(SampleList[Experiment ID],ROW()-1))</f>
        <v xml:space="preserve">HPHT_087 </v>
      </c>
      <c r="B16">
        <f>Sampling!E16</f>
        <v>6</v>
      </c>
      <c r="C16" s="1">
        <v>46098</v>
      </c>
      <c r="D16">
        <v>20</v>
      </c>
      <c r="E16" t="str">
        <f>ICPList[[#This Row],[Experiment ID]]&amp;"_Day"&amp;ICPList[[#This Row],[Duration (Days)]]&amp;"_"&amp;ICPList[[#This Row],[Dilution]]&amp;"x"</f>
        <v>HPHT_087 _Day6_20x</v>
      </c>
      <c r="F16">
        <v>1</v>
      </c>
      <c r="G16" s="1">
        <v>46080</v>
      </c>
    </row>
    <row r="17" spans="1:8" x14ac:dyDescent="0.25">
      <c r="A17" t="str" cm="1">
        <f t="array" ref="A17">IF(ISBLANK(INDEX(SampleList[ICP],ROW()-1)),"Not Requested",INDEX(SampleList[Experiment ID],ROW()-1))</f>
        <v>HPHT_070</v>
      </c>
      <c r="B17">
        <f>SampleList[[#This Row],[Duration (Days)]]</f>
        <v>46</v>
      </c>
      <c r="C17" s="1">
        <v>46098</v>
      </c>
      <c r="D17">
        <v>20</v>
      </c>
      <c r="E17" t="str">
        <f>ICPList[[#This Row],[Experiment ID]]&amp;"_Day"&amp;ICPList[[#This Row],[Duration (Days)]]&amp;"_"&amp;ICPList[[#This Row],[Dilution]]&amp;"x"</f>
        <v>HPHT_070_Day46_20x</v>
      </c>
      <c r="F17">
        <v>2</v>
      </c>
      <c r="G17" s="1">
        <v>46080</v>
      </c>
    </row>
    <row r="18" spans="1:8" hidden="1" x14ac:dyDescent="0.25">
      <c r="A18" t="str" cm="1">
        <f t="array" ref="A18">IF(ISBLANK(INDEX(SampleList[ICP],ROW()-1)),"Not Requested",INDEX(SampleList[Experiment ID],ROW()-1))</f>
        <v>HPHT_071-2</v>
      </c>
      <c r="B18">
        <f>Sampling!E18</f>
        <v>18</v>
      </c>
      <c r="C18" s="1">
        <v>46098</v>
      </c>
      <c r="D18">
        <v>20</v>
      </c>
      <c r="E18" t="str">
        <f>ICPList[[#This Row],[Experiment ID]]&amp;"_Day"&amp;ICPList[[#This Row],[Duration (Days)]]&amp;"_"&amp;ICPList[[#This Row],[Dilution]]&amp;"x"</f>
        <v>HPHT_071-2_Day18_20x</v>
      </c>
      <c r="F18">
        <v>3</v>
      </c>
      <c r="G18" s="1">
        <v>46080</v>
      </c>
    </row>
    <row r="19" spans="1:8" hidden="1" x14ac:dyDescent="0.25">
      <c r="A19" t="str" cm="1">
        <f t="array" ref="A19">IF(ISBLANK(INDEX(SampleList[ICP],ROW()-1)),"Not Requested",INDEX(SampleList[Experiment ID],ROW()-1))</f>
        <v>Not Requested</v>
      </c>
      <c r="B19">
        <f>Sampling!E19</f>
        <v>22</v>
      </c>
      <c r="C19" s="1"/>
      <c r="D19">
        <v>20</v>
      </c>
      <c r="E19" t="str">
        <f>ICPList[[#This Row],[Experiment ID]]&amp;"_Day"&amp;ICPList[[#This Row],[Duration (Days)]]&amp;"_"&amp;ICPList[[#This Row],[Dilution]]&amp;"x"</f>
        <v>Not Requested_Day22_20x</v>
      </c>
      <c r="F19">
        <v>4</v>
      </c>
      <c r="G19" s="1">
        <v>46080</v>
      </c>
      <c r="H19" t="s">
        <v>108</v>
      </c>
    </row>
    <row r="20" spans="1:8" hidden="1" x14ac:dyDescent="0.25">
      <c r="A20" t="str" cm="1">
        <f t="array" ref="A20">IF(ISBLANK(INDEX(SampleList[ICP],ROW()-1)),"Not Requested",INDEX(SampleList[Experiment ID],ROW()-1))</f>
        <v>HPHT_071-2</v>
      </c>
      <c r="B20">
        <f>Sampling!E20</f>
        <v>20</v>
      </c>
      <c r="C20" s="1">
        <v>46098</v>
      </c>
      <c r="D20">
        <v>20</v>
      </c>
      <c r="E20" t="str">
        <f>ICPList[[#This Row],[Experiment ID]]&amp;"_Day"&amp;ICPList[[#This Row],[Duration (Days)]]&amp;"_"&amp;ICPList[[#This Row],[Dilution]]&amp;"x"</f>
        <v>HPHT_071-2_Day20_20x</v>
      </c>
      <c r="F20">
        <v>1</v>
      </c>
      <c r="G20" s="1">
        <v>46083</v>
      </c>
    </row>
    <row r="21" spans="1:8" hidden="1" x14ac:dyDescent="0.25">
      <c r="A21" t="str" cm="1">
        <f t="array" ref="A21">IF(ISBLANK(INDEX(SampleList[ICP],ROW()-1)),"Not Requested",INDEX(SampleList[Experiment ID],ROW()-1))</f>
        <v xml:space="preserve">HPHT_087 </v>
      </c>
      <c r="B21">
        <f>Sampling!E21</f>
        <v>8</v>
      </c>
      <c r="C21" s="1"/>
      <c r="D21">
        <v>20</v>
      </c>
      <c r="E21" t="str">
        <f>ICPList[[#This Row],[Experiment ID]]&amp;"_Day"&amp;ICPList[[#This Row],[Duration (Days)]]&amp;"_"&amp;ICPList[[#This Row],[Dilution]]&amp;"x"</f>
        <v>HPHT_087 _Day8_20x</v>
      </c>
      <c r="F21">
        <v>2</v>
      </c>
      <c r="G21" s="1">
        <v>46083</v>
      </c>
    </row>
    <row r="22" spans="1:8" hidden="1" x14ac:dyDescent="0.25">
      <c r="A22" t="str" cm="1">
        <f t="array" ref="A22">IF(ISBLANK(INDEX(SampleList[ICP],ROW()-1)),"Not Requested",INDEX(SampleList[Experiment ID],ROW()-1))</f>
        <v>HPHT_090</v>
      </c>
      <c r="B22">
        <f>Sampling!E22</f>
        <v>10</v>
      </c>
      <c r="C22" s="1"/>
      <c r="D22">
        <v>20</v>
      </c>
      <c r="E22" t="str">
        <f>ICPList[[#This Row],[Experiment ID]]&amp;"_Day"&amp;ICPList[[#This Row],[Duration (Days)]]&amp;"_"&amp;ICPList[[#This Row],[Dilution]]&amp;"x"</f>
        <v>HPHT_090_Day10_20x</v>
      </c>
      <c r="F22">
        <v>3</v>
      </c>
      <c r="G22" s="1">
        <v>46083</v>
      </c>
    </row>
    <row r="23" spans="1:8" hidden="1" x14ac:dyDescent="0.25">
      <c r="A23" t="str" cm="1">
        <f t="array" ref="A23">IF(ISBLANK(INDEX(SampleList[ICP],ROW()-1)),"Not Requested",INDEX(SampleList[Experiment ID],ROW()-1))</f>
        <v>HPHT_093</v>
      </c>
      <c r="B23">
        <f>Sampling!E23</f>
        <v>2</v>
      </c>
      <c r="C23" s="1"/>
      <c r="D23">
        <v>20</v>
      </c>
      <c r="E23" t="str">
        <f>ICPList[[#This Row],[Experiment ID]]&amp;"_Day"&amp;ICPList[[#This Row],[Duration (Days)]]&amp;"_"&amp;ICPList[[#This Row],[Dilution]]&amp;"x"</f>
        <v>HPHT_093_Day2_20x</v>
      </c>
      <c r="F23">
        <v>4</v>
      </c>
      <c r="G23" s="1">
        <v>46083</v>
      </c>
    </row>
    <row r="24" spans="1:8" x14ac:dyDescent="0.25">
      <c r="A24" t="str" cm="1">
        <f t="array" ref="A24">IF(ISBLANK(INDEX(SampleList[ICP],ROW()-1)),"Not Requested",INDEX(SampleList[Experiment ID],ROW()-1))</f>
        <v>HPHT_070</v>
      </c>
      <c r="B24">
        <f>SampleList[[#This Row],[Duration (Days)]]</f>
        <v>52</v>
      </c>
      <c r="C24" s="1"/>
      <c r="D24">
        <v>20</v>
      </c>
      <c r="E24" t="str">
        <f>ICPList[[#This Row],[Experiment ID]]&amp;"_Day"&amp;ICPList[[#This Row],[Duration (Days)]]&amp;"_"&amp;ICPList[[#This Row],[Dilution]]&amp;"x"</f>
        <v>HPHT_070_Day52_20x</v>
      </c>
      <c r="F24">
        <v>1</v>
      </c>
      <c r="G24" s="1">
        <v>46086</v>
      </c>
    </row>
    <row r="25" spans="1:8" hidden="1" x14ac:dyDescent="0.25">
      <c r="A25" t="str" cm="1">
        <f t="array" ref="A25">IF(ISBLANK(INDEX(SampleList[ICP],ROW()-1)),"Not Requested",INDEX(SampleList[Experiment ID],ROW()-1))</f>
        <v>HPHT_071-2</v>
      </c>
      <c r="B25">
        <f>Sampling!E25</f>
        <v>22</v>
      </c>
      <c r="C25" s="1">
        <v>46098</v>
      </c>
      <c r="D25">
        <v>20</v>
      </c>
      <c r="E25" t="str">
        <f>ICPList[[#This Row],[Experiment ID]]&amp;"_Day"&amp;ICPList[[#This Row],[Duration (Days)]]&amp;"_"&amp;ICPList[[#This Row],[Dilution]]&amp;"x"</f>
        <v>HPHT_071-2_Day22_20x</v>
      </c>
      <c r="F25">
        <v>2</v>
      </c>
      <c r="G25" s="1">
        <v>46086</v>
      </c>
    </row>
    <row r="26" spans="1:8" hidden="1" x14ac:dyDescent="0.25">
      <c r="A26" t="str" cm="1">
        <f t="array" ref="A26">IF(ISBLANK(INDEX(SampleList[ICP],ROW()-1)),"Not Requested",INDEX(SampleList[Experiment ID],ROW()-1))</f>
        <v>HPHT_079</v>
      </c>
      <c r="B26">
        <f>Sampling!E26</f>
        <v>28</v>
      </c>
      <c r="C26" s="1">
        <v>46098</v>
      </c>
      <c r="D26">
        <v>20</v>
      </c>
      <c r="E26" t="str">
        <f>ICPList[[#This Row],[Experiment ID]]&amp;"_Day"&amp;ICPList[[#This Row],[Duration (Days)]]&amp;"_"&amp;ICPList[[#This Row],[Dilution]]&amp;"x"</f>
        <v>HPHT_079_Day28_20x</v>
      </c>
      <c r="F26">
        <v>3</v>
      </c>
      <c r="G26" s="1">
        <v>46086</v>
      </c>
    </row>
    <row r="27" spans="1:8" hidden="1" x14ac:dyDescent="0.25">
      <c r="A27" t="str" cm="1">
        <f t="array" ref="A27">IF(ISBLANK(INDEX(SampleList[ICP],ROW()-1)),"Not Requested",INDEX(SampleList[Experiment ID],ROW()-1))</f>
        <v xml:space="preserve">HPHT_087 </v>
      </c>
      <c r="B27">
        <f>Sampling!E27</f>
        <v>0</v>
      </c>
      <c r="C27" s="1">
        <v>46098</v>
      </c>
      <c r="D27">
        <v>20</v>
      </c>
      <c r="E27" t="str">
        <f>ICPList[[#This Row],[Experiment ID]]&amp;"_Day"&amp;ICPList[[#This Row],[Duration (Days)]]&amp;"_"&amp;ICPList[[#This Row],[Dilution]]&amp;"x"</f>
        <v>HPHT_087 _Day0_20x</v>
      </c>
      <c r="F27">
        <v>4</v>
      </c>
      <c r="G27" s="1">
        <v>46086</v>
      </c>
    </row>
    <row r="28" spans="1:8" hidden="1" x14ac:dyDescent="0.25">
      <c r="A28" t="str" cm="1">
        <f t="array" ref="A28">IF(ISBLANK(INDEX(SampleList[ICP],ROW()-1)),"Not Requested",INDEX(SampleList[Experiment ID],ROW()-1))</f>
        <v xml:space="preserve">HPHT_087 </v>
      </c>
      <c r="B28">
        <f>Sampling!E28</f>
        <v>10</v>
      </c>
      <c r="C28" s="1">
        <v>46098</v>
      </c>
      <c r="D28">
        <v>20</v>
      </c>
      <c r="E28" t="str">
        <f>ICPList[[#This Row],[Experiment ID]]&amp;"_Day"&amp;ICPList[[#This Row],[Duration (Days)]]&amp;"_"&amp;ICPList[[#This Row],[Dilution]]&amp;"x"</f>
        <v>HPHT_087 _Day10_20x</v>
      </c>
      <c r="F28">
        <v>5</v>
      </c>
      <c r="G28" s="1">
        <v>46086</v>
      </c>
    </row>
    <row r="29" spans="1:8" hidden="1" x14ac:dyDescent="0.25">
      <c r="A29" t="str" cm="1">
        <f t="array" ref="A29">IF(ISBLANK(INDEX(SampleList[ICP],ROW()-1)),"Not Requested",INDEX(SampleList[Experiment ID],ROW()-1))</f>
        <v>HPHT_090</v>
      </c>
      <c r="B29">
        <f>Sampling!E29</f>
        <v>12</v>
      </c>
      <c r="C29" s="1">
        <v>46098</v>
      </c>
      <c r="D29">
        <v>20</v>
      </c>
      <c r="E29" t="str">
        <f>ICPList[[#This Row],[Experiment ID]]&amp;"_Day"&amp;ICPList[[#This Row],[Duration (Days)]]&amp;"_"&amp;ICPList[[#This Row],[Dilution]]&amp;"x"</f>
        <v>HPHT_090_Day12_20x</v>
      </c>
      <c r="F29">
        <v>6</v>
      </c>
      <c r="G29" s="1">
        <v>46086</v>
      </c>
    </row>
    <row r="30" spans="1:8" hidden="1" x14ac:dyDescent="0.25">
      <c r="A30" t="str" cm="1">
        <f t="array" ref="A30">IF(ISBLANK(INDEX(SampleList[ICP],ROW()-1)),"Not Requested",INDEX(SampleList[Experiment ID],ROW()-1))</f>
        <v>HPHT_095</v>
      </c>
      <c r="B30">
        <f>Sampling!E30</f>
        <v>0</v>
      </c>
      <c r="C30" s="1"/>
      <c r="D30">
        <v>20</v>
      </c>
      <c r="E30" t="str">
        <f>ICPList[[#This Row],[Experiment ID]]&amp;"_Day"&amp;ICPList[[#This Row],[Duration (Days)]]&amp;"_"&amp;ICPList[[#This Row],[Dilution]]&amp;"x"</f>
        <v>HPHT_095_Day0_20x</v>
      </c>
      <c r="F30">
        <v>7</v>
      </c>
      <c r="G30" s="1">
        <v>46086</v>
      </c>
    </row>
    <row r="31" spans="1:8" hidden="1" x14ac:dyDescent="0.25">
      <c r="A31" t="str" cm="1">
        <f t="array" ref="A31">IF(ISBLANK(INDEX(SampleList[ICP],ROW()-1)),"Not Requested",INDEX(SampleList[Experiment ID],ROW()-1))</f>
        <v>HPHT_079</v>
      </c>
      <c r="B31" t="e">
        <f>Sampling!#REF!</f>
        <v>#REF!</v>
      </c>
      <c r="C31" s="1"/>
      <c r="D31">
        <v>20</v>
      </c>
      <c r="E31" t="e">
        <f>ICPList[[#This Row],[Experiment ID]]&amp;"_Day"&amp;ICPList[[#This Row],[Duration (Days)]]&amp;"_"&amp;ICPList[[#This Row],[Dilution]]&amp;"x"</f>
        <v>#REF!</v>
      </c>
      <c r="F31">
        <f>NMRResults[[#This Row],['#]]</f>
        <v>0</v>
      </c>
      <c r="G31" s="1">
        <v>46092</v>
      </c>
    </row>
    <row r="32" spans="1:8" hidden="1" x14ac:dyDescent="0.25">
      <c r="A32" t="str" cm="1">
        <f t="array" ref="A32">IF(ISBLANK(INDEX(SampleList[ICP],ROW()-1)),"Not Requested",INDEX(SampleList[Experiment ID],ROW()-1))</f>
        <v xml:space="preserve">HPHT_087 </v>
      </c>
      <c r="B32" t="e">
        <f>Sampling!#REF!</f>
        <v>#REF!</v>
      </c>
      <c r="C32" s="1"/>
      <c r="D32">
        <v>20</v>
      </c>
      <c r="E32" t="e">
        <f>ICPList[[#This Row],[Experiment ID]]&amp;"_Day"&amp;ICPList[[#This Row],[Duration (Days)]]&amp;"_"&amp;ICPList[[#This Row],[Dilution]]&amp;"x"</f>
        <v>#REF!</v>
      </c>
      <c r="F32">
        <f>NMRResults[[#This Row],['#]]</f>
        <v>0</v>
      </c>
      <c r="G32" s="1">
        <v>46092</v>
      </c>
    </row>
    <row r="33" spans="1:7" hidden="1" x14ac:dyDescent="0.25">
      <c r="A33" t="str" cm="1">
        <f t="array" ref="A33">IF(ISBLANK(INDEX(SampleList[ICP],ROW()-1)),"Not Requested",INDEX(SampleList[Experiment ID],ROW()-1))</f>
        <v xml:space="preserve">HPHT_087 </v>
      </c>
      <c r="B33">
        <f>Sampling!E32</f>
        <v>9</v>
      </c>
      <c r="C33" s="1">
        <v>46098</v>
      </c>
      <c r="D33">
        <v>20</v>
      </c>
      <c r="E33" t="str">
        <f>ICPList[[#This Row],[Experiment ID]]&amp;"_Day"&amp;ICPList[[#This Row],[Duration (Days)]]&amp;"_"&amp;ICPList[[#This Row],[Dilution]]&amp;"x"</f>
        <v>HPHT_087 _Day9_20x</v>
      </c>
      <c r="F33">
        <v>4</v>
      </c>
      <c r="G33" s="1">
        <v>46092</v>
      </c>
    </row>
    <row r="34" spans="1:7" x14ac:dyDescent="0.25">
      <c r="A34" t="str" cm="1">
        <f t="array" ref="A34">IF(ISBLANK(INDEX(SampleList[ICP],ROW()-1)),"Not Requested",INDEX(SampleList[Experiment ID],ROW()-1))</f>
        <v>HPHT_096</v>
      </c>
      <c r="B34">
        <f>SampleList[[#This Row],[Duration (Days)]]</f>
        <v>0</v>
      </c>
      <c r="C34" s="1"/>
      <c r="D34">
        <v>20</v>
      </c>
      <c r="E34" t="str">
        <f>ICPList[[#This Row],[Experiment ID]]&amp;"_Day"&amp;ICPList[[#This Row],[Duration (Days)]]&amp;"_"&amp;ICPList[[#This Row],[Dilution]]&amp;"x"</f>
        <v>HPHT_096_Day0_20x</v>
      </c>
      <c r="G34" s="1">
        <v>46087</v>
      </c>
    </row>
    <row r="35" spans="1:7" hidden="1" x14ac:dyDescent="0.25">
      <c r="A35" t="str" cm="1">
        <f t="array" ref="A35">IF(ISBLANK(INDEX(SampleList[ICP],ROW()-1)),"Not Requested",INDEX(SampleList[Experiment ID],ROW()-1))</f>
        <v>HPHT_090</v>
      </c>
      <c r="B35">
        <f>Sampling!E33</f>
        <v>15</v>
      </c>
      <c r="C35" s="1">
        <v>46098</v>
      </c>
      <c r="D35">
        <v>20</v>
      </c>
      <c r="E35" t="str">
        <f>ICPList[[#This Row],[Experiment ID]]&amp;"_Day"&amp;ICPList[[#This Row],[Duration (Days)]]&amp;"_"&amp;ICPList[[#This Row],[Dilution]]&amp;"x"</f>
        <v>HPHT_090_Day15_20x</v>
      </c>
      <c r="F35">
        <f>NMRResults[[#This Row],['#]]</f>
        <v>0</v>
      </c>
      <c r="G35" s="1">
        <v>46092</v>
      </c>
    </row>
    <row r="36" spans="1:7" x14ac:dyDescent="0.25">
      <c r="A36" t="str" cm="1">
        <f t="array" ref="A36">IF(ISBLANK(INDEX(SampleList[ICP],ROW()-1)),"Not Requested",INDEX(SampleList[Experiment ID],ROW()-1))</f>
        <v>HPHT_096</v>
      </c>
      <c r="B36">
        <f>SampleList[[#This Row],[Duration (Days)]]</f>
        <v>5</v>
      </c>
      <c r="C36" s="1">
        <v>46098</v>
      </c>
      <c r="D36">
        <v>20</v>
      </c>
      <c r="E36" t="str">
        <f>ICPList[[#This Row],[Experiment ID]]&amp;"_Day"&amp;ICPList[[#This Row],[Duration (Days)]]&amp;"_"&amp;ICPList[[#This Row],[Dilution]]&amp;"x"</f>
        <v>HPHT_096_Day5_20x</v>
      </c>
      <c r="F36">
        <v>6</v>
      </c>
      <c r="G36" s="1">
        <v>46092</v>
      </c>
    </row>
    <row r="37" spans="1:7" hidden="1" x14ac:dyDescent="0.25">
      <c r="A37" t="str" cm="1">
        <f t="array" ref="A37">IF(ISBLANK(INDEX(SampleList[ICP],ROW()-1)),"Not Requested",INDEX(SampleList[Experiment ID],ROW()-1))</f>
        <v>HPHT_095</v>
      </c>
      <c r="B37">
        <f>Sampling!E35</f>
        <v>15</v>
      </c>
      <c r="C37" s="1"/>
      <c r="D37">
        <v>20</v>
      </c>
      <c r="E37" t="str">
        <f>ICPList[[#This Row],[Experiment ID]]&amp;"_Day"&amp;ICPList[[#This Row],[Duration (Days)]]&amp;"_"&amp;ICPList[[#This Row],[Dilution]]&amp;"x"</f>
        <v>HPHT_095_Day15_20x</v>
      </c>
      <c r="F37">
        <f>NMRResults[[#This Row],['#]]</f>
        <v>0</v>
      </c>
      <c r="G37" s="1">
        <v>46092</v>
      </c>
    </row>
    <row r="38" spans="1:7" hidden="1" x14ac:dyDescent="0.25">
      <c r="A38" t="str" cm="1">
        <f t="array" ref="A38">IF(ISBLANK(INDEX(SampleList[ICP],ROW()-1)),"Not Requested",INDEX(SampleList[Experiment ID],ROW()-1))</f>
        <v>HPHT_103</v>
      </c>
      <c r="B38">
        <f>Sampling!E36</f>
        <v>5</v>
      </c>
      <c r="C38" s="1"/>
      <c r="D38">
        <v>20</v>
      </c>
      <c r="E38" t="str">
        <f>ICPList[[#This Row],[Experiment ID]]&amp;"_Day"&amp;ICPList[[#This Row],[Duration (Days)]]&amp;"_"&amp;ICPList[[#This Row],[Dilution]]&amp;"x"</f>
        <v>HPHT_103_Day5_20x</v>
      </c>
      <c r="F38">
        <f>NMRResults[[#This Row],['#]]</f>
        <v>0</v>
      </c>
      <c r="G38" s="1">
        <f>NMRResults[[#This Row],[Date Run]]</f>
        <v>46099</v>
      </c>
    </row>
    <row r="39" spans="1:7" hidden="1" x14ac:dyDescent="0.25">
      <c r="A39" t="str" cm="1">
        <f t="array" ref="A39">IF(ISBLANK(INDEX(SampleList[ICP],ROW()-1)),"Not Requested",INDEX(SampleList[Experiment ID],ROW()-1))</f>
        <v>HPHT_104</v>
      </c>
      <c r="B39">
        <f>Sampling!E37</f>
        <v>4</v>
      </c>
      <c r="C39" s="1"/>
      <c r="D39">
        <v>20</v>
      </c>
      <c r="E39" t="str">
        <f>ICPList[[#This Row],[Experiment ID]]&amp;"_Day"&amp;ICPList[[#This Row],[Duration (Days)]]&amp;"_"&amp;ICPList[[#This Row],[Dilution]]&amp;"x"</f>
        <v>HPHT_104_Day4_20x</v>
      </c>
      <c r="F39">
        <f>NMRResults[[#This Row],['#]]</f>
        <v>0</v>
      </c>
      <c r="G39" s="1">
        <f>NMRResults[[#This Row],[Date Run]]</f>
        <v>46099</v>
      </c>
    </row>
    <row r="40" spans="1:7" hidden="1" x14ac:dyDescent="0.25">
      <c r="A40" t="str" cm="1">
        <f t="array" ref="A40">IF(ISBLANK(INDEX(SampleList[ICP],ROW()-1)),"Not Requested",INDEX(SampleList[Experiment ID],ROW()-1))</f>
        <v>Not Requested</v>
      </c>
      <c r="B40">
        <f>Sampling!E38</f>
        <v>0</v>
      </c>
      <c r="C40" s="1"/>
      <c r="D40">
        <v>20</v>
      </c>
      <c r="E40" t="str">
        <f>ICPList[[#This Row],[Experiment ID]]&amp;"_Day"&amp;ICPList[[#This Row],[Duration (Days)]]&amp;"_"&amp;ICPList[[#This Row],[Dilution]]&amp;"x"</f>
        <v>Not Requested_Day0_20x</v>
      </c>
      <c r="F40">
        <f>NMRResults[[#This Row],['#]]</f>
        <v>0</v>
      </c>
      <c r="G40" s="1">
        <f>NMRResults[[#This Row],[Date Run]]</f>
        <v>46099</v>
      </c>
    </row>
    <row r="41" spans="1:7" hidden="1" x14ac:dyDescent="0.25">
      <c r="A41" t="str" cm="1">
        <f t="array" ref="A41">IF(ISBLANK(INDEX(SampleList[ICP],ROW()-1)),"Not Requested",INDEX(SampleList[Experiment ID],ROW()-1))</f>
        <v>Not Requested</v>
      </c>
      <c r="B41">
        <f>Sampling!E39</f>
        <v>0</v>
      </c>
      <c r="C41" s="1"/>
      <c r="D41">
        <v>20</v>
      </c>
      <c r="E41" t="str">
        <f>ICPList[[#This Row],[Experiment ID]]&amp;"_Day"&amp;ICPList[[#This Row],[Duration (Days)]]&amp;"_"&amp;ICPList[[#This Row],[Dilution]]&amp;"x"</f>
        <v>Not Requested_Day0_20x</v>
      </c>
      <c r="F41">
        <f>NMRResults[[#This Row],['#]]</f>
        <v>0</v>
      </c>
      <c r="G41" s="1">
        <f>NMRResults[[#This Row],[Date Run]]</f>
        <v>46099</v>
      </c>
    </row>
    <row r="42" spans="1:7" hidden="1" x14ac:dyDescent="0.25">
      <c r="A42" t="str" cm="1">
        <f t="array" ref="A42">IF(ISBLANK(INDEX(SampleList[ICP],ROW()-1)),"Not Requested",INDEX(SampleList[Experiment ID],ROW()-1))</f>
        <v>Not Requested</v>
      </c>
      <c r="B42">
        <f>Sampling!E40</f>
        <v>10</v>
      </c>
      <c r="C42" s="1"/>
      <c r="D42">
        <v>20</v>
      </c>
      <c r="E42" t="str">
        <f>ICPList[[#This Row],[Experiment ID]]&amp;"_Day"&amp;ICPList[[#This Row],[Duration (Days)]]&amp;"_"&amp;ICPList[[#This Row],[Dilution]]&amp;"x"</f>
        <v>Not Requested_Day10_20x</v>
      </c>
      <c r="F42">
        <f>NMRResults[[#This Row],['#]]</f>
        <v>0</v>
      </c>
      <c r="G42" s="1">
        <f>NMRResults[[#This Row],[Date Run]]</f>
        <v>46099</v>
      </c>
    </row>
    <row r="43" spans="1:7" hidden="1" x14ac:dyDescent="0.25">
      <c r="A43" t="str" cm="1">
        <f t="array" ref="A43">IF(ISBLANK(INDEX(SampleList[ICP],ROW()-1)),"Not Requested",INDEX(SampleList[Experiment ID],ROW()-1))</f>
        <v>Not Requested</v>
      </c>
      <c r="B43">
        <f>Sampling!E41</f>
        <v>0</v>
      </c>
      <c r="E43" t="str">
        <f>ICPList[[#This Row],[Experiment ID]]&amp;"_Day"&amp;ICPList[[#This Row],[Duration (Days)]]&amp;"_"&amp;ICPList[[#This Row],[Dilution]]&amp;"x"</f>
        <v>Not Requested_Day0_x</v>
      </c>
      <c r="F43">
        <f>NMRResults[[#This Row],['#]]</f>
        <v>1</v>
      </c>
      <c r="G43" s="1">
        <f>NMRResults[[#This Row],[Date Run]]</f>
        <v>46101</v>
      </c>
    </row>
    <row r="44" spans="1:7" hidden="1" x14ac:dyDescent="0.25">
      <c r="A44" t="str" cm="1">
        <f t="array" ref="A44">IF(ISBLANK(INDEX(SampleList[ICP],ROW()-1)),"Not Requested",INDEX(SampleList[Experiment ID],ROW()-1))</f>
        <v>Not Requested</v>
      </c>
      <c r="B44">
        <f>Sampling!E42</f>
        <v>5</v>
      </c>
      <c r="E44" t="str">
        <f>ICPList[[#This Row],[Experiment ID]]&amp;"_Day"&amp;ICPList[[#This Row],[Duration (Days)]]&amp;"_"&amp;ICPList[[#This Row],[Dilution]]&amp;"x"</f>
        <v>Not Requested_Day5_x</v>
      </c>
      <c r="F44">
        <f>NMRResults[[#This Row],['#]]</f>
        <v>2</v>
      </c>
      <c r="G44" s="1">
        <f>NMRResults[[#This Row],[Date Run]]</f>
        <v>46101</v>
      </c>
    </row>
    <row r="45" spans="1:7" hidden="1" x14ac:dyDescent="0.25">
      <c r="A45" t="str" cm="1">
        <f t="array" ref="A45">IF(ISBLANK(INDEX(SampleList[ICP],ROW()-1)),"Not Requested",INDEX(SampleList[Experiment ID],ROW()-1))</f>
        <v>Not Requested</v>
      </c>
      <c r="B45">
        <f>Sampling!E43</f>
        <v>3</v>
      </c>
      <c r="E45" t="str">
        <f>ICPList[[#This Row],[Experiment ID]]&amp;"_Day"&amp;ICPList[[#This Row],[Duration (Days)]]&amp;"_"&amp;ICPList[[#This Row],[Dilution]]&amp;"x"</f>
        <v>Not Requested_Day3_x</v>
      </c>
      <c r="F45">
        <f>NMRResults[[#This Row],['#]]</f>
        <v>0</v>
      </c>
      <c r="G45" s="1">
        <f>NMRResults[[#This Row],[Date Run]]</f>
        <v>0</v>
      </c>
    </row>
    <row r="46" spans="1:7" hidden="1" x14ac:dyDescent="0.25">
      <c r="A46" t="str" cm="1">
        <f t="array" ref="A46">IF(ISBLANK(INDEX(SampleList[ICP],ROW()-1)),"Not Requested",INDEX(SampleList[Experiment ID],ROW()-1))</f>
        <v>Not Requested</v>
      </c>
      <c r="B46">
        <f>Sampling!E44</f>
        <v>13</v>
      </c>
      <c r="E46" t="str">
        <f>ICPList[[#This Row],[Experiment ID]]&amp;"_Day"&amp;ICPList[[#This Row],[Duration (Days)]]&amp;"_"&amp;ICPList[[#This Row],[Dilution]]&amp;"x"</f>
        <v>Not Requested_Day13_x</v>
      </c>
      <c r="F46">
        <f>NMRResults[[#This Row],['#]]</f>
        <v>3</v>
      </c>
      <c r="G46" s="1">
        <f>NMRResults[[#This Row],[Date Run]]</f>
        <v>46101</v>
      </c>
    </row>
    <row r="47" spans="1:7" hidden="1" x14ac:dyDescent="0.25">
      <c r="A47" t="str" cm="1">
        <f t="array" ref="A47">IF(ISBLANK(INDEX(SampleList[ICP],ROW()-1)),"Not Requested",INDEX(SampleList[Experiment ID],ROW()-1))</f>
        <v>HPHT_105</v>
      </c>
      <c r="B47">
        <f>Sampling!E45</f>
        <v>42</v>
      </c>
      <c r="E47" t="str">
        <f>ICPList[[#This Row],[Experiment ID]]&amp;"_Day"&amp;ICPList[[#This Row],[Duration (Days)]]&amp;"_"&amp;ICPList[[#This Row],[Dilution]]&amp;"x"</f>
        <v>HPHT_105_Day42_x</v>
      </c>
      <c r="F47">
        <f>NMRResults[[#This Row],['#]]</f>
        <v>4</v>
      </c>
      <c r="G47" s="1">
        <f>NMRResults[[#This Row],[Date Run]]</f>
        <v>46101</v>
      </c>
    </row>
    <row r="48" spans="1:7" hidden="1" x14ac:dyDescent="0.25">
      <c r="A48" t="str" cm="1">
        <f t="array" ref="A48">IF(ISBLANK(INDEX(SampleList[ICP],ROW()-1)),"Not Requested",INDEX(SampleList[Experiment ID],ROW()-1))</f>
        <v>Not Requested</v>
      </c>
      <c r="B48">
        <f>Sampling!E46</f>
        <v>8</v>
      </c>
      <c r="E48" t="str">
        <f>ICPList[[#This Row],[Experiment ID]]&amp;"_Day"&amp;ICPList[[#This Row],[Duration (Days)]]&amp;"_"&amp;ICPList[[#This Row],[Dilution]]&amp;"x"</f>
        <v>Not Requested_Day8_x</v>
      </c>
      <c r="F48">
        <f>NMRResults[[#This Row],['#]]</f>
        <v>5</v>
      </c>
      <c r="G48" s="1">
        <f>NMRResults[[#This Row],[Date Run]]</f>
        <v>46101</v>
      </c>
    </row>
    <row r="49" spans="1:7" hidden="1" x14ac:dyDescent="0.25">
      <c r="A49" t="str" cm="1">
        <f t="array" ref="A49">IF(ISBLANK(INDEX(SampleList[ICP],ROW()-1)),"Not Requested",INDEX(SampleList[Experiment ID],ROW()-1))</f>
        <v>HPHT_096</v>
      </c>
      <c r="B49">
        <f>Sampling!E47</f>
        <v>3</v>
      </c>
      <c r="E49" t="str">
        <f>ICPList[[#This Row],[Experiment ID]]&amp;"_Day"&amp;ICPList[[#This Row],[Duration (Days)]]&amp;"_"&amp;ICPList[[#This Row],[Dilution]]&amp;"x"</f>
        <v>HPHT_096_Day3_x</v>
      </c>
      <c r="F49">
        <f>NMRResults[[#This Row],['#]]</f>
        <v>0</v>
      </c>
      <c r="G49" s="1">
        <f>NMRResults[[#This Row],[Date Run]]</f>
        <v>0</v>
      </c>
    </row>
    <row r="50" spans="1:7" hidden="1" x14ac:dyDescent="0.25">
      <c r="A50" t="str" cm="1">
        <f t="array" ref="A50">IF(ISBLANK(INDEX(SampleList[ICP],ROW()-1)),"Not Requested",INDEX(SampleList[Experiment ID],ROW()-1))</f>
        <v>HPHT_089</v>
      </c>
      <c r="B50">
        <f>Sampling!E48</f>
        <v>0</v>
      </c>
      <c r="E50" t="str">
        <f>ICPList[[#This Row],[Experiment ID]]&amp;"_Day"&amp;ICPList[[#This Row],[Duration (Days)]]&amp;"_"&amp;ICPList[[#This Row],[Dilution]]&amp;"x"</f>
        <v>HPHT_089_Day0_x</v>
      </c>
      <c r="F50">
        <f>NMRResults[[#This Row],['#]]</f>
        <v>0</v>
      </c>
      <c r="G50" s="1">
        <f>NMRResults[[#This Row],[Date Run]]</f>
        <v>0</v>
      </c>
    </row>
    <row r="51" spans="1:7" hidden="1" x14ac:dyDescent="0.25">
      <c r="A51" t="str" cm="1">
        <f t="array" ref="A51">IF(ISBLANK(INDEX(SampleList[ICP],ROW()-1)),"Not Requested",INDEX(SampleList[Experiment ID],ROW()-1))</f>
        <v>Not Requested</v>
      </c>
      <c r="B51">
        <f>Sampling!E49</f>
        <v>17</v>
      </c>
      <c r="E51" t="str">
        <f>ICPList[[#This Row],[Experiment ID]]&amp;"_Day"&amp;ICPList[[#This Row],[Duration (Days)]]&amp;"_"&amp;ICPList[[#This Row],[Dilution]]&amp;"x"</f>
        <v>Not Requested_Day17_x</v>
      </c>
      <c r="F51">
        <f>NMRResults[[#This Row],['#]]</f>
        <v>0</v>
      </c>
      <c r="G51" s="1">
        <f>NMRResults[[#This Row],[Date Run]]</f>
        <v>0</v>
      </c>
    </row>
    <row r="52" spans="1:7" hidden="1" x14ac:dyDescent="0.25">
      <c r="A52" t="str" cm="1">
        <f t="array" ref="A52">IF(ISBLANK(INDEX(SampleList[ICP],ROW()-1)),"Not Requested",INDEX(SampleList[Experiment ID],ROW()-1))</f>
        <v>HPHT_097</v>
      </c>
      <c r="B52">
        <f>Sampling!E50</f>
        <v>7</v>
      </c>
      <c r="E52" t="str">
        <f>ICPList[[#This Row],[Experiment ID]]&amp;"_Day"&amp;ICPList[[#This Row],[Duration (Days)]]&amp;"_"&amp;ICPList[[#This Row],[Dilution]]&amp;"x"</f>
        <v>HPHT_097_Day7_x</v>
      </c>
      <c r="F52">
        <f>NMRResults[[#This Row],['#]]</f>
        <v>0</v>
      </c>
      <c r="G52" s="1">
        <f>NMRResults[[#This Row],[Date Run]]</f>
        <v>0</v>
      </c>
    </row>
    <row r="53" spans="1:7" hidden="1" x14ac:dyDescent="0.25">
      <c r="A53" t="str" cm="1">
        <f t="array" ref="A53">IF(ISBLANK(INDEX(SampleList[ICP],ROW()-1)),"Not Requested",INDEX(SampleList[Experiment ID],ROW()-1))</f>
        <v>HPHT_103</v>
      </c>
      <c r="B53">
        <f>Sampling!E51</f>
        <v>46</v>
      </c>
      <c r="E53" t="str">
        <f>ICPList[[#This Row],[Experiment ID]]&amp;"_Day"&amp;ICPList[[#This Row],[Duration (Days)]]&amp;"_"&amp;ICPList[[#This Row],[Dilution]]&amp;"x"</f>
        <v>HPHT_103_Day46_x</v>
      </c>
      <c r="F53">
        <f>NMRResults[[#This Row],['#]]</f>
        <v>0</v>
      </c>
      <c r="G53" s="1">
        <f>NMRResults[[#This Row],[Date Run]]</f>
        <v>0</v>
      </c>
    </row>
    <row r="54" spans="1:7" hidden="1" x14ac:dyDescent="0.25">
      <c r="A54" t="str" cm="1">
        <f t="array" ref="A54">IF(ISBLANK(INDEX(SampleList[ICP],ROW()-1)),"Not Requested",INDEX(SampleList[Experiment ID],ROW()-1))</f>
        <v>HPHT_104</v>
      </c>
      <c r="B54">
        <f>Sampling!E52</f>
        <v>11</v>
      </c>
      <c r="E54" t="str">
        <f>ICPList[[#This Row],[Experiment ID]]&amp;"_Day"&amp;ICPList[[#This Row],[Duration (Days)]]&amp;"_"&amp;ICPList[[#This Row],[Dilution]]&amp;"x"</f>
        <v>HPHT_104_Day11_x</v>
      </c>
      <c r="F54">
        <f>NMRResults[[#This Row],['#]]</f>
        <v>0</v>
      </c>
      <c r="G54" s="1">
        <f>NMRResults[[#This Row],[Date Run]]</f>
        <v>0</v>
      </c>
    </row>
    <row r="55" spans="1:7" hidden="1" x14ac:dyDescent="0.25">
      <c r="A55" t="str" cm="1">
        <f t="array" ref="A55">IF(ISBLANK(INDEX(SampleList[ICP],ROW()-1)),"Not Requested",INDEX(SampleList[Experiment ID],ROW()-1))</f>
        <v>HPHT_107</v>
      </c>
      <c r="B55">
        <f>Sampling!E53</f>
        <v>3</v>
      </c>
      <c r="E55" t="str">
        <f>ICPList[[#This Row],[Experiment ID]]&amp;"_Day"&amp;ICPList[[#This Row],[Duration (Days)]]&amp;"_"&amp;ICPList[[#This Row],[Dilution]]&amp;"x"</f>
        <v>HPHT_107_Day3_x</v>
      </c>
      <c r="F55">
        <f>NMRResults[[#This Row],['#]]</f>
        <v>0</v>
      </c>
      <c r="G55" s="1">
        <f>NMRResults[[#This Row],[Date Run]]</f>
        <v>0</v>
      </c>
    </row>
    <row r="56" spans="1:7" hidden="1" x14ac:dyDescent="0.25">
      <c r="A56" t="str" cm="1">
        <f t="array" ref="A56">IF(ISBLANK(INDEX(SampleList[ICP],ROW()-1)),"Not Requested",INDEX(SampleList[Experiment ID],ROW()-1))</f>
        <v>Not Requested</v>
      </c>
      <c r="B56">
        <f>Sampling!E54</f>
        <v>3</v>
      </c>
      <c r="E56" t="str">
        <f>ICPList[[#This Row],[Experiment ID]]&amp;"_Day"&amp;ICPList[[#This Row],[Duration (Days)]]&amp;"_"&amp;ICPList[[#This Row],[Dilution]]&amp;"x"</f>
        <v>Not Requested_Day3_x</v>
      </c>
      <c r="F56">
        <f>NMRResults[[#This Row],['#]]</f>
        <v>0</v>
      </c>
      <c r="G56" s="1">
        <f>NMRResults[[#This Row],[Date Run]]</f>
        <v>0</v>
      </c>
    </row>
    <row r="57" spans="1:7" hidden="1" x14ac:dyDescent="0.25">
      <c r="A57" t="str" cm="1">
        <f t="array" ref="A57">IF(ISBLANK(INDEX(SampleList[ICP],ROW()-1)),"Not Requested",INDEX(SampleList[Experiment ID],ROW()-1))</f>
        <v>Not Requested</v>
      </c>
      <c r="B57">
        <f>Sampling!E55</f>
        <v>3</v>
      </c>
      <c r="E57" t="str">
        <f>ICPList[[#This Row],[Experiment ID]]&amp;"_Day"&amp;ICPList[[#This Row],[Duration (Days)]]&amp;"_"&amp;ICPList[[#This Row],[Dilution]]&amp;"x"</f>
        <v>Not Requested_Day3_x</v>
      </c>
      <c r="F57">
        <f>NMRResults[[#This Row],['#]]</f>
        <v>0</v>
      </c>
      <c r="G57" s="1">
        <f>NMRResults[[#This Row],[Date Run]]</f>
        <v>0</v>
      </c>
    </row>
    <row r="58" spans="1:7" hidden="1" x14ac:dyDescent="0.25">
      <c r="A58" t="str" cm="1">
        <f t="array" ref="A58">IF(ISBLANK(INDEX(SampleList[ICP],ROW()-1)),"Not Requested",INDEX(SampleList[Experiment ID],ROW()-1))</f>
        <v>Not Requested</v>
      </c>
      <c r="B58">
        <f>Sampling!E56</f>
        <v>0</v>
      </c>
      <c r="E58" t="str">
        <f>ICPList[[#This Row],[Experiment ID]]&amp;"_Day"&amp;ICPList[[#This Row],[Duration (Days)]]&amp;"_"&amp;ICPList[[#This Row],[Dilution]]&amp;"x"</f>
        <v>Not Requested_Day0_x</v>
      </c>
      <c r="F58">
        <f>NMRResults[[#This Row],['#]]</f>
        <v>0</v>
      </c>
      <c r="G58" s="1">
        <f>NMRResults[[#This Row],[Date Run]]</f>
        <v>0</v>
      </c>
    </row>
    <row r="59" spans="1:7" hidden="1" x14ac:dyDescent="0.25">
      <c r="A59" t="str" cm="1">
        <f t="array" ref="A59">IF(ISBLANK(INDEX(SampleList[ICP],ROW()-1)),"Not Requested",INDEX(SampleList[Experiment ID],ROW()-1))</f>
        <v>Not Requested</v>
      </c>
      <c r="B59">
        <f>Sampling!E57</f>
        <v>0</v>
      </c>
      <c r="E59" t="str">
        <f>ICPList[[#This Row],[Experiment ID]]&amp;"_Day"&amp;ICPList[[#This Row],[Duration (Days)]]&amp;"_"&amp;ICPList[[#This Row],[Dilution]]&amp;"x"</f>
        <v>Not Requested_Day0_x</v>
      </c>
      <c r="F59">
        <f>NMRResults[[#This Row],['#]]</f>
        <v>0</v>
      </c>
      <c r="G59" s="1">
        <f>NMRResults[[#This Row],[Date Run]]</f>
        <v>0</v>
      </c>
    </row>
    <row r="60" spans="1:7" hidden="1" x14ac:dyDescent="0.25">
      <c r="A60" t="str" cm="1">
        <f t="array" ref="A60">IF(ISBLANK(INDEX(SampleList[ICP],ROW()-1)),"Not Requested",INDEX(SampleList[Experiment ID],ROW()-1))</f>
        <v>Not Requested</v>
      </c>
      <c r="B60">
        <f>Sampling!E58</f>
        <v>0</v>
      </c>
      <c r="E60" t="str">
        <f>ICPList[[#This Row],[Experiment ID]]&amp;"_Day"&amp;ICPList[[#This Row],[Duration (Days)]]&amp;"_"&amp;ICPList[[#This Row],[Dilution]]&amp;"x"</f>
        <v>Not Requested_Day0_x</v>
      </c>
      <c r="F60">
        <f>NMRResults[[#This Row],['#]]</f>
        <v>0</v>
      </c>
      <c r="G60" s="1">
        <f>NMRResults[[#This Row],[Date Run]]</f>
        <v>0</v>
      </c>
    </row>
    <row r="61" spans="1:7" hidden="1" x14ac:dyDescent="0.25">
      <c r="A61" t="str" cm="1">
        <f t="array" ref="A61">IF(ISBLANK(INDEX(SampleList[ICP],ROW()-1)),"Not Requested",INDEX(SampleList[Experiment ID],ROW()-1))</f>
        <v>Not Requested</v>
      </c>
      <c r="B61">
        <f>Sampling!E59</f>
        <v>0</v>
      </c>
      <c r="E61" t="str">
        <f>ICPList[[#This Row],[Experiment ID]]&amp;"_Day"&amp;ICPList[[#This Row],[Duration (Days)]]&amp;"_"&amp;ICPList[[#This Row],[Dilution]]&amp;"x"</f>
        <v>Not Requested_Day0_x</v>
      </c>
      <c r="F61">
        <f>NMRResults[[#This Row],['#]]</f>
        <v>0</v>
      </c>
      <c r="G61" s="1">
        <f>NMRResults[[#This Row],[Date Run]]</f>
        <v>0</v>
      </c>
    </row>
    <row r="62" spans="1:7" hidden="1" x14ac:dyDescent="0.25">
      <c r="A62" t="str" cm="1">
        <f t="array" ref="A62">IF(ISBLANK(INDEX(SampleList[ICP],ROW()-1)),"Not Requested",INDEX(SampleList[Experiment ID],ROW()-1))</f>
        <v>Not Requested</v>
      </c>
      <c r="B62">
        <f>Sampling!E60</f>
        <v>0</v>
      </c>
      <c r="E62" t="str">
        <f>ICPList[[#This Row],[Experiment ID]]&amp;"_Day"&amp;ICPList[[#This Row],[Duration (Days)]]&amp;"_"&amp;ICPList[[#This Row],[Dilution]]&amp;"x"</f>
        <v>Not Requested_Day0_x</v>
      </c>
      <c r="F62">
        <f>NMRResults[[#This Row],['#]]</f>
        <v>0</v>
      </c>
      <c r="G62" s="1">
        <f>NMRResults[[#This Row],[Date Run]]</f>
        <v>0</v>
      </c>
    </row>
    <row r="63" spans="1:7" hidden="1" x14ac:dyDescent="0.25">
      <c r="A63" t="str" cm="1">
        <f t="array" ref="A63">IF(ISBLANK(INDEX(SampleList[ICP],ROW()-1)),"Not Requested",INDEX(SampleList[Experiment ID],ROW()-1))</f>
        <v>Not Requested</v>
      </c>
      <c r="B63">
        <f>Sampling!E61</f>
        <v>0</v>
      </c>
      <c r="E63" t="str">
        <f>ICPList[[#This Row],[Experiment ID]]&amp;"_Day"&amp;ICPList[[#This Row],[Duration (Days)]]&amp;"_"&amp;ICPList[[#This Row],[Dilution]]&amp;"x"</f>
        <v>Not Requested_Day0_x</v>
      </c>
      <c r="F63">
        <f>NMRResults[[#This Row],['#]]</f>
        <v>0</v>
      </c>
      <c r="G63" s="1">
        <f>NMRResults[[#This Row],[Date Run]]</f>
        <v>0</v>
      </c>
    </row>
    <row r="64" spans="1:7" hidden="1" x14ac:dyDescent="0.25">
      <c r="A64" t="str" cm="1">
        <f t="array" ref="A64">IF(ISBLANK(INDEX(SampleList[ICP],ROW()-1)),"Not Requested",INDEX(SampleList[Experiment ID],ROW()-1))</f>
        <v>Not Requested</v>
      </c>
      <c r="B64">
        <f>Sampling!E62</f>
        <v>0</v>
      </c>
      <c r="E64" t="str">
        <f>ICPList[[#This Row],[Experiment ID]]&amp;"_Day"&amp;ICPList[[#This Row],[Duration (Days)]]&amp;"_"&amp;ICPList[[#This Row],[Dilution]]&amp;"x"</f>
        <v>Not Requested_Day0_x</v>
      </c>
      <c r="F64">
        <f>NMRResults[[#This Row],['#]]</f>
        <v>0</v>
      </c>
      <c r="G64" s="1">
        <f>NMRResults[[#This Row],[Date Run]]</f>
        <v>0</v>
      </c>
    </row>
    <row r="65" spans="1:7" hidden="1" x14ac:dyDescent="0.25">
      <c r="A65" t="str" cm="1">
        <f t="array" ref="A65">IF(ISBLANK(INDEX(SampleList[ICP],ROW()-1)),"Not Requested",INDEX(SampleList[Experiment ID],ROW()-1))</f>
        <v>Not Requested</v>
      </c>
      <c r="B65">
        <f>Sampling!E63</f>
        <v>0</v>
      </c>
      <c r="E65" t="str">
        <f>ICPList[[#This Row],[Experiment ID]]&amp;"_Day"&amp;ICPList[[#This Row],[Duration (Days)]]&amp;"_"&amp;ICPList[[#This Row],[Dilution]]&amp;"x"</f>
        <v>Not Requested_Day0_x</v>
      </c>
      <c r="F65">
        <f>NMRResults[[#This Row],['#]]</f>
        <v>0</v>
      </c>
      <c r="G65" s="1">
        <f>NMRResults[[#This Row],[Date Run]]</f>
        <v>0</v>
      </c>
    </row>
    <row r="66" spans="1:7" hidden="1" x14ac:dyDescent="0.25">
      <c r="A66" t="str" cm="1">
        <f t="array" ref="A66">IF(ISBLANK(INDEX(SampleList[ICP],ROW()-1)),"Not Requested",INDEX(SampleList[Experiment ID],ROW()-1))</f>
        <v>Not Requested</v>
      </c>
      <c r="B66">
        <f>Sampling!E64</f>
        <v>0</v>
      </c>
      <c r="E66" t="str">
        <f>ICPList[[#This Row],[Experiment ID]]&amp;"_Day"&amp;ICPList[[#This Row],[Duration (Days)]]&amp;"_"&amp;ICPList[[#This Row],[Dilution]]&amp;"x"</f>
        <v>Not Requested_Day0_x</v>
      </c>
      <c r="F66">
        <f>NMRResults[[#This Row],['#]]</f>
        <v>0</v>
      </c>
      <c r="G66" s="1">
        <f>NMRResults[[#This Row],[Date Run]]</f>
        <v>0</v>
      </c>
    </row>
    <row r="67" spans="1:7" hidden="1" x14ac:dyDescent="0.25">
      <c r="A67" t="str" cm="1">
        <f t="array" ref="A67">IF(ISBLANK(INDEX(SampleList[ICP],ROW()-1)),"Not Requested",INDEX(SampleList[Experiment ID],ROW()-1))</f>
        <v>Not Requested</v>
      </c>
      <c r="B67">
        <f>Sampling!E65</f>
        <v>0</v>
      </c>
      <c r="E67" t="str">
        <f>ICPList[[#This Row],[Experiment ID]]&amp;"_Day"&amp;ICPList[[#This Row],[Duration (Days)]]&amp;"_"&amp;ICPList[[#This Row],[Dilution]]&amp;"x"</f>
        <v>Not Requested_Day0_x</v>
      </c>
      <c r="F67">
        <f>NMRResults[[#This Row],['#]]</f>
        <v>0</v>
      </c>
      <c r="G67" s="1">
        <f>NMRResults[[#This Row],[Date Run]]</f>
        <v>0</v>
      </c>
    </row>
    <row r="68" spans="1:7" hidden="1" x14ac:dyDescent="0.25">
      <c r="A68" t="str" cm="1">
        <f t="array" ref="A68">IF(ISBLANK(INDEX(SampleList[ICP],ROW()-1)),"Not Requested",INDEX(SampleList[Experiment ID],ROW()-1))</f>
        <v>Not Requested</v>
      </c>
      <c r="B68">
        <f>Sampling!E66</f>
        <v>0</v>
      </c>
      <c r="E68" t="str">
        <f>ICPList[[#This Row],[Experiment ID]]&amp;"_Day"&amp;ICPList[[#This Row],[Duration (Days)]]&amp;"_"&amp;ICPList[[#This Row],[Dilution]]&amp;"x"</f>
        <v>Not Requested_Day0_x</v>
      </c>
      <c r="F68">
        <f>NMRResults[[#This Row],['#]]</f>
        <v>0</v>
      </c>
      <c r="G68" s="1">
        <f>NMRResults[[#This Row],[Date Run]]</f>
        <v>0</v>
      </c>
    </row>
    <row r="69" spans="1:7" hidden="1" x14ac:dyDescent="0.25">
      <c r="A69" t="str" cm="1">
        <f t="array" ref="A69">IF(ISBLANK(INDEX(SampleList[ICP],ROW()-1)),"Not Requested",INDEX(SampleList[Experiment ID],ROW()-1))</f>
        <v>Not Requested</v>
      </c>
      <c r="B69">
        <f>Sampling!E67</f>
        <v>0</v>
      </c>
      <c r="E69" t="str">
        <f>ICPList[[#This Row],[Experiment ID]]&amp;"_Day"&amp;ICPList[[#This Row],[Duration (Days)]]&amp;"_"&amp;ICPList[[#This Row],[Dilution]]&amp;"x"</f>
        <v>Not Requested_Day0_x</v>
      </c>
      <c r="F69">
        <f>NMRResults[[#This Row],['#]]</f>
        <v>0</v>
      </c>
      <c r="G69" s="1">
        <f>NMRResults[[#This Row],[Date Run]]</f>
        <v>0</v>
      </c>
    </row>
    <row r="70" spans="1:7" hidden="1" x14ac:dyDescent="0.25">
      <c r="A70" t="str" cm="1">
        <f t="array" ref="A70">IF(ISBLANK(INDEX(SampleList[ICP],ROW()-1)),"Not Requested",INDEX(SampleList[Experiment ID],ROW()-1))</f>
        <v>Not Requested</v>
      </c>
      <c r="B70">
        <f>Sampling!E68</f>
        <v>0</v>
      </c>
      <c r="E70" t="str">
        <f>ICPList[[#This Row],[Experiment ID]]&amp;"_Day"&amp;ICPList[[#This Row],[Duration (Days)]]&amp;"_"&amp;ICPList[[#This Row],[Dilution]]&amp;"x"</f>
        <v>Not Requested_Day0_x</v>
      </c>
      <c r="F70">
        <f>NMRResults[[#This Row],['#]]</f>
        <v>0</v>
      </c>
      <c r="G70" s="1">
        <f>NMRResults[[#This Row],[Date Run]]</f>
        <v>0</v>
      </c>
    </row>
    <row r="71" spans="1:7" hidden="1" x14ac:dyDescent="0.25">
      <c r="A71" t="str" cm="1">
        <f t="array" ref="A71">IF(ISBLANK(INDEX(SampleList[ICP],ROW()-1)),"Not Requested",INDEX(SampleList[Experiment ID],ROW()-1))</f>
        <v>Not Requested</v>
      </c>
      <c r="B71">
        <f>Sampling!E69</f>
        <v>0</v>
      </c>
      <c r="E71" t="str">
        <f>ICPList[[#This Row],[Experiment ID]]&amp;"_Day"&amp;ICPList[[#This Row],[Duration (Days)]]&amp;"_"&amp;ICPList[[#This Row],[Dilution]]&amp;"x"</f>
        <v>Not Requested_Day0_x</v>
      </c>
      <c r="F71">
        <f>NMRResults[[#This Row],['#]]</f>
        <v>0</v>
      </c>
      <c r="G71" s="1">
        <f>NMRResults[[#This Row],[Date Run]]</f>
        <v>0</v>
      </c>
    </row>
    <row r="72" spans="1:7" hidden="1" x14ac:dyDescent="0.25">
      <c r="A72" t="str" cm="1">
        <f t="array" ref="A72">IF(ISBLANK(INDEX(SampleList[ICP],ROW()-1)),"Not Requested",INDEX(SampleList[Experiment ID],ROW()-1))</f>
        <v>Not Requested</v>
      </c>
      <c r="B72">
        <f>Sampling!E70</f>
        <v>0</v>
      </c>
      <c r="E72" t="str">
        <f>ICPList[[#This Row],[Experiment ID]]&amp;"_Day"&amp;ICPList[[#This Row],[Duration (Days)]]&amp;"_"&amp;ICPList[[#This Row],[Dilution]]&amp;"x"</f>
        <v>Not Requested_Day0_x</v>
      </c>
      <c r="F72">
        <f>NMRResults[[#This Row],['#]]</f>
        <v>0</v>
      </c>
      <c r="G72" s="1">
        <f>NMRResults[[#This Row],[Date Run]]</f>
        <v>0</v>
      </c>
    </row>
    <row r="73" spans="1:7" hidden="1" x14ac:dyDescent="0.25">
      <c r="A73" t="str" cm="1">
        <f t="array" ref="A73">IF(ISBLANK(INDEX(SampleList[ICP],ROW()-1)),"Not Requested",INDEX(SampleList[Experiment ID],ROW()-1))</f>
        <v>Not Requested</v>
      </c>
      <c r="B73">
        <f>Sampling!E71</f>
        <v>0</v>
      </c>
      <c r="E73" t="str">
        <f>ICPList[[#This Row],[Experiment ID]]&amp;"_Day"&amp;ICPList[[#This Row],[Duration (Days)]]&amp;"_"&amp;ICPList[[#This Row],[Dilution]]&amp;"x"</f>
        <v>Not Requested_Day0_x</v>
      </c>
      <c r="F73">
        <f>NMRResults[[#This Row],['#]]</f>
        <v>0</v>
      </c>
      <c r="G73" s="1">
        <f>NMRResults[[#This Row],[Date Run]]</f>
        <v>0</v>
      </c>
    </row>
    <row r="74" spans="1:7" hidden="1" x14ac:dyDescent="0.25">
      <c r="A74" t="str" cm="1">
        <f t="array" ref="A74">IF(ISBLANK(INDEX(SampleList[ICP],ROW()-1)),"Not Requested",INDEX(SampleList[Experiment ID],ROW()-1))</f>
        <v>Not Requested</v>
      </c>
      <c r="B74">
        <f>Sampling!E72</f>
        <v>0</v>
      </c>
      <c r="E74" t="str">
        <f>ICPList[[#This Row],[Experiment ID]]&amp;"_Day"&amp;ICPList[[#This Row],[Duration (Days)]]&amp;"_"&amp;ICPList[[#This Row],[Dilution]]&amp;"x"</f>
        <v>Not Requested_Day0_x</v>
      </c>
      <c r="F74">
        <f>NMRResults[[#This Row],['#]]</f>
        <v>0</v>
      </c>
      <c r="G74" s="1">
        <f>NMRResults[[#This Row],[Date Run]]</f>
        <v>0</v>
      </c>
    </row>
    <row r="75" spans="1:7" hidden="1" x14ac:dyDescent="0.25">
      <c r="A75" t="str" cm="1">
        <f t="array" ref="A75">IF(ISBLANK(INDEX(SampleList[ICP],ROW()-1)),"Not Requested",INDEX(SampleList[Experiment ID],ROW()-1))</f>
        <v>Not Requested</v>
      </c>
      <c r="B75">
        <f>Sampling!E73</f>
        <v>0</v>
      </c>
      <c r="E75" t="str">
        <f>ICPList[[#This Row],[Experiment ID]]&amp;"_Day"&amp;ICPList[[#This Row],[Duration (Days)]]&amp;"_"&amp;ICPList[[#This Row],[Dilution]]&amp;"x"</f>
        <v>Not Requested_Day0_x</v>
      </c>
      <c r="F75">
        <f>NMRResults[[#This Row],['#]]</f>
        <v>0</v>
      </c>
      <c r="G75" s="1">
        <f>NMRResults[[#This Row],[Date Run]]</f>
        <v>0</v>
      </c>
    </row>
    <row r="76" spans="1:7" hidden="1" x14ac:dyDescent="0.25">
      <c r="A76" t="str" cm="1">
        <f t="array" ref="A76">IF(ISBLANK(INDEX(SampleList[ICP],ROW()-1)),"Not Requested",INDEX(SampleList[Experiment ID],ROW()-1))</f>
        <v>Not Requested</v>
      </c>
      <c r="B76">
        <f>Sampling!E74</f>
        <v>0</v>
      </c>
      <c r="E76" t="str">
        <f>ICPList[[#This Row],[Experiment ID]]&amp;"_Day"&amp;ICPList[[#This Row],[Duration (Days)]]&amp;"_"&amp;ICPList[[#This Row],[Dilution]]&amp;"x"</f>
        <v>Not Requested_Day0_x</v>
      </c>
      <c r="F76">
        <f>NMRResults[[#This Row],['#]]</f>
        <v>0</v>
      </c>
      <c r="G76" s="1">
        <f>NMRResults[[#This Row],[Date Run]]</f>
        <v>0</v>
      </c>
    </row>
    <row r="77" spans="1:7" hidden="1" x14ac:dyDescent="0.25">
      <c r="A77" t="str" cm="1">
        <f t="array" ref="A77">IF(ISBLANK(INDEX(SampleList[ICP],ROW()-1)),"Not Requested",INDEX(SampleList[Experiment ID],ROW()-1))</f>
        <v>Not Requested</v>
      </c>
      <c r="B77">
        <f>Sampling!E75</f>
        <v>0</v>
      </c>
      <c r="E77" t="str">
        <f>ICPList[[#This Row],[Experiment ID]]&amp;"_Day"&amp;ICPList[[#This Row],[Duration (Days)]]&amp;"_"&amp;ICPList[[#This Row],[Dilution]]&amp;"x"</f>
        <v>Not Requested_Day0_x</v>
      </c>
      <c r="F77">
        <f>NMRResults[[#This Row],['#]]</f>
        <v>0</v>
      </c>
      <c r="G77" s="1">
        <f>NMRResults[[#This Row],[Date Run]]</f>
        <v>0</v>
      </c>
    </row>
    <row r="78" spans="1:7" hidden="1" x14ac:dyDescent="0.25">
      <c r="A78" t="str" cm="1">
        <f t="array" ref="A78">IF(ISBLANK(INDEX(SampleList[ICP],ROW()-1)),"Not Requested",INDEX(SampleList[Experiment ID],ROW()-1))</f>
        <v>Not Requested</v>
      </c>
      <c r="B78">
        <f>Sampling!E76</f>
        <v>0</v>
      </c>
      <c r="E78" t="str">
        <f>ICPList[[#This Row],[Experiment ID]]&amp;"_Day"&amp;ICPList[[#This Row],[Duration (Days)]]&amp;"_"&amp;ICPList[[#This Row],[Dilution]]&amp;"x"</f>
        <v>Not Requested_Day0_x</v>
      </c>
      <c r="F78">
        <f>NMRResults[[#This Row],['#]]</f>
        <v>0</v>
      </c>
      <c r="G78" s="1">
        <f>NMRResults[[#This Row],[Date Run]]</f>
        <v>0</v>
      </c>
    </row>
    <row r="79" spans="1:7" hidden="1" x14ac:dyDescent="0.25">
      <c r="A79" t="str" cm="1">
        <f t="array" ref="A79">IF(ISBLANK(INDEX(SampleList[ICP],ROW()-1)),"Not Requested",INDEX(SampleList[Experiment ID],ROW()-1))</f>
        <v>Not Requested</v>
      </c>
      <c r="B79">
        <f>Sampling!E77</f>
        <v>0</v>
      </c>
      <c r="E79" t="str">
        <f>ICPList[[#This Row],[Experiment ID]]&amp;"_Day"&amp;ICPList[[#This Row],[Duration (Days)]]&amp;"_"&amp;ICPList[[#This Row],[Dilution]]&amp;"x"</f>
        <v>Not Requested_Day0_x</v>
      </c>
      <c r="F79">
        <f>NMRResults[[#This Row],['#]]</f>
        <v>0</v>
      </c>
      <c r="G79" s="1">
        <f>NMRResults[[#This Row],[Date Run]]</f>
        <v>0</v>
      </c>
    </row>
    <row r="80" spans="1:7" hidden="1" x14ac:dyDescent="0.25">
      <c r="A80" t="str" cm="1">
        <f t="array" ref="A80">IF(ISBLANK(INDEX(SampleList[ICP],ROW()-1)),"Not Requested",INDEX(SampleList[Experiment ID],ROW()-1))</f>
        <v>Not Requested</v>
      </c>
      <c r="B80">
        <f>Sampling!E78</f>
        <v>0</v>
      </c>
      <c r="E80" t="str">
        <f>ICPList[[#This Row],[Experiment ID]]&amp;"_Day"&amp;ICPList[[#This Row],[Duration (Days)]]&amp;"_"&amp;ICPList[[#This Row],[Dilution]]&amp;"x"</f>
        <v>Not Requested_Day0_x</v>
      </c>
      <c r="F80">
        <f>NMRResults[[#This Row],['#]]</f>
        <v>0</v>
      </c>
      <c r="G80" s="1">
        <f>NMRResults[[#This Row],[Date Run]]</f>
        <v>0</v>
      </c>
    </row>
    <row r="81" spans="1:7" hidden="1" x14ac:dyDescent="0.25">
      <c r="A81" t="str" cm="1">
        <f t="array" ref="A81">IF(ISBLANK(INDEX(SampleList[ICP],ROW()-1)),"Not Requested",INDEX(SampleList[Experiment ID],ROW()-1))</f>
        <v>Not Requested</v>
      </c>
      <c r="B81">
        <f>Sampling!E79</f>
        <v>0</v>
      </c>
      <c r="E81" t="str">
        <f>ICPList[[#This Row],[Experiment ID]]&amp;"_Day"&amp;ICPList[[#This Row],[Duration (Days)]]&amp;"_"&amp;ICPList[[#This Row],[Dilution]]&amp;"x"</f>
        <v>Not Requested_Day0_x</v>
      </c>
      <c r="F81">
        <f>NMRResults[[#This Row],['#]]</f>
        <v>0</v>
      </c>
      <c r="G81" s="1">
        <f>NMRResults[[#This Row],[Date Run]]</f>
        <v>0</v>
      </c>
    </row>
    <row r="82" spans="1:7" hidden="1" x14ac:dyDescent="0.25">
      <c r="A82" t="str" cm="1">
        <f t="array" ref="A82">IF(ISBLANK(INDEX(SampleList[ICP],ROW()-1)),"Not Requested",INDEX(SampleList[Experiment ID],ROW()-1))</f>
        <v>Not Requested</v>
      </c>
      <c r="B82">
        <f>Sampling!E80</f>
        <v>0</v>
      </c>
      <c r="E82" t="str">
        <f>ICPList[[#This Row],[Experiment ID]]&amp;"_Day"&amp;ICPList[[#This Row],[Duration (Days)]]&amp;"_"&amp;ICPList[[#This Row],[Dilution]]&amp;"x"</f>
        <v>Not Requested_Day0_x</v>
      </c>
      <c r="F82">
        <f>NMRResults[[#This Row],['#]]</f>
        <v>0</v>
      </c>
      <c r="G82" s="1">
        <f>NMRResults[[#This Row],[Date Run]]</f>
        <v>0</v>
      </c>
    </row>
    <row r="83" spans="1:7" hidden="1" x14ac:dyDescent="0.25">
      <c r="A83" t="str" cm="1">
        <f t="array" ref="A83">IF(ISBLANK(INDEX(SampleList[ICP],ROW()-1)),"Not Requested",INDEX(SampleList[Experiment ID],ROW()-1))</f>
        <v>Not Requested</v>
      </c>
      <c r="B83">
        <f>Sampling!E81</f>
        <v>0</v>
      </c>
      <c r="E83" t="str">
        <f>ICPList[[#This Row],[Experiment ID]]&amp;"_Day"&amp;ICPList[[#This Row],[Duration (Days)]]&amp;"_"&amp;ICPList[[#This Row],[Dilution]]&amp;"x"</f>
        <v>Not Requested_Day0_x</v>
      </c>
      <c r="F83">
        <f>NMRResults[[#This Row],['#]]</f>
        <v>0</v>
      </c>
      <c r="G83" s="1">
        <f>NMRResults[[#This Row],[Date Run]]</f>
        <v>0</v>
      </c>
    </row>
    <row r="84" spans="1:7" hidden="1" x14ac:dyDescent="0.25">
      <c r="A84" t="str" cm="1">
        <f t="array" ref="A84">IF(ISBLANK(INDEX(SampleList[ICP],ROW()-1)),"Not Requested",INDEX(SampleList[Experiment ID],ROW()-1))</f>
        <v>Not Requested</v>
      </c>
      <c r="B84">
        <f>Sampling!E82</f>
        <v>0</v>
      </c>
      <c r="E84" t="str">
        <f>ICPList[[#This Row],[Experiment ID]]&amp;"_Day"&amp;ICPList[[#This Row],[Duration (Days)]]&amp;"_"&amp;ICPList[[#This Row],[Dilution]]&amp;"x"</f>
        <v>Not Requested_Day0_x</v>
      </c>
      <c r="F84">
        <f>NMRResults[[#This Row],['#]]</f>
        <v>0</v>
      </c>
      <c r="G84" s="1">
        <f>NMRResults[[#This Row],[Date Run]]</f>
        <v>0</v>
      </c>
    </row>
    <row r="85" spans="1:7" hidden="1" x14ac:dyDescent="0.25">
      <c r="A85" t="str" cm="1">
        <f t="array" ref="A85">IF(ISBLANK(INDEX(SampleList[ICP],ROW()-1)),"Not Requested",INDEX(SampleList[Experiment ID],ROW()-1))</f>
        <v>Not Requested</v>
      </c>
      <c r="B85">
        <f>Sampling!E83</f>
        <v>0</v>
      </c>
      <c r="E85" t="str">
        <f>ICPList[[#This Row],[Experiment ID]]&amp;"_Day"&amp;ICPList[[#This Row],[Duration (Days)]]&amp;"_"&amp;ICPList[[#This Row],[Dilution]]&amp;"x"</f>
        <v>Not Requested_Day0_x</v>
      </c>
      <c r="F85">
        <f>NMRResults[[#This Row],['#]]</f>
        <v>0</v>
      </c>
      <c r="G85" s="1">
        <f>NMRResults[[#This Row],[Date Run]]</f>
        <v>0</v>
      </c>
    </row>
    <row r="86" spans="1:7" hidden="1" x14ac:dyDescent="0.25">
      <c r="A86" t="str" cm="1">
        <f t="array" ref="A86">IF(ISBLANK(INDEX(SampleList[ICP],ROW()-1)),"Not Requested",INDEX(SampleList[Experiment ID],ROW()-1))</f>
        <v>Not Requested</v>
      </c>
      <c r="B86">
        <f>Sampling!E84</f>
        <v>0</v>
      </c>
      <c r="E86" t="str">
        <f>ICPList[[#This Row],[Experiment ID]]&amp;"_Day"&amp;ICPList[[#This Row],[Duration (Days)]]&amp;"_"&amp;ICPList[[#This Row],[Dilution]]&amp;"x"</f>
        <v>Not Requested_Day0_x</v>
      </c>
      <c r="F86">
        <f>NMRResults[[#This Row],['#]]</f>
        <v>0</v>
      </c>
      <c r="G86" s="1">
        <f>NMRResults[[#This Row],[Date Run]]</f>
        <v>0</v>
      </c>
    </row>
    <row r="87" spans="1:7" hidden="1" x14ac:dyDescent="0.25">
      <c r="A87" t="str" cm="1">
        <f t="array" ref="A87">IF(ISBLANK(INDEX(SampleList[ICP],ROW()-1)),"Not Requested",INDEX(SampleList[Experiment ID],ROW()-1))</f>
        <v>Not Requested</v>
      </c>
      <c r="B87">
        <f>Sampling!E85</f>
        <v>0</v>
      </c>
      <c r="E87" t="str">
        <f>ICPList[[#This Row],[Experiment ID]]&amp;"_Day"&amp;ICPList[[#This Row],[Duration (Days)]]&amp;"_"&amp;ICPList[[#This Row],[Dilution]]&amp;"x"</f>
        <v>Not Requested_Day0_x</v>
      </c>
      <c r="F87">
        <f>NMRResults[[#This Row],['#]]</f>
        <v>0</v>
      </c>
      <c r="G87" s="1">
        <f>NMRResults[[#This Row],[Date Run]]</f>
        <v>0</v>
      </c>
    </row>
    <row r="88" spans="1:7" hidden="1" x14ac:dyDescent="0.25">
      <c r="A88" t="str" cm="1">
        <f t="array" ref="A88">IF(ISBLANK(INDEX(SampleList[ICP],ROW()-1)),"Not Requested",INDEX(SampleList[Experiment ID],ROW()-1))</f>
        <v>Not Requested</v>
      </c>
      <c r="B88">
        <f>Sampling!E86</f>
        <v>0</v>
      </c>
      <c r="E88" t="str">
        <f>ICPList[[#This Row],[Experiment ID]]&amp;"_Day"&amp;ICPList[[#This Row],[Duration (Days)]]&amp;"_"&amp;ICPList[[#This Row],[Dilution]]&amp;"x"</f>
        <v>Not Requested_Day0_x</v>
      </c>
      <c r="F88">
        <f>NMRResults[[#This Row],['#]]</f>
        <v>0</v>
      </c>
      <c r="G88" s="1">
        <f>NMRResults[[#This Row],[Date Run]]</f>
        <v>0</v>
      </c>
    </row>
    <row r="89" spans="1:7" hidden="1" x14ac:dyDescent="0.25">
      <c r="A89" t="str" cm="1">
        <f t="array" ref="A89">IF(ISBLANK(INDEX(SampleList[ICP],ROW()-1)),"Not Requested",INDEX(SampleList[Experiment ID],ROW()-1))</f>
        <v>Not Requested</v>
      </c>
      <c r="B89">
        <f>Sampling!E87</f>
        <v>0</v>
      </c>
      <c r="E89" t="str">
        <f>ICPList[[#This Row],[Experiment ID]]&amp;"_Day"&amp;ICPList[[#This Row],[Duration (Days)]]&amp;"_"&amp;ICPList[[#This Row],[Dilution]]&amp;"x"</f>
        <v>Not Requested_Day0_x</v>
      </c>
      <c r="F89">
        <f>NMRResults[[#This Row],['#]]</f>
        <v>0</v>
      </c>
      <c r="G89" s="1">
        <f>NMRResults[[#This Row],[Date Run]]</f>
        <v>0</v>
      </c>
    </row>
    <row r="90" spans="1:7" hidden="1" x14ac:dyDescent="0.25">
      <c r="A90" t="str" cm="1">
        <f t="array" ref="A90">IF(ISBLANK(INDEX(SampleList[ICP],ROW()-1)),"Not Requested",INDEX(SampleList[Experiment ID],ROW()-1))</f>
        <v>Not Requested</v>
      </c>
      <c r="B90">
        <f>Sampling!E88</f>
        <v>0</v>
      </c>
      <c r="E90" t="str">
        <f>ICPList[[#This Row],[Experiment ID]]&amp;"_Day"&amp;ICPList[[#This Row],[Duration (Days)]]&amp;"_"&amp;ICPList[[#This Row],[Dilution]]&amp;"x"</f>
        <v>Not Requested_Day0_x</v>
      </c>
      <c r="F90">
        <f>NMRResults[[#This Row],['#]]</f>
        <v>0</v>
      </c>
      <c r="G90" s="1">
        <f>NMRResults[[#This Row],[Date Run]]</f>
        <v>0</v>
      </c>
    </row>
    <row r="91" spans="1:7" hidden="1" x14ac:dyDescent="0.25">
      <c r="A91" t="str" cm="1">
        <f t="array" ref="A91">IF(ISBLANK(INDEX(SampleList[ICP],ROW()-1)),"Not Requested",INDEX(SampleList[Experiment ID],ROW()-1))</f>
        <v>Not Requested</v>
      </c>
      <c r="B91">
        <f>Sampling!E89</f>
        <v>0</v>
      </c>
      <c r="E91" t="str">
        <f>ICPList[[#This Row],[Experiment ID]]&amp;"_Day"&amp;ICPList[[#This Row],[Duration (Days)]]&amp;"_"&amp;ICPList[[#This Row],[Dilution]]&amp;"x"</f>
        <v>Not Requested_Day0_x</v>
      </c>
      <c r="F91">
        <f>NMRResults[[#This Row],['#]]</f>
        <v>0</v>
      </c>
      <c r="G91" s="1">
        <f>NMRResults[[#This Row],[Date Run]]</f>
        <v>0</v>
      </c>
    </row>
    <row r="92" spans="1:7" hidden="1" x14ac:dyDescent="0.25">
      <c r="A92" t="str" cm="1">
        <f t="array" ref="A92">IF(ISBLANK(INDEX(SampleList[ICP],ROW()-1)),"Not Requested",INDEX(SampleList[Experiment ID],ROW()-1))</f>
        <v>Not Requested</v>
      </c>
      <c r="B92">
        <f>Sampling!E90</f>
        <v>0</v>
      </c>
      <c r="E92" t="str">
        <f>ICPList[[#This Row],[Experiment ID]]&amp;"_Day"&amp;ICPList[[#This Row],[Duration (Days)]]&amp;"_"&amp;ICPList[[#This Row],[Dilution]]&amp;"x"</f>
        <v>Not Requested_Day0_x</v>
      </c>
      <c r="F92">
        <f>NMRResults[[#This Row],['#]]</f>
        <v>0</v>
      </c>
      <c r="G92" s="1">
        <f>NMRResults[[#This Row],[Date Run]]</f>
        <v>0</v>
      </c>
    </row>
    <row r="93" spans="1:7" hidden="1" x14ac:dyDescent="0.25">
      <c r="A93" t="str" cm="1">
        <f t="array" ref="A93">IF(ISBLANK(INDEX(SampleList[ICP],ROW()-1)),"Not Requested",INDEX(SampleList[Experiment ID],ROW()-1))</f>
        <v>Not Requested</v>
      </c>
      <c r="B93">
        <f>Sampling!E91</f>
        <v>0</v>
      </c>
      <c r="E93" t="str">
        <f>ICPList[[#This Row],[Experiment ID]]&amp;"_Day"&amp;ICPList[[#This Row],[Duration (Days)]]&amp;"_"&amp;ICPList[[#This Row],[Dilution]]&amp;"x"</f>
        <v>Not Requested_Day0_x</v>
      </c>
      <c r="F93">
        <f>NMRResults[[#This Row],['#]]</f>
        <v>0</v>
      </c>
      <c r="G93" s="1">
        <f>NMRResults[[#This Row],[Date Run]]</f>
        <v>0</v>
      </c>
    </row>
    <row r="94" spans="1:7" hidden="1" x14ac:dyDescent="0.25">
      <c r="A94" t="str" cm="1">
        <f t="array" ref="A94">IF(ISBLANK(INDEX(SampleList[ICP],ROW()-1)),"Not Requested",INDEX(SampleList[Experiment ID],ROW()-1))</f>
        <v>Not Requested</v>
      </c>
      <c r="B94">
        <f>Sampling!E92</f>
        <v>0</v>
      </c>
      <c r="E94" t="str">
        <f>ICPList[[#This Row],[Experiment ID]]&amp;"_Day"&amp;ICPList[[#This Row],[Duration (Days)]]&amp;"_"&amp;ICPList[[#This Row],[Dilution]]&amp;"x"</f>
        <v>Not Requested_Day0_x</v>
      </c>
      <c r="F94">
        <f>NMRResults[[#This Row],['#]]</f>
        <v>0</v>
      </c>
      <c r="G94" s="1">
        <f>NMRResults[[#This Row],[Date Run]]</f>
        <v>0</v>
      </c>
    </row>
    <row r="95" spans="1:7" hidden="1" x14ac:dyDescent="0.25">
      <c r="A95" t="str" cm="1">
        <f t="array" ref="A95">IF(ISBLANK(INDEX(SampleList[ICP],ROW()-1)),"Not Requested",INDEX(SampleList[Experiment ID],ROW()-1))</f>
        <v>Not Requested</v>
      </c>
      <c r="B95">
        <f>Sampling!E93</f>
        <v>0</v>
      </c>
      <c r="E95" t="str">
        <f>ICPList[[#This Row],[Experiment ID]]&amp;"_Day"&amp;ICPList[[#This Row],[Duration (Days)]]&amp;"_"&amp;ICPList[[#This Row],[Dilution]]&amp;"x"</f>
        <v>Not Requested_Day0_x</v>
      </c>
      <c r="F95">
        <f>NMRResults[[#This Row],['#]]</f>
        <v>0</v>
      </c>
      <c r="G95" s="1">
        <f>NMRResults[[#This Row],[Date Run]]</f>
        <v>0</v>
      </c>
    </row>
    <row r="96" spans="1:7" hidden="1" x14ac:dyDescent="0.25">
      <c r="A96" t="str" cm="1">
        <f t="array" ref="A96">IF(ISBLANK(INDEX(SampleList[ICP],ROW()-1)),"Not Requested",INDEX(SampleList[Experiment ID],ROW()-1))</f>
        <v>Not Requested</v>
      </c>
      <c r="B96">
        <f>Sampling!E94</f>
        <v>0</v>
      </c>
      <c r="E96" t="str">
        <f>ICPList[[#This Row],[Experiment ID]]&amp;"_Day"&amp;ICPList[[#This Row],[Duration (Days)]]&amp;"_"&amp;ICPList[[#This Row],[Dilution]]&amp;"x"</f>
        <v>Not Requested_Day0_x</v>
      </c>
      <c r="F96">
        <f>NMRResults[[#This Row],['#]]</f>
        <v>0</v>
      </c>
      <c r="G96" s="1">
        <f>NMRResults[[#This Row],[Date Run]]</f>
        <v>0</v>
      </c>
    </row>
    <row r="97" spans="1:7" hidden="1" x14ac:dyDescent="0.25">
      <c r="A97" t="str" cm="1">
        <f t="array" ref="A97">IF(ISBLANK(INDEX(SampleList[ICP],ROW()-1)),"Not Requested",INDEX(SampleList[Experiment ID],ROW()-1))</f>
        <v>Not Requested</v>
      </c>
      <c r="B97">
        <f>Sampling!E95</f>
        <v>0</v>
      </c>
      <c r="E97" t="str">
        <f>ICPList[[#This Row],[Experiment ID]]&amp;"_Day"&amp;ICPList[[#This Row],[Duration (Days)]]&amp;"_"&amp;ICPList[[#This Row],[Dilution]]&amp;"x"</f>
        <v>Not Requested_Day0_x</v>
      </c>
      <c r="F97">
        <f>NMRResults[[#This Row],['#]]</f>
        <v>0</v>
      </c>
      <c r="G97" s="1">
        <f>NMRResults[[#This Row],[Date Run]]</f>
        <v>0</v>
      </c>
    </row>
    <row r="98" spans="1:7" hidden="1" x14ac:dyDescent="0.25">
      <c r="A98" t="str" cm="1">
        <f t="array" ref="A98">IF(ISBLANK(INDEX(SampleList[ICP],ROW()-1)),"Not Requested",INDEX(SampleList[Experiment ID],ROW()-1))</f>
        <v>Not Requested</v>
      </c>
      <c r="B98">
        <f>Sampling!E96</f>
        <v>0</v>
      </c>
      <c r="E98" t="str">
        <f>ICPList[[#This Row],[Experiment ID]]&amp;"_Day"&amp;ICPList[[#This Row],[Duration (Days)]]&amp;"_"&amp;ICPList[[#This Row],[Dilution]]&amp;"x"</f>
        <v>Not Requested_Day0_x</v>
      </c>
      <c r="F98">
        <f>NMRResults[[#This Row],['#]]</f>
        <v>0</v>
      </c>
      <c r="G98" s="1">
        <f>NMRResults[[#This Row],[Date Run]]</f>
        <v>0</v>
      </c>
    </row>
    <row r="99" spans="1:7" hidden="1" x14ac:dyDescent="0.25">
      <c r="A99" t="str" cm="1">
        <f t="array" ref="A99">IF(ISBLANK(INDEX(SampleList[ICP],ROW()-1)),"Not Requested",INDEX(SampleList[Experiment ID],ROW()-1))</f>
        <v>Not Requested</v>
      </c>
      <c r="B99">
        <f>Sampling!E97</f>
        <v>0</v>
      </c>
      <c r="E99" t="str">
        <f>ICPList[[#This Row],[Experiment ID]]&amp;"_Day"&amp;ICPList[[#This Row],[Duration (Days)]]&amp;"_"&amp;ICPList[[#This Row],[Dilution]]&amp;"x"</f>
        <v>Not Requested_Day0_x</v>
      </c>
      <c r="F99">
        <f>NMRResults[[#This Row],['#]]</f>
        <v>0</v>
      </c>
      <c r="G99" s="1">
        <f>NMRResults[[#This Row],[Date Run]]</f>
        <v>0</v>
      </c>
    </row>
    <row r="100" spans="1:7" hidden="1" x14ac:dyDescent="0.25">
      <c r="A100" t="str" cm="1">
        <f t="array" ref="A100">IF(ISBLANK(INDEX(SampleList[ICP],ROW()-1)),"Not Requested",INDEX(SampleList[Experiment ID],ROW()-1))</f>
        <v>Not Requested</v>
      </c>
      <c r="B100">
        <f>Sampling!E98</f>
        <v>0</v>
      </c>
      <c r="E100" t="str">
        <f>ICPList[[#This Row],[Experiment ID]]&amp;"_Day"&amp;ICPList[[#This Row],[Duration (Days)]]&amp;"_"&amp;ICPList[[#This Row],[Dilution]]&amp;"x"</f>
        <v>Not Requested_Day0_x</v>
      </c>
      <c r="F100">
        <f>NMRResults[[#This Row],['#]]</f>
        <v>0</v>
      </c>
      <c r="G100" s="1">
        <f>NMRResults[[#This Row],[Date Run]]</f>
        <v>0</v>
      </c>
    </row>
    <row r="101" spans="1:7" hidden="1" x14ac:dyDescent="0.25">
      <c r="A101" t="str" cm="1">
        <f t="array" ref="A101">IF(ISBLANK(INDEX(SampleList[ICP],ROW()-1)),"Not Requested",INDEX(SampleList[Experiment ID],ROW()-1))</f>
        <v>Not Requested</v>
      </c>
      <c r="B101">
        <f>Sampling!E99</f>
        <v>0</v>
      </c>
      <c r="E101" t="str">
        <f>ICPList[[#This Row],[Experiment ID]]&amp;"_Day"&amp;ICPList[[#This Row],[Duration (Days)]]&amp;"_"&amp;ICPList[[#This Row],[Dilution]]&amp;"x"</f>
        <v>Not Requested_Day0_x</v>
      </c>
      <c r="F101">
        <f>NMRResults[[#This Row],['#]]</f>
        <v>0</v>
      </c>
      <c r="G101" s="1">
        <f>NMRResults[[#This Row],[Date Run]]</f>
        <v>0</v>
      </c>
    </row>
    <row r="102" spans="1:7" hidden="1" x14ac:dyDescent="0.25">
      <c r="A102" t="str" cm="1">
        <f t="array" ref="A102">IF(ISBLANK(INDEX(SampleList[ICP],ROW()-1)),"Not Requested",INDEX(SampleList[Experiment ID],ROW()-1))</f>
        <v>Not Requested</v>
      </c>
      <c r="B102">
        <f>Sampling!E100</f>
        <v>0</v>
      </c>
      <c r="E102" t="str">
        <f>ICPList[[#This Row],[Experiment ID]]&amp;"_Day"&amp;ICPList[[#This Row],[Duration (Days)]]&amp;"_"&amp;ICPList[[#This Row],[Dilution]]&amp;"x"</f>
        <v>Not Requested_Day0_x</v>
      </c>
      <c r="F102">
        <f>NMRResults[[#This Row],['#]]</f>
        <v>0</v>
      </c>
      <c r="G102" s="1">
        <f>NMRResults[[#This Row],[Date Run]]</f>
        <v>0</v>
      </c>
    </row>
    <row r="103" spans="1:7" hidden="1" x14ac:dyDescent="0.25">
      <c r="A103" t="str" cm="1">
        <f t="array" ref="A103">IF(ISBLANK(INDEX(SampleList[ICP],ROW()-1)),"Not Requested",INDEX(SampleList[Experiment ID],ROW()-1))</f>
        <v>Not Requested</v>
      </c>
      <c r="B103">
        <f>Sampling!E101</f>
        <v>0</v>
      </c>
      <c r="E103" t="str">
        <f>ICPList[[#This Row],[Experiment ID]]&amp;"_Day"&amp;ICPList[[#This Row],[Duration (Days)]]&amp;"_"&amp;ICPList[[#This Row],[Dilution]]&amp;"x"</f>
        <v>Not Requested_Day0_x</v>
      </c>
      <c r="F103">
        <f>NMRResults[[#This Row],['#]]</f>
        <v>0</v>
      </c>
      <c r="G103" s="1">
        <f>NMRResults[[#This Row],[Date Run]]</f>
        <v>0</v>
      </c>
    </row>
    <row r="104" spans="1:7" hidden="1" x14ac:dyDescent="0.25">
      <c r="A104" t="str" cm="1">
        <f t="array" ref="A104">IF(ISBLANK(INDEX(SampleList[ICP],ROW()-1)),"Not Requested",INDEX(SampleList[Experiment ID],ROW()-1))</f>
        <v>Not Requested</v>
      </c>
      <c r="B104">
        <f>Sampling!E102</f>
        <v>0</v>
      </c>
      <c r="E104" t="str">
        <f>ICPList[[#This Row],[Experiment ID]]&amp;"_Day"&amp;ICPList[[#This Row],[Duration (Days)]]&amp;"_"&amp;ICPList[[#This Row],[Dilution]]&amp;"x"</f>
        <v>Not Requested_Day0_x</v>
      </c>
      <c r="F104">
        <f>NMRResults[[#This Row],['#]]</f>
        <v>0</v>
      </c>
      <c r="G104" s="1">
        <f>NMRResults[[#This Row],[Date Run]]</f>
        <v>0</v>
      </c>
    </row>
    <row r="105" spans="1:7" hidden="1" x14ac:dyDescent="0.25">
      <c r="A105" t="str" cm="1">
        <f t="array" ref="A105">IF(ISBLANK(INDEX(SampleList[ICP],ROW()-1)),"Not Requested",INDEX(SampleList[Experiment ID],ROW()-1))</f>
        <v>Not Requested</v>
      </c>
      <c r="B105">
        <f>Sampling!E103</f>
        <v>0</v>
      </c>
      <c r="E105" t="str">
        <f>ICPList[[#This Row],[Experiment ID]]&amp;"_Day"&amp;ICPList[[#This Row],[Duration (Days)]]&amp;"_"&amp;ICPList[[#This Row],[Dilution]]&amp;"x"</f>
        <v>Not Requested_Day0_x</v>
      </c>
      <c r="F105">
        <f>NMRResults[[#This Row],['#]]</f>
        <v>0</v>
      </c>
      <c r="G105" s="1">
        <f>NMRResults[[#This Row],[Date Run]]</f>
        <v>0</v>
      </c>
    </row>
    <row r="106" spans="1:7" hidden="1" x14ac:dyDescent="0.25">
      <c r="A106" t="str" cm="1">
        <f t="array" ref="A106">IF(ISBLANK(INDEX(SampleList[ICP],ROW()-1)),"Not Requested",INDEX(SampleList[Experiment ID],ROW()-1))</f>
        <v>Not Requested</v>
      </c>
      <c r="B106">
        <f>Sampling!E104</f>
        <v>0</v>
      </c>
      <c r="E106" t="str">
        <f>ICPList[[#This Row],[Experiment ID]]&amp;"_Day"&amp;ICPList[[#This Row],[Duration (Days)]]&amp;"_"&amp;ICPList[[#This Row],[Dilution]]&amp;"x"</f>
        <v>Not Requested_Day0_x</v>
      </c>
      <c r="F106">
        <f>NMRResults[[#This Row],['#]]</f>
        <v>0</v>
      </c>
      <c r="G106" s="1">
        <f>NMRResults[[#This Row],[Date Run]]</f>
        <v>0</v>
      </c>
    </row>
    <row r="107" spans="1:7" hidden="1" x14ac:dyDescent="0.25">
      <c r="A107" t="str" cm="1">
        <f t="array" ref="A107">IF(ISBLANK(INDEX(SampleList[ICP],ROW()-1)),"Not Requested",INDEX(SampleList[Experiment ID],ROW()-1))</f>
        <v>Not Requested</v>
      </c>
      <c r="B107">
        <f>Sampling!E105</f>
        <v>0</v>
      </c>
      <c r="E107" t="str">
        <f>ICPList[[#This Row],[Experiment ID]]&amp;"_Day"&amp;ICPList[[#This Row],[Duration (Days)]]&amp;"_"&amp;ICPList[[#This Row],[Dilution]]&amp;"x"</f>
        <v>Not Requested_Day0_x</v>
      </c>
      <c r="F107">
        <f>NMRResults[[#This Row],['#]]</f>
        <v>0</v>
      </c>
      <c r="G107" s="1">
        <f>NMRResults[[#This Row],[Date Run]]</f>
        <v>0</v>
      </c>
    </row>
    <row r="108" spans="1:7" hidden="1" x14ac:dyDescent="0.25">
      <c r="A108" t="str" cm="1">
        <f t="array" ref="A108">IF(ISBLANK(INDEX(SampleList[ICP],ROW()-1)),"Not Requested",INDEX(SampleList[Experiment ID],ROW()-1))</f>
        <v>Not Requested</v>
      </c>
      <c r="B108">
        <f>Sampling!E106</f>
        <v>0</v>
      </c>
      <c r="E108" t="str">
        <f>ICPList[[#This Row],[Experiment ID]]&amp;"_Day"&amp;ICPList[[#This Row],[Duration (Days)]]&amp;"_"&amp;ICPList[[#This Row],[Dilution]]&amp;"x"</f>
        <v>Not Requested_Day0_x</v>
      </c>
      <c r="F108">
        <f>NMRResults[[#This Row],['#]]</f>
        <v>0</v>
      </c>
      <c r="G108" s="1">
        <f>NMRResults[[#This Row],[Date Run]]</f>
        <v>0</v>
      </c>
    </row>
    <row r="109" spans="1:7" hidden="1" x14ac:dyDescent="0.25">
      <c r="A109" t="str" cm="1">
        <f t="array" ref="A109">IF(ISBLANK(INDEX(SampleList[ICP],ROW()-1)),"Not Requested",INDEX(SampleList[Experiment ID],ROW()-1))</f>
        <v>Not Requested</v>
      </c>
      <c r="B109">
        <f>Sampling!E107</f>
        <v>0</v>
      </c>
      <c r="E109" t="str">
        <f>ICPList[[#This Row],[Experiment ID]]&amp;"_Day"&amp;ICPList[[#This Row],[Duration (Days)]]&amp;"_"&amp;ICPList[[#This Row],[Dilution]]&amp;"x"</f>
        <v>Not Requested_Day0_x</v>
      </c>
      <c r="F109">
        <f>NMRResults[[#This Row],['#]]</f>
        <v>0</v>
      </c>
      <c r="G109" s="1">
        <f>NMRResults[[#This Row],[Date Run]]</f>
        <v>0</v>
      </c>
    </row>
    <row r="110" spans="1:7" hidden="1" x14ac:dyDescent="0.25">
      <c r="A110" t="str" cm="1">
        <f t="array" ref="A110">IF(ISBLANK(INDEX(SampleList[ICP],ROW()-1)),"Not Requested",INDEX(SampleList[Experiment ID],ROW()-1))</f>
        <v>Not Requested</v>
      </c>
      <c r="B110">
        <f>Sampling!E108</f>
        <v>0</v>
      </c>
      <c r="E110" t="str">
        <f>ICPList[[#This Row],[Experiment ID]]&amp;"_Day"&amp;ICPList[[#This Row],[Duration (Days)]]&amp;"_"&amp;ICPList[[#This Row],[Dilution]]&amp;"x"</f>
        <v>Not Requested_Day0_x</v>
      </c>
      <c r="F110">
        <f>NMRResults[[#This Row],['#]]</f>
        <v>0</v>
      </c>
      <c r="G110" s="1">
        <f>NMRResults[[#This Row],[Date Run]]</f>
        <v>0</v>
      </c>
    </row>
    <row r="111" spans="1:7" hidden="1" x14ac:dyDescent="0.25">
      <c r="A111" t="str" cm="1">
        <f t="array" ref="A111">IF(ISBLANK(INDEX(SampleList[ICP],ROW()-1)),"Not Requested",INDEX(SampleList[Experiment ID],ROW()-1))</f>
        <v>Not Requested</v>
      </c>
      <c r="B111">
        <f>Sampling!E109</f>
        <v>0</v>
      </c>
      <c r="E111" t="str">
        <f>ICPList[[#This Row],[Experiment ID]]&amp;"_Day"&amp;ICPList[[#This Row],[Duration (Days)]]&amp;"_"&amp;ICPList[[#This Row],[Dilution]]&amp;"x"</f>
        <v>Not Requested_Day0_x</v>
      </c>
      <c r="F111">
        <f>NMRResults[[#This Row],['#]]</f>
        <v>0</v>
      </c>
      <c r="G111" s="1">
        <f>NMRResults[[#This Row],[Date Run]]</f>
        <v>0</v>
      </c>
    </row>
    <row r="112" spans="1:7" hidden="1" x14ac:dyDescent="0.25">
      <c r="A112" t="str" cm="1">
        <f t="array" ref="A112">IF(ISBLANK(INDEX(SampleList[ICP],ROW()-1)),"Not Requested",INDEX(SampleList[Experiment ID],ROW()-1))</f>
        <v>Not Requested</v>
      </c>
      <c r="B112">
        <f>Sampling!E110</f>
        <v>0</v>
      </c>
      <c r="E112" t="str">
        <f>ICPList[[#This Row],[Experiment ID]]&amp;"_Day"&amp;ICPList[[#This Row],[Duration (Days)]]&amp;"_"&amp;ICPList[[#This Row],[Dilution]]&amp;"x"</f>
        <v>Not Requested_Day0_x</v>
      </c>
      <c r="F112">
        <f>NMRResults[[#This Row],['#]]</f>
        <v>0</v>
      </c>
      <c r="G112" s="1">
        <f>NMRResults[[#This Row],[Date Run]]</f>
        <v>0</v>
      </c>
    </row>
    <row r="113" spans="1:7" hidden="1" x14ac:dyDescent="0.25">
      <c r="A113" t="str" cm="1">
        <f t="array" ref="A113">IF(ISBLANK(INDEX(SampleList[ICP],ROW()-1)),"Not Requested",INDEX(SampleList[Experiment ID],ROW()-1))</f>
        <v>Not Requested</v>
      </c>
      <c r="B113">
        <f>Sampling!E111</f>
        <v>0</v>
      </c>
      <c r="E113" t="str">
        <f>ICPList[[#This Row],[Experiment ID]]&amp;"_Day"&amp;ICPList[[#This Row],[Duration (Days)]]&amp;"_"&amp;ICPList[[#This Row],[Dilution]]&amp;"x"</f>
        <v>Not Requested_Day0_x</v>
      </c>
      <c r="F113">
        <f>NMRResults[[#This Row],['#]]</f>
        <v>0</v>
      </c>
      <c r="G113" s="1">
        <f>NMRResults[[#This Row],[Date Run]]</f>
        <v>0</v>
      </c>
    </row>
    <row r="114" spans="1:7" hidden="1" x14ac:dyDescent="0.25">
      <c r="A114" t="str" cm="1">
        <f t="array" ref="A114">IF(ISBLANK(INDEX(SampleList[ICP],ROW()-1)),"Not Requested",INDEX(SampleList[Experiment ID],ROW()-1))</f>
        <v>Not Requested</v>
      </c>
      <c r="B114">
        <f>Sampling!E112</f>
        <v>0</v>
      </c>
      <c r="E114" t="str">
        <f>ICPList[[#This Row],[Experiment ID]]&amp;"_Day"&amp;ICPList[[#This Row],[Duration (Days)]]&amp;"_"&amp;ICPList[[#This Row],[Dilution]]&amp;"x"</f>
        <v>Not Requested_Day0_x</v>
      </c>
      <c r="F114">
        <f>NMRResults[[#This Row],['#]]</f>
        <v>0</v>
      </c>
      <c r="G114" s="1">
        <f>NMRResults[[#This Row],[Date Run]]</f>
        <v>0</v>
      </c>
    </row>
    <row r="115" spans="1:7" hidden="1" x14ac:dyDescent="0.25">
      <c r="A115" t="str" cm="1">
        <f t="array" ref="A115">IF(ISBLANK(INDEX(SampleList[ICP],ROW()-1)),"Not Requested",INDEX(SampleList[Experiment ID],ROW()-1))</f>
        <v>Not Requested</v>
      </c>
      <c r="B115">
        <f>Sampling!E113</f>
        <v>0</v>
      </c>
      <c r="E115" t="str">
        <f>ICPList[[#This Row],[Experiment ID]]&amp;"_Day"&amp;ICPList[[#This Row],[Duration (Days)]]&amp;"_"&amp;ICPList[[#This Row],[Dilution]]&amp;"x"</f>
        <v>Not Requested_Day0_x</v>
      </c>
      <c r="F115">
        <f>NMRResults[[#This Row],['#]]</f>
        <v>0</v>
      </c>
      <c r="G115" s="1">
        <f>NMRResults[[#This Row],[Date Run]]</f>
        <v>0</v>
      </c>
    </row>
    <row r="116" spans="1:7" hidden="1" x14ac:dyDescent="0.25">
      <c r="A116" t="str" cm="1">
        <f t="array" ref="A116">IF(ISBLANK(INDEX(SampleList[ICP],ROW()-1)),"Not Requested",INDEX(SampleList[Experiment ID],ROW()-1))</f>
        <v>Not Requested</v>
      </c>
      <c r="B116">
        <f>Sampling!E114</f>
        <v>0</v>
      </c>
      <c r="E116" t="str">
        <f>ICPList[[#This Row],[Experiment ID]]&amp;"_Day"&amp;ICPList[[#This Row],[Duration (Days)]]&amp;"_"&amp;ICPList[[#This Row],[Dilution]]&amp;"x"</f>
        <v>Not Requested_Day0_x</v>
      </c>
      <c r="F116">
        <f>NMRResults[[#This Row],['#]]</f>
        <v>0</v>
      </c>
      <c r="G116" s="1">
        <f>NMRResults[[#This Row],[Date Run]]</f>
        <v>0</v>
      </c>
    </row>
    <row r="117" spans="1:7" hidden="1" x14ac:dyDescent="0.25">
      <c r="A117" t="str" cm="1">
        <f t="array" ref="A117">IF(ISBLANK(INDEX(SampleList[ICP],ROW()-1)),"Not Requested",INDEX(SampleList[Experiment ID],ROW()-1))</f>
        <v>Not Requested</v>
      </c>
      <c r="B117">
        <f>Sampling!E115</f>
        <v>0</v>
      </c>
      <c r="E117" t="str">
        <f>ICPList[[#This Row],[Experiment ID]]&amp;"_Day"&amp;ICPList[[#This Row],[Duration (Days)]]&amp;"_"&amp;ICPList[[#This Row],[Dilution]]&amp;"x"</f>
        <v>Not Requested_Day0_x</v>
      </c>
      <c r="F117">
        <f>NMRResults[[#This Row],['#]]</f>
        <v>0</v>
      </c>
      <c r="G117" s="1">
        <f>NMRResults[[#This Row],[Date Run]]</f>
        <v>0</v>
      </c>
    </row>
    <row r="118" spans="1:7" hidden="1" x14ac:dyDescent="0.25">
      <c r="A118" t="str" cm="1">
        <f t="array" ref="A118">IF(ISBLANK(INDEX(SampleList[ICP],ROW()-1)),"Not Requested",INDEX(SampleList[Experiment ID],ROW()-1))</f>
        <v>Not Requested</v>
      </c>
      <c r="B118">
        <f>Sampling!E116</f>
        <v>0</v>
      </c>
      <c r="E118" t="str">
        <f>ICPList[[#This Row],[Experiment ID]]&amp;"_Day"&amp;ICPList[[#This Row],[Duration (Days)]]&amp;"_"&amp;ICPList[[#This Row],[Dilution]]&amp;"x"</f>
        <v>Not Requested_Day0_x</v>
      </c>
      <c r="F118">
        <f>NMRResults[[#This Row],['#]]</f>
        <v>0</v>
      </c>
      <c r="G118" s="1">
        <f>NMRResults[[#This Row],[Date Run]]</f>
        <v>0</v>
      </c>
    </row>
    <row r="119" spans="1:7" hidden="1" x14ac:dyDescent="0.25">
      <c r="A119" t="str" cm="1">
        <f t="array" ref="A119">IF(ISBLANK(INDEX(SampleList[ICP],ROW()-1)),"Not Requested",INDEX(SampleList[Experiment ID],ROW()-1))</f>
        <v>Not Requested</v>
      </c>
      <c r="B119">
        <f>Sampling!E117</f>
        <v>0</v>
      </c>
      <c r="E119" t="str">
        <f>ICPList[[#This Row],[Experiment ID]]&amp;"_Day"&amp;ICPList[[#This Row],[Duration (Days)]]&amp;"_"&amp;ICPList[[#This Row],[Dilution]]&amp;"x"</f>
        <v>Not Requested_Day0_x</v>
      </c>
      <c r="F119">
        <f>NMRResults[[#This Row],['#]]</f>
        <v>0</v>
      </c>
      <c r="G119" s="1">
        <f>NMRResults[[#This Row],[Date Run]]</f>
        <v>0</v>
      </c>
    </row>
    <row r="120" spans="1:7" hidden="1" x14ac:dyDescent="0.25">
      <c r="A120" t="str" cm="1">
        <f t="array" ref="A120">IF(ISBLANK(INDEX(SampleList[ICP],ROW()-1)),"Not Requested",INDEX(SampleList[Experiment ID],ROW()-1))</f>
        <v>Not Requested</v>
      </c>
      <c r="B120">
        <f>Sampling!E118</f>
        <v>0</v>
      </c>
      <c r="E120" t="str">
        <f>ICPList[[#This Row],[Experiment ID]]&amp;"_Day"&amp;ICPList[[#This Row],[Duration (Days)]]&amp;"_"&amp;ICPList[[#This Row],[Dilution]]&amp;"x"</f>
        <v>Not Requested_Day0_x</v>
      </c>
      <c r="F120">
        <f>NMRResults[[#This Row],['#]]</f>
        <v>0</v>
      </c>
      <c r="G120" s="1">
        <f>NMRResults[[#This Row],[Date Run]]</f>
        <v>0</v>
      </c>
    </row>
    <row r="121" spans="1:7" hidden="1" x14ac:dyDescent="0.25">
      <c r="A121" t="str" cm="1">
        <f t="array" ref="A121">IF(ISBLANK(INDEX(SampleList[ICP],ROW()-1)),"Not Requested",INDEX(SampleList[Experiment ID],ROW()-1))</f>
        <v>Not Requested</v>
      </c>
      <c r="B121">
        <f>Sampling!E119</f>
        <v>0</v>
      </c>
      <c r="E121" t="str">
        <f>ICPList[[#This Row],[Experiment ID]]&amp;"_Day"&amp;ICPList[[#This Row],[Duration (Days)]]&amp;"_"&amp;ICPList[[#This Row],[Dilution]]&amp;"x"</f>
        <v>Not Requested_Day0_x</v>
      </c>
      <c r="F121">
        <f>NMRResults[[#This Row],['#]]</f>
        <v>0</v>
      </c>
      <c r="G121" s="1">
        <f>NMRResults[[#This Row],[Date Run]]</f>
        <v>0</v>
      </c>
    </row>
    <row r="122" spans="1:7" hidden="1" x14ac:dyDescent="0.25">
      <c r="A122" t="str" cm="1">
        <f t="array" ref="A122">IF(ISBLANK(INDEX(SampleList[ICP],ROW()-1)),"Not Requested",INDEX(SampleList[Experiment ID],ROW()-1))</f>
        <v>Not Requested</v>
      </c>
      <c r="B122">
        <f>Sampling!E120</f>
        <v>0</v>
      </c>
      <c r="E122" t="str">
        <f>ICPList[[#This Row],[Experiment ID]]&amp;"_Day"&amp;ICPList[[#This Row],[Duration (Days)]]&amp;"_"&amp;ICPList[[#This Row],[Dilution]]&amp;"x"</f>
        <v>Not Requested_Day0_x</v>
      </c>
      <c r="F122">
        <f>NMRResults[[#This Row],['#]]</f>
        <v>0</v>
      </c>
      <c r="G122" s="1">
        <f>NMRResults[[#This Row],[Date Run]]</f>
        <v>0</v>
      </c>
    </row>
    <row r="123" spans="1:7" hidden="1" x14ac:dyDescent="0.25">
      <c r="A123" t="str" cm="1">
        <f t="array" ref="A123">IF(ISBLANK(INDEX(SampleList[ICP],ROW()-1)),"Not Requested",INDEX(SampleList[Experiment ID],ROW()-1))</f>
        <v>Not Requested</v>
      </c>
      <c r="B123">
        <f>Sampling!E121</f>
        <v>0</v>
      </c>
      <c r="E123" t="str">
        <f>ICPList[[#This Row],[Experiment ID]]&amp;"_Day"&amp;ICPList[[#This Row],[Duration (Days)]]&amp;"_"&amp;ICPList[[#This Row],[Dilution]]&amp;"x"</f>
        <v>Not Requested_Day0_x</v>
      </c>
      <c r="F123">
        <f>NMRResults[[#This Row],['#]]</f>
        <v>0</v>
      </c>
      <c r="G123" s="1">
        <f>NMRResults[[#This Row],[Date Run]]</f>
        <v>0</v>
      </c>
    </row>
    <row r="124" spans="1:7" hidden="1" x14ac:dyDescent="0.25">
      <c r="A124" t="str" cm="1">
        <f t="array" ref="A124">IF(ISBLANK(INDEX(SampleList[ICP],ROW()-1)),"Not Requested",INDEX(SampleList[Experiment ID],ROW()-1))</f>
        <v>Not Requested</v>
      </c>
      <c r="B124">
        <f>Sampling!E122</f>
        <v>0</v>
      </c>
      <c r="E124" t="str">
        <f>ICPList[[#This Row],[Experiment ID]]&amp;"_Day"&amp;ICPList[[#This Row],[Duration (Days)]]&amp;"_"&amp;ICPList[[#This Row],[Dilution]]&amp;"x"</f>
        <v>Not Requested_Day0_x</v>
      </c>
      <c r="F124">
        <f>NMRResults[[#This Row],['#]]</f>
        <v>0</v>
      </c>
      <c r="G124" s="1">
        <f>NMRResults[[#This Row],[Date Run]]</f>
        <v>0</v>
      </c>
    </row>
    <row r="125" spans="1:7" hidden="1" x14ac:dyDescent="0.25">
      <c r="A125" t="str" cm="1">
        <f t="array" ref="A125">IF(ISBLANK(INDEX(SampleList[ICP],ROW()-1)),"Not Requested",INDEX(SampleList[Experiment ID],ROW()-1))</f>
        <v>Not Requested</v>
      </c>
      <c r="B125">
        <f>Sampling!E123</f>
        <v>0</v>
      </c>
      <c r="E125" t="str">
        <f>ICPList[[#This Row],[Experiment ID]]&amp;"_Day"&amp;ICPList[[#This Row],[Duration (Days)]]&amp;"_"&amp;ICPList[[#This Row],[Dilution]]&amp;"x"</f>
        <v>Not Requested_Day0_x</v>
      </c>
      <c r="F125">
        <f>NMRResults[[#This Row],['#]]</f>
        <v>0</v>
      </c>
      <c r="G125" s="1">
        <f>NMRResults[[#This Row],[Date Run]]</f>
        <v>0</v>
      </c>
    </row>
    <row r="126" spans="1:7" hidden="1" x14ac:dyDescent="0.25">
      <c r="A126" t="str" cm="1">
        <f t="array" ref="A126">IF(ISBLANK(INDEX(SampleList[ICP],ROW()-1)),"Not Requested",INDEX(SampleList[Experiment ID],ROW()-1))</f>
        <v>Not Requested</v>
      </c>
      <c r="B126">
        <f>Sampling!E124</f>
        <v>0</v>
      </c>
      <c r="E126" t="str">
        <f>ICPList[[#This Row],[Experiment ID]]&amp;"_Day"&amp;ICPList[[#This Row],[Duration (Days)]]&amp;"_"&amp;ICPList[[#This Row],[Dilution]]&amp;"x"</f>
        <v>Not Requested_Day0_x</v>
      </c>
      <c r="F126">
        <f>NMRResults[[#This Row],['#]]</f>
        <v>0</v>
      </c>
      <c r="G126" s="1">
        <f>NMRResults[[#This Row],[Date Run]]</f>
        <v>0</v>
      </c>
    </row>
    <row r="127" spans="1:7" hidden="1" x14ac:dyDescent="0.25">
      <c r="A127" t="str" cm="1">
        <f t="array" ref="A127">IF(ISBLANK(INDEX(SampleList[ICP],ROW()-1)),"Not Requested",INDEX(SampleList[Experiment ID],ROW()-1))</f>
        <v>Not Requested</v>
      </c>
      <c r="B127">
        <f>Sampling!E125</f>
        <v>0</v>
      </c>
      <c r="E127" t="str">
        <f>ICPList[[#This Row],[Experiment ID]]&amp;"_Day"&amp;ICPList[[#This Row],[Duration (Days)]]&amp;"_"&amp;ICPList[[#This Row],[Dilution]]&amp;"x"</f>
        <v>Not Requested_Day0_x</v>
      </c>
      <c r="F127">
        <f>NMRResults[[#This Row],['#]]</f>
        <v>0</v>
      </c>
      <c r="G127" s="1">
        <f>NMRResults[[#This Row],[Date Run]]</f>
        <v>0</v>
      </c>
    </row>
    <row r="128" spans="1:7" hidden="1" x14ac:dyDescent="0.25">
      <c r="A128" t="str" cm="1">
        <f t="array" ref="A128">IF(ISBLANK(INDEX(SampleList[ICP],ROW()-1)),"Not Requested",INDEX(SampleList[Experiment ID],ROW()-1))</f>
        <v>Not Requested</v>
      </c>
      <c r="B128">
        <f>Sampling!E126</f>
        <v>0</v>
      </c>
      <c r="E128" t="str">
        <f>ICPList[[#This Row],[Experiment ID]]&amp;"_Day"&amp;ICPList[[#This Row],[Duration (Days)]]&amp;"_"&amp;ICPList[[#This Row],[Dilution]]&amp;"x"</f>
        <v>Not Requested_Day0_x</v>
      </c>
      <c r="F128">
        <f>NMRResults[[#This Row],['#]]</f>
        <v>0</v>
      </c>
      <c r="G128" s="1">
        <f>NMRResults[[#This Row],[Date Run]]</f>
        <v>0</v>
      </c>
    </row>
    <row r="129" spans="1:7" hidden="1" x14ac:dyDescent="0.25">
      <c r="A129" t="str" cm="1">
        <f t="array" ref="A129">IF(ISBLANK(INDEX(SampleList[ICP],ROW()-1)),"Not Requested",INDEX(SampleList[Experiment ID],ROW()-1))</f>
        <v>Not Requested</v>
      </c>
      <c r="B129">
        <f>Sampling!E127</f>
        <v>0</v>
      </c>
      <c r="E129" t="str">
        <f>ICPList[[#This Row],[Experiment ID]]&amp;"_Day"&amp;ICPList[[#This Row],[Duration (Days)]]&amp;"_"&amp;ICPList[[#This Row],[Dilution]]&amp;"x"</f>
        <v>Not Requested_Day0_x</v>
      </c>
      <c r="F129">
        <f>NMRResults[[#This Row],['#]]</f>
        <v>0</v>
      </c>
      <c r="G129" s="1">
        <f>NMRResults[[#This Row],[Date Run]]</f>
        <v>0</v>
      </c>
    </row>
    <row r="130" spans="1:7" hidden="1" x14ac:dyDescent="0.25">
      <c r="A130" t="str" cm="1">
        <f t="array" ref="A130">IF(ISBLANK(INDEX(SampleList[ICP],ROW()-1)),"Not Requested",INDEX(SampleList[Experiment ID],ROW()-1))</f>
        <v>Not Requested</v>
      </c>
      <c r="B130">
        <f>Sampling!E128</f>
        <v>0</v>
      </c>
      <c r="E130" t="str">
        <f>ICPList[[#This Row],[Experiment ID]]&amp;"_Day"&amp;ICPList[[#This Row],[Duration (Days)]]&amp;"_"&amp;ICPList[[#This Row],[Dilution]]&amp;"x"</f>
        <v>Not Requested_Day0_x</v>
      </c>
      <c r="F130">
        <f>NMRResults[[#This Row],['#]]</f>
        <v>0</v>
      </c>
      <c r="G130" s="1">
        <f>NMRResults[[#This Row],[Date Run]]</f>
        <v>0</v>
      </c>
    </row>
    <row r="131" spans="1:7" hidden="1" x14ac:dyDescent="0.25">
      <c r="A131" t="str" cm="1">
        <f t="array" ref="A131">IF(ISBLANK(INDEX(SampleList[ICP],ROW()-1)),"Not Requested",INDEX(SampleList[Experiment ID],ROW()-1))</f>
        <v>Not Requested</v>
      </c>
      <c r="B131">
        <f>Sampling!E129</f>
        <v>0</v>
      </c>
      <c r="E131" t="str">
        <f>ICPList[[#This Row],[Experiment ID]]&amp;"_Day"&amp;ICPList[[#This Row],[Duration (Days)]]&amp;"_"&amp;ICPList[[#This Row],[Dilution]]&amp;"x"</f>
        <v>Not Requested_Day0_x</v>
      </c>
      <c r="F131">
        <f>NMRResults[[#This Row],['#]]</f>
        <v>0</v>
      </c>
      <c r="G131" s="1">
        <f>NMRResults[[#This Row],[Date Run]]</f>
        <v>0</v>
      </c>
    </row>
    <row r="132" spans="1:7" hidden="1" x14ac:dyDescent="0.25">
      <c r="A132" t="str" cm="1">
        <f t="array" ref="A132">IF(ISBLANK(INDEX(SampleList[ICP],ROW()-1)),"Not Requested",INDEX(SampleList[Experiment ID],ROW()-1))</f>
        <v>Not Requested</v>
      </c>
      <c r="B132">
        <f>Sampling!E130</f>
        <v>0</v>
      </c>
      <c r="E132" t="str">
        <f>ICPList[[#This Row],[Experiment ID]]&amp;"_Day"&amp;ICPList[[#This Row],[Duration (Days)]]&amp;"_"&amp;ICPList[[#This Row],[Dilution]]&amp;"x"</f>
        <v>Not Requested_Day0_x</v>
      </c>
      <c r="F132">
        <f>NMRResults[[#This Row],['#]]</f>
        <v>0</v>
      </c>
      <c r="G132" s="1">
        <f>NMRResults[[#This Row],[Date Run]]</f>
        <v>0</v>
      </c>
    </row>
    <row r="133" spans="1:7" hidden="1" x14ac:dyDescent="0.25">
      <c r="A133" t="str" cm="1">
        <f t="array" ref="A133">IF(ISBLANK(INDEX(SampleList[ICP],ROW()-1)),"Not Requested",INDEX(SampleList[Experiment ID],ROW()-1))</f>
        <v>Not Requested</v>
      </c>
      <c r="B133">
        <f>Sampling!E131</f>
        <v>0</v>
      </c>
      <c r="E133" t="str">
        <f>ICPList[[#This Row],[Experiment ID]]&amp;"_Day"&amp;ICPList[[#This Row],[Duration (Days)]]&amp;"_"&amp;ICPList[[#This Row],[Dilution]]&amp;"x"</f>
        <v>Not Requested_Day0_x</v>
      </c>
      <c r="F133">
        <f>NMRResults[[#This Row],['#]]</f>
        <v>0</v>
      </c>
      <c r="G133" s="1">
        <f>NMRResults[[#This Row],[Date Run]]</f>
        <v>0</v>
      </c>
    </row>
    <row r="134" spans="1:7" hidden="1" x14ac:dyDescent="0.25">
      <c r="A134" t="str" cm="1">
        <f t="array" ref="A134">IF(ISBLANK(INDEX(SampleList[ICP],ROW()-1)),"Not Requested",INDEX(SampleList[Experiment ID],ROW()-1))</f>
        <v>Not Requested</v>
      </c>
      <c r="B134">
        <f>Sampling!E132</f>
        <v>0</v>
      </c>
      <c r="E134" t="str">
        <f>ICPList[[#This Row],[Experiment ID]]&amp;"_Day"&amp;ICPList[[#This Row],[Duration (Days)]]&amp;"_"&amp;ICPList[[#This Row],[Dilution]]&amp;"x"</f>
        <v>Not Requested_Day0_x</v>
      </c>
      <c r="F134">
        <f>NMRResults[[#This Row],['#]]</f>
        <v>0</v>
      </c>
      <c r="G134" s="1">
        <f>NMRResults[[#This Row],[Date Run]]</f>
        <v>0</v>
      </c>
    </row>
    <row r="135" spans="1:7" hidden="1" x14ac:dyDescent="0.25">
      <c r="A135" t="str" cm="1">
        <f t="array" ref="A135">IF(ISBLANK(INDEX(SampleList[ICP],ROW()-1)),"Not Requested",INDEX(SampleList[Experiment ID],ROW()-1))</f>
        <v>Not Requested</v>
      </c>
      <c r="B135">
        <f>Sampling!E133</f>
        <v>0</v>
      </c>
      <c r="E135" t="str">
        <f>ICPList[[#This Row],[Experiment ID]]&amp;"_Day"&amp;ICPList[[#This Row],[Duration (Days)]]&amp;"_"&amp;ICPList[[#This Row],[Dilution]]&amp;"x"</f>
        <v>Not Requested_Day0_x</v>
      </c>
      <c r="F135">
        <f>NMRResults[[#This Row],['#]]</f>
        <v>0</v>
      </c>
      <c r="G135" s="1">
        <f>NMRResults[[#This Row],[Date Run]]</f>
        <v>0</v>
      </c>
    </row>
    <row r="136" spans="1:7" hidden="1" x14ac:dyDescent="0.25">
      <c r="A136" t="str" cm="1">
        <f t="array" ref="A136">IF(ISBLANK(INDEX(SampleList[ICP],ROW()-1)),"Not Requested",INDEX(SampleList[Experiment ID],ROW()-1))</f>
        <v>Not Requested</v>
      </c>
      <c r="B136">
        <f>Sampling!E134</f>
        <v>0</v>
      </c>
      <c r="E136" t="str">
        <f>ICPList[[#This Row],[Experiment ID]]&amp;"_Day"&amp;ICPList[[#This Row],[Duration (Days)]]&amp;"_"&amp;ICPList[[#This Row],[Dilution]]&amp;"x"</f>
        <v>Not Requested_Day0_x</v>
      </c>
      <c r="F136">
        <f>NMRResults[[#This Row],['#]]</f>
        <v>0</v>
      </c>
      <c r="G136" s="1">
        <f>NMRResults[[#This Row],[Date Run]]</f>
        <v>0</v>
      </c>
    </row>
    <row r="137" spans="1:7" hidden="1" x14ac:dyDescent="0.25">
      <c r="A137" t="str" cm="1">
        <f t="array" ref="A137">IF(ISBLANK(INDEX(SampleList[ICP],ROW()-1)),"Not Requested",INDEX(SampleList[Experiment ID],ROW()-1))</f>
        <v>Not Requested</v>
      </c>
      <c r="B137">
        <f>Sampling!E135</f>
        <v>0</v>
      </c>
      <c r="E137" t="str">
        <f>ICPList[[#This Row],[Experiment ID]]&amp;"_Day"&amp;ICPList[[#This Row],[Duration (Days)]]&amp;"_"&amp;ICPList[[#This Row],[Dilution]]&amp;"x"</f>
        <v>Not Requested_Day0_x</v>
      </c>
      <c r="F137">
        <f>NMRResults[[#This Row],['#]]</f>
        <v>0</v>
      </c>
      <c r="G137" s="1">
        <f>NMRResults[[#This Row],[Date Run]]</f>
        <v>0</v>
      </c>
    </row>
    <row r="138" spans="1:7" hidden="1" x14ac:dyDescent="0.25">
      <c r="A138" t="str" cm="1">
        <f t="array" ref="A138">IF(ISBLANK(INDEX(SampleList[ICP],ROW()-1)),"Not Requested",INDEX(SampleList[Experiment ID],ROW()-1))</f>
        <v>Not Requested</v>
      </c>
      <c r="B138">
        <f>Sampling!E136</f>
        <v>0</v>
      </c>
      <c r="E138" t="str">
        <f>ICPList[[#This Row],[Experiment ID]]&amp;"_Day"&amp;ICPList[[#This Row],[Duration (Days)]]&amp;"_"&amp;ICPList[[#This Row],[Dilution]]&amp;"x"</f>
        <v>Not Requested_Day0_x</v>
      </c>
      <c r="F138">
        <f>NMRResults[[#This Row],['#]]</f>
        <v>0</v>
      </c>
      <c r="G138" s="1">
        <f>NMRResults[[#This Row],[Date Run]]</f>
        <v>0</v>
      </c>
    </row>
    <row r="139" spans="1:7" hidden="1" x14ac:dyDescent="0.25">
      <c r="A139" t="str" cm="1">
        <f t="array" ref="A139">IF(ISBLANK(INDEX(SampleList[ICP],ROW()-1)),"Not Requested",INDEX(SampleList[Experiment ID],ROW()-1))</f>
        <v>Not Requested</v>
      </c>
      <c r="B139">
        <f>Sampling!E137</f>
        <v>0</v>
      </c>
      <c r="E139" t="str">
        <f>ICPList[[#This Row],[Experiment ID]]&amp;"_Day"&amp;ICPList[[#This Row],[Duration (Days)]]&amp;"_"&amp;ICPList[[#This Row],[Dilution]]&amp;"x"</f>
        <v>Not Requested_Day0_x</v>
      </c>
      <c r="F139">
        <f>NMRResults[[#This Row],['#]]</f>
        <v>0</v>
      </c>
      <c r="G139" s="1">
        <f>NMRResults[[#This Row],[Date Run]]</f>
        <v>0</v>
      </c>
    </row>
    <row r="140" spans="1:7" hidden="1" x14ac:dyDescent="0.25">
      <c r="A140" t="str" cm="1">
        <f t="array" ref="A140">IF(ISBLANK(INDEX(SampleList[ICP],ROW()-1)),"Not Requested",INDEX(SampleList[Experiment ID],ROW()-1))</f>
        <v>Not Requested</v>
      </c>
      <c r="B140">
        <f>Sampling!E138</f>
        <v>0</v>
      </c>
      <c r="E140" t="str">
        <f>ICPList[[#This Row],[Experiment ID]]&amp;"_Day"&amp;ICPList[[#This Row],[Duration (Days)]]&amp;"_"&amp;ICPList[[#This Row],[Dilution]]&amp;"x"</f>
        <v>Not Requested_Day0_x</v>
      </c>
      <c r="F140">
        <f>NMRResults[[#This Row],['#]]</f>
        <v>0</v>
      </c>
      <c r="G140" s="1">
        <f>NMRResults[[#This Row],[Date Run]]</f>
        <v>0</v>
      </c>
    </row>
    <row r="141" spans="1:7" hidden="1" x14ac:dyDescent="0.25">
      <c r="A141" t="str" cm="1">
        <f t="array" ref="A141">IF(ISBLANK(INDEX(SampleList[ICP],ROW()-1)),"Not Requested",INDEX(SampleList[Experiment ID],ROW()-1))</f>
        <v>Not Requested</v>
      </c>
      <c r="B141">
        <f>Sampling!E139</f>
        <v>0</v>
      </c>
      <c r="E141" t="str">
        <f>ICPList[[#This Row],[Experiment ID]]&amp;"_Day"&amp;ICPList[[#This Row],[Duration (Days)]]&amp;"_"&amp;ICPList[[#This Row],[Dilution]]&amp;"x"</f>
        <v>Not Requested_Day0_x</v>
      </c>
      <c r="F141">
        <f>NMRResults[[#This Row],['#]]</f>
        <v>0</v>
      </c>
      <c r="G141" s="1">
        <f>NMRResults[[#This Row],[Date Run]]</f>
        <v>0</v>
      </c>
    </row>
    <row r="142" spans="1:7" hidden="1" x14ac:dyDescent="0.25">
      <c r="A142" t="str" cm="1">
        <f t="array" ref="A142">IF(ISBLANK(INDEX(SampleList[ICP],ROW()-1)),"Not Requested",INDEX(SampleList[Experiment ID],ROW()-1))</f>
        <v>Not Requested</v>
      </c>
      <c r="B142">
        <f>Sampling!E140</f>
        <v>0</v>
      </c>
      <c r="E142" t="str">
        <f>ICPList[[#This Row],[Experiment ID]]&amp;"_Day"&amp;ICPList[[#This Row],[Duration (Days)]]&amp;"_"&amp;ICPList[[#This Row],[Dilution]]&amp;"x"</f>
        <v>Not Requested_Day0_x</v>
      </c>
      <c r="F142">
        <f>NMRResults[[#This Row],['#]]</f>
        <v>0</v>
      </c>
      <c r="G142" s="1">
        <f>NMRResults[[#This Row],[Date Run]]</f>
        <v>0</v>
      </c>
    </row>
    <row r="143" spans="1:7" hidden="1" x14ac:dyDescent="0.25">
      <c r="A143" t="str" cm="1">
        <f t="array" ref="A143">IF(ISBLANK(INDEX(SampleList[ICP],ROW()-1)),"Not Requested",INDEX(SampleList[Experiment ID],ROW()-1))</f>
        <v>Not Requested</v>
      </c>
      <c r="B143">
        <f>Sampling!E141</f>
        <v>0</v>
      </c>
      <c r="E143" t="str">
        <f>ICPList[[#This Row],[Experiment ID]]&amp;"_Day"&amp;ICPList[[#This Row],[Duration (Days)]]&amp;"_"&amp;ICPList[[#This Row],[Dilution]]&amp;"x"</f>
        <v>Not Requested_Day0_x</v>
      </c>
      <c r="F143">
        <f>NMRResults[[#This Row],['#]]</f>
        <v>0</v>
      </c>
      <c r="G143" s="1">
        <f>NMRResults[[#This Row],[Date Run]]</f>
        <v>0</v>
      </c>
    </row>
    <row r="144" spans="1:7" hidden="1" x14ac:dyDescent="0.25">
      <c r="A144" t="str" cm="1">
        <f t="array" ref="A144">IF(ISBLANK(INDEX(SampleList[ICP],ROW()-1)),"Not Requested",INDEX(SampleList[Experiment ID],ROW()-1))</f>
        <v>Not Requested</v>
      </c>
      <c r="B144">
        <f>Sampling!E142</f>
        <v>0</v>
      </c>
      <c r="E144" t="str">
        <f>ICPList[[#This Row],[Experiment ID]]&amp;"_Day"&amp;ICPList[[#This Row],[Duration (Days)]]&amp;"_"&amp;ICPList[[#This Row],[Dilution]]&amp;"x"</f>
        <v>Not Requested_Day0_x</v>
      </c>
      <c r="F144">
        <f>NMRResults[[#This Row],['#]]</f>
        <v>0</v>
      </c>
      <c r="G144" s="1">
        <f>NMRResults[[#This Row],[Date Run]]</f>
        <v>0</v>
      </c>
    </row>
    <row r="145" spans="1:7" hidden="1" x14ac:dyDescent="0.25">
      <c r="A145" t="str" cm="1">
        <f t="array" ref="A145">IF(ISBLANK(INDEX(SampleList[ICP],ROW()-1)),"Not Requested",INDEX(SampleList[Experiment ID],ROW()-1))</f>
        <v>Not Requested</v>
      </c>
      <c r="B145">
        <f>Sampling!E143</f>
        <v>0</v>
      </c>
      <c r="E145" t="str">
        <f>ICPList[[#This Row],[Experiment ID]]&amp;"_Day"&amp;ICPList[[#This Row],[Duration (Days)]]&amp;"_"&amp;ICPList[[#This Row],[Dilution]]&amp;"x"</f>
        <v>Not Requested_Day0_x</v>
      </c>
      <c r="F145">
        <f>NMRResults[[#This Row],['#]]</f>
        <v>0</v>
      </c>
      <c r="G145" s="1">
        <f>NMRResults[[#This Row],[Date Run]]</f>
        <v>0</v>
      </c>
    </row>
    <row r="146" spans="1:7" hidden="1" x14ac:dyDescent="0.25">
      <c r="A146" t="str" cm="1">
        <f t="array" ref="A146">IF(ISBLANK(INDEX(SampleList[ICP],ROW()-1)),"Not Requested",INDEX(SampleList[Experiment ID],ROW()-1))</f>
        <v>Not Requested</v>
      </c>
      <c r="B146">
        <f>Sampling!E144</f>
        <v>0</v>
      </c>
      <c r="E146" t="str">
        <f>ICPList[[#This Row],[Experiment ID]]&amp;"_Day"&amp;ICPList[[#This Row],[Duration (Days)]]&amp;"_"&amp;ICPList[[#This Row],[Dilution]]&amp;"x"</f>
        <v>Not Requested_Day0_x</v>
      </c>
      <c r="F146">
        <f>NMRResults[[#This Row],['#]]</f>
        <v>0</v>
      </c>
      <c r="G146" s="1">
        <f>NMRResults[[#This Row],[Date Run]]</f>
        <v>0</v>
      </c>
    </row>
    <row r="147" spans="1:7" hidden="1" x14ac:dyDescent="0.25">
      <c r="A147" t="str" cm="1">
        <f t="array" ref="A147">IF(ISBLANK(INDEX(SampleList[ICP],ROW()-1)),"Not Requested",INDEX(SampleList[Experiment ID],ROW()-1))</f>
        <v>Not Requested</v>
      </c>
      <c r="B147">
        <f>Sampling!E145</f>
        <v>0</v>
      </c>
      <c r="E147" t="str">
        <f>ICPList[[#This Row],[Experiment ID]]&amp;"_Day"&amp;ICPList[[#This Row],[Duration (Days)]]&amp;"_"&amp;ICPList[[#This Row],[Dilution]]&amp;"x"</f>
        <v>Not Requested_Day0_x</v>
      </c>
      <c r="F147">
        <f>NMRResults[[#This Row],['#]]</f>
        <v>0</v>
      </c>
      <c r="G147" s="1">
        <f>NMRResults[[#This Row],[Date Run]]</f>
        <v>0</v>
      </c>
    </row>
    <row r="148" spans="1:7" hidden="1" x14ac:dyDescent="0.25">
      <c r="A148" t="str" cm="1">
        <f t="array" ref="A148">IF(ISBLANK(INDEX(SampleList[ICP],ROW()-1)),"Not Requested",INDEX(SampleList[Experiment ID],ROW()-1))</f>
        <v>Not Requested</v>
      </c>
      <c r="B148">
        <f>Sampling!E146</f>
        <v>0</v>
      </c>
      <c r="E148" t="str">
        <f>ICPList[[#This Row],[Experiment ID]]&amp;"_Day"&amp;ICPList[[#This Row],[Duration (Days)]]&amp;"_"&amp;ICPList[[#This Row],[Dilution]]&amp;"x"</f>
        <v>Not Requested_Day0_x</v>
      </c>
      <c r="F148">
        <f>NMRResults[[#This Row],['#]]</f>
        <v>0</v>
      </c>
      <c r="G148" s="1">
        <f>NMRResults[[#This Row],[Date Run]]</f>
        <v>0</v>
      </c>
    </row>
    <row r="149" spans="1:7" hidden="1" x14ac:dyDescent="0.25">
      <c r="A149" t="str" cm="1">
        <f t="array" ref="A149">IF(ISBLANK(INDEX(SampleList[ICP],ROW()-1)),"Not Requested",INDEX(SampleList[Experiment ID],ROW()-1))</f>
        <v>Not Requested</v>
      </c>
      <c r="B149">
        <f>Sampling!E147</f>
        <v>0</v>
      </c>
      <c r="E149" t="str">
        <f>ICPList[[#This Row],[Experiment ID]]&amp;"_Day"&amp;ICPList[[#This Row],[Duration (Days)]]&amp;"_"&amp;ICPList[[#This Row],[Dilution]]&amp;"x"</f>
        <v>Not Requested_Day0_x</v>
      </c>
      <c r="F149">
        <f>NMRResults[[#This Row],['#]]</f>
        <v>0</v>
      </c>
      <c r="G149" s="1">
        <f>NMRResults[[#This Row],[Date Run]]</f>
        <v>0</v>
      </c>
    </row>
    <row r="150" spans="1:7" hidden="1" x14ac:dyDescent="0.25">
      <c r="A150" t="str" cm="1">
        <f t="array" ref="A150">IF(ISBLANK(INDEX(SampleList[ICP],ROW()-1)),"Not Requested",INDEX(SampleList[Experiment ID],ROW()-1))</f>
        <v>Not Requested</v>
      </c>
      <c r="B150">
        <f>Sampling!E148</f>
        <v>0</v>
      </c>
      <c r="E150" t="str">
        <f>ICPList[[#This Row],[Experiment ID]]&amp;"_Day"&amp;ICPList[[#This Row],[Duration (Days)]]&amp;"_"&amp;ICPList[[#This Row],[Dilution]]&amp;"x"</f>
        <v>Not Requested_Day0_x</v>
      </c>
      <c r="F150">
        <f>NMRResults[[#This Row],['#]]</f>
        <v>0</v>
      </c>
      <c r="G150" s="1">
        <f>NMRResults[[#This Row],[Date Run]]</f>
        <v>0</v>
      </c>
    </row>
    <row r="151" spans="1:7" hidden="1" x14ac:dyDescent="0.25">
      <c r="A151" t="str" cm="1">
        <f t="array" ref="A151">IF(ISBLANK(INDEX(SampleList[ICP],ROW()-1)),"Not Requested",INDEX(SampleList[Experiment ID],ROW()-1))</f>
        <v>Not Requested</v>
      </c>
      <c r="B151">
        <f>Sampling!E149</f>
        <v>0</v>
      </c>
      <c r="E151" t="str">
        <f>ICPList[[#This Row],[Experiment ID]]&amp;"_Day"&amp;ICPList[[#This Row],[Duration (Days)]]&amp;"_"&amp;ICPList[[#This Row],[Dilution]]&amp;"x"</f>
        <v>Not Requested_Day0_x</v>
      </c>
      <c r="F151">
        <f>NMRResults[[#This Row],['#]]</f>
        <v>0</v>
      </c>
      <c r="G151" s="1">
        <f>NMRResults[[#This Row],[Date Run]]</f>
        <v>0</v>
      </c>
    </row>
    <row r="152" spans="1:7" hidden="1" x14ac:dyDescent="0.25">
      <c r="A152" t="str" cm="1">
        <f t="array" ref="A152">IF(ISBLANK(INDEX(SampleList[ICP],ROW()-1)),"Not Requested",INDEX(SampleList[Experiment ID],ROW()-1))</f>
        <v>Not Requested</v>
      </c>
      <c r="B152">
        <f>Sampling!E150</f>
        <v>0</v>
      </c>
      <c r="E152" t="str">
        <f>ICPList[[#This Row],[Experiment ID]]&amp;"_Day"&amp;ICPList[[#This Row],[Duration (Days)]]&amp;"_"&amp;ICPList[[#This Row],[Dilution]]&amp;"x"</f>
        <v>Not Requested_Day0_x</v>
      </c>
      <c r="F152">
        <f>NMRResults[[#This Row],['#]]</f>
        <v>0</v>
      </c>
      <c r="G152" s="1">
        <f>NMRResults[[#This Row],[Date Run]]</f>
        <v>0</v>
      </c>
    </row>
    <row r="153" spans="1:7" hidden="1" x14ac:dyDescent="0.25">
      <c r="A153" t="str" cm="1">
        <f t="array" ref="A153">IF(ISBLANK(INDEX(SampleList[ICP],ROW()-1)),"Not Requested",INDEX(SampleList[Experiment ID],ROW()-1))</f>
        <v>Not Requested</v>
      </c>
      <c r="B153">
        <f>Sampling!E151</f>
        <v>0</v>
      </c>
      <c r="E153" t="str">
        <f>ICPList[[#This Row],[Experiment ID]]&amp;"_Day"&amp;ICPList[[#This Row],[Duration (Days)]]&amp;"_"&amp;ICPList[[#This Row],[Dilution]]&amp;"x"</f>
        <v>Not Requested_Day0_x</v>
      </c>
      <c r="F153">
        <f>NMRResults[[#This Row],['#]]</f>
        <v>0</v>
      </c>
      <c r="G153" s="1">
        <f>NMRResults[[#This Row],[Date Run]]</f>
        <v>0</v>
      </c>
    </row>
    <row r="154" spans="1:7" hidden="1" x14ac:dyDescent="0.25">
      <c r="A154" t="str" cm="1">
        <f t="array" ref="A154">IF(ISBLANK(INDEX(SampleList[ICP],ROW()-1)),"Not Requested",INDEX(SampleList[Experiment ID],ROW()-1))</f>
        <v>Not Requested</v>
      </c>
      <c r="B154">
        <f>Sampling!E152</f>
        <v>0</v>
      </c>
      <c r="E154" t="str">
        <f>ICPList[[#This Row],[Experiment ID]]&amp;"_Day"&amp;ICPList[[#This Row],[Duration (Days)]]&amp;"_"&amp;ICPList[[#This Row],[Dilution]]&amp;"x"</f>
        <v>Not Requested_Day0_x</v>
      </c>
      <c r="F154">
        <f>NMRResults[[#This Row],['#]]</f>
        <v>0</v>
      </c>
      <c r="G154" s="1">
        <f>NMRResults[[#This Row],[Date Run]]</f>
        <v>0</v>
      </c>
    </row>
    <row r="155" spans="1:7" hidden="1" x14ac:dyDescent="0.25">
      <c r="A155" t="str" cm="1">
        <f t="array" ref="A155">IF(ISBLANK(INDEX(SampleList[ICP],ROW()-1)),"Not Requested",INDEX(SampleList[Experiment ID],ROW()-1))</f>
        <v>Not Requested</v>
      </c>
      <c r="B155">
        <f>Sampling!E153</f>
        <v>0</v>
      </c>
      <c r="E155" t="str">
        <f>ICPList[[#This Row],[Experiment ID]]&amp;"_Day"&amp;ICPList[[#This Row],[Duration (Days)]]&amp;"_"&amp;ICPList[[#This Row],[Dilution]]&amp;"x"</f>
        <v>Not Requested_Day0_x</v>
      </c>
      <c r="F155">
        <f>NMRResults[[#This Row],['#]]</f>
        <v>0</v>
      </c>
      <c r="G155" s="1">
        <f>NMRResults[[#This Row],[Date Run]]</f>
        <v>0</v>
      </c>
    </row>
    <row r="156" spans="1:7" hidden="1" x14ac:dyDescent="0.25">
      <c r="A156" t="str" cm="1">
        <f t="array" ref="A156">IF(ISBLANK(INDEX(SampleList[ICP],ROW()-1)),"Not Requested",INDEX(SampleList[Experiment ID],ROW()-1))</f>
        <v>Not Requested</v>
      </c>
      <c r="B156">
        <f>Sampling!E154</f>
        <v>0</v>
      </c>
      <c r="E156" t="str">
        <f>ICPList[[#This Row],[Experiment ID]]&amp;"_Day"&amp;ICPList[[#This Row],[Duration (Days)]]&amp;"_"&amp;ICPList[[#This Row],[Dilution]]&amp;"x"</f>
        <v>Not Requested_Day0_x</v>
      </c>
      <c r="F156">
        <f>NMRResults[[#This Row],['#]]</f>
        <v>0</v>
      </c>
      <c r="G156" s="1">
        <f>NMRResults[[#This Row],[Date Run]]</f>
        <v>0</v>
      </c>
    </row>
    <row r="157" spans="1:7" hidden="1" x14ac:dyDescent="0.25">
      <c r="A157" t="str" cm="1">
        <f t="array" ref="A157">IF(ISBLANK(INDEX(SampleList[ICP],ROW()-1)),"Not Requested",INDEX(SampleList[Experiment ID],ROW()-1))</f>
        <v>Not Requested</v>
      </c>
      <c r="B157">
        <f>Sampling!E155</f>
        <v>0</v>
      </c>
      <c r="E157" t="str">
        <f>ICPList[[#This Row],[Experiment ID]]&amp;"_Day"&amp;ICPList[[#This Row],[Duration (Days)]]&amp;"_"&amp;ICPList[[#This Row],[Dilution]]&amp;"x"</f>
        <v>Not Requested_Day0_x</v>
      </c>
      <c r="F157">
        <f>NMRResults[[#This Row],['#]]</f>
        <v>0</v>
      </c>
      <c r="G157" s="1">
        <f>NMRResults[[#This Row],[Date Run]]</f>
        <v>0</v>
      </c>
    </row>
    <row r="158" spans="1:7" hidden="1" x14ac:dyDescent="0.25">
      <c r="A158" t="str" cm="1">
        <f t="array" ref="A158">IF(ISBLANK(INDEX(SampleList[ICP],ROW()-1)),"Not Requested",INDEX(SampleList[Experiment ID],ROW()-1))</f>
        <v>Not Requested</v>
      </c>
      <c r="B158">
        <f>Sampling!E156</f>
        <v>0</v>
      </c>
      <c r="E158" t="str">
        <f>ICPList[[#This Row],[Experiment ID]]&amp;"_Day"&amp;ICPList[[#This Row],[Duration (Days)]]&amp;"_"&amp;ICPList[[#This Row],[Dilution]]&amp;"x"</f>
        <v>Not Requested_Day0_x</v>
      </c>
      <c r="F158">
        <f>NMRResults[[#This Row],['#]]</f>
        <v>0</v>
      </c>
      <c r="G158" s="1">
        <f>NMRResults[[#This Row],[Date Run]]</f>
        <v>0</v>
      </c>
    </row>
    <row r="159" spans="1:7" hidden="1" x14ac:dyDescent="0.25">
      <c r="A159" t="str" cm="1">
        <f t="array" ref="A159">IF(ISBLANK(INDEX(SampleList[ICP],ROW()-1)),"Not Requested",INDEX(SampleList[Experiment ID],ROW()-1))</f>
        <v>Not Requested</v>
      </c>
      <c r="B159">
        <f>Sampling!E157</f>
        <v>0</v>
      </c>
      <c r="E159" t="str">
        <f>ICPList[[#This Row],[Experiment ID]]&amp;"_Day"&amp;ICPList[[#This Row],[Duration (Days)]]&amp;"_"&amp;ICPList[[#This Row],[Dilution]]&amp;"x"</f>
        <v>Not Requested_Day0_x</v>
      </c>
      <c r="F159">
        <f>NMRResults[[#This Row],['#]]</f>
        <v>0</v>
      </c>
      <c r="G159" s="1">
        <f>NMRResults[[#This Row],[Date Run]]</f>
        <v>0</v>
      </c>
    </row>
    <row r="160" spans="1:7" hidden="1" x14ac:dyDescent="0.25">
      <c r="A160" t="str" cm="1">
        <f t="array" ref="A160">IF(ISBLANK(INDEX(SampleList[ICP],ROW()-1)),"Not Requested",INDEX(SampleList[Experiment ID],ROW()-1))</f>
        <v>Not Requested</v>
      </c>
      <c r="B160">
        <f>Sampling!E158</f>
        <v>0</v>
      </c>
      <c r="E160" t="str">
        <f>ICPList[[#This Row],[Experiment ID]]&amp;"_Day"&amp;ICPList[[#This Row],[Duration (Days)]]&amp;"_"&amp;ICPList[[#This Row],[Dilution]]&amp;"x"</f>
        <v>Not Requested_Day0_x</v>
      </c>
      <c r="F160">
        <f>NMRResults[[#This Row],['#]]</f>
        <v>0</v>
      </c>
      <c r="G160" s="1">
        <f>NMRResults[[#This Row],[Date Run]]</f>
        <v>0</v>
      </c>
    </row>
    <row r="161" spans="1:7" hidden="1" x14ac:dyDescent="0.25">
      <c r="A161" t="str" cm="1">
        <f t="array" ref="A161">IF(ISBLANK(INDEX(SampleList[ICP],ROW()-1)),"Not Requested",INDEX(SampleList[Experiment ID],ROW()-1))</f>
        <v>Not Requested</v>
      </c>
      <c r="B161">
        <f>Sampling!E159</f>
        <v>0</v>
      </c>
      <c r="E161" t="str">
        <f>ICPList[[#This Row],[Experiment ID]]&amp;"_Day"&amp;ICPList[[#This Row],[Duration (Days)]]&amp;"_"&amp;ICPList[[#This Row],[Dilution]]&amp;"x"</f>
        <v>Not Requested_Day0_x</v>
      </c>
      <c r="F161">
        <f>NMRResults[[#This Row],['#]]</f>
        <v>0</v>
      </c>
      <c r="G161" s="1">
        <f>NMRResults[[#This Row],[Date Run]]</f>
        <v>0</v>
      </c>
    </row>
    <row r="162" spans="1:7" hidden="1" x14ac:dyDescent="0.25">
      <c r="A162" t="str" cm="1">
        <f t="array" ref="A162">IF(ISBLANK(INDEX(SampleList[ICP],ROW()-1)),"Not Requested",INDEX(SampleList[Experiment ID],ROW()-1))</f>
        <v>Not Requested</v>
      </c>
      <c r="B162">
        <f>Sampling!E160</f>
        <v>0</v>
      </c>
      <c r="E162" t="str">
        <f>ICPList[[#This Row],[Experiment ID]]&amp;"_Day"&amp;ICPList[[#This Row],[Duration (Days)]]&amp;"_"&amp;ICPList[[#This Row],[Dilution]]&amp;"x"</f>
        <v>Not Requested_Day0_x</v>
      </c>
      <c r="F162">
        <f>NMRResults[[#This Row],['#]]</f>
        <v>0</v>
      </c>
      <c r="G162" s="1">
        <f>NMRResults[[#This Row],[Date Run]]</f>
        <v>0</v>
      </c>
    </row>
    <row r="163" spans="1:7" hidden="1" x14ac:dyDescent="0.25">
      <c r="A163" t="str" cm="1">
        <f t="array" ref="A163">IF(ISBLANK(INDEX(SampleList[ICP],ROW()-1)),"Not Requested",INDEX(SampleList[Experiment ID],ROW()-1))</f>
        <v>Not Requested</v>
      </c>
      <c r="B163">
        <f>Sampling!E161</f>
        <v>0</v>
      </c>
      <c r="E163" t="str">
        <f>ICPList[[#This Row],[Experiment ID]]&amp;"_Day"&amp;ICPList[[#This Row],[Duration (Days)]]&amp;"_"&amp;ICPList[[#This Row],[Dilution]]&amp;"x"</f>
        <v>Not Requested_Day0_x</v>
      </c>
      <c r="F163">
        <f>NMRResults[[#This Row],['#]]</f>
        <v>0</v>
      </c>
      <c r="G163" s="1">
        <f>NMRResults[[#This Row],[Date Run]]</f>
        <v>0</v>
      </c>
    </row>
    <row r="164" spans="1:7" hidden="1" x14ac:dyDescent="0.25">
      <c r="A164" t="str" cm="1">
        <f t="array" ref="A164">IF(ISBLANK(INDEX(SampleList[ICP],ROW()-1)),"Not Requested",INDEX(SampleList[Experiment ID],ROW()-1))</f>
        <v>Not Requested</v>
      </c>
      <c r="B164">
        <f>Sampling!E162</f>
        <v>0</v>
      </c>
      <c r="E164" t="str">
        <f>ICPList[[#This Row],[Experiment ID]]&amp;"_Day"&amp;ICPList[[#This Row],[Duration (Days)]]&amp;"_"&amp;ICPList[[#This Row],[Dilution]]&amp;"x"</f>
        <v>Not Requested_Day0_x</v>
      </c>
      <c r="F164">
        <f>NMRResults[[#This Row],['#]]</f>
        <v>0</v>
      </c>
      <c r="G164" s="1">
        <f>NMRResults[[#This Row],[Date Run]]</f>
        <v>0</v>
      </c>
    </row>
    <row r="165" spans="1:7" hidden="1" x14ac:dyDescent="0.25">
      <c r="A165" t="str" cm="1">
        <f t="array" ref="A165">IF(ISBLANK(INDEX(SampleList[ICP],ROW()-1)),"Not Requested",INDEX(SampleList[Experiment ID],ROW()-1))</f>
        <v>Not Requested</v>
      </c>
      <c r="B165">
        <f>Sampling!E163</f>
        <v>0</v>
      </c>
      <c r="E165" t="str">
        <f>ICPList[[#This Row],[Experiment ID]]&amp;"_Day"&amp;ICPList[[#This Row],[Duration (Days)]]&amp;"_"&amp;ICPList[[#This Row],[Dilution]]&amp;"x"</f>
        <v>Not Requested_Day0_x</v>
      </c>
      <c r="F165">
        <f>NMRResults[[#This Row],['#]]</f>
        <v>0</v>
      </c>
      <c r="G165" s="1">
        <f>NMRResults[[#This Row],[Date Run]]</f>
        <v>0</v>
      </c>
    </row>
    <row r="166" spans="1:7" hidden="1" x14ac:dyDescent="0.25">
      <c r="A166" t="str" cm="1">
        <f t="array" ref="A166">IF(ISBLANK(INDEX(SampleList[ICP],ROW()-1)),"Not Requested",INDEX(SampleList[Experiment ID],ROW()-1))</f>
        <v>Not Requested</v>
      </c>
      <c r="B166">
        <f>Sampling!E164</f>
        <v>0</v>
      </c>
      <c r="E166" t="str">
        <f>ICPList[[#This Row],[Experiment ID]]&amp;"_Day"&amp;ICPList[[#This Row],[Duration (Days)]]&amp;"_"&amp;ICPList[[#This Row],[Dilution]]&amp;"x"</f>
        <v>Not Requested_Day0_x</v>
      </c>
      <c r="F166">
        <f>NMRResults[[#This Row],['#]]</f>
        <v>0</v>
      </c>
      <c r="G166" s="1">
        <f>NMRResults[[#This Row],[Date Run]]</f>
        <v>0</v>
      </c>
    </row>
    <row r="167" spans="1:7" hidden="1" x14ac:dyDescent="0.25">
      <c r="A167" t="str" cm="1">
        <f t="array" ref="A167">IF(ISBLANK(INDEX(SampleList[ICP],ROW()-1)),"Not Requested",INDEX(SampleList[Experiment ID],ROW()-1))</f>
        <v>Not Requested</v>
      </c>
      <c r="B167">
        <f>Sampling!E165</f>
        <v>0</v>
      </c>
      <c r="E167" t="str">
        <f>ICPList[[#This Row],[Experiment ID]]&amp;"_Day"&amp;ICPList[[#This Row],[Duration (Days)]]&amp;"_"&amp;ICPList[[#This Row],[Dilution]]&amp;"x"</f>
        <v>Not Requested_Day0_x</v>
      </c>
      <c r="F167">
        <f>NMRResults[[#This Row],['#]]</f>
        <v>0</v>
      </c>
      <c r="G167" s="1">
        <f>NMRResults[[#This Row],[Date Run]]</f>
        <v>0</v>
      </c>
    </row>
    <row r="168" spans="1:7" hidden="1" x14ac:dyDescent="0.25">
      <c r="A168" t="str" cm="1">
        <f t="array" ref="A168">IF(ISBLANK(INDEX(SampleList[ICP],ROW()-1)),"Not Requested",INDEX(SampleList[Experiment ID],ROW()-1))</f>
        <v>Not Requested</v>
      </c>
      <c r="B168">
        <f>Sampling!E166</f>
        <v>0</v>
      </c>
      <c r="E168" t="str">
        <f>ICPList[[#This Row],[Experiment ID]]&amp;"_Day"&amp;ICPList[[#This Row],[Duration (Days)]]&amp;"_"&amp;ICPList[[#This Row],[Dilution]]&amp;"x"</f>
        <v>Not Requested_Day0_x</v>
      </c>
      <c r="F168">
        <f>NMRResults[[#This Row],['#]]</f>
        <v>0</v>
      </c>
      <c r="G168" s="1">
        <f>NMRResults[[#This Row],[Date Run]]</f>
        <v>0</v>
      </c>
    </row>
    <row r="169" spans="1:7" hidden="1" x14ac:dyDescent="0.25">
      <c r="A169" t="str" cm="1">
        <f t="array" ref="A169">IF(ISBLANK(INDEX(SampleList[ICP],ROW()-1)),"Not Requested",INDEX(SampleList[Experiment ID],ROW()-1))</f>
        <v>Not Requested</v>
      </c>
      <c r="B169">
        <f>Sampling!E167</f>
        <v>0</v>
      </c>
      <c r="E169" t="str">
        <f>ICPList[[#This Row],[Experiment ID]]&amp;"_Day"&amp;ICPList[[#This Row],[Duration (Days)]]&amp;"_"&amp;ICPList[[#This Row],[Dilution]]&amp;"x"</f>
        <v>Not Requested_Day0_x</v>
      </c>
      <c r="F169">
        <f>NMRResults[[#This Row],['#]]</f>
        <v>0</v>
      </c>
      <c r="G169" s="1">
        <f>NMRResults[[#This Row],[Date Run]]</f>
        <v>0</v>
      </c>
    </row>
    <row r="170" spans="1:7" hidden="1" x14ac:dyDescent="0.25">
      <c r="A170" t="str" cm="1">
        <f t="array" ref="A170">IF(ISBLANK(INDEX(SampleList[ICP],ROW()-1)),"Not Requested",INDEX(SampleList[Experiment ID],ROW()-1))</f>
        <v>Not Requested</v>
      </c>
      <c r="B170">
        <f>Sampling!E168</f>
        <v>0</v>
      </c>
      <c r="E170" t="str">
        <f>ICPList[[#This Row],[Experiment ID]]&amp;"_Day"&amp;ICPList[[#This Row],[Duration (Days)]]&amp;"_"&amp;ICPList[[#This Row],[Dilution]]&amp;"x"</f>
        <v>Not Requested_Day0_x</v>
      </c>
      <c r="F170">
        <f>NMRResults[[#This Row],['#]]</f>
        <v>0</v>
      </c>
      <c r="G170" s="1">
        <f>NMRResults[[#This Row],[Date Run]]</f>
        <v>0</v>
      </c>
    </row>
    <row r="171" spans="1:7" hidden="1" x14ac:dyDescent="0.25">
      <c r="A171" t="str" cm="1">
        <f t="array" ref="A171">IF(ISBLANK(INDEX(SampleList[ICP],ROW()-1)),"Not Requested",INDEX(SampleList[Experiment ID],ROW()-1))</f>
        <v>Not Requested</v>
      </c>
      <c r="B171">
        <f>Sampling!E169</f>
        <v>0</v>
      </c>
      <c r="E171" t="str">
        <f>ICPList[[#This Row],[Experiment ID]]&amp;"_Day"&amp;ICPList[[#This Row],[Duration (Days)]]&amp;"_"&amp;ICPList[[#This Row],[Dilution]]&amp;"x"</f>
        <v>Not Requested_Day0_x</v>
      </c>
      <c r="F171">
        <f>NMRResults[[#This Row],['#]]</f>
        <v>0</v>
      </c>
      <c r="G171" s="1">
        <f>NMRResults[[#This Row],[Date Run]]</f>
        <v>0</v>
      </c>
    </row>
    <row r="172" spans="1:7" hidden="1" x14ac:dyDescent="0.25">
      <c r="A172" t="str" cm="1">
        <f t="array" ref="A172">IF(ISBLANK(INDEX(SampleList[ICP],ROW()-1)),"Not Requested",INDEX(SampleList[Experiment ID],ROW()-1))</f>
        <v>Not Requested</v>
      </c>
      <c r="B172">
        <f>Sampling!E170</f>
        <v>0</v>
      </c>
      <c r="E172" t="str">
        <f>ICPList[[#This Row],[Experiment ID]]&amp;"_Day"&amp;ICPList[[#This Row],[Duration (Days)]]&amp;"_"&amp;ICPList[[#This Row],[Dilution]]&amp;"x"</f>
        <v>Not Requested_Day0_x</v>
      </c>
      <c r="F172">
        <f>NMRResults[[#This Row],['#]]</f>
        <v>0</v>
      </c>
      <c r="G172" s="1">
        <f>NMRResults[[#This Row],[Date Run]]</f>
        <v>0</v>
      </c>
    </row>
    <row r="173" spans="1:7" hidden="1" x14ac:dyDescent="0.25">
      <c r="A173" t="str" cm="1">
        <f t="array" ref="A173">IF(ISBLANK(INDEX(SampleList[ICP],ROW()-1)),"Not Requested",INDEX(SampleList[Experiment ID],ROW()-1))</f>
        <v>Not Requested</v>
      </c>
      <c r="B173">
        <f>Sampling!E171</f>
        <v>0</v>
      </c>
      <c r="E173" t="str">
        <f>ICPList[[#This Row],[Experiment ID]]&amp;"_Day"&amp;ICPList[[#This Row],[Duration (Days)]]&amp;"_"&amp;ICPList[[#This Row],[Dilution]]&amp;"x"</f>
        <v>Not Requested_Day0_x</v>
      </c>
      <c r="F173">
        <f>NMRResults[[#This Row],['#]]</f>
        <v>0</v>
      </c>
      <c r="G173" s="1">
        <f>NMRResults[[#This Row],[Date Run]]</f>
        <v>0</v>
      </c>
    </row>
    <row r="174" spans="1:7" hidden="1" x14ac:dyDescent="0.25">
      <c r="A174" t="str" cm="1">
        <f t="array" ref="A174">IF(ISBLANK(INDEX(SampleList[ICP],ROW()-1)),"Not Requested",INDEX(SampleList[Experiment ID],ROW()-1))</f>
        <v>Not Requested</v>
      </c>
      <c r="B174">
        <f>Sampling!E172</f>
        <v>0</v>
      </c>
      <c r="E174" t="str">
        <f>ICPList[[#This Row],[Experiment ID]]&amp;"_Day"&amp;ICPList[[#This Row],[Duration (Days)]]&amp;"_"&amp;ICPList[[#This Row],[Dilution]]&amp;"x"</f>
        <v>Not Requested_Day0_x</v>
      </c>
      <c r="F174">
        <f>NMRResults[[#This Row],['#]]</f>
        <v>0</v>
      </c>
      <c r="G174" s="1">
        <f>NMRResults[[#This Row],[Date Run]]</f>
        <v>0</v>
      </c>
    </row>
    <row r="175" spans="1:7" hidden="1" x14ac:dyDescent="0.25">
      <c r="A175" t="str" cm="1">
        <f t="array" ref="A175">IF(ISBLANK(INDEX(SampleList[ICP],ROW()-1)),"Not Requested",INDEX(SampleList[Experiment ID],ROW()-1))</f>
        <v>Not Requested</v>
      </c>
      <c r="B175">
        <f>Sampling!E173</f>
        <v>0</v>
      </c>
      <c r="E175" t="str">
        <f>ICPList[[#This Row],[Experiment ID]]&amp;"_Day"&amp;ICPList[[#This Row],[Duration (Days)]]&amp;"_"&amp;ICPList[[#This Row],[Dilution]]&amp;"x"</f>
        <v>Not Requested_Day0_x</v>
      </c>
      <c r="F175">
        <f>NMRResults[[#This Row],['#]]</f>
        <v>0</v>
      </c>
      <c r="G175" s="1">
        <f>NMRResults[[#This Row],[Date Run]]</f>
        <v>0</v>
      </c>
    </row>
    <row r="176" spans="1:7" hidden="1" x14ac:dyDescent="0.25">
      <c r="A176" t="str" cm="1">
        <f t="array" ref="A176">IF(ISBLANK(INDEX(SampleList[ICP],ROW()-1)),"Not Requested",INDEX(SampleList[Experiment ID],ROW()-1))</f>
        <v>Not Requested</v>
      </c>
      <c r="B176">
        <f>Sampling!E174</f>
        <v>0</v>
      </c>
      <c r="E176" t="str">
        <f>ICPList[[#This Row],[Experiment ID]]&amp;"_Day"&amp;ICPList[[#This Row],[Duration (Days)]]&amp;"_"&amp;ICPList[[#This Row],[Dilution]]&amp;"x"</f>
        <v>Not Requested_Day0_x</v>
      </c>
      <c r="F176">
        <f>NMRResults[[#This Row],['#]]</f>
        <v>0</v>
      </c>
      <c r="G176" s="1">
        <f>NMRResults[[#This Row],[Date Run]]</f>
        <v>0</v>
      </c>
    </row>
    <row r="177" spans="1:7" hidden="1" x14ac:dyDescent="0.25">
      <c r="A177" t="str" cm="1">
        <f t="array" ref="A177">IF(ISBLANK(INDEX(SampleList[ICP],ROW()-1)),"Not Requested",INDEX(SampleList[Experiment ID],ROW()-1))</f>
        <v>Not Requested</v>
      </c>
      <c r="B177">
        <f>Sampling!E175</f>
        <v>0</v>
      </c>
      <c r="E177" t="str">
        <f>ICPList[[#This Row],[Experiment ID]]&amp;"_Day"&amp;ICPList[[#This Row],[Duration (Days)]]&amp;"_"&amp;ICPList[[#This Row],[Dilution]]&amp;"x"</f>
        <v>Not Requested_Day0_x</v>
      </c>
      <c r="F177">
        <f>NMRResults[[#This Row],['#]]</f>
        <v>0</v>
      </c>
      <c r="G177" s="1">
        <f>NMRResults[[#This Row],[Date Run]]</f>
        <v>0</v>
      </c>
    </row>
    <row r="178" spans="1:7" hidden="1" x14ac:dyDescent="0.25">
      <c r="A178" t="str" cm="1">
        <f t="array" ref="A178">IF(ISBLANK(INDEX(SampleList[ICP],ROW()-1)),"Not Requested",INDEX(SampleList[Experiment ID],ROW()-1))</f>
        <v>Not Requested</v>
      </c>
      <c r="B178">
        <f>Sampling!E176</f>
        <v>0</v>
      </c>
      <c r="E178" t="str">
        <f>ICPList[[#This Row],[Experiment ID]]&amp;"_Day"&amp;ICPList[[#This Row],[Duration (Days)]]&amp;"_"&amp;ICPList[[#This Row],[Dilution]]&amp;"x"</f>
        <v>Not Requested_Day0_x</v>
      </c>
      <c r="F178">
        <f>NMRResults[[#This Row],['#]]</f>
        <v>0</v>
      </c>
      <c r="G178" s="1">
        <f>NMRResults[[#This Row],[Date Run]]</f>
        <v>0</v>
      </c>
    </row>
    <row r="179" spans="1:7" hidden="1" x14ac:dyDescent="0.25">
      <c r="A179" t="str" cm="1">
        <f t="array" ref="A179">IF(ISBLANK(INDEX(SampleList[ICP],ROW()-1)),"Not Requested",INDEX(SampleList[Experiment ID],ROW()-1))</f>
        <v>Not Requested</v>
      </c>
      <c r="B179">
        <f>Sampling!E177</f>
        <v>0</v>
      </c>
      <c r="E179" t="str">
        <f>ICPList[[#This Row],[Experiment ID]]&amp;"_Day"&amp;ICPList[[#This Row],[Duration (Days)]]&amp;"_"&amp;ICPList[[#This Row],[Dilution]]&amp;"x"</f>
        <v>Not Requested_Day0_x</v>
      </c>
      <c r="F179">
        <f>NMRResults[[#This Row],['#]]</f>
        <v>0</v>
      </c>
      <c r="G179" s="1">
        <f>NMRResults[[#This Row],[Date Run]]</f>
        <v>0</v>
      </c>
    </row>
    <row r="180" spans="1:7" hidden="1" x14ac:dyDescent="0.25">
      <c r="A180" t="str" cm="1">
        <f t="array" ref="A180">IF(ISBLANK(INDEX(SampleList[ICP],ROW()-1)),"Not Requested",INDEX(SampleList[Experiment ID],ROW()-1))</f>
        <v>Not Requested</v>
      </c>
      <c r="B180">
        <f>Sampling!E178</f>
        <v>0</v>
      </c>
      <c r="E180" t="str">
        <f>ICPList[[#This Row],[Experiment ID]]&amp;"_Day"&amp;ICPList[[#This Row],[Duration (Days)]]&amp;"_"&amp;ICPList[[#This Row],[Dilution]]&amp;"x"</f>
        <v>Not Requested_Day0_x</v>
      </c>
      <c r="F180">
        <f>NMRResults[[#This Row],['#]]</f>
        <v>0</v>
      </c>
      <c r="G180" s="1">
        <f>NMRResults[[#This Row],[Date Run]]</f>
        <v>0</v>
      </c>
    </row>
    <row r="181" spans="1:7" hidden="1" x14ac:dyDescent="0.25">
      <c r="A181" t="str" cm="1">
        <f t="array" ref="A181">IF(ISBLANK(INDEX(SampleList[ICP],ROW()-1)),"Not Requested",INDEX(SampleList[Experiment ID],ROW()-1))</f>
        <v>Not Requested</v>
      </c>
      <c r="B181">
        <f>Sampling!E179</f>
        <v>0</v>
      </c>
      <c r="E181" t="str">
        <f>ICPList[[#This Row],[Experiment ID]]&amp;"_Day"&amp;ICPList[[#This Row],[Duration (Days)]]&amp;"_"&amp;ICPList[[#This Row],[Dilution]]&amp;"x"</f>
        <v>Not Requested_Day0_x</v>
      </c>
      <c r="F181">
        <f>NMRResults[[#This Row],['#]]</f>
        <v>0</v>
      </c>
      <c r="G181" s="1">
        <f>NMRResults[[#This Row],[Date Run]]</f>
        <v>0</v>
      </c>
    </row>
    <row r="182" spans="1:7" hidden="1" x14ac:dyDescent="0.25">
      <c r="A182" t="str" cm="1">
        <f t="array" ref="A182">IF(ISBLANK(INDEX(SampleList[ICP],ROW()-1)),"Not Requested",INDEX(SampleList[Experiment ID],ROW()-1))</f>
        <v>Not Requested</v>
      </c>
      <c r="B182">
        <f>Sampling!E180</f>
        <v>0</v>
      </c>
      <c r="E182" t="str">
        <f>ICPList[[#This Row],[Experiment ID]]&amp;"_Day"&amp;ICPList[[#This Row],[Duration (Days)]]&amp;"_"&amp;ICPList[[#This Row],[Dilution]]&amp;"x"</f>
        <v>Not Requested_Day0_x</v>
      </c>
      <c r="F182">
        <f>NMRResults[[#This Row],['#]]</f>
        <v>0</v>
      </c>
      <c r="G182" s="1">
        <f>NMRResults[[#This Row],[Date Run]]</f>
        <v>0</v>
      </c>
    </row>
    <row r="183" spans="1:7" hidden="1" x14ac:dyDescent="0.25">
      <c r="A183" t="str" cm="1">
        <f t="array" ref="A183">IF(ISBLANK(INDEX(SampleList[ICP],ROW()-1)),"Not Requested",INDEX(SampleList[Experiment ID],ROW()-1))</f>
        <v>Not Requested</v>
      </c>
      <c r="B183">
        <f>Sampling!E181</f>
        <v>0</v>
      </c>
      <c r="E183" t="str">
        <f>ICPList[[#This Row],[Experiment ID]]&amp;"_Day"&amp;ICPList[[#This Row],[Duration (Days)]]&amp;"_"&amp;ICPList[[#This Row],[Dilution]]&amp;"x"</f>
        <v>Not Requested_Day0_x</v>
      </c>
      <c r="F183">
        <f>NMRResults[[#This Row],['#]]</f>
        <v>0</v>
      </c>
      <c r="G183" s="1">
        <f>NMRResults[[#This Row],[Date Run]]</f>
        <v>0</v>
      </c>
    </row>
    <row r="184" spans="1:7" hidden="1" x14ac:dyDescent="0.25">
      <c r="A184" t="str" cm="1">
        <f t="array" ref="A184">IF(ISBLANK(INDEX(SampleList[ICP],ROW()-1)),"Not Requested",INDEX(SampleList[Experiment ID],ROW()-1))</f>
        <v>Not Requested</v>
      </c>
      <c r="B184">
        <f>Sampling!E182</f>
        <v>0</v>
      </c>
      <c r="E184" t="str">
        <f>ICPList[[#This Row],[Experiment ID]]&amp;"_Day"&amp;ICPList[[#This Row],[Duration (Days)]]&amp;"_"&amp;ICPList[[#This Row],[Dilution]]&amp;"x"</f>
        <v>Not Requested_Day0_x</v>
      </c>
      <c r="F184">
        <f>NMRResults[[#This Row],['#]]</f>
        <v>0</v>
      </c>
      <c r="G184" s="1">
        <f>NMRResults[[#This Row],[Date Run]]</f>
        <v>0</v>
      </c>
    </row>
    <row r="185" spans="1:7" hidden="1" x14ac:dyDescent="0.25">
      <c r="A185" t="str" cm="1">
        <f t="array" ref="A185">IF(ISBLANK(INDEX(SampleList[ICP],ROW()-1)),"Not Requested",INDEX(SampleList[Experiment ID],ROW()-1))</f>
        <v>Not Requested</v>
      </c>
      <c r="B185">
        <f>Sampling!E183</f>
        <v>0</v>
      </c>
      <c r="E185" t="str">
        <f>ICPList[[#This Row],[Experiment ID]]&amp;"_Day"&amp;ICPList[[#This Row],[Duration (Days)]]&amp;"_"&amp;ICPList[[#This Row],[Dilution]]&amp;"x"</f>
        <v>Not Requested_Day0_x</v>
      </c>
      <c r="F185">
        <f>NMRResults[[#This Row],['#]]</f>
        <v>0</v>
      </c>
      <c r="G185" s="1">
        <f>NMRResults[[#This Row],[Date Run]]</f>
        <v>0</v>
      </c>
    </row>
    <row r="186" spans="1:7" hidden="1" x14ac:dyDescent="0.25">
      <c r="A186" t="str" cm="1">
        <f t="array" ref="A186">IF(ISBLANK(INDEX(SampleList[ICP],ROW()-1)),"Not Requested",INDEX(SampleList[Experiment ID],ROW()-1))</f>
        <v>Not Requested</v>
      </c>
      <c r="B186">
        <f>Sampling!E184</f>
        <v>0</v>
      </c>
      <c r="E186" t="str">
        <f>ICPList[[#This Row],[Experiment ID]]&amp;"_Day"&amp;ICPList[[#This Row],[Duration (Days)]]&amp;"_"&amp;ICPList[[#This Row],[Dilution]]&amp;"x"</f>
        <v>Not Requested_Day0_x</v>
      </c>
      <c r="F186">
        <f>NMRResults[[#This Row],['#]]</f>
        <v>0</v>
      </c>
      <c r="G186" s="1">
        <f>NMRResults[[#This Row],[Date Run]]</f>
        <v>0</v>
      </c>
    </row>
    <row r="187" spans="1:7" hidden="1" x14ac:dyDescent="0.25">
      <c r="A187" t="str" cm="1">
        <f t="array" ref="A187">IF(ISBLANK(INDEX(SampleList[ICP],ROW()-1)),"Not Requested",INDEX(SampleList[Experiment ID],ROW()-1))</f>
        <v>Not Requested</v>
      </c>
      <c r="B187">
        <f>Sampling!E185</f>
        <v>0</v>
      </c>
      <c r="E187" t="str">
        <f>ICPList[[#This Row],[Experiment ID]]&amp;"_Day"&amp;ICPList[[#This Row],[Duration (Days)]]&amp;"_"&amp;ICPList[[#This Row],[Dilution]]&amp;"x"</f>
        <v>Not Requested_Day0_x</v>
      </c>
      <c r="F187">
        <f>NMRResults[[#This Row],['#]]</f>
        <v>0</v>
      </c>
      <c r="G187" s="1">
        <f>NMRResults[[#This Row],[Date Run]]</f>
        <v>0</v>
      </c>
    </row>
    <row r="188" spans="1:7" hidden="1" x14ac:dyDescent="0.25">
      <c r="A188" t="str" cm="1">
        <f t="array" ref="A188">IF(ISBLANK(INDEX(SampleList[ICP],ROW()-1)),"Not Requested",INDEX(SampleList[Experiment ID],ROW()-1))</f>
        <v>Not Requested</v>
      </c>
      <c r="B188">
        <f>Sampling!E186</f>
        <v>0</v>
      </c>
      <c r="E188" t="str">
        <f>ICPList[[#This Row],[Experiment ID]]&amp;"_Day"&amp;ICPList[[#This Row],[Duration (Days)]]&amp;"_"&amp;ICPList[[#This Row],[Dilution]]&amp;"x"</f>
        <v>Not Requested_Day0_x</v>
      </c>
      <c r="F188">
        <f>NMRResults[[#This Row],['#]]</f>
        <v>0</v>
      </c>
      <c r="G188" s="1">
        <f>NMRResults[[#This Row],[Date Run]]</f>
        <v>0</v>
      </c>
    </row>
    <row r="189" spans="1:7" hidden="1" x14ac:dyDescent="0.25">
      <c r="A189" t="str" cm="1">
        <f t="array" ref="A189">IF(ISBLANK(INDEX(SampleList[ICP],ROW()-1)),"Not Requested",INDEX(SampleList[Experiment ID],ROW()-1))</f>
        <v>Not Requested</v>
      </c>
      <c r="B189">
        <f>Sampling!E187</f>
        <v>0</v>
      </c>
      <c r="E189" t="str">
        <f>ICPList[[#This Row],[Experiment ID]]&amp;"_Day"&amp;ICPList[[#This Row],[Duration (Days)]]&amp;"_"&amp;ICPList[[#This Row],[Dilution]]&amp;"x"</f>
        <v>Not Requested_Day0_x</v>
      </c>
      <c r="F189">
        <f>NMRResults[[#This Row],['#]]</f>
        <v>0</v>
      </c>
      <c r="G189" s="1">
        <f>NMRResults[[#This Row],[Date Run]]</f>
        <v>0</v>
      </c>
    </row>
    <row r="190" spans="1:7" hidden="1" x14ac:dyDescent="0.25">
      <c r="A190" t="str" cm="1">
        <f t="array" ref="A190">IF(ISBLANK(INDEX(SampleList[ICP],ROW()-1)),"Not Requested",INDEX(SampleList[Experiment ID],ROW()-1))</f>
        <v>Not Requested</v>
      </c>
      <c r="B190">
        <f>Sampling!E188</f>
        <v>0</v>
      </c>
      <c r="E190" t="str">
        <f>ICPList[[#This Row],[Experiment ID]]&amp;"_Day"&amp;ICPList[[#This Row],[Duration (Days)]]&amp;"_"&amp;ICPList[[#This Row],[Dilution]]&amp;"x"</f>
        <v>Not Requested_Day0_x</v>
      </c>
      <c r="F190">
        <f>NMRResults[[#This Row],['#]]</f>
        <v>0</v>
      </c>
      <c r="G190" s="1">
        <f>NMRResults[[#This Row],[Date Run]]</f>
        <v>0</v>
      </c>
    </row>
    <row r="191" spans="1:7" hidden="1" x14ac:dyDescent="0.25">
      <c r="A191" t="str" cm="1">
        <f t="array" ref="A191">IF(ISBLANK(INDEX(SampleList[ICP],ROW()-1)),"Not Requested",INDEX(SampleList[Experiment ID],ROW()-1))</f>
        <v>Not Requested</v>
      </c>
      <c r="B191">
        <f>Sampling!E189</f>
        <v>0</v>
      </c>
      <c r="E191" t="str">
        <f>ICPList[[#This Row],[Experiment ID]]&amp;"_Day"&amp;ICPList[[#This Row],[Duration (Days)]]&amp;"_"&amp;ICPList[[#This Row],[Dilution]]&amp;"x"</f>
        <v>Not Requested_Day0_x</v>
      </c>
      <c r="F191">
        <f>NMRResults[[#This Row],['#]]</f>
        <v>0</v>
      </c>
      <c r="G191" s="1">
        <f>NMRResults[[#This Row],[Date Run]]</f>
        <v>0</v>
      </c>
    </row>
    <row r="192" spans="1:7" hidden="1" x14ac:dyDescent="0.25">
      <c r="A192" t="str" cm="1">
        <f t="array" ref="A192">IF(ISBLANK(INDEX(SampleList[ICP],ROW()-1)),"Not Requested",INDEX(SampleList[Experiment ID],ROW()-1))</f>
        <v>Not Requested</v>
      </c>
      <c r="B192">
        <f>Sampling!E190</f>
        <v>0</v>
      </c>
      <c r="E192" t="str">
        <f>ICPList[[#This Row],[Experiment ID]]&amp;"_Day"&amp;ICPList[[#This Row],[Duration (Days)]]&amp;"_"&amp;ICPList[[#This Row],[Dilution]]&amp;"x"</f>
        <v>Not Requested_Day0_x</v>
      </c>
      <c r="F192">
        <f>NMRResults[[#This Row],['#]]</f>
        <v>0</v>
      </c>
      <c r="G192" s="1">
        <f>NMRResults[[#This Row],[Date Run]]</f>
        <v>0</v>
      </c>
    </row>
    <row r="193" spans="1:7" hidden="1" x14ac:dyDescent="0.25">
      <c r="A193" t="str" cm="1">
        <f t="array" ref="A193">IF(ISBLANK(INDEX(SampleList[ICP],ROW()-1)),"Not Requested",INDEX(SampleList[Experiment ID],ROW()-1))</f>
        <v>Not Requested</v>
      </c>
      <c r="B193">
        <f>Sampling!E191</f>
        <v>0</v>
      </c>
      <c r="E193" t="str">
        <f>ICPList[[#This Row],[Experiment ID]]&amp;"_Day"&amp;ICPList[[#This Row],[Duration (Days)]]&amp;"_"&amp;ICPList[[#This Row],[Dilution]]&amp;"x"</f>
        <v>Not Requested_Day0_x</v>
      </c>
      <c r="F193">
        <f>NMRResults[[#This Row],['#]]</f>
        <v>0</v>
      </c>
      <c r="G193" s="1">
        <f>NMRResults[[#This Row],[Date Run]]</f>
        <v>0</v>
      </c>
    </row>
    <row r="194" spans="1:7" hidden="1" x14ac:dyDescent="0.25">
      <c r="A194" t="str" cm="1">
        <f t="array" ref="A194">IF(ISBLANK(INDEX(SampleList[ICP],ROW()-1)),"Not Requested",INDEX(SampleList[Experiment ID],ROW()-1))</f>
        <v>Not Requested</v>
      </c>
      <c r="B194">
        <f>Sampling!E192</f>
        <v>0</v>
      </c>
      <c r="E194" t="str">
        <f>ICPList[[#This Row],[Experiment ID]]&amp;"_Day"&amp;ICPList[[#This Row],[Duration (Days)]]&amp;"_"&amp;ICPList[[#This Row],[Dilution]]&amp;"x"</f>
        <v>Not Requested_Day0_x</v>
      </c>
      <c r="F194">
        <f>NMRResults[[#This Row],['#]]</f>
        <v>0</v>
      </c>
      <c r="G194" s="1">
        <f>NMRResults[[#This Row],[Date Run]]</f>
        <v>0</v>
      </c>
    </row>
    <row r="195" spans="1:7" hidden="1" x14ac:dyDescent="0.25">
      <c r="A195" t="str" cm="1">
        <f t="array" ref="A195">IF(ISBLANK(INDEX(SampleList[ICP],ROW()-1)),"Not Requested",INDEX(SampleList[Experiment ID],ROW()-1))</f>
        <v>Not Requested</v>
      </c>
      <c r="B195">
        <f>Sampling!E193</f>
        <v>0</v>
      </c>
      <c r="E195" t="str">
        <f>ICPList[[#This Row],[Experiment ID]]&amp;"_Day"&amp;ICPList[[#This Row],[Duration (Days)]]&amp;"_"&amp;ICPList[[#This Row],[Dilution]]&amp;"x"</f>
        <v>Not Requested_Day0_x</v>
      </c>
      <c r="F195">
        <f>NMRResults[[#This Row],['#]]</f>
        <v>0</v>
      </c>
      <c r="G195" s="1">
        <f>NMRResults[[#This Row],[Date Run]]</f>
        <v>0</v>
      </c>
    </row>
    <row r="196" spans="1:7" hidden="1" x14ac:dyDescent="0.25">
      <c r="A196" t="str" cm="1">
        <f t="array" ref="A196">IF(ISBLANK(INDEX(SampleList[ICP],ROW()-1)),"Not Requested",INDEX(SampleList[Experiment ID],ROW()-1))</f>
        <v>Not Requested</v>
      </c>
      <c r="B196">
        <f>Sampling!E194</f>
        <v>0</v>
      </c>
      <c r="E196" t="str">
        <f>ICPList[[#This Row],[Experiment ID]]&amp;"_Day"&amp;ICPList[[#This Row],[Duration (Days)]]&amp;"_"&amp;ICPList[[#This Row],[Dilution]]&amp;"x"</f>
        <v>Not Requested_Day0_x</v>
      </c>
      <c r="F196">
        <f>NMRResults[[#This Row],['#]]</f>
        <v>0</v>
      </c>
      <c r="G196" s="1">
        <f>NMRResults[[#This Row],[Date Run]]</f>
        <v>0</v>
      </c>
    </row>
    <row r="197" spans="1:7" hidden="1" x14ac:dyDescent="0.25">
      <c r="A197" t="str" cm="1">
        <f t="array" ref="A197">IF(ISBLANK(INDEX(SampleList[ICP],ROW()-1)),"Not Requested",INDEX(SampleList[Experiment ID],ROW()-1))</f>
        <v>Not Requested</v>
      </c>
      <c r="B197">
        <f>Sampling!E195</f>
        <v>0</v>
      </c>
      <c r="E197" t="str">
        <f>ICPList[[#This Row],[Experiment ID]]&amp;"_Day"&amp;ICPList[[#This Row],[Duration (Days)]]&amp;"_"&amp;ICPList[[#This Row],[Dilution]]&amp;"x"</f>
        <v>Not Requested_Day0_x</v>
      </c>
      <c r="F197">
        <f>NMRResults[[#This Row],['#]]</f>
        <v>0</v>
      </c>
      <c r="G197" s="1">
        <f>NMRResults[[#This Row],[Date Run]]</f>
        <v>0</v>
      </c>
    </row>
    <row r="198" spans="1:7" hidden="1" x14ac:dyDescent="0.25">
      <c r="A198" t="str" cm="1">
        <f t="array" ref="A198">IF(ISBLANK(INDEX(SampleList[ICP],ROW()-1)),"Not Requested",INDEX(SampleList[Experiment ID],ROW()-1))</f>
        <v>Not Requested</v>
      </c>
      <c r="B198">
        <f>Sampling!E196</f>
        <v>0</v>
      </c>
      <c r="E198" t="str">
        <f>ICPList[[#This Row],[Experiment ID]]&amp;"_Day"&amp;ICPList[[#This Row],[Duration (Days)]]&amp;"_"&amp;ICPList[[#This Row],[Dilution]]&amp;"x"</f>
        <v>Not Requested_Day0_x</v>
      </c>
      <c r="F198">
        <f>NMRResults[[#This Row],['#]]</f>
        <v>0</v>
      </c>
      <c r="G198" s="1">
        <f>NMRResults[[#This Row],[Date Run]]</f>
        <v>0</v>
      </c>
    </row>
    <row r="199" spans="1:7" hidden="1" x14ac:dyDescent="0.25">
      <c r="A199" t="str" cm="1">
        <f t="array" ref="A199">IF(ISBLANK(INDEX(SampleList[ICP],ROW()-1)),"Not Requested",INDEX(SampleList[Experiment ID],ROW()-1))</f>
        <v>Not Requested</v>
      </c>
      <c r="B199">
        <f>Sampling!E197</f>
        <v>0</v>
      </c>
      <c r="E199" t="str">
        <f>ICPList[[#This Row],[Experiment ID]]&amp;"_Day"&amp;ICPList[[#This Row],[Duration (Days)]]&amp;"_"&amp;ICPList[[#This Row],[Dilution]]&amp;"x"</f>
        <v>Not Requested_Day0_x</v>
      </c>
      <c r="F199">
        <f>NMRResults[[#This Row],['#]]</f>
        <v>0</v>
      </c>
      <c r="G199" s="1">
        <f>NMRResults[[#This Row],[Date Run]]</f>
        <v>0</v>
      </c>
    </row>
    <row r="200" spans="1:7" hidden="1" x14ac:dyDescent="0.25">
      <c r="A200" t="str" cm="1">
        <f t="array" ref="A200">IF(ISBLANK(INDEX(SampleList[ICP],ROW()-1)),"Not Requested",INDEX(SampleList[Experiment ID],ROW()-1))</f>
        <v>Not Requested</v>
      </c>
      <c r="B200">
        <f>Sampling!E198</f>
        <v>0</v>
      </c>
      <c r="E200" t="str">
        <f>ICPList[[#This Row],[Experiment ID]]&amp;"_Day"&amp;ICPList[[#This Row],[Duration (Days)]]&amp;"_"&amp;ICPList[[#This Row],[Dilution]]&amp;"x"</f>
        <v>Not Requested_Day0_x</v>
      </c>
      <c r="F200">
        <f>NMRResults[[#This Row],['#]]</f>
        <v>0</v>
      </c>
      <c r="G200" s="1">
        <f>NMRResults[[#This Row],[Date Run]]</f>
        <v>0</v>
      </c>
    </row>
    <row r="201" spans="1:7" hidden="1" x14ac:dyDescent="0.25">
      <c r="A201" t="str" cm="1">
        <f t="array" ref="A201">IF(ISBLANK(INDEX(SampleList[ICP],ROW()-1)),"Not Requested",INDEX(SampleList[Experiment ID],ROW()-1))</f>
        <v>Not Requested</v>
      </c>
      <c r="B201">
        <f>Sampling!E199</f>
        <v>0</v>
      </c>
      <c r="E201" t="str">
        <f>ICPList[[#This Row],[Experiment ID]]&amp;"_Day"&amp;ICPList[[#This Row],[Duration (Days)]]&amp;"_"&amp;ICPList[[#This Row],[Dilution]]&amp;"x"</f>
        <v>Not Requested_Day0_x</v>
      </c>
      <c r="F201">
        <f>NMRResults[[#This Row],['#]]</f>
        <v>0</v>
      </c>
      <c r="G201" s="1">
        <f>NMRResults[[#This Row],[Date Run]]</f>
        <v>0</v>
      </c>
    </row>
    <row r="202" spans="1:7" hidden="1" x14ac:dyDescent="0.25">
      <c r="A202" t="str" cm="1">
        <f t="array" ref="A202">IF(ISBLANK(INDEX(SampleList[ICP],ROW()-1)),"Not Requested",INDEX(SampleList[Experiment ID],ROW()-1))</f>
        <v>Not Requested</v>
      </c>
      <c r="B202">
        <f>Sampling!E200</f>
        <v>0</v>
      </c>
      <c r="E202" t="str">
        <f>ICPList[[#This Row],[Experiment ID]]&amp;"_Day"&amp;ICPList[[#This Row],[Duration (Days)]]&amp;"_"&amp;ICPList[[#This Row],[Dilution]]&amp;"x"</f>
        <v>Not Requested_Day0_x</v>
      </c>
      <c r="F202">
        <f>NMRResults[[#This Row],['#]]</f>
        <v>0</v>
      </c>
      <c r="G202" s="1">
        <f>NMRResults[[#This Row],[Date Run]]</f>
        <v>0</v>
      </c>
    </row>
    <row r="203" spans="1:7" hidden="1" x14ac:dyDescent="0.25">
      <c r="A203" t="str" cm="1">
        <f t="array" ref="A203">IF(ISBLANK(INDEX(SampleList[ICP],ROW()-1)),"Not Requested",INDEX(SampleList[Experiment ID],ROW()-1))</f>
        <v>Not Requested</v>
      </c>
      <c r="B203">
        <f>Sampling!E201</f>
        <v>0</v>
      </c>
      <c r="E203" t="str">
        <f>ICPList[[#This Row],[Experiment ID]]&amp;"_Day"&amp;ICPList[[#This Row],[Duration (Days)]]&amp;"_"&amp;ICPList[[#This Row],[Dilution]]&amp;"x"</f>
        <v>Not Requested_Day0_x</v>
      </c>
      <c r="F203">
        <f>NMRResults[[#This Row],['#]]</f>
        <v>0</v>
      </c>
      <c r="G203" s="1">
        <f>NMRResults[[#This Row],[Date Run]]</f>
        <v>0</v>
      </c>
    </row>
    <row r="204" spans="1:7" hidden="1" x14ac:dyDescent="0.25">
      <c r="A204" t="str" cm="1">
        <f t="array" ref="A204">IF(ISBLANK(INDEX(SampleList[ICP],ROW()-1)),"Not Requested",INDEX(SampleList[Experiment ID],ROW()-1))</f>
        <v>Not Requested</v>
      </c>
      <c r="B204">
        <f>Sampling!E202</f>
        <v>0</v>
      </c>
      <c r="E204" t="str">
        <f>ICPList[[#This Row],[Experiment ID]]&amp;"_Day"&amp;ICPList[[#This Row],[Duration (Days)]]&amp;"_"&amp;ICPList[[#This Row],[Dilution]]&amp;"x"</f>
        <v>Not Requested_Day0_x</v>
      </c>
      <c r="F204">
        <f>NMRResults[[#This Row],['#]]</f>
        <v>0</v>
      </c>
      <c r="G204" s="1">
        <f>NMRResults[[#This Row],[Date Run]]</f>
        <v>0</v>
      </c>
    </row>
    <row r="205" spans="1:7" hidden="1" x14ac:dyDescent="0.25">
      <c r="A205" t="str" cm="1">
        <f t="array" ref="A205">IF(ISBLANK(INDEX(SampleList[ICP],ROW()-1)),"Not Requested",INDEX(SampleList[Experiment ID],ROW()-1))</f>
        <v>Not Requested</v>
      </c>
      <c r="B205">
        <f>Sampling!E203</f>
        <v>0</v>
      </c>
      <c r="E205" t="str">
        <f>ICPList[[#This Row],[Experiment ID]]&amp;"_Day"&amp;ICPList[[#This Row],[Duration (Days)]]&amp;"_"&amp;ICPList[[#This Row],[Dilution]]&amp;"x"</f>
        <v>Not Requested_Day0_x</v>
      </c>
      <c r="F205">
        <f>NMRResults[[#This Row],['#]]</f>
        <v>0</v>
      </c>
      <c r="G205" s="1">
        <f>NMRResults[[#This Row],[Date Run]]</f>
        <v>0</v>
      </c>
    </row>
    <row r="206" spans="1:7" hidden="1" x14ac:dyDescent="0.25">
      <c r="A206" t="str" cm="1">
        <f t="array" ref="A206">IF(ISBLANK(INDEX(SampleList[ICP],ROW()-1)),"Not Requested",INDEX(SampleList[Experiment ID],ROW()-1))</f>
        <v>Not Requested</v>
      </c>
      <c r="B206">
        <f>Sampling!E204</f>
        <v>0</v>
      </c>
      <c r="E206" t="str">
        <f>ICPList[[#This Row],[Experiment ID]]&amp;"_Day"&amp;ICPList[[#This Row],[Duration (Days)]]&amp;"_"&amp;ICPList[[#This Row],[Dilution]]&amp;"x"</f>
        <v>Not Requested_Day0_x</v>
      </c>
      <c r="F206">
        <f>NMRResults[[#This Row],['#]]</f>
        <v>0</v>
      </c>
      <c r="G206" s="1">
        <f>NMRResults[[#This Row],[Date Run]]</f>
        <v>0</v>
      </c>
    </row>
    <row r="207" spans="1:7" hidden="1" x14ac:dyDescent="0.25">
      <c r="A207" t="str" cm="1">
        <f t="array" ref="A207">IF(ISBLANK(INDEX(SampleList[ICP],ROW()-1)),"Not Requested",INDEX(SampleList[Experiment ID],ROW()-1))</f>
        <v>Not Requested</v>
      </c>
      <c r="B207">
        <f>Sampling!E205</f>
        <v>0</v>
      </c>
      <c r="E207" t="str">
        <f>ICPList[[#This Row],[Experiment ID]]&amp;"_Day"&amp;ICPList[[#This Row],[Duration (Days)]]&amp;"_"&amp;ICPList[[#This Row],[Dilution]]&amp;"x"</f>
        <v>Not Requested_Day0_x</v>
      </c>
      <c r="F207">
        <f>NMRResults[[#This Row],['#]]</f>
        <v>0</v>
      </c>
      <c r="G207" s="1">
        <f>NMRResults[[#This Row],[Date Run]]</f>
        <v>0</v>
      </c>
    </row>
    <row r="208" spans="1:7" hidden="1" x14ac:dyDescent="0.25">
      <c r="A208" t="str" cm="1">
        <f t="array" ref="A208">IF(ISBLANK(INDEX(SampleList[ICP],ROW()-1)),"Not Requested",INDEX(SampleList[Experiment ID],ROW()-1))</f>
        <v>Not Requested</v>
      </c>
      <c r="B208">
        <f>Sampling!E206</f>
        <v>0</v>
      </c>
      <c r="E208" t="str">
        <f>ICPList[[#This Row],[Experiment ID]]&amp;"_Day"&amp;ICPList[[#This Row],[Duration (Days)]]&amp;"_"&amp;ICPList[[#This Row],[Dilution]]&amp;"x"</f>
        <v>Not Requested_Day0_x</v>
      </c>
      <c r="F208">
        <f>NMRResults[[#This Row],['#]]</f>
        <v>0</v>
      </c>
      <c r="G208" s="1">
        <f>NMRResults[[#This Row],[Date Run]]</f>
        <v>0</v>
      </c>
    </row>
    <row r="209" spans="1:7" hidden="1" x14ac:dyDescent="0.25">
      <c r="A209" t="str" cm="1">
        <f t="array" ref="A209">IF(ISBLANK(INDEX(SampleList[ICP],ROW()-1)),"Not Requested",INDEX(SampleList[Experiment ID],ROW()-1))</f>
        <v>Not Requested</v>
      </c>
      <c r="B209">
        <f>Sampling!E207</f>
        <v>0</v>
      </c>
      <c r="E209" t="str">
        <f>ICPList[[#This Row],[Experiment ID]]&amp;"_Day"&amp;ICPList[[#This Row],[Duration (Days)]]&amp;"_"&amp;ICPList[[#This Row],[Dilution]]&amp;"x"</f>
        <v>Not Requested_Day0_x</v>
      </c>
      <c r="F209">
        <f>NMRResults[[#This Row],['#]]</f>
        <v>0</v>
      </c>
      <c r="G209" s="1">
        <f>NMRResults[[#This Row],[Date Run]]</f>
        <v>0</v>
      </c>
    </row>
    <row r="210" spans="1:7" hidden="1" x14ac:dyDescent="0.25">
      <c r="A210" t="str" cm="1">
        <f t="array" ref="A210">IF(ISBLANK(INDEX(SampleList[ICP],ROW()-1)),"Not Requested",INDEX(SampleList[Experiment ID],ROW()-1))</f>
        <v>Not Requested</v>
      </c>
      <c r="B210">
        <f>Sampling!E208</f>
        <v>0</v>
      </c>
      <c r="E210" t="str">
        <f>ICPList[[#This Row],[Experiment ID]]&amp;"_Day"&amp;ICPList[[#This Row],[Duration (Days)]]&amp;"_"&amp;ICPList[[#This Row],[Dilution]]&amp;"x"</f>
        <v>Not Requested_Day0_x</v>
      </c>
      <c r="F210">
        <f>NMRResults[[#This Row],['#]]</f>
        <v>0</v>
      </c>
      <c r="G210" s="1">
        <f>NMRResults[[#This Row],[Date Run]]</f>
        <v>0</v>
      </c>
    </row>
    <row r="211" spans="1:7" hidden="1" x14ac:dyDescent="0.25">
      <c r="A211" t="str" cm="1">
        <f t="array" ref="A211">IF(ISBLANK(INDEX(SampleList[ICP],ROW()-1)),"Not Requested",INDEX(SampleList[Experiment ID],ROW()-1))</f>
        <v>Not Requested</v>
      </c>
      <c r="B211">
        <f>Sampling!E209</f>
        <v>0</v>
      </c>
      <c r="E211" t="str">
        <f>ICPList[[#This Row],[Experiment ID]]&amp;"_Day"&amp;ICPList[[#This Row],[Duration (Days)]]&amp;"_"&amp;ICPList[[#This Row],[Dilution]]&amp;"x"</f>
        <v>Not Requested_Day0_x</v>
      </c>
      <c r="F211">
        <f>NMRResults[[#This Row],['#]]</f>
        <v>0</v>
      </c>
      <c r="G211" s="1">
        <f>NMRResults[[#This Row],[Date Run]]</f>
        <v>0</v>
      </c>
    </row>
    <row r="212" spans="1:7" hidden="1" x14ac:dyDescent="0.25">
      <c r="A212" t="str" cm="1">
        <f t="array" ref="A212">IF(ISBLANK(INDEX(SampleList[ICP],ROW()-1)),"Not Requested",INDEX(SampleList[Experiment ID],ROW()-1))</f>
        <v>Not Requested</v>
      </c>
      <c r="B212">
        <f>Sampling!E210</f>
        <v>0</v>
      </c>
      <c r="E212" t="str">
        <f>ICPList[[#This Row],[Experiment ID]]&amp;"_Day"&amp;ICPList[[#This Row],[Duration (Days)]]&amp;"_"&amp;ICPList[[#This Row],[Dilution]]&amp;"x"</f>
        <v>Not Requested_Day0_x</v>
      </c>
      <c r="F212">
        <f>NMRResults[[#This Row],['#]]</f>
        <v>0</v>
      </c>
      <c r="G212" s="1">
        <f>NMRResults[[#This Row],[Date Run]]</f>
        <v>0</v>
      </c>
    </row>
    <row r="213" spans="1:7" hidden="1" x14ac:dyDescent="0.25">
      <c r="A213" t="str" cm="1">
        <f t="array" ref="A213">IF(ISBLANK(INDEX(SampleList[ICP],ROW()-1)),"Not Requested",INDEX(SampleList[Experiment ID],ROW()-1))</f>
        <v>Not Requested</v>
      </c>
      <c r="B213">
        <f>Sampling!E211</f>
        <v>0</v>
      </c>
      <c r="E213" t="str">
        <f>ICPList[[#This Row],[Experiment ID]]&amp;"_Day"&amp;ICPList[[#This Row],[Duration (Days)]]&amp;"_"&amp;ICPList[[#This Row],[Dilution]]&amp;"x"</f>
        <v>Not Requested_Day0_x</v>
      </c>
      <c r="F213">
        <f>NMRResults[[#This Row],['#]]</f>
        <v>0</v>
      </c>
      <c r="G213" s="1">
        <f>NMRResults[[#This Row],[Date Run]]</f>
        <v>0</v>
      </c>
    </row>
    <row r="214" spans="1:7" hidden="1" x14ac:dyDescent="0.25">
      <c r="A214" t="str" cm="1">
        <f t="array" ref="A214">IF(ISBLANK(INDEX(SampleList[ICP],ROW()-1)),"Not Requested",INDEX(SampleList[Experiment ID],ROW()-1))</f>
        <v>Not Requested</v>
      </c>
      <c r="B214">
        <f>Sampling!E212</f>
        <v>0</v>
      </c>
      <c r="E214" t="str">
        <f>ICPList[[#This Row],[Experiment ID]]&amp;"_Day"&amp;ICPList[[#This Row],[Duration (Days)]]&amp;"_"&amp;ICPList[[#This Row],[Dilution]]&amp;"x"</f>
        <v>Not Requested_Day0_x</v>
      </c>
      <c r="F214">
        <f>NMRResults[[#This Row],['#]]</f>
        <v>0</v>
      </c>
      <c r="G214" s="1">
        <f>NMRResults[[#This Row],[Date Run]]</f>
        <v>0</v>
      </c>
    </row>
    <row r="215" spans="1:7" hidden="1" x14ac:dyDescent="0.25">
      <c r="A215" t="str" cm="1">
        <f t="array" ref="A215">IF(ISBLANK(INDEX(SampleList[ICP],ROW()-1)),"Not Requested",INDEX(SampleList[Experiment ID],ROW()-1))</f>
        <v>Not Requested</v>
      </c>
      <c r="B215">
        <f>Sampling!E213</f>
        <v>0</v>
      </c>
      <c r="E215" t="str">
        <f>ICPList[[#This Row],[Experiment ID]]&amp;"_Day"&amp;ICPList[[#This Row],[Duration (Days)]]&amp;"_"&amp;ICPList[[#This Row],[Dilution]]&amp;"x"</f>
        <v>Not Requested_Day0_x</v>
      </c>
      <c r="F215">
        <f>NMRResults[[#This Row],['#]]</f>
        <v>0</v>
      </c>
      <c r="G215" s="1">
        <f>NMRResults[[#This Row],[Date Run]]</f>
        <v>0</v>
      </c>
    </row>
    <row r="216" spans="1:7" hidden="1" x14ac:dyDescent="0.25">
      <c r="A216" t="str" cm="1">
        <f t="array" ref="A216">IF(ISBLANK(INDEX(SampleList[ICP],ROW()-1)),"Not Requested",INDEX(SampleList[Experiment ID],ROW()-1))</f>
        <v>Not Requested</v>
      </c>
      <c r="B216">
        <f>Sampling!E214</f>
        <v>0</v>
      </c>
      <c r="E216" t="str">
        <f>ICPList[[#This Row],[Experiment ID]]&amp;"_Day"&amp;ICPList[[#This Row],[Duration (Days)]]&amp;"_"&amp;ICPList[[#This Row],[Dilution]]&amp;"x"</f>
        <v>Not Requested_Day0_x</v>
      </c>
      <c r="F216">
        <f>NMRResults[[#This Row],['#]]</f>
        <v>0</v>
      </c>
      <c r="G216" s="1">
        <f>NMRResults[[#This Row],[Date Run]]</f>
        <v>0</v>
      </c>
    </row>
    <row r="217" spans="1:7" hidden="1" x14ac:dyDescent="0.25">
      <c r="A217" t="str" cm="1">
        <f t="array" ref="A217">IF(ISBLANK(INDEX(SampleList[ICP],ROW()-1)),"Not Requested",INDEX(SampleList[Experiment ID],ROW()-1))</f>
        <v>Not Requested</v>
      </c>
      <c r="B217">
        <f>Sampling!E215</f>
        <v>0</v>
      </c>
      <c r="E217" t="str">
        <f>ICPList[[#This Row],[Experiment ID]]&amp;"_Day"&amp;ICPList[[#This Row],[Duration (Days)]]&amp;"_"&amp;ICPList[[#This Row],[Dilution]]&amp;"x"</f>
        <v>Not Requested_Day0_x</v>
      </c>
      <c r="F217">
        <f>NMRResults[[#This Row],['#]]</f>
        <v>0</v>
      </c>
      <c r="G217" s="1">
        <f>NMRResults[[#This Row],[Date Run]]</f>
        <v>0</v>
      </c>
    </row>
    <row r="218" spans="1:7" hidden="1" x14ac:dyDescent="0.25">
      <c r="A218" t="str" cm="1">
        <f t="array" ref="A218">IF(ISBLANK(INDEX(SampleList[ICP],ROW()-1)),"Not Requested",INDEX(SampleList[Experiment ID],ROW()-1))</f>
        <v>Not Requested</v>
      </c>
      <c r="B218">
        <f>Sampling!E216</f>
        <v>0</v>
      </c>
      <c r="E218" t="str">
        <f>ICPList[[#This Row],[Experiment ID]]&amp;"_Day"&amp;ICPList[[#This Row],[Duration (Days)]]&amp;"_"&amp;ICPList[[#This Row],[Dilution]]&amp;"x"</f>
        <v>Not Requested_Day0_x</v>
      </c>
      <c r="F218">
        <f>NMRResults[[#This Row],['#]]</f>
        <v>0</v>
      </c>
      <c r="G218" s="1">
        <f>NMRResults[[#This Row],[Date Run]]</f>
        <v>0</v>
      </c>
    </row>
    <row r="219" spans="1:7" hidden="1" x14ac:dyDescent="0.25">
      <c r="A219" t="str" cm="1">
        <f t="array" ref="A219">IF(ISBLANK(INDEX(SampleList[ICP],ROW()-1)),"Not Requested",INDEX(SampleList[Experiment ID],ROW()-1))</f>
        <v>Not Requested</v>
      </c>
      <c r="B219">
        <f>Sampling!E217</f>
        <v>0</v>
      </c>
      <c r="E219" t="str">
        <f>ICPList[[#This Row],[Experiment ID]]&amp;"_Day"&amp;ICPList[[#This Row],[Duration (Days)]]&amp;"_"&amp;ICPList[[#This Row],[Dilution]]&amp;"x"</f>
        <v>Not Requested_Day0_x</v>
      </c>
      <c r="F219">
        <f>NMRResults[[#This Row],['#]]</f>
        <v>0</v>
      </c>
      <c r="G219" s="1">
        <f>NMRResults[[#This Row],[Date Run]]</f>
        <v>0</v>
      </c>
    </row>
    <row r="220" spans="1:7" hidden="1" x14ac:dyDescent="0.25">
      <c r="A220" t="str" cm="1">
        <f t="array" ref="A220">IF(ISBLANK(INDEX(SampleList[ICP],ROW()-1)),"Not Requested",INDEX(SampleList[Experiment ID],ROW()-1))</f>
        <v>Not Requested</v>
      </c>
      <c r="B220">
        <f>Sampling!E218</f>
        <v>0</v>
      </c>
      <c r="E220" t="str">
        <f>ICPList[[#This Row],[Experiment ID]]&amp;"_Day"&amp;ICPList[[#This Row],[Duration (Days)]]&amp;"_"&amp;ICPList[[#This Row],[Dilution]]&amp;"x"</f>
        <v>Not Requested_Day0_x</v>
      </c>
      <c r="F220">
        <f>NMRResults[[#This Row],['#]]</f>
        <v>0</v>
      </c>
      <c r="G220" s="1">
        <f>NMRResults[[#This Row],[Date Run]]</f>
        <v>0</v>
      </c>
    </row>
    <row r="221" spans="1:7" hidden="1" x14ac:dyDescent="0.25">
      <c r="A221" t="str" cm="1">
        <f t="array" ref="A221">IF(ISBLANK(INDEX(SampleList[ICP],ROW()-1)),"Not Requested",INDEX(SampleList[Experiment ID],ROW()-1))</f>
        <v>Not Requested</v>
      </c>
      <c r="B221">
        <f>Sampling!E219</f>
        <v>0</v>
      </c>
      <c r="E221" t="str">
        <f>ICPList[[#This Row],[Experiment ID]]&amp;"_Day"&amp;ICPList[[#This Row],[Duration (Days)]]&amp;"_"&amp;ICPList[[#This Row],[Dilution]]&amp;"x"</f>
        <v>Not Requested_Day0_x</v>
      </c>
      <c r="F221">
        <f>NMRResults[[#This Row],['#]]</f>
        <v>0</v>
      </c>
      <c r="G221" s="1">
        <f>NMRResults[[#This Row],[Date Run]]</f>
        <v>0</v>
      </c>
    </row>
    <row r="222" spans="1:7" hidden="1" x14ac:dyDescent="0.25">
      <c r="A222" t="str" cm="1">
        <f t="array" ref="A222">IF(ISBLANK(INDEX(SampleList[ICP],ROW()-1)),"Not Requested",INDEX(SampleList[Experiment ID],ROW()-1))</f>
        <v>Not Requested</v>
      </c>
      <c r="B222">
        <f>Sampling!E220</f>
        <v>0</v>
      </c>
      <c r="E222" t="str">
        <f>ICPList[[#This Row],[Experiment ID]]&amp;"_Day"&amp;ICPList[[#This Row],[Duration (Days)]]&amp;"_"&amp;ICPList[[#This Row],[Dilution]]&amp;"x"</f>
        <v>Not Requested_Day0_x</v>
      </c>
      <c r="F222">
        <f>NMRResults[[#This Row],['#]]</f>
        <v>0</v>
      </c>
      <c r="G222" s="1">
        <f>NMRResults[[#This Row],[Date Run]]</f>
        <v>0</v>
      </c>
    </row>
    <row r="223" spans="1:7" hidden="1" x14ac:dyDescent="0.25">
      <c r="A223" t="str" cm="1">
        <f t="array" ref="A223">IF(ISBLANK(INDEX(SampleList[ICP],ROW()-1)),"Not Requested",INDEX(SampleList[Experiment ID],ROW()-1))</f>
        <v>Not Requested</v>
      </c>
      <c r="B223">
        <f>Sampling!E221</f>
        <v>0</v>
      </c>
      <c r="E223" t="str">
        <f>ICPList[[#This Row],[Experiment ID]]&amp;"_Day"&amp;ICPList[[#This Row],[Duration (Days)]]&amp;"_"&amp;ICPList[[#This Row],[Dilution]]&amp;"x"</f>
        <v>Not Requested_Day0_x</v>
      </c>
      <c r="F223">
        <f>NMRResults[[#This Row],['#]]</f>
        <v>0</v>
      </c>
      <c r="G223" s="1">
        <f>NMRResults[[#This Row],[Date Run]]</f>
        <v>0</v>
      </c>
    </row>
    <row r="224" spans="1:7" hidden="1" x14ac:dyDescent="0.25">
      <c r="A224" t="str" cm="1">
        <f t="array" ref="A224">IF(ISBLANK(INDEX(SampleList[ICP],ROW()-1)),"Not Requested",INDEX(SampleList[Experiment ID],ROW()-1))</f>
        <v>Not Requested</v>
      </c>
      <c r="B224">
        <f>Sampling!E222</f>
        <v>0</v>
      </c>
      <c r="E224" t="str">
        <f>ICPList[[#This Row],[Experiment ID]]&amp;"_Day"&amp;ICPList[[#This Row],[Duration (Days)]]&amp;"_"&amp;ICPList[[#This Row],[Dilution]]&amp;"x"</f>
        <v>Not Requested_Day0_x</v>
      </c>
      <c r="F224">
        <f>NMRResults[[#This Row],['#]]</f>
        <v>0</v>
      </c>
      <c r="G224" s="1">
        <f>NMRResults[[#This Row],[Date Run]]</f>
        <v>0</v>
      </c>
    </row>
    <row r="225" spans="1:7" hidden="1" x14ac:dyDescent="0.25">
      <c r="A225" t="str" cm="1">
        <f t="array" ref="A225">IF(ISBLANK(INDEX(SampleList[ICP],ROW()-1)),"Not Requested",INDEX(SampleList[Experiment ID],ROW()-1))</f>
        <v>Not Requested</v>
      </c>
      <c r="B225">
        <f>Sampling!E223</f>
        <v>0</v>
      </c>
      <c r="E225" t="str">
        <f>ICPList[[#This Row],[Experiment ID]]&amp;"_Day"&amp;ICPList[[#This Row],[Duration (Days)]]&amp;"_"&amp;ICPList[[#This Row],[Dilution]]&amp;"x"</f>
        <v>Not Requested_Day0_x</v>
      </c>
      <c r="F225">
        <f>NMRResults[[#This Row],['#]]</f>
        <v>0</v>
      </c>
      <c r="G225" s="1">
        <f>NMRResults[[#This Row],[Date Run]]</f>
        <v>0</v>
      </c>
    </row>
    <row r="226" spans="1:7" hidden="1" x14ac:dyDescent="0.25">
      <c r="A226" t="str" cm="1">
        <f t="array" ref="A226">IF(ISBLANK(INDEX(SampleList[ICP],ROW()-1)),"Not Requested",INDEX(SampleList[Experiment ID],ROW()-1))</f>
        <v>Not Requested</v>
      </c>
      <c r="B226">
        <f>Sampling!E224</f>
        <v>0</v>
      </c>
      <c r="E226" t="str">
        <f>ICPList[[#This Row],[Experiment ID]]&amp;"_Day"&amp;ICPList[[#This Row],[Duration (Days)]]&amp;"_"&amp;ICPList[[#This Row],[Dilution]]&amp;"x"</f>
        <v>Not Requested_Day0_x</v>
      </c>
      <c r="F226">
        <f>NMRResults[[#This Row],['#]]</f>
        <v>0</v>
      </c>
      <c r="G226" s="1">
        <f>NMRResults[[#This Row],[Date Run]]</f>
        <v>0</v>
      </c>
    </row>
    <row r="227" spans="1:7" hidden="1" x14ac:dyDescent="0.25">
      <c r="A227" t="str" cm="1">
        <f t="array" ref="A227">IF(ISBLANK(INDEX(SampleList[ICP],ROW()-1)),"Not Requested",INDEX(SampleList[Experiment ID],ROW()-1))</f>
        <v>Not Requested</v>
      </c>
      <c r="B227">
        <f>Sampling!E225</f>
        <v>0</v>
      </c>
      <c r="E227" t="str">
        <f>ICPList[[#This Row],[Experiment ID]]&amp;"_Day"&amp;ICPList[[#This Row],[Duration (Days)]]&amp;"_"&amp;ICPList[[#This Row],[Dilution]]&amp;"x"</f>
        <v>Not Requested_Day0_x</v>
      </c>
      <c r="F227">
        <f>NMRResults[[#This Row],['#]]</f>
        <v>0</v>
      </c>
      <c r="G227" s="1">
        <f>NMRResults[[#This Row],[Date Run]]</f>
        <v>0</v>
      </c>
    </row>
    <row r="228" spans="1:7" hidden="1" x14ac:dyDescent="0.25">
      <c r="A228" t="str" cm="1">
        <f t="array" ref="A228">IF(ISBLANK(INDEX(SampleList[ICP],ROW()-1)),"Not Requested",INDEX(SampleList[Experiment ID],ROW()-1))</f>
        <v>Not Requested</v>
      </c>
      <c r="B228">
        <f>Sampling!E226</f>
        <v>0</v>
      </c>
      <c r="E228" t="str">
        <f>ICPList[[#This Row],[Experiment ID]]&amp;"_Day"&amp;ICPList[[#This Row],[Duration (Days)]]&amp;"_"&amp;ICPList[[#This Row],[Dilution]]&amp;"x"</f>
        <v>Not Requested_Day0_x</v>
      </c>
      <c r="F228">
        <f>NMRResults[[#This Row],['#]]</f>
        <v>0</v>
      </c>
      <c r="G228" s="1">
        <f>NMRResults[[#This Row],[Date Run]]</f>
        <v>0</v>
      </c>
    </row>
    <row r="229" spans="1:7" hidden="1" x14ac:dyDescent="0.25">
      <c r="A229" t="str" cm="1">
        <f t="array" ref="A229">IF(ISBLANK(INDEX(SampleList[ICP],ROW()-1)),"Not Requested",INDEX(SampleList[Experiment ID],ROW()-1))</f>
        <v>Not Requested</v>
      </c>
      <c r="B229">
        <f>Sampling!E227</f>
        <v>0</v>
      </c>
      <c r="E229" t="str">
        <f>ICPList[[#This Row],[Experiment ID]]&amp;"_Day"&amp;ICPList[[#This Row],[Duration (Days)]]&amp;"_"&amp;ICPList[[#This Row],[Dilution]]&amp;"x"</f>
        <v>Not Requested_Day0_x</v>
      </c>
      <c r="F229">
        <f>NMRResults[[#This Row],['#]]</f>
        <v>0</v>
      </c>
      <c r="G229" s="1">
        <f>NMRResults[[#This Row],[Date Run]]</f>
        <v>0</v>
      </c>
    </row>
    <row r="230" spans="1:7" hidden="1" x14ac:dyDescent="0.25">
      <c r="A230" t="str" cm="1">
        <f t="array" ref="A230">IF(ISBLANK(INDEX(SampleList[ICP],ROW()-1)),"Not Requested",INDEX(SampleList[Experiment ID],ROW()-1))</f>
        <v>Not Requested</v>
      </c>
      <c r="B230">
        <f>Sampling!E228</f>
        <v>0</v>
      </c>
      <c r="E230" t="str">
        <f>ICPList[[#This Row],[Experiment ID]]&amp;"_Day"&amp;ICPList[[#This Row],[Duration (Days)]]&amp;"_"&amp;ICPList[[#This Row],[Dilution]]&amp;"x"</f>
        <v>Not Requested_Day0_x</v>
      </c>
      <c r="F230">
        <f>NMRResults[[#This Row],['#]]</f>
        <v>0</v>
      </c>
      <c r="G230" s="1">
        <f>NMRResults[[#This Row],[Date Run]]</f>
        <v>0</v>
      </c>
    </row>
    <row r="231" spans="1:7" hidden="1" x14ac:dyDescent="0.25">
      <c r="A231" t="str" cm="1">
        <f t="array" ref="A231">IF(ISBLANK(INDEX(SampleList[ICP],ROW()-1)),"Not Requested",INDEX(SampleList[Experiment ID],ROW()-1))</f>
        <v>Not Requested</v>
      </c>
      <c r="B231">
        <f>Sampling!E229</f>
        <v>0</v>
      </c>
      <c r="E231" t="str">
        <f>ICPList[[#This Row],[Experiment ID]]&amp;"_Day"&amp;ICPList[[#This Row],[Duration (Days)]]&amp;"_"&amp;ICPList[[#This Row],[Dilution]]&amp;"x"</f>
        <v>Not Requested_Day0_x</v>
      </c>
      <c r="F231">
        <f>NMRResults[[#This Row],['#]]</f>
        <v>0</v>
      </c>
      <c r="G231" s="1">
        <f>NMRResults[[#This Row],[Date Run]]</f>
        <v>0</v>
      </c>
    </row>
    <row r="232" spans="1:7" hidden="1" x14ac:dyDescent="0.25">
      <c r="A232" t="str" cm="1">
        <f t="array" ref="A232">IF(ISBLANK(INDEX(SampleList[ICP],ROW()-1)),"Not Requested",INDEX(SampleList[Experiment ID],ROW()-1))</f>
        <v>Not Requested</v>
      </c>
      <c r="B232">
        <f>Sampling!E230</f>
        <v>0</v>
      </c>
      <c r="E232" t="str">
        <f>ICPList[[#This Row],[Experiment ID]]&amp;"_Day"&amp;ICPList[[#This Row],[Duration (Days)]]&amp;"_"&amp;ICPList[[#This Row],[Dilution]]&amp;"x"</f>
        <v>Not Requested_Day0_x</v>
      </c>
      <c r="F232">
        <f>NMRResults[[#This Row],['#]]</f>
        <v>0</v>
      </c>
      <c r="G232" s="1">
        <f>NMRResults[[#This Row],[Date Run]]</f>
        <v>0</v>
      </c>
    </row>
    <row r="233" spans="1:7" hidden="1" x14ac:dyDescent="0.25">
      <c r="A233" t="str" cm="1">
        <f t="array" ref="A233">IF(ISBLANK(INDEX(SampleList[ICP],ROW()-1)),"Not Requested",INDEX(SampleList[Experiment ID],ROW()-1))</f>
        <v>Not Requested</v>
      </c>
      <c r="B233">
        <f>Sampling!E231</f>
        <v>0</v>
      </c>
      <c r="E233" t="str">
        <f>ICPList[[#This Row],[Experiment ID]]&amp;"_Day"&amp;ICPList[[#This Row],[Duration (Days)]]&amp;"_"&amp;ICPList[[#This Row],[Dilution]]&amp;"x"</f>
        <v>Not Requested_Day0_x</v>
      </c>
      <c r="F233">
        <f>NMRResults[[#This Row],['#]]</f>
        <v>0</v>
      </c>
      <c r="G233" s="1">
        <f>NMRResults[[#This Row],[Date Run]]</f>
        <v>0</v>
      </c>
    </row>
    <row r="234" spans="1:7" hidden="1" x14ac:dyDescent="0.25">
      <c r="A234" t="str" cm="1">
        <f t="array" ref="A234">IF(ISBLANK(INDEX(SampleList[ICP],ROW()-1)),"Not Requested",INDEX(SampleList[Experiment ID],ROW()-1))</f>
        <v>Not Requested</v>
      </c>
      <c r="B234">
        <f>Sampling!E232</f>
        <v>0</v>
      </c>
      <c r="E234" t="str">
        <f>ICPList[[#This Row],[Experiment ID]]&amp;"_Day"&amp;ICPList[[#This Row],[Duration (Days)]]&amp;"_"&amp;ICPList[[#This Row],[Dilution]]&amp;"x"</f>
        <v>Not Requested_Day0_x</v>
      </c>
      <c r="F234">
        <f>NMRResults[[#This Row],['#]]</f>
        <v>0</v>
      </c>
      <c r="G234" s="1">
        <f>NMRResults[[#This Row],[Date Run]]</f>
        <v>0</v>
      </c>
    </row>
    <row r="235" spans="1:7" hidden="1" x14ac:dyDescent="0.25">
      <c r="A235" t="str" cm="1">
        <f t="array" ref="A235">IF(ISBLANK(INDEX(SampleList[ICP],ROW()-1)),"Not Requested",INDEX(SampleList[Experiment ID],ROW()-1))</f>
        <v>Not Requested</v>
      </c>
      <c r="B235">
        <f>Sampling!E233</f>
        <v>0</v>
      </c>
      <c r="E235" t="str">
        <f>ICPList[[#This Row],[Experiment ID]]&amp;"_Day"&amp;ICPList[[#This Row],[Duration (Days)]]&amp;"_"&amp;ICPList[[#This Row],[Dilution]]&amp;"x"</f>
        <v>Not Requested_Day0_x</v>
      </c>
      <c r="F235">
        <f>NMRResults[[#This Row],['#]]</f>
        <v>0</v>
      </c>
      <c r="G235" s="1">
        <f>NMRResults[[#This Row],[Date Run]]</f>
        <v>0</v>
      </c>
    </row>
    <row r="236" spans="1:7" hidden="1" x14ac:dyDescent="0.25">
      <c r="A236" t="str" cm="1">
        <f t="array" ref="A236">IF(ISBLANK(INDEX(SampleList[ICP],ROW()-1)),"Not Requested",INDEX(SampleList[Experiment ID],ROW()-1))</f>
        <v>Not Requested</v>
      </c>
      <c r="B236">
        <f>Sampling!E234</f>
        <v>0</v>
      </c>
      <c r="E236" t="str">
        <f>ICPList[[#This Row],[Experiment ID]]&amp;"_Day"&amp;ICPList[[#This Row],[Duration (Days)]]&amp;"_"&amp;ICPList[[#This Row],[Dilution]]&amp;"x"</f>
        <v>Not Requested_Day0_x</v>
      </c>
      <c r="F236">
        <f>NMRResults[[#This Row],['#]]</f>
        <v>0</v>
      </c>
      <c r="G236" s="1">
        <f>NMRResults[[#This Row],[Date Run]]</f>
        <v>0</v>
      </c>
    </row>
    <row r="237" spans="1:7" hidden="1" x14ac:dyDescent="0.25">
      <c r="A237" t="str" cm="1">
        <f t="array" ref="A237">IF(ISBLANK(INDEX(SampleList[ICP],ROW()-1)),"Not Requested",INDEX(SampleList[Experiment ID],ROW()-1))</f>
        <v>Not Requested</v>
      </c>
      <c r="B237">
        <f>Sampling!E235</f>
        <v>0</v>
      </c>
      <c r="E237" t="str">
        <f>ICPList[[#This Row],[Experiment ID]]&amp;"_Day"&amp;ICPList[[#This Row],[Duration (Days)]]&amp;"_"&amp;ICPList[[#This Row],[Dilution]]&amp;"x"</f>
        <v>Not Requested_Day0_x</v>
      </c>
      <c r="F237">
        <f>NMRResults[[#This Row],['#]]</f>
        <v>0</v>
      </c>
      <c r="G237" s="1">
        <f>NMRResults[[#This Row],[Date Run]]</f>
        <v>0</v>
      </c>
    </row>
    <row r="238" spans="1:7" hidden="1" x14ac:dyDescent="0.25">
      <c r="A238" t="str" cm="1">
        <f t="array" ref="A238">IF(ISBLANK(INDEX(SampleList[ICP],ROW()-1)),"Not Requested",INDEX(SampleList[Experiment ID],ROW()-1))</f>
        <v>Not Requested</v>
      </c>
      <c r="B238">
        <f>Sampling!E236</f>
        <v>0</v>
      </c>
      <c r="E238" t="str">
        <f>ICPList[[#This Row],[Experiment ID]]&amp;"_Day"&amp;ICPList[[#This Row],[Duration (Days)]]&amp;"_"&amp;ICPList[[#This Row],[Dilution]]&amp;"x"</f>
        <v>Not Requested_Day0_x</v>
      </c>
      <c r="F238">
        <f>NMRResults[[#This Row],['#]]</f>
        <v>0</v>
      </c>
      <c r="G238" s="1">
        <f>NMRResults[[#This Row],[Date Run]]</f>
        <v>0</v>
      </c>
    </row>
    <row r="239" spans="1:7" hidden="1" x14ac:dyDescent="0.25">
      <c r="A239" t="str" cm="1">
        <f t="array" ref="A239">IF(ISBLANK(INDEX(SampleList[ICP],ROW()-1)),"Not Requested",INDEX(SampleList[Experiment ID],ROW()-1))</f>
        <v>Not Requested</v>
      </c>
      <c r="B239">
        <f>Sampling!E237</f>
        <v>0</v>
      </c>
      <c r="E239" t="str">
        <f>ICPList[[#This Row],[Experiment ID]]&amp;"_Day"&amp;ICPList[[#This Row],[Duration (Days)]]&amp;"_"&amp;ICPList[[#This Row],[Dilution]]&amp;"x"</f>
        <v>Not Requested_Day0_x</v>
      </c>
      <c r="F239">
        <f>NMRResults[[#This Row],['#]]</f>
        <v>0</v>
      </c>
      <c r="G239" s="1">
        <f>NMRResults[[#This Row],[Date Run]]</f>
        <v>0</v>
      </c>
    </row>
    <row r="240" spans="1:7" hidden="1" x14ac:dyDescent="0.25">
      <c r="A240" t="str" cm="1">
        <f t="array" ref="A240">IF(ISBLANK(INDEX(SampleList[ICP],ROW()-1)),"Not Requested",INDEX(SampleList[Experiment ID],ROW()-1))</f>
        <v>Not Requested</v>
      </c>
      <c r="B240">
        <f>Sampling!E238</f>
        <v>0</v>
      </c>
      <c r="E240" t="str">
        <f>ICPList[[#This Row],[Experiment ID]]&amp;"_Day"&amp;ICPList[[#This Row],[Duration (Days)]]&amp;"_"&amp;ICPList[[#This Row],[Dilution]]&amp;"x"</f>
        <v>Not Requested_Day0_x</v>
      </c>
      <c r="F240">
        <f>NMRResults[[#This Row],['#]]</f>
        <v>0</v>
      </c>
      <c r="G240" s="1">
        <f>NMRResults[[#This Row],[Date Run]]</f>
        <v>0</v>
      </c>
    </row>
    <row r="241" spans="1:7" hidden="1" x14ac:dyDescent="0.25">
      <c r="A241" t="str" cm="1">
        <f t="array" ref="A241">IF(ISBLANK(INDEX(SampleList[ICP],ROW()-1)),"Not Requested",INDEX(SampleList[Experiment ID],ROW()-1))</f>
        <v>Not Requested</v>
      </c>
      <c r="B241">
        <f>Sampling!E239</f>
        <v>0</v>
      </c>
      <c r="E241" t="str">
        <f>ICPList[[#This Row],[Experiment ID]]&amp;"_Day"&amp;ICPList[[#This Row],[Duration (Days)]]&amp;"_"&amp;ICPList[[#This Row],[Dilution]]&amp;"x"</f>
        <v>Not Requested_Day0_x</v>
      </c>
      <c r="F241">
        <f>NMRResults[[#This Row],['#]]</f>
        <v>0</v>
      </c>
      <c r="G241" s="1">
        <f>NMRResults[[#This Row],[Date Run]]</f>
        <v>0</v>
      </c>
    </row>
    <row r="242" spans="1:7" hidden="1" x14ac:dyDescent="0.25">
      <c r="A242" t="str" cm="1">
        <f t="array" ref="A242">IF(ISBLANK(INDEX(SampleList[ICP],ROW()-1)),"Not Requested",INDEX(SampleList[Experiment ID],ROW()-1))</f>
        <v>Not Requested</v>
      </c>
      <c r="B242">
        <f>Sampling!E240</f>
        <v>0</v>
      </c>
      <c r="E242" t="str">
        <f>ICPList[[#This Row],[Experiment ID]]&amp;"_Day"&amp;ICPList[[#This Row],[Duration (Days)]]&amp;"_"&amp;ICPList[[#This Row],[Dilution]]&amp;"x"</f>
        <v>Not Requested_Day0_x</v>
      </c>
      <c r="F242">
        <f>NMRResults[[#This Row],['#]]</f>
        <v>0</v>
      </c>
      <c r="G242" s="1">
        <f>NMRResults[[#This Row],[Date Run]]</f>
        <v>0</v>
      </c>
    </row>
    <row r="243" spans="1:7" hidden="1" x14ac:dyDescent="0.25">
      <c r="A243" t="str" cm="1">
        <f t="array" ref="A243">IF(ISBLANK(INDEX(SampleList[ICP],ROW()-1)),"Not Requested",INDEX(SampleList[Experiment ID],ROW()-1))</f>
        <v>Not Requested</v>
      </c>
      <c r="B243">
        <f>Sampling!E241</f>
        <v>0</v>
      </c>
      <c r="E243" t="str">
        <f>ICPList[[#This Row],[Experiment ID]]&amp;"_Day"&amp;ICPList[[#This Row],[Duration (Days)]]&amp;"_"&amp;ICPList[[#This Row],[Dilution]]&amp;"x"</f>
        <v>Not Requested_Day0_x</v>
      </c>
      <c r="F243">
        <f>NMRResults[[#This Row],['#]]</f>
        <v>0</v>
      </c>
      <c r="G243" s="1">
        <f>NMRResults[[#This Row],[Date Run]]</f>
        <v>0</v>
      </c>
    </row>
    <row r="244" spans="1:7" hidden="1" x14ac:dyDescent="0.25">
      <c r="A244" t="str" cm="1">
        <f t="array" ref="A244">IF(ISBLANK(INDEX(SampleList[ICP],ROW()-1)),"Not Requested",INDEX(SampleList[Experiment ID],ROW()-1))</f>
        <v>Not Requested</v>
      </c>
      <c r="B244">
        <f>Sampling!E242</f>
        <v>0</v>
      </c>
      <c r="E244" t="str">
        <f>ICPList[[#This Row],[Experiment ID]]&amp;"_Day"&amp;ICPList[[#This Row],[Duration (Days)]]&amp;"_"&amp;ICPList[[#This Row],[Dilution]]&amp;"x"</f>
        <v>Not Requested_Day0_x</v>
      </c>
      <c r="F244">
        <f>NMRResults[[#This Row],['#]]</f>
        <v>0</v>
      </c>
      <c r="G244" s="1">
        <f>NMRResults[[#This Row],[Date Run]]</f>
        <v>0</v>
      </c>
    </row>
    <row r="245" spans="1:7" hidden="1" x14ac:dyDescent="0.25">
      <c r="A245" t="str" cm="1">
        <f t="array" ref="A245">IF(ISBLANK(INDEX(SampleList[ICP],ROW()-1)),"Not Requested",INDEX(SampleList[Experiment ID],ROW()-1))</f>
        <v>Not Requested</v>
      </c>
      <c r="B245">
        <f>Sampling!E243</f>
        <v>0</v>
      </c>
      <c r="E245" t="str">
        <f>ICPList[[#This Row],[Experiment ID]]&amp;"_Day"&amp;ICPList[[#This Row],[Duration (Days)]]&amp;"_"&amp;ICPList[[#This Row],[Dilution]]&amp;"x"</f>
        <v>Not Requested_Day0_x</v>
      </c>
      <c r="F245">
        <f>NMRResults[[#This Row],['#]]</f>
        <v>0</v>
      </c>
      <c r="G245" s="1">
        <f>NMRResults[[#This Row],[Date Run]]</f>
        <v>0</v>
      </c>
    </row>
    <row r="246" spans="1:7" hidden="1" x14ac:dyDescent="0.25">
      <c r="A246" t="str" cm="1">
        <f t="array" ref="A246">IF(ISBLANK(INDEX(SampleList[ICP],ROW()-1)),"Not Requested",INDEX(SampleList[Experiment ID],ROW()-1))</f>
        <v>Not Requested</v>
      </c>
      <c r="B246">
        <f>Sampling!E244</f>
        <v>0</v>
      </c>
      <c r="E246" t="str">
        <f>ICPList[[#This Row],[Experiment ID]]&amp;"_Day"&amp;ICPList[[#This Row],[Duration (Days)]]&amp;"_"&amp;ICPList[[#This Row],[Dilution]]&amp;"x"</f>
        <v>Not Requested_Day0_x</v>
      </c>
      <c r="F246">
        <f>NMRResults[[#This Row],['#]]</f>
        <v>0</v>
      </c>
      <c r="G246" s="1">
        <f>NMRResults[[#This Row],[Date Run]]</f>
        <v>0</v>
      </c>
    </row>
    <row r="247" spans="1:7" hidden="1" x14ac:dyDescent="0.25">
      <c r="A247" t="str" cm="1">
        <f t="array" ref="A247">IF(ISBLANK(INDEX(SampleList[ICP],ROW()-1)),"Not Requested",INDEX(SampleList[Experiment ID],ROW()-1))</f>
        <v>Not Requested</v>
      </c>
      <c r="B247">
        <f>Sampling!E245</f>
        <v>0</v>
      </c>
      <c r="E247" t="str">
        <f>ICPList[[#This Row],[Experiment ID]]&amp;"_Day"&amp;ICPList[[#This Row],[Duration (Days)]]&amp;"_"&amp;ICPList[[#This Row],[Dilution]]&amp;"x"</f>
        <v>Not Requested_Day0_x</v>
      </c>
      <c r="F247">
        <f>NMRResults[[#This Row],['#]]</f>
        <v>0</v>
      </c>
      <c r="G247" s="1">
        <f>NMRResults[[#This Row],[Date Run]]</f>
        <v>0</v>
      </c>
    </row>
    <row r="248" spans="1:7" hidden="1" x14ac:dyDescent="0.25">
      <c r="A248" t="str" cm="1">
        <f t="array" ref="A248">IF(ISBLANK(INDEX(SampleList[ICP],ROW()-1)),"Not Requested",INDEX(SampleList[Experiment ID],ROW()-1))</f>
        <v>Not Requested</v>
      </c>
      <c r="B248">
        <f>Sampling!E246</f>
        <v>0</v>
      </c>
      <c r="E248" t="str">
        <f>ICPList[[#This Row],[Experiment ID]]&amp;"_Day"&amp;ICPList[[#This Row],[Duration (Days)]]&amp;"_"&amp;ICPList[[#This Row],[Dilution]]&amp;"x"</f>
        <v>Not Requested_Day0_x</v>
      </c>
      <c r="F248">
        <f>NMRResults[[#This Row],['#]]</f>
        <v>0</v>
      </c>
      <c r="G248" s="1">
        <f>NMRResults[[#This Row],[Date Run]]</f>
        <v>0</v>
      </c>
    </row>
    <row r="249" spans="1:7" hidden="1" x14ac:dyDescent="0.25">
      <c r="A249" t="str" cm="1">
        <f t="array" ref="A249">IF(ISBLANK(INDEX(SampleList[ICP],ROW()-1)),"Not Requested",INDEX(SampleList[Experiment ID],ROW()-1))</f>
        <v>Not Requested</v>
      </c>
      <c r="B249">
        <f>Sampling!E247</f>
        <v>0</v>
      </c>
      <c r="E249" t="str">
        <f>ICPList[[#This Row],[Experiment ID]]&amp;"_Day"&amp;ICPList[[#This Row],[Duration (Days)]]&amp;"_"&amp;ICPList[[#This Row],[Dilution]]&amp;"x"</f>
        <v>Not Requested_Day0_x</v>
      </c>
      <c r="F249">
        <f>NMRResults[[#This Row],['#]]</f>
        <v>0</v>
      </c>
      <c r="G249" s="1">
        <f>NMRResults[[#This Row],[Date Run]]</f>
        <v>0</v>
      </c>
    </row>
    <row r="250" spans="1:7" hidden="1" x14ac:dyDescent="0.25">
      <c r="A250" t="str" cm="1">
        <f t="array" ref="A250">IF(ISBLANK(INDEX(SampleList[ICP],ROW()-1)),"Not Requested",INDEX(SampleList[Experiment ID],ROW()-1))</f>
        <v>Not Requested</v>
      </c>
      <c r="B250">
        <f>Sampling!E248</f>
        <v>0</v>
      </c>
      <c r="E250" t="str">
        <f>ICPList[[#This Row],[Experiment ID]]&amp;"_Day"&amp;ICPList[[#This Row],[Duration (Days)]]&amp;"_"&amp;ICPList[[#This Row],[Dilution]]&amp;"x"</f>
        <v>Not Requested_Day0_x</v>
      </c>
      <c r="F250">
        <f>NMRResults[[#This Row],['#]]</f>
        <v>0</v>
      </c>
      <c r="G250" s="1">
        <f>NMRResults[[#This Row],[Date Run]]</f>
        <v>0</v>
      </c>
    </row>
    <row r="251" spans="1:7" hidden="1" x14ac:dyDescent="0.25">
      <c r="A251" t="str" cm="1">
        <f t="array" ref="A251">IF(ISBLANK(INDEX(SampleList[ICP],ROW()-1)),"Not Requested",INDEX(SampleList[Experiment ID],ROW()-1))</f>
        <v>Not Requested</v>
      </c>
      <c r="B251">
        <f>Sampling!E249</f>
        <v>0</v>
      </c>
      <c r="E251" t="str">
        <f>ICPList[[#This Row],[Experiment ID]]&amp;"_Day"&amp;ICPList[[#This Row],[Duration (Days)]]&amp;"_"&amp;ICPList[[#This Row],[Dilution]]&amp;"x"</f>
        <v>Not Requested_Day0_x</v>
      </c>
      <c r="F251">
        <f>NMRResults[[#This Row],['#]]</f>
        <v>0</v>
      </c>
      <c r="G251" s="1">
        <f>NMRResults[[#This Row],[Date Run]]</f>
        <v>0</v>
      </c>
    </row>
    <row r="252" spans="1:7" hidden="1" x14ac:dyDescent="0.25">
      <c r="A252" t="str" cm="1">
        <f t="array" ref="A252">IF(ISBLANK(INDEX(SampleList[ICP],ROW()-1)),"Not Requested",INDEX(SampleList[Experiment ID],ROW()-1))</f>
        <v>Not Requested</v>
      </c>
      <c r="B252">
        <f>Sampling!E250</f>
        <v>0</v>
      </c>
      <c r="E252" t="str">
        <f>ICPList[[#This Row],[Experiment ID]]&amp;"_Day"&amp;ICPList[[#This Row],[Duration (Days)]]&amp;"_"&amp;ICPList[[#This Row],[Dilution]]&amp;"x"</f>
        <v>Not Requested_Day0_x</v>
      </c>
      <c r="F252">
        <f>NMRResults[[#This Row],['#]]</f>
        <v>0</v>
      </c>
      <c r="G252" s="1">
        <f>NMRResults[[#This Row],[Date Run]]</f>
        <v>0</v>
      </c>
    </row>
    <row r="253" spans="1:7" hidden="1" x14ac:dyDescent="0.25">
      <c r="A253" t="str" cm="1">
        <f t="array" ref="A253">IF(ISBLANK(INDEX(SampleList[ICP],ROW()-1)),"Not Requested",INDEX(SampleList[Experiment ID],ROW()-1))</f>
        <v>Not Requested</v>
      </c>
      <c r="B253">
        <f>Sampling!E251</f>
        <v>0</v>
      </c>
      <c r="E253" t="str">
        <f>ICPList[[#This Row],[Experiment ID]]&amp;"_Day"&amp;ICPList[[#This Row],[Duration (Days)]]&amp;"_"&amp;ICPList[[#This Row],[Dilution]]&amp;"x"</f>
        <v>Not Requested_Day0_x</v>
      </c>
      <c r="F253">
        <f>NMRResults[[#This Row],['#]]</f>
        <v>0</v>
      </c>
      <c r="G253" s="1">
        <f>NMRResults[[#This Row],[Date Run]]</f>
        <v>0</v>
      </c>
    </row>
    <row r="254" spans="1:7" hidden="1" x14ac:dyDescent="0.25">
      <c r="A254" t="str" cm="1">
        <f t="array" ref="A254">IF(ISBLANK(INDEX(SampleList[ICP],ROW()-1)),"Not Requested",INDEX(SampleList[Experiment ID],ROW()-1))</f>
        <v>Not Requested</v>
      </c>
      <c r="B254">
        <f>Sampling!E252</f>
        <v>0</v>
      </c>
      <c r="E254" t="str">
        <f>ICPList[[#This Row],[Experiment ID]]&amp;"_Day"&amp;ICPList[[#This Row],[Duration (Days)]]&amp;"_"&amp;ICPList[[#This Row],[Dilution]]&amp;"x"</f>
        <v>Not Requested_Day0_x</v>
      </c>
      <c r="F254">
        <f>NMRResults[[#This Row],['#]]</f>
        <v>0</v>
      </c>
      <c r="G254" s="1">
        <f>NMRResults[[#This Row],[Date Run]]</f>
        <v>0</v>
      </c>
    </row>
    <row r="255" spans="1:7" hidden="1" x14ac:dyDescent="0.25">
      <c r="A255" t="str" cm="1">
        <f t="array" ref="A255">IF(ISBLANK(INDEX(SampleList[ICP],ROW()-1)),"Not Requested",INDEX(SampleList[Experiment ID],ROW()-1))</f>
        <v>Not Requested</v>
      </c>
      <c r="B255">
        <f>Sampling!E253</f>
        <v>0</v>
      </c>
      <c r="E255" t="str">
        <f>ICPList[[#This Row],[Experiment ID]]&amp;"_Day"&amp;ICPList[[#This Row],[Duration (Days)]]&amp;"_"&amp;ICPList[[#This Row],[Dilution]]&amp;"x"</f>
        <v>Not Requested_Day0_x</v>
      </c>
      <c r="F255">
        <f>NMRResults[[#This Row],['#]]</f>
        <v>0</v>
      </c>
      <c r="G255" s="1">
        <f>NMRResults[[#This Row],[Date Run]]</f>
        <v>0</v>
      </c>
    </row>
    <row r="256" spans="1:7" hidden="1" x14ac:dyDescent="0.25">
      <c r="A256" t="str" cm="1">
        <f t="array" ref="A256">IF(ISBLANK(INDEX(SampleList[ICP],ROW()-1)),"Not Requested",INDEX(SampleList[Experiment ID],ROW()-1))</f>
        <v>Not Requested</v>
      </c>
      <c r="B256">
        <f>Sampling!E254</f>
        <v>0</v>
      </c>
      <c r="E256" t="str">
        <f>ICPList[[#This Row],[Experiment ID]]&amp;"_Day"&amp;ICPList[[#This Row],[Duration (Days)]]&amp;"_"&amp;ICPList[[#This Row],[Dilution]]&amp;"x"</f>
        <v>Not Requested_Day0_x</v>
      </c>
      <c r="F256">
        <f>NMRResults[[#This Row],['#]]</f>
        <v>0</v>
      </c>
      <c r="G256" s="1">
        <f>NMRResults[[#This Row],[Date Run]]</f>
        <v>0</v>
      </c>
    </row>
    <row r="257" spans="1:7" hidden="1" x14ac:dyDescent="0.25">
      <c r="A257" t="str" cm="1">
        <f t="array" ref="A257">IF(ISBLANK(INDEX(SampleList[ICP],ROW()-1)),"Not Requested",INDEX(SampleList[Experiment ID],ROW()-1))</f>
        <v>Not Requested</v>
      </c>
      <c r="B257">
        <f>Sampling!E255</f>
        <v>0</v>
      </c>
      <c r="E257" t="str">
        <f>ICPList[[#This Row],[Experiment ID]]&amp;"_Day"&amp;ICPList[[#This Row],[Duration (Days)]]&amp;"_"&amp;ICPList[[#This Row],[Dilution]]&amp;"x"</f>
        <v>Not Requested_Day0_x</v>
      </c>
      <c r="F257">
        <f>NMRResults[[#This Row],['#]]</f>
        <v>0</v>
      </c>
      <c r="G257" s="1">
        <f>NMRResults[[#This Row],[Date Run]]</f>
        <v>0</v>
      </c>
    </row>
    <row r="258" spans="1:7" hidden="1" x14ac:dyDescent="0.25">
      <c r="A258" t="str" cm="1">
        <f t="array" ref="A258">IF(ISBLANK(INDEX(SampleList[ICP],ROW()-1)),"Not Requested",INDEX(SampleList[Experiment ID],ROW()-1))</f>
        <v>Not Requested</v>
      </c>
      <c r="B258">
        <f>Sampling!E256</f>
        <v>0</v>
      </c>
      <c r="E258" t="str">
        <f>ICPList[[#This Row],[Experiment ID]]&amp;"_Day"&amp;ICPList[[#This Row],[Duration (Days)]]&amp;"_"&amp;ICPList[[#This Row],[Dilution]]&amp;"x"</f>
        <v>Not Requested_Day0_x</v>
      </c>
      <c r="F258">
        <f>NMRResults[[#This Row],['#]]</f>
        <v>0</v>
      </c>
      <c r="G258" s="1">
        <f>NMRResults[[#This Row],[Date Run]]</f>
        <v>0</v>
      </c>
    </row>
    <row r="259" spans="1:7" hidden="1" x14ac:dyDescent="0.25">
      <c r="A259" t="str" cm="1">
        <f t="array" ref="A259">IF(ISBLANK(INDEX(SampleList[ICP],ROW()-1)),"Not Requested",INDEX(SampleList[Experiment ID],ROW()-1))</f>
        <v>Not Requested</v>
      </c>
      <c r="B259">
        <f>Sampling!E257</f>
        <v>0</v>
      </c>
      <c r="E259" t="str">
        <f>ICPList[[#This Row],[Experiment ID]]&amp;"_Day"&amp;ICPList[[#This Row],[Duration (Days)]]&amp;"_"&amp;ICPList[[#This Row],[Dilution]]&amp;"x"</f>
        <v>Not Requested_Day0_x</v>
      </c>
      <c r="F259">
        <f>NMRResults[[#This Row],['#]]</f>
        <v>0</v>
      </c>
      <c r="G259" s="1">
        <f>NMRResults[[#This Row],[Date Run]]</f>
        <v>0</v>
      </c>
    </row>
    <row r="260" spans="1:7" hidden="1" x14ac:dyDescent="0.25">
      <c r="A260" t="str" cm="1">
        <f t="array" ref="A260">IF(ISBLANK(INDEX(SampleList[ICP],ROW()-1)),"Not Requested",INDEX(SampleList[Experiment ID],ROW()-1))</f>
        <v>Not Requested</v>
      </c>
      <c r="B260">
        <f>Sampling!E258</f>
        <v>0</v>
      </c>
      <c r="E260" t="str">
        <f>ICPList[[#This Row],[Experiment ID]]&amp;"_Day"&amp;ICPList[[#This Row],[Duration (Days)]]&amp;"_"&amp;ICPList[[#This Row],[Dilution]]&amp;"x"</f>
        <v>Not Requested_Day0_x</v>
      </c>
      <c r="F260">
        <f>NMRResults[[#This Row],['#]]</f>
        <v>0</v>
      </c>
      <c r="G260" s="1">
        <f>NMRResults[[#This Row],[Date Run]]</f>
        <v>0</v>
      </c>
    </row>
    <row r="261" spans="1:7" hidden="1" x14ac:dyDescent="0.25">
      <c r="A261" t="str" cm="1">
        <f t="array" ref="A261">IF(ISBLANK(INDEX(SampleList[ICP],ROW()-1)),"Not Requested",INDEX(SampleList[Experiment ID],ROW()-1))</f>
        <v>Not Requested</v>
      </c>
      <c r="B261">
        <f>Sampling!E259</f>
        <v>0</v>
      </c>
      <c r="E261" t="str">
        <f>ICPList[[#This Row],[Experiment ID]]&amp;"_Day"&amp;ICPList[[#This Row],[Duration (Days)]]&amp;"_"&amp;ICPList[[#This Row],[Dilution]]&amp;"x"</f>
        <v>Not Requested_Day0_x</v>
      </c>
      <c r="F261">
        <f>NMRResults[[#This Row],['#]]</f>
        <v>0</v>
      </c>
      <c r="G261" s="1">
        <f>NMRResults[[#This Row],[Date Run]]</f>
        <v>0</v>
      </c>
    </row>
    <row r="262" spans="1:7" hidden="1" x14ac:dyDescent="0.25">
      <c r="A262" t="str" cm="1">
        <f t="array" ref="A262">IF(ISBLANK(INDEX(SampleList[ICP],ROW()-1)),"Not Requested",INDEX(SampleList[Experiment ID],ROW()-1))</f>
        <v>Not Requested</v>
      </c>
      <c r="B262">
        <f>Sampling!E260</f>
        <v>0</v>
      </c>
      <c r="E262" t="str">
        <f>ICPList[[#This Row],[Experiment ID]]&amp;"_Day"&amp;ICPList[[#This Row],[Duration (Days)]]&amp;"_"&amp;ICPList[[#This Row],[Dilution]]&amp;"x"</f>
        <v>Not Requested_Day0_x</v>
      </c>
      <c r="F262">
        <f>NMRResults[[#This Row],['#]]</f>
        <v>0</v>
      </c>
      <c r="G262" s="1">
        <f>NMRResults[[#This Row],[Date Run]]</f>
        <v>0</v>
      </c>
    </row>
    <row r="263" spans="1:7" hidden="1" x14ac:dyDescent="0.25">
      <c r="A263" t="str" cm="1">
        <f t="array" ref="A263">IF(ISBLANK(INDEX(SampleList[ICP],ROW()-1)),"Not Requested",INDEX(SampleList[Experiment ID],ROW()-1))</f>
        <v>Not Requested</v>
      </c>
      <c r="B263">
        <f>Sampling!E261</f>
        <v>0</v>
      </c>
      <c r="E263" t="str">
        <f>ICPList[[#This Row],[Experiment ID]]&amp;"_Day"&amp;ICPList[[#This Row],[Duration (Days)]]&amp;"_"&amp;ICPList[[#This Row],[Dilution]]&amp;"x"</f>
        <v>Not Requested_Day0_x</v>
      </c>
      <c r="F263">
        <f>NMRResults[[#This Row],['#]]</f>
        <v>0</v>
      </c>
      <c r="G263" s="1">
        <f>NMRResults[[#This Row],[Date Run]]</f>
        <v>0</v>
      </c>
    </row>
    <row r="264" spans="1:7" hidden="1" x14ac:dyDescent="0.25">
      <c r="A264" t="str" cm="1">
        <f t="array" ref="A264">IF(ISBLANK(INDEX(SampleList[ICP],ROW()-1)),"Not Requested",INDEX(SampleList[Experiment ID],ROW()-1))</f>
        <v>Not Requested</v>
      </c>
      <c r="B264">
        <f>Sampling!E262</f>
        <v>0</v>
      </c>
      <c r="E264" t="str">
        <f>ICPList[[#This Row],[Experiment ID]]&amp;"_Day"&amp;ICPList[[#This Row],[Duration (Days)]]&amp;"_"&amp;ICPList[[#This Row],[Dilution]]&amp;"x"</f>
        <v>Not Requested_Day0_x</v>
      </c>
      <c r="F264">
        <f>NMRResults[[#This Row],['#]]</f>
        <v>0</v>
      </c>
      <c r="G264" s="1">
        <f>NMRResults[[#This Row],[Date Run]]</f>
        <v>0</v>
      </c>
    </row>
    <row r="265" spans="1:7" hidden="1" x14ac:dyDescent="0.25">
      <c r="A265" t="str" cm="1">
        <f t="array" ref="A265">IF(ISBLANK(INDEX(SampleList[ICP],ROW()-1)),"Not Requested",INDEX(SampleList[Experiment ID],ROW()-1))</f>
        <v>Not Requested</v>
      </c>
      <c r="B265">
        <f>Sampling!E263</f>
        <v>0</v>
      </c>
      <c r="E265" t="str">
        <f>ICPList[[#This Row],[Experiment ID]]&amp;"_Day"&amp;ICPList[[#This Row],[Duration (Days)]]&amp;"_"&amp;ICPList[[#This Row],[Dilution]]&amp;"x"</f>
        <v>Not Requested_Day0_x</v>
      </c>
      <c r="F265">
        <f>NMRResults[[#This Row],['#]]</f>
        <v>0</v>
      </c>
      <c r="G265" s="1">
        <f>NMRResults[[#This Row],[Date Run]]</f>
        <v>0</v>
      </c>
    </row>
    <row r="266" spans="1:7" hidden="1" x14ac:dyDescent="0.25">
      <c r="A266" t="str" cm="1">
        <f t="array" ref="A266">IF(ISBLANK(INDEX(SampleList[ICP],ROW()-1)),"Not Requested",INDEX(SampleList[Experiment ID],ROW()-1))</f>
        <v>Not Requested</v>
      </c>
      <c r="B266">
        <f>Sampling!E264</f>
        <v>0</v>
      </c>
      <c r="E266" t="str">
        <f>ICPList[[#This Row],[Experiment ID]]&amp;"_Day"&amp;ICPList[[#This Row],[Duration (Days)]]&amp;"_"&amp;ICPList[[#This Row],[Dilution]]&amp;"x"</f>
        <v>Not Requested_Day0_x</v>
      </c>
      <c r="F266">
        <f>NMRResults[[#This Row],['#]]</f>
        <v>0</v>
      </c>
      <c r="G266" s="1">
        <f>NMRResults[[#This Row],[Date Run]]</f>
        <v>0</v>
      </c>
    </row>
    <row r="267" spans="1:7" hidden="1" x14ac:dyDescent="0.25">
      <c r="A267" t="str" cm="1">
        <f t="array" ref="A267">IF(ISBLANK(INDEX(SampleList[ICP],ROW()-1)),"Not Requested",INDEX(SampleList[Experiment ID],ROW()-1))</f>
        <v>Not Requested</v>
      </c>
      <c r="B267">
        <f>Sampling!E265</f>
        <v>0</v>
      </c>
      <c r="E267" t="str">
        <f>ICPList[[#This Row],[Experiment ID]]&amp;"_Day"&amp;ICPList[[#This Row],[Duration (Days)]]&amp;"_"&amp;ICPList[[#This Row],[Dilution]]&amp;"x"</f>
        <v>Not Requested_Day0_x</v>
      </c>
      <c r="F267">
        <f>NMRResults[[#This Row],['#]]</f>
        <v>0</v>
      </c>
      <c r="G267" s="1">
        <f>NMRResults[[#This Row],[Date Run]]</f>
        <v>0</v>
      </c>
    </row>
    <row r="268" spans="1:7" hidden="1" x14ac:dyDescent="0.25">
      <c r="A268" t="str" cm="1">
        <f t="array" ref="A268">IF(ISBLANK(INDEX(SampleList[ICP],ROW()-1)),"Not Requested",INDEX(SampleList[Experiment ID],ROW()-1))</f>
        <v>Not Requested</v>
      </c>
      <c r="B268">
        <f>Sampling!E266</f>
        <v>0</v>
      </c>
      <c r="E268" t="str">
        <f>ICPList[[#This Row],[Experiment ID]]&amp;"_Day"&amp;ICPList[[#This Row],[Duration (Days)]]&amp;"_"&amp;ICPList[[#This Row],[Dilution]]&amp;"x"</f>
        <v>Not Requested_Day0_x</v>
      </c>
      <c r="F268">
        <f>NMRResults[[#This Row],['#]]</f>
        <v>0</v>
      </c>
      <c r="G268" s="1">
        <f>NMRResults[[#This Row],[Date Run]]</f>
        <v>0</v>
      </c>
    </row>
    <row r="269" spans="1:7" hidden="1" x14ac:dyDescent="0.25">
      <c r="A269" t="str" cm="1">
        <f t="array" ref="A269">IF(ISBLANK(INDEX(SampleList[ICP],ROW()-1)),"Not Requested",INDEX(SampleList[Experiment ID],ROW()-1))</f>
        <v>Not Requested</v>
      </c>
      <c r="B269">
        <f>Sampling!E267</f>
        <v>0</v>
      </c>
      <c r="E269" t="str">
        <f>ICPList[[#This Row],[Experiment ID]]&amp;"_Day"&amp;ICPList[[#This Row],[Duration (Days)]]&amp;"_"&amp;ICPList[[#This Row],[Dilution]]&amp;"x"</f>
        <v>Not Requested_Day0_x</v>
      </c>
      <c r="F269">
        <f>NMRResults[[#This Row],['#]]</f>
        <v>0</v>
      </c>
      <c r="G269" s="1">
        <f>NMRResults[[#This Row],[Date Run]]</f>
        <v>0</v>
      </c>
    </row>
    <row r="270" spans="1:7" hidden="1" x14ac:dyDescent="0.25">
      <c r="A270" t="str" cm="1">
        <f t="array" ref="A270">IF(ISBLANK(INDEX(SampleList[ICP],ROW()-1)),"Not Requested",INDEX(SampleList[Experiment ID],ROW()-1))</f>
        <v>Not Requested</v>
      </c>
      <c r="B270">
        <f>Sampling!E268</f>
        <v>0</v>
      </c>
      <c r="E270" t="str">
        <f>ICPList[[#This Row],[Experiment ID]]&amp;"_Day"&amp;ICPList[[#This Row],[Duration (Days)]]&amp;"_"&amp;ICPList[[#This Row],[Dilution]]&amp;"x"</f>
        <v>Not Requested_Day0_x</v>
      </c>
      <c r="F270">
        <f>NMRResults[[#This Row],['#]]</f>
        <v>0</v>
      </c>
      <c r="G270" s="1">
        <f>NMRResults[[#This Row],[Date Run]]</f>
        <v>0</v>
      </c>
    </row>
    <row r="271" spans="1:7" hidden="1" x14ac:dyDescent="0.25">
      <c r="A271" t="str" cm="1">
        <f t="array" ref="A271">IF(ISBLANK(INDEX(SampleList[ICP],ROW()-1)),"Not Requested",INDEX(SampleList[Experiment ID],ROW()-1))</f>
        <v>Not Requested</v>
      </c>
      <c r="B271">
        <f>Sampling!E269</f>
        <v>0</v>
      </c>
      <c r="E271" t="str">
        <f>ICPList[[#This Row],[Experiment ID]]&amp;"_Day"&amp;ICPList[[#This Row],[Duration (Days)]]&amp;"_"&amp;ICPList[[#This Row],[Dilution]]&amp;"x"</f>
        <v>Not Requested_Day0_x</v>
      </c>
      <c r="F271">
        <f>NMRResults[[#This Row],['#]]</f>
        <v>0</v>
      </c>
      <c r="G271" s="1">
        <f>NMRResults[[#This Row],[Date Run]]</f>
        <v>0</v>
      </c>
    </row>
    <row r="272" spans="1:7" hidden="1" x14ac:dyDescent="0.25">
      <c r="A272" t="str" cm="1">
        <f t="array" ref="A272">IF(ISBLANK(INDEX(SampleList[ICP],ROW()-1)),"Not Requested",INDEX(SampleList[Experiment ID],ROW()-1))</f>
        <v>Not Requested</v>
      </c>
      <c r="B272">
        <f>Sampling!E270</f>
        <v>0</v>
      </c>
      <c r="E272" t="str">
        <f>ICPList[[#This Row],[Experiment ID]]&amp;"_Day"&amp;ICPList[[#This Row],[Duration (Days)]]&amp;"_"&amp;ICPList[[#This Row],[Dilution]]&amp;"x"</f>
        <v>Not Requested_Day0_x</v>
      </c>
      <c r="F272">
        <f>NMRResults[[#This Row],['#]]</f>
        <v>0</v>
      </c>
      <c r="G272" s="1">
        <f>NMRResults[[#This Row],[Date Run]]</f>
        <v>0</v>
      </c>
    </row>
    <row r="273" spans="1:7" hidden="1" x14ac:dyDescent="0.25">
      <c r="A273" t="str" cm="1">
        <f t="array" ref="A273">IF(ISBLANK(INDEX(SampleList[ICP],ROW()-1)),"Not Requested",INDEX(SampleList[Experiment ID],ROW()-1))</f>
        <v>Not Requested</v>
      </c>
      <c r="B273">
        <f>Sampling!E271</f>
        <v>0</v>
      </c>
      <c r="E273" t="str">
        <f>ICPList[[#This Row],[Experiment ID]]&amp;"_Day"&amp;ICPList[[#This Row],[Duration (Days)]]&amp;"_"&amp;ICPList[[#This Row],[Dilution]]&amp;"x"</f>
        <v>Not Requested_Day0_x</v>
      </c>
      <c r="F273">
        <f>NMRResults[[#This Row],['#]]</f>
        <v>0</v>
      </c>
      <c r="G273" s="1">
        <f>NMRResults[[#This Row],[Date Run]]</f>
        <v>0</v>
      </c>
    </row>
    <row r="274" spans="1:7" hidden="1" x14ac:dyDescent="0.25">
      <c r="A274" t="str" cm="1">
        <f t="array" ref="A274">IF(ISBLANK(INDEX(SampleList[ICP],ROW()-1)),"Not Requested",INDEX(SampleList[Experiment ID],ROW()-1))</f>
        <v>Not Requested</v>
      </c>
      <c r="B274">
        <f>Sampling!E272</f>
        <v>0</v>
      </c>
      <c r="E274" t="str">
        <f>ICPList[[#This Row],[Experiment ID]]&amp;"_Day"&amp;ICPList[[#This Row],[Duration (Days)]]&amp;"_"&amp;ICPList[[#This Row],[Dilution]]&amp;"x"</f>
        <v>Not Requested_Day0_x</v>
      </c>
      <c r="F274">
        <f>NMRResults[[#This Row],['#]]</f>
        <v>0</v>
      </c>
      <c r="G274" s="1">
        <f>NMRResults[[#This Row],[Date Run]]</f>
        <v>0</v>
      </c>
    </row>
    <row r="275" spans="1:7" hidden="1" x14ac:dyDescent="0.25">
      <c r="A275" t="str" cm="1">
        <f t="array" ref="A275">IF(ISBLANK(INDEX(SampleList[ICP],ROW()-1)),"Not Requested",INDEX(SampleList[Experiment ID],ROW()-1))</f>
        <v>Not Requested</v>
      </c>
      <c r="B275">
        <f>Sampling!E273</f>
        <v>0</v>
      </c>
      <c r="E275" t="str">
        <f>ICPList[[#This Row],[Experiment ID]]&amp;"_Day"&amp;ICPList[[#This Row],[Duration (Days)]]&amp;"_"&amp;ICPList[[#This Row],[Dilution]]&amp;"x"</f>
        <v>Not Requested_Day0_x</v>
      </c>
      <c r="F275">
        <f>NMRResults[[#This Row],['#]]</f>
        <v>0</v>
      </c>
      <c r="G275" s="1">
        <f>NMRResults[[#This Row],[Date Run]]</f>
        <v>0</v>
      </c>
    </row>
    <row r="276" spans="1:7" hidden="1" x14ac:dyDescent="0.25">
      <c r="A276" t="str" cm="1">
        <f t="array" ref="A276">IF(ISBLANK(INDEX(SampleList[ICP],ROW()-1)),"Not Requested",INDEX(SampleList[Experiment ID],ROW()-1))</f>
        <v>Not Requested</v>
      </c>
      <c r="B276">
        <f>Sampling!E274</f>
        <v>0</v>
      </c>
      <c r="E276" t="str">
        <f>ICPList[[#This Row],[Experiment ID]]&amp;"_Day"&amp;ICPList[[#This Row],[Duration (Days)]]&amp;"_"&amp;ICPList[[#This Row],[Dilution]]&amp;"x"</f>
        <v>Not Requested_Day0_x</v>
      </c>
      <c r="F276">
        <f>NMRResults[[#This Row],['#]]</f>
        <v>0</v>
      </c>
      <c r="G276" s="1">
        <f>NMRResults[[#This Row],[Date Run]]</f>
        <v>0</v>
      </c>
    </row>
    <row r="277" spans="1:7" hidden="1" x14ac:dyDescent="0.25">
      <c r="A277" t="str" cm="1">
        <f t="array" ref="A277">IF(ISBLANK(INDEX(SampleList[ICP],ROW()-1)),"Not Requested",INDEX(SampleList[Experiment ID],ROW()-1))</f>
        <v>Not Requested</v>
      </c>
      <c r="B277">
        <f>Sampling!E275</f>
        <v>0</v>
      </c>
      <c r="E277" t="str">
        <f>ICPList[[#This Row],[Experiment ID]]&amp;"_Day"&amp;ICPList[[#This Row],[Duration (Days)]]&amp;"_"&amp;ICPList[[#This Row],[Dilution]]&amp;"x"</f>
        <v>Not Requested_Day0_x</v>
      </c>
      <c r="F277">
        <f>NMRResults[[#This Row],['#]]</f>
        <v>0</v>
      </c>
      <c r="G277" s="1">
        <f>NMRResults[[#This Row],[Date Run]]</f>
        <v>0</v>
      </c>
    </row>
    <row r="278" spans="1:7" hidden="1" x14ac:dyDescent="0.25">
      <c r="A278" t="str" cm="1">
        <f t="array" ref="A278">IF(ISBLANK(INDEX(SampleList[ICP],ROW()-1)),"Not Requested",INDEX(SampleList[Experiment ID],ROW()-1))</f>
        <v>Not Requested</v>
      </c>
      <c r="B278">
        <f>Sampling!E276</f>
        <v>0</v>
      </c>
      <c r="E278" t="str">
        <f>ICPList[[#This Row],[Experiment ID]]&amp;"_Day"&amp;ICPList[[#This Row],[Duration (Days)]]&amp;"_"&amp;ICPList[[#This Row],[Dilution]]&amp;"x"</f>
        <v>Not Requested_Day0_x</v>
      </c>
      <c r="F278">
        <f>NMRResults[[#This Row],['#]]</f>
        <v>0</v>
      </c>
      <c r="G278" s="1">
        <f>NMRResults[[#This Row],[Date Run]]</f>
        <v>0</v>
      </c>
    </row>
    <row r="279" spans="1:7" hidden="1" x14ac:dyDescent="0.25">
      <c r="A279" t="str" cm="1">
        <f t="array" ref="A279">IF(ISBLANK(INDEX(SampleList[ICP],ROW()-1)),"Not Requested",INDEX(SampleList[Experiment ID],ROW()-1))</f>
        <v>Not Requested</v>
      </c>
      <c r="B279">
        <f>Sampling!E277</f>
        <v>0</v>
      </c>
      <c r="E279" t="str">
        <f>ICPList[[#This Row],[Experiment ID]]&amp;"_Day"&amp;ICPList[[#This Row],[Duration (Days)]]&amp;"_"&amp;ICPList[[#This Row],[Dilution]]&amp;"x"</f>
        <v>Not Requested_Day0_x</v>
      </c>
      <c r="F279">
        <f>NMRResults[[#This Row],['#]]</f>
        <v>0</v>
      </c>
      <c r="G279" s="1">
        <f>NMRResults[[#This Row],[Date Run]]</f>
        <v>0</v>
      </c>
    </row>
    <row r="280" spans="1:7" hidden="1" x14ac:dyDescent="0.25">
      <c r="A280" t="str" cm="1">
        <f t="array" ref="A280">IF(ISBLANK(INDEX(SampleList[ICP],ROW()-1)),"Not Requested",INDEX(SampleList[Experiment ID],ROW()-1))</f>
        <v>Not Requested</v>
      </c>
      <c r="B280">
        <f>Sampling!E278</f>
        <v>0</v>
      </c>
      <c r="E280" t="str">
        <f>ICPList[[#This Row],[Experiment ID]]&amp;"_Day"&amp;ICPList[[#This Row],[Duration (Days)]]&amp;"_"&amp;ICPList[[#This Row],[Dilution]]&amp;"x"</f>
        <v>Not Requested_Day0_x</v>
      </c>
      <c r="F280">
        <f>NMRResults[[#This Row],['#]]</f>
        <v>0</v>
      </c>
      <c r="G280" s="1">
        <f>NMRResults[[#This Row],[Date Run]]</f>
        <v>0</v>
      </c>
    </row>
    <row r="281" spans="1:7" hidden="1" x14ac:dyDescent="0.25">
      <c r="A281" t="str" cm="1">
        <f t="array" ref="A281">IF(ISBLANK(INDEX(SampleList[ICP],ROW()-1)),"Not Requested",INDEX(SampleList[Experiment ID],ROW()-1))</f>
        <v>Not Requested</v>
      </c>
      <c r="B281">
        <f>Sampling!E279</f>
        <v>0</v>
      </c>
      <c r="E281" t="str">
        <f>ICPList[[#This Row],[Experiment ID]]&amp;"_Day"&amp;ICPList[[#This Row],[Duration (Days)]]&amp;"_"&amp;ICPList[[#This Row],[Dilution]]&amp;"x"</f>
        <v>Not Requested_Day0_x</v>
      </c>
      <c r="F281">
        <f>NMRResults[[#This Row],['#]]</f>
        <v>0</v>
      </c>
      <c r="G281" s="1">
        <f>NMRResults[[#This Row],[Date Run]]</f>
        <v>0</v>
      </c>
    </row>
    <row r="282" spans="1:7" hidden="1" x14ac:dyDescent="0.25">
      <c r="A282" t="str" cm="1">
        <f t="array" ref="A282">IF(ISBLANK(INDEX(SampleList[ICP],ROW()-1)),"Not Requested",INDEX(SampleList[Experiment ID],ROW()-1))</f>
        <v>Not Requested</v>
      </c>
      <c r="B282">
        <f>Sampling!E280</f>
        <v>0</v>
      </c>
      <c r="E282" t="str">
        <f>ICPList[[#This Row],[Experiment ID]]&amp;"_Day"&amp;ICPList[[#This Row],[Duration (Days)]]&amp;"_"&amp;ICPList[[#This Row],[Dilution]]&amp;"x"</f>
        <v>Not Requested_Day0_x</v>
      </c>
      <c r="F282">
        <f>NMRResults[[#This Row],['#]]</f>
        <v>0</v>
      </c>
      <c r="G282" s="1">
        <f>NMRResults[[#This Row],[Date Run]]</f>
        <v>0</v>
      </c>
    </row>
    <row r="283" spans="1:7" hidden="1" x14ac:dyDescent="0.25">
      <c r="A283" t="str" cm="1">
        <f t="array" ref="A283">IF(ISBLANK(INDEX(SampleList[ICP],ROW()-1)),"Not Requested",INDEX(SampleList[Experiment ID],ROW()-1))</f>
        <v>Not Requested</v>
      </c>
      <c r="B283">
        <f>Sampling!E281</f>
        <v>0</v>
      </c>
      <c r="E283" t="str">
        <f>ICPList[[#This Row],[Experiment ID]]&amp;"_Day"&amp;ICPList[[#This Row],[Duration (Days)]]&amp;"_"&amp;ICPList[[#This Row],[Dilution]]&amp;"x"</f>
        <v>Not Requested_Day0_x</v>
      </c>
      <c r="F283">
        <f>NMRResults[[#This Row],['#]]</f>
        <v>0</v>
      </c>
      <c r="G283" s="1">
        <f>NMRResults[[#This Row],[Date Run]]</f>
        <v>0</v>
      </c>
    </row>
    <row r="284" spans="1:7" hidden="1" x14ac:dyDescent="0.25">
      <c r="A284" t="str" cm="1">
        <f t="array" ref="A284">IF(ISBLANK(INDEX(SampleList[ICP],ROW()-1)),"Not Requested",INDEX(SampleList[Experiment ID],ROW()-1))</f>
        <v>Not Requested</v>
      </c>
      <c r="B284">
        <f>Sampling!E282</f>
        <v>0</v>
      </c>
      <c r="E284" t="str">
        <f>ICPList[[#This Row],[Experiment ID]]&amp;"_Day"&amp;ICPList[[#This Row],[Duration (Days)]]&amp;"_"&amp;ICPList[[#This Row],[Dilution]]&amp;"x"</f>
        <v>Not Requested_Day0_x</v>
      </c>
      <c r="F284">
        <f>NMRResults[[#This Row],['#]]</f>
        <v>0</v>
      </c>
      <c r="G284" s="1">
        <f>NMRResults[[#This Row],[Date Run]]</f>
        <v>0</v>
      </c>
    </row>
    <row r="285" spans="1:7" hidden="1" x14ac:dyDescent="0.25">
      <c r="A285" t="str" cm="1">
        <f t="array" ref="A285">IF(ISBLANK(INDEX(SampleList[ICP],ROW()-1)),"Not Requested",INDEX(SampleList[Experiment ID],ROW()-1))</f>
        <v>Not Requested</v>
      </c>
      <c r="B285">
        <f>Sampling!E283</f>
        <v>0</v>
      </c>
      <c r="E285" t="str">
        <f>ICPList[[#This Row],[Experiment ID]]&amp;"_Day"&amp;ICPList[[#This Row],[Duration (Days)]]&amp;"_"&amp;ICPList[[#This Row],[Dilution]]&amp;"x"</f>
        <v>Not Requested_Day0_x</v>
      </c>
      <c r="F285">
        <f>NMRResults[[#This Row],['#]]</f>
        <v>0</v>
      </c>
      <c r="G285" s="1">
        <f>NMRResults[[#This Row],[Date Run]]</f>
        <v>0</v>
      </c>
    </row>
    <row r="286" spans="1:7" hidden="1" x14ac:dyDescent="0.25">
      <c r="A286" t="str" cm="1">
        <f t="array" ref="A286">IF(ISBLANK(INDEX(SampleList[ICP],ROW()-1)),"Not Requested",INDEX(SampleList[Experiment ID],ROW()-1))</f>
        <v>Not Requested</v>
      </c>
      <c r="B286">
        <f>Sampling!E284</f>
        <v>0</v>
      </c>
      <c r="E286" t="str">
        <f>ICPList[[#This Row],[Experiment ID]]&amp;"_Day"&amp;ICPList[[#This Row],[Duration (Days)]]&amp;"_"&amp;ICPList[[#This Row],[Dilution]]&amp;"x"</f>
        <v>Not Requested_Day0_x</v>
      </c>
      <c r="F286">
        <f>NMRResults[[#This Row],['#]]</f>
        <v>0</v>
      </c>
      <c r="G286" s="1">
        <f>NMRResults[[#This Row],[Date Run]]</f>
        <v>0</v>
      </c>
    </row>
    <row r="287" spans="1:7" hidden="1" x14ac:dyDescent="0.25">
      <c r="A287" t="str" cm="1">
        <f t="array" ref="A287">IF(ISBLANK(INDEX(SampleList[ICP],ROW()-1)),"Not Requested",INDEX(SampleList[Experiment ID],ROW()-1))</f>
        <v>Not Requested</v>
      </c>
      <c r="B287">
        <f>Sampling!E285</f>
        <v>0</v>
      </c>
      <c r="E287" t="str">
        <f>ICPList[[#This Row],[Experiment ID]]&amp;"_Day"&amp;ICPList[[#This Row],[Duration (Days)]]&amp;"_"&amp;ICPList[[#This Row],[Dilution]]&amp;"x"</f>
        <v>Not Requested_Day0_x</v>
      </c>
      <c r="F287">
        <f>NMRResults[[#This Row],['#]]</f>
        <v>0</v>
      </c>
      <c r="G287" s="1">
        <f>NMRResults[[#This Row],[Date Run]]</f>
        <v>0</v>
      </c>
    </row>
    <row r="288" spans="1:7" hidden="1" x14ac:dyDescent="0.25">
      <c r="A288" t="str" cm="1">
        <f t="array" ref="A288">IF(ISBLANK(INDEX(SampleList[ICP],ROW()-1)),"Not Requested",INDEX(SampleList[Experiment ID],ROW()-1))</f>
        <v>Not Requested</v>
      </c>
      <c r="B288">
        <f>Sampling!E286</f>
        <v>0</v>
      </c>
      <c r="E288" t="str">
        <f>ICPList[[#This Row],[Experiment ID]]&amp;"_Day"&amp;ICPList[[#This Row],[Duration (Days)]]&amp;"_"&amp;ICPList[[#This Row],[Dilution]]&amp;"x"</f>
        <v>Not Requested_Day0_x</v>
      </c>
      <c r="F288">
        <f>NMRResults[[#This Row],['#]]</f>
        <v>0</v>
      </c>
      <c r="G288" s="1">
        <f>NMRResults[[#This Row],[Date Run]]</f>
        <v>0</v>
      </c>
    </row>
    <row r="289" spans="1:7" hidden="1" x14ac:dyDescent="0.25">
      <c r="A289" t="str" cm="1">
        <f t="array" ref="A289">IF(ISBLANK(INDEX(SampleList[ICP],ROW()-1)),"Not Requested",INDEX(SampleList[Experiment ID],ROW()-1))</f>
        <v>Not Requested</v>
      </c>
      <c r="B289">
        <f>Sampling!E287</f>
        <v>0</v>
      </c>
      <c r="E289" t="str">
        <f>ICPList[[#This Row],[Experiment ID]]&amp;"_Day"&amp;ICPList[[#This Row],[Duration (Days)]]&amp;"_"&amp;ICPList[[#This Row],[Dilution]]&amp;"x"</f>
        <v>Not Requested_Day0_x</v>
      </c>
      <c r="F289">
        <f>NMRResults[[#This Row],['#]]</f>
        <v>0</v>
      </c>
      <c r="G289" s="1">
        <f>NMRResults[[#This Row],[Date Run]]</f>
        <v>0</v>
      </c>
    </row>
    <row r="290" spans="1:7" hidden="1" x14ac:dyDescent="0.25">
      <c r="A290" t="str" cm="1">
        <f t="array" ref="A290">IF(ISBLANK(INDEX(SampleList[ICP],ROW()-1)),"Not Requested",INDEX(SampleList[Experiment ID],ROW()-1))</f>
        <v>Not Requested</v>
      </c>
      <c r="B290">
        <f>Sampling!E288</f>
        <v>0</v>
      </c>
      <c r="E290" t="str">
        <f>ICPList[[#This Row],[Experiment ID]]&amp;"_Day"&amp;ICPList[[#This Row],[Duration (Days)]]&amp;"_"&amp;ICPList[[#This Row],[Dilution]]&amp;"x"</f>
        <v>Not Requested_Day0_x</v>
      </c>
      <c r="F290">
        <f>NMRResults[[#This Row],['#]]</f>
        <v>0</v>
      </c>
      <c r="G290" s="1">
        <f>NMRResults[[#This Row],[Date Run]]</f>
        <v>0</v>
      </c>
    </row>
    <row r="291" spans="1:7" hidden="1" x14ac:dyDescent="0.25">
      <c r="A291" t="str" cm="1">
        <f t="array" ref="A291">IF(ISBLANK(INDEX(SampleList[ICP],ROW()-1)),"Not Requested",INDEX(SampleList[Experiment ID],ROW()-1))</f>
        <v>Not Requested</v>
      </c>
      <c r="B291">
        <f>Sampling!E289</f>
        <v>0</v>
      </c>
      <c r="E291" t="str">
        <f>ICPList[[#This Row],[Experiment ID]]&amp;"_Day"&amp;ICPList[[#This Row],[Duration (Days)]]&amp;"_"&amp;ICPList[[#This Row],[Dilution]]&amp;"x"</f>
        <v>Not Requested_Day0_x</v>
      </c>
      <c r="F291">
        <f>NMRResults[[#This Row],['#]]</f>
        <v>0</v>
      </c>
      <c r="G291" s="1">
        <f>NMRResults[[#This Row],[Date Run]]</f>
        <v>0</v>
      </c>
    </row>
    <row r="292" spans="1:7" hidden="1" x14ac:dyDescent="0.25">
      <c r="A292" t="str" cm="1">
        <f t="array" ref="A292">IF(ISBLANK(INDEX(SampleList[ICP],ROW()-1)),"Not Requested",INDEX(SampleList[Experiment ID],ROW()-1))</f>
        <v>Not Requested</v>
      </c>
      <c r="B292">
        <f>Sampling!E290</f>
        <v>0</v>
      </c>
      <c r="E292" t="str">
        <f>ICPList[[#This Row],[Experiment ID]]&amp;"_Day"&amp;ICPList[[#This Row],[Duration (Days)]]&amp;"_"&amp;ICPList[[#This Row],[Dilution]]&amp;"x"</f>
        <v>Not Requested_Day0_x</v>
      </c>
      <c r="F292">
        <f>NMRResults[[#This Row],['#]]</f>
        <v>0</v>
      </c>
      <c r="G292" s="1">
        <f>NMRResults[[#This Row],[Date Run]]</f>
        <v>0</v>
      </c>
    </row>
    <row r="293" spans="1:7" hidden="1" x14ac:dyDescent="0.25">
      <c r="A293" t="str" cm="1">
        <f t="array" ref="A293">IF(ISBLANK(INDEX(SampleList[ICP],ROW()-1)),"Not Requested",INDEX(SampleList[Experiment ID],ROW()-1))</f>
        <v>Not Requested</v>
      </c>
      <c r="B293">
        <f>Sampling!E291</f>
        <v>0</v>
      </c>
      <c r="E293" t="str">
        <f>ICPList[[#This Row],[Experiment ID]]&amp;"_Day"&amp;ICPList[[#This Row],[Duration (Days)]]&amp;"_"&amp;ICPList[[#This Row],[Dilution]]&amp;"x"</f>
        <v>Not Requested_Day0_x</v>
      </c>
      <c r="F293">
        <f>NMRResults[[#This Row],['#]]</f>
        <v>0</v>
      </c>
      <c r="G293" s="1">
        <f>NMRResults[[#This Row],[Date Run]]</f>
        <v>0</v>
      </c>
    </row>
    <row r="294" spans="1:7" hidden="1" x14ac:dyDescent="0.25">
      <c r="A294" t="str" cm="1">
        <f t="array" ref="A294">IF(ISBLANK(INDEX(SampleList[ICP],ROW()-1)),"Not Requested",INDEX(SampleList[Experiment ID],ROW()-1))</f>
        <v>Not Requested</v>
      </c>
      <c r="B294">
        <f>Sampling!E292</f>
        <v>0</v>
      </c>
      <c r="E294" t="str">
        <f>ICPList[[#This Row],[Experiment ID]]&amp;"_Day"&amp;ICPList[[#This Row],[Duration (Days)]]&amp;"_"&amp;ICPList[[#This Row],[Dilution]]&amp;"x"</f>
        <v>Not Requested_Day0_x</v>
      </c>
      <c r="F294">
        <f>NMRResults[[#This Row],['#]]</f>
        <v>0</v>
      </c>
      <c r="G294" s="1">
        <f>NMRResults[[#This Row],[Date Run]]</f>
        <v>0</v>
      </c>
    </row>
    <row r="295" spans="1:7" hidden="1" x14ac:dyDescent="0.25">
      <c r="A295" t="str" cm="1">
        <f t="array" ref="A295">IF(ISBLANK(INDEX(SampleList[ICP],ROW()-1)),"Not Requested",INDEX(SampleList[Experiment ID],ROW()-1))</f>
        <v>Not Requested</v>
      </c>
      <c r="B295">
        <f>Sampling!E293</f>
        <v>0</v>
      </c>
      <c r="E295" t="str">
        <f>ICPList[[#This Row],[Experiment ID]]&amp;"_Day"&amp;ICPList[[#This Row],[Duration (Days)]]&amp;"_"&amp;ICPList[[#This Row],[Dilution]]&amp;"x"</f>
        <v>Not Requested_Day0_x</v>
      </c>
      <c r="F295">
        <f>NMRResults[[#This Row],['#]]</f>
        <v>0</v>
      </c>
      <c r="G295" s="1">
        <f>NMRResults[[#This Row],[Date Run]]</f>
        <v>0</v>
      </c>
    </row>
    <row r="296" spans="1:7" hidden="1" x14ac:dyDescent="0.25">
      <c r="A296" t="str" cm="1">
        <f t="array" ref="A296">IF(ISBLANK(INDEX(SampleList[ICP],ROW()-1)),"Not Requested",INDEX(SampleList[Experiment ID],ROW()-1))</f>
        <v>Not Requested</v>
      </c>
      <c r="B296">
        <f>Sampling!E294</f>
        <v>0</v>
      </c>
      <c r="E296" t="str">
        <f>ICPList[[#This Row],[Experiment ID]]&amp;"_Day"&amp;ICPList[[#This Row],[Duration (Days)]]&amp;"_"&amp;ICPList[[#This Row],[Dilution]]&amp;"x"</f>
        <v>Not Requested_Day0_x</v>
      </c>
      <c r="F296">
        <f>NMRResults[[#This Row],['#]]</f>
        <v>0</v>
      </c>
      <c r="G296" s="1">
        <f>NMRResults[[#This Row],[Date Run]]</f>
        <v>0</v>
      </c>
    </row>
    <row r="297" spans="1:7" hidden="1" x14ac:dyDescent="0.25">
      <c r="A297" t="str" cm="1">
        <f t="array" ref="A297">IF(ISBLANK(INDEX(SampleList[ICP],ROW()-1)),"Not Requested",INDEX(SampleList[Experiment ID],ROW()-1))</f>
        <v>Not Requested</v>
      </c>
      <c r="B297">
        <f>Sampling!E295</f>
        <v>0</v>
      </c>
      <c r="E297" t="str">
        <f>ICPList[[#This Row],[Experiment ID]]&amp;"_Day"&amp;ICPList[[#This Row],[Duration (Days)]]&amp;"_"&amp;ICPList[[#This Row],[Dilution]]&amp;"x"</f>
        <v>Not Requested_Day0_x</v>
      </c>
      <c r="F297">
        <f>NMRResults[[#This Row],['#]]</f>
        <v>0</v>
      </c>
      <c r="G297" s="1">
        <f>NMRResults[[#This Row],[Date Run]]</f>
        <v>0</v>
      </c>
    </row>
    <row r="298" spans="1:7" hidden="1" x14ac:dyDescent="0.25">
      <c r="A298" t="str" cm="1">
        <f t="array" ref="A298">IF(ISBLANK(INDEX(SampleList[ICP],ROW()-1)),"Not Requested",INDEX(SampleList[Experiment ID],ROW()-1))</f>
        <v>Not Requested</v>
      </c>
      <c r="B298">
        <f>Sampling!E296</f>
        <v>0</v>
      </c>
      <c r="E298" t="str">
        <f>ICPList[[#This Row],[Experiment ID]]&amp;"_Day"&amp;ICPList[[#This Row],[Duration (Days)]]&amp;"_"&amp;ICPList[[#This Row],[Dilution]]&amp;"x"</f>
        <v>Not Requested_Day0_x</v>
      </c>
      <c r="F298">
        <f>NMRResults[[#This Row],['#]]</f>
        <v>0</v>
      </c>
      <c r="G298" s="1">
        <f>NMRResults[[#This Row],[Date Run]]</f>
        <v>0</v>
      </c>
    </row>
    <row r="299" spans="1:7" hidden="1" x14ac:dyDescent="0.25">
      <c r="A299" t="str" cm="1">
        <f t="array" ref="A299">IF(ISBLANK(INDEX(SampleList[ICP],ROW()-1)),"Not Requested",INDEX(SampleList[Experiment ID],ROW()-1))</f>
        <v>Not Requested</v>
      </c>
      <c r="B299">
        <f>Sampling!E297</f>
        <v>0</v>
      </c>
      <c r="E299" t="str">
        <f>ICPList[[#This Row],[Experiment ID]]&amp;"_Day"&amp;ICPList[[#This Row],[Duration (Days)]]&amp;"_"&amp;ICPList[[#This Row],[Dilution]]&amp;"x"</f>
        <v>Not Requested_Day0_x</v>
      </c>
      <c r="F299">
        <f>NMRResults[[#This Row],['#]]</f>
        <v>0</v>
      </c>
      <c r="G299" s="1">
        <f>NMRResults[[#This Row],[Date Run]]</f>
        <v>0</v>
      </c>
    </row>
    <row r="300" spans="1:7" hidden="1" x14ac:dyDescent="0.25">
      <c r="A300" t="str" cm="1">
        <f t="array" ref="A300">IF(ISBLANK(INDEX(SampleList[ICP],ROW()-1)),"Not Requested",INDEX(SampleList[Experiment ID],ROW()-1))</f>
        <v>Not Requested</v>
      </c>
      <c r="B300">
        <f>Sampling!E298</f>
        <v>0</v>
      </c>
      <c r="E300" t="str">
        <f>ICPList[[#This Row],[Experiment ID]]&amp;"_Day"&amp;ICPList[[#This Row],[Duration (Days)]]&amp;"_"&amp;ICPList[[#This Row],[Dilution]]&amp;"x"</f>
        <v>Not Requested_Day0_x</v>
      </c>
      <c r="F300">
        <f>NMRResults[[#This Row],['#]]</f>
        <v>0</v>
      </c>
      <c r="G300" s="1">
        <f>NMRResults[[#This Row],[Date Run]]</f>
        <v>0</v>
      </c>
    </row>
    <row r="301" spans="1:7" hidden="1" x14ac:dyDescent="0.25">
      <c r="A301" t="str" cm="1">
        <f t="array" ref="A301">IF(ISBLANK(INDEX(SampleList[ICP],ROW()-1)),"Not Requested",INDEX(SampleList[Experiment ID],ROW()-1))</f>
        <v>Not Requested</v>
      </c>
      <c r="B301">
        <f>Sampling!E299</f>
        <v>0</v>
      </c>
      <c r="E301" t="str">
        <f>ICPList[[#This Row],[Experiment ID]]&amp;"_Day"&amp;ICPList[[#This Row],[Duration (Days)]]&amp;"_"&amp;ICPList[[#This Row],[Dilution]]&amp;"x"</f>
        <v>Not Requested_Day0_x</v>
      </c>
      <c r="F301">
        <f>NMRResults[[#This Row],['#]]</f>
        <v>0</v>
      </c>
      <c r="G301" s="1">
        <f>NMRResults[[#This Row],[Date Run]]</f>
        <v>0</v>
      </c>
    </row>
    <row r="302" spans="1:7" hidden="1" x14ac:dyDescent="0.25">
      <c r="A302" t="str" cm="1">
        <f t="array" ref="A302">IF(ISBLANK(INDEX(SampleList[ICP],ROW()-1)),"Not Requested",INDEX(SampleList[Experiment ID],ROW()-1))</f>
        <v>Not Requested</v>
      </c>
      <c r="B302">
        <f>Sampling!E300</f>
        <v>0</v>
      </c>
      <c r="E302" t="str">
        <f>ICPList[[#This Row],[Experiment ID]]&amp;"_Day"&amp;ICPList[[#This Row],[Duration (Days)]]&amp;"_"&amp;ICPList[[#This Row],[Dilution]]&amp;"x"</f>
        <v>Not Requested_Day0_x</v>
      </c>
      <c r="F302">
        <f>NMRResults[[#This Row],['#]]</f>
        <v>0</v>
      </c>
      <c r="G302" s="1">
        <f>NMRResults[[#This Row],[Date Run]]</f>
        <v>0</v>
      </c>
    </row>
    <row r="303" spans="1:7" hidden="1" x14ac:dyDescent="0.25">
      <c r="A303" t="str" cm="1">
        <f t="array" ref="A303">IF(ISBLANK(INDEX(SampleList[ICP],ROW()-1)),"Not Requested",INDEX(SampleList[Experiment ID],ROW()-1))</f>
        <v>Not Requested</v>
      </c>
      <c r="B303">
        <f>Sampling!E301</f>
        <v>0</v>
      </c>
      <c r="E303" t="str">
        <f>ICPList[[#This Row],[Experiment ID]]&amp;"_Day"&amp;ICPList[[#This Row],[Duration (Days)]]&amp;"_"&amp;ICPList[[#This Row],[Dilution]]&amp;"x"</f>
        <v>Not Requested_Day0_x</v>
      </c>
      <c r="F303">
        <f>NMRResults[[#This Row],['#]]</f>
        <v>0</v>
      </c>
      <c r="G303" s="1">
        <f>NMRResults[[#This Row],[Date Run]]</f>
        <v>0</v>
      </c>
    </row>
    <row r="304" spans="1:7" hidden="1" x14ac:dyDescent="0.25">
      <c r="A304" t="str" cm="1">
        <f t="array" ref="A304">IF(ISBLANK(INDEX(SampleList[ICP],ROW()-1)),"Not Requested",INDEX(SampleList[Experiment ID],ROW()-1))</f>
        <v>Not Requested</v>
      </c>
      <c r="B304">
        <f>Sampling!E302</f>
        <v>0</v>
      </c>
      <c r="E304" t="str">
        <f>ICPList[[#This Row],[Experiment ID]]&amp;"_Day"&amp;ICPList[[#This Row],[Duration (Days)]]&amp;"_"&amp;ICPList[[#This Row],[Dilution]]&amp;"x"</f>
        <v>Not Requested_Day0_x</v>
      </c>
      <c r="F304">
        <f>NMRResults[[#This Row],['#]]</f>
        <v>0</v>
      </c>
      <c r="G304" s="1">
        <f>NMRResults[[#This Row],[Date Run]]</f>
        <v>0</v>
      </c>
    </row>
    <row r="305" spans="1:7" hidden="1" x14ac:dyDescent="0.25">
      <c r="A305" t="str" cm="1">
        <f t="array" ref="A305">IF(ISBLANK(INDEX(SampleList[ICP],ROW()-1)),"Not Requested",INDEX(SampleList[Experiment ID],ROW()-1))</f>
        <v>Not Requested</v>
      </c>
      <c r="B305">
        <f>Sampling!E303</f>
        <v>0</v>
      </c>
      <c r="E305" t="str">
        <f>ICPList[[#This Row],[Experiment ID]]&amp;"_Day"&amp;ICPList[[#This Row],[Duration (Days)]]&amp;"_"&amp;ICPList[[#This Row],[Dilution]]&amp;"x"</f>
        <v>Not Requested_Day0_x</v>
      </c>
      <c r="F305">
        <f>NMRResults[[#This Row],['#]]</f>
        <v>0</v>
      </c>
      <c r="G305" s="1">
        <f>NMRResults[[#This Row],[Date Run]]</f>
        <v>0</v>
      </c>
    </row>
    <row r="306" spans="1:7" hidden="1" x14ac:dyDescent="0.25">
      <c r="A306" t="str" cm="1">
        <f t="array" ref="A306">IF(ISBLANK(INDEX(SampleList[ICP],ROW()-1)),"Not Requested",INDEX(SampleList[Experiment ID],ROW()-1))</f>
        <v>Not Requested</v>
      </c>
      <c r="B306">
        <f>Sampling!E304</f>
        <v>0</v>
      </c>
      <c r="E306" t="str">
        <f>ICPList[[#This Row],[Experiment ID]]&amp;"_Day"&amp;ICPList[[#This Row],[Duration (Days)]]&amp;"_"&amp;ICPList[[#This Row],[Dilution]]&amp;"x"</f>
        <v>Not Requested_Day0_x</v>
      </c>
      <c r="F306">
        <f>NMRResults[[#This Row],['#]]</f>
        <v>0</v>
      </c>
      <c r="G306" s="1">
        <f>NMRResults[[#This Row],[Date Run]]</f>
        <v>0</v>
      </c>
    </row>
    <row r="307" spans="1:7" hidden="1" x14ac:dyDescent="0.25">
      <c r="A307" t="str" cm="1">
        <f t="array" ref="A307">IF(ISBLANK(INDEX(SampleList[ICP],ROW()-1)),"Not Requested",INDEX(SampleList[Experiment ID],ROW()-1))</f>
        <v>Not Requested</v>
      </c>
      <c r="B307">
        <f>Sampling!E305</f>
        <v>0</v>
      </c>
      <c r="E307" t="str">
        <f>ICPList[[#This Row],[Experiment ID]]&amp;"_Day"&amp;ICPList[[#This Row],[Duration (Days)]]&amp;"_"&amp;ICPList[[#This Row],[Dilution]]&amp;"x"</f>
        <v>Not Requested_Day0_x</v>
      </c>
      <c r="F307">
        <f>NMRResults[[#This Row],['#]]</f>
        <v>0</v>
      </c>
      <c r="G307" s="1">
        <f>NMRResults[[#This Row],[Date Run]]</f>
        <v>0</v>
      </c>
    </row>
    <row r="308" spans="1:7" hidden="1" x14ac:dyDescent="0.25">
      <c r="A308" t="str" cm="1">
        <f t="array" ref="A308">IF(ISBLANK(INDEX(SampleList[ICP],ROW()-1)),"Not Requested",INDEX(SampleList[Experiment ID],ROW()-1))</f>
        <v>Not Requested</v>
      </c>
      <c r="B308">
        <f>Sampling!E306</f>
        <v>0</v>
      </c>
      <c r="E308" t="str">
        <f>ICPList[[#This Row],[Experiment ID]]&amp;"_Day"&amp;ICPList[[#This Row],[Duration (Days)]]&amp;"_"&amp;ICPList[[#This Row],[Dilution]]&amp;"x"</f>
        <v>Not Requested_Day0_x</v>
      </c>
      <c r="F308">
        <f>NMRResults[[#This Row],['#]]</f>
        <v>0</v>
      </c>
      <c r="G308" s="1">
        <f>NMRResults[[#This Row],[Date Run]]</f>
        <v>0</v>
      </c>
    </row>
    <row r="309" spans="1:7" hidden="1" x14ac:dyDescent="0.25">
      <c r="A309" t="str" cm="1">
        <f t="array" ref="A309">IF(ISBLANK(INDEX(SampleList[ICP],ROW()-1)),"Not Requested",INDEX(SampleList[Experiment ID],ROW()-1))</f>
        <v>Not Requested</v>
      </c>
      <c r="B309">
        <f>Sampling!E307</f>
        <v>0</v>
      </c>
      <c r="E309" t="str">
        <f>ICPList[[#This Row],[Experiment ID]]&amp;"_Day"&amp;ICPList[[#This Row],[Duration (Days)]]&amp;"_"&amp;ICPList[[#This Row],[Dilution]]&amp;"x"</f>
        <v>Not Requested_Day0_x</v>
      </c>
      <c r="F309">
        <f>NMRResults[[#This Row],['#]]</f>
        <v>0</v>
      </c>
      <c r="G309" s="1">
        <f>NMRResults[[#This Row],[Date Run]]</f>
        <v>0</v>
      </c>
    </row>
    <row r="310" spans="1:7" hidden="1" x14ac:dyDescent="0.25">
      <c r="A310" t="str" cm="1">
        <f t="array" ref="A310">IF(ISBLANK(INDEX(SampleList[ICP],ROW()-1)),"Not Requested",INDEX(SampleList[Experiment ID],ROW()-1))</f>
        <v>Not Requested</v>
      </c>
      <c r="B310">
        <f>Sampling!E308</f>
        <v>0</v>
      </c>
      <c r="E310" t="str">
        <f>ICPList[[#This Row],[Experiment ID]]&amp;"_Day"&amp;ICPList[[#This Row],[Duration (Days)]]&amp;"_"&amp;ICPList[[#This Row],[Dilution]]&amp;"x"</f>
        <v>Not Requested_Day0_x</v>
      </c>
      <c r="F310">
        <f>NMRResults[[#This Row],['#]]</f>
        <v>0</v>
      </c>
      <c r="G310" s="1">
        <f>NMRResults[[#This Row],[Date Run]]</f>
        <v>0</v>
      </c>
    </row>
    <row r="311" spans="1:7" hidden="1" x14ac:dyDescent="0.25">
      <c r="A311" t="str" cm="1">
        <f t="array" ref="A311">IF(ISBLANK(INDEX(SampleList[ICP],ROW()-1)),"Not Requested",INDEX(SampleList[Experiment ID],ROW()-1))</f>
        <v>Not Requested</v>
      </c>
      <c r="B311">
        <f>Sampling!E309</f>
        <v>0</v>
      </c>
      <c r="E311" t="str">
        <f>ICPList[[#This Row],[Experiment ID]]&amp;"_Day"&amp;ICPList[[#This Row],[Duration (Days)]]&amp;"_"&amp;ICPList[[#This Row],[Dilution]]&amp;"x"</f>
        <v>Not Requested_Day0_x</v>
      </c>
      <c r="F311">
        <f>NMRResults[[#This Row],['#]]</f>
        <v>0</v>
      </c>
      <c r="G311" s="1">
        <f>NMRResults[[#This Row],[Date Run]]</f>
        <v>0</v>
      </c>
    </row>
    <row r="312" spans="1:7" hidden="1" x14ac:dyDescent="0.25">
      <c r="A312" t="str" cm="1">
        <f t="array" ref="A312">IF(ISBLANK(INDEX(SampleList[ICP],ROW()-1)),"Not Requested",INDEX(SampleList[Experiment ID],ROW()-1))</f>
        <v>Not Requested</v>
      </c>
      <c r="B312">
        <f>Sampling!E310</f>
        <v>0</v>
      </c>
      <c r="E312" t="str">
        <f>ICPList[[#This Row],[Experiment ID]]&amp;"_Day"&amp;ICPList[[#This Row],[Duration (Days)]]&amp;"_"&amp;ICPList[[#This Row],[Dilution]]&amp;"x"</f>
        <v>Not Requested_Day0_x</v>
      </c>
      <c r="F312">
        <f>NMRResults[[#This Row],['#]]</f>
        <v>0</v>
      </c>
      <c r="G312" s="1">
        <f>NMRResults[[#This Row],[Date Run]]</f>
        <v>0</v>
      </c>
    </row>
    <row r="313" spans="1:7" hidden="1" x14ac:dyDescent="0.25">
      <c r="A313" t="str" cm="1">
        <f t="array" ref="A313">IF(ISBLANK(INDEX(SampleList[ICP],ROW()-1)),"Not Requested",INDEX(SampleList[Experiment ID],ROW()-1))</f>
        <v>Not Requested</v>
      </c>
      <c r="B313">
        <f>Sampling!E311</f>
        <v>0</v>
      </c>
      <c r="E313" t="str">
        <f>ICPList[[#This Row],[Experiment ID]]&amp;"_Day"&amp;ICPList[[#This Row],[Duration (Days)]]&amp;"_"&amp;ICPList[[#This Row],[Dilution]]&amp;"x"</f>
        <v>Not Requested_Day0_x</v>
      </c>
      <c r="F313">
        <f>NMRResults[[#This Row],['#]]</f>
        <v>0</v>
      </c>
      <c r="G313" s="1">
        <f>NMRResults[[#This Row],[Date Run]]</f>
        <v>0</v>
      </c>
    </row>
    <row r="314" spans="1:7" hidden="1" x14ac:dyDescent="0.25">
      <c r="A314" t="str" cm="1">
        <f t="array" ref="A314">IF(ISBLANK(INDEX(SampleList[ICP],ROW()-1)),"Not Requested",INDEX(SampleList[Experiment ID],ROW()-1))</f>
        <v>Not Requested</v>
      </c>
      <c r="B314">
        <f>Sampling!E312</f>
        <v>0</v>
      </c>
      <c r="E314" t="str">
        <f>ICPList[[#This Row],[Experiment ID]]&amp;"_Day"&amp;ICPList[[#This Row],[Duration (Days)]]&amp;"_"&amp;ICPList[[#This Row],[Dilution]]&amp;"x"</f>
        <v>Not Requested_Day0_x</v>
      </c>
      <c r="F314">
        <f>NMRResults[[#This Row],['#]]</f>
        <v>0</v>
      </c>
      <c r="G314" s="1">
        <f>NMRResults[[#This Row],[Date Run]]</f>
        <v>0</v>
      </c>
    </row>
    <row r="315" spans="1:7" hidden="1" x14ac:dyDescent="0.25">
      <c r="A315" t="str" cm="1">
        <f t="array" ref="A315">IF(ISBLANK(INDEX(SampleList[ICP],ROW()-1)),"Not Requested",INDEX(SampleList[Experiment ID],ROW()-1))</f>
        <v>Not Requested</v>
      </c>
      <c r="B315">
        <f>Sampling!E313</f>
        <v>0</v>
      </c>
      <c r="E315" t="str">
        <f>ICPList[[#This Row],[Experiment ID]]&amp;"_Day"&amp;ICPList[[#This Row],[Duration (Days)]]&amp;"_"&amp;ICPList[[#This Row],[Dilution]]&amp;"x"</f>
        <v>Not Requested_Day0_x</v>
      </c>
      <c r="F315">
        <f>NMRResults[[#This Row],['#]]</f>
        <v>0</v>
      </c>
      <c r="G315" s="1">
        <f>NMRResults[[#This Row],[Date Run]]</f>
        <v>0</v>
      </c>
    </row>
    <row r="316" spans="1:7" hidden="1" x14ac:dyDescent="0.25">
      <c r="A316" t="str" cm="1">
        <f t="array" ref="A316">IF(ISBLANK(INDEX(SampleList[ICP],ROW()-1)),"Not Requested",INDEX(SampleList[Experiment ID],ROW()-1))</f>
        <v>Not Requested</v>
      </c>
      <c r="B316">
        <f>Sampling!E314</f>
        <v>0</v>
      </c>
      <c r="E316" t="str">
        <f>ICPList[[#This Row],[Experiment ID]]&amp;"_Day"&amp;ICPList[[#This Row],[Duration (Days)]]&amp;"_"&amp;ICPList[[#This Row],[Dilution]]&amp;"x"</f>
        <v>Not Requested_Day0_x</v>
      </c>
      <c r="F316">
        <f>NMRResults[[#This Row],['#]]</f>
        <v>0</v>
      </c>
      <c r="G316" s="1">
        <f>NMRResults[[#This Row],[Date Run]]</f>
        <v>0</v>
      </c>
    </row>
    <row r="317" spans="1:7" hidden="1" x14ac:dyDescent="0.25">
      <c r="A317" t="str" cm="1">
        <f t="array" ref="A317">IF(ISBLANK(INDEX(SampleList[ICP],ROW()-1)),"Not Requested",INDEX(SampleList[Experiment ID],ROW()-1))</f>
        <v>Not Requested</v>
      </c>
      <c r="B317">
        <f>Sampling!E315</f>
        <v>0</v>
      </c>
      <c r="E317" t="str">
        <f>ICPList[[#This Row],[Experiment ID]]&amp;"_Day"&amp;ICPList[[#This Row],[Duration (Days)]]&amp;"_"&amp;ICPList[[#This Row],[Dilution]]&amp;"x"</f>
        <v>Not Requested_Day0_x</v>
      </c>
      <c r="F317">
        <f>NMRResults[[#This Row],['#]]</f>
        <v>0</v>
      </c>
      <c r="G317" s="1">
        <f>NMRResults[[#This Row],[Date Run]]</f>
        <v>0</v>
      </c>
    </row>
    <row r="318" spans="1:7" hidden="1" x14ac:dyDescent="0.25">
      <c r="A318" t="str" cm="1">
        <f t="array" ref="A318">IF(ISBLANK(INDEX(SampleList[ICP],ROW()-1)),"Not Requested",INDEX(SampleList[Experiment ID],ROW()-1))</f>
        <v>Not Requested</v>
      </c>
      <c r="B318">
        <f>Sampling!E316</f>
        <v>0</v>
      </c>
      <c r="E318" t="str">
        <f>ICPList[[#This Row],[Experiment ID]]&amp;"_Day"&amp;ICPList[[#This Row],[Duration (Days)]]&amp;"_"&amp;ICPList[[#This Row],[Dilution]]&amp;"x"</f>
        <v>Not Requested_Day0_x</v>
      </c>
      <c r="F318">
        <f>NMRResults[[#This Row],['#]]</f>
        <v>0</v>
      </c>
      <c r="G318" s="1">
        <f>NMRResults[[#This Row],[Date Run]]</f>
        <v>0</v>
      </c>
    </row>
    <row r="319" spans="1:7" hidden="1" x14ac:dyDescent="0.25">
      <c r="A319" t="str" cm="1">
        <f t="array" ref="A319">IF(ISBLANK(INDEX(SampleList[ICP],ROW()-1)),"Not Requested",INDEX(SampleList[Experiment ID],ROW()-1))</f>
        <v>Not Requested</v>
      </c>
      <c r="B319">
        <f>Sampling!E317</f>
        <v>0</v>
      </c>
      <c r="E319" t="str">
        <f>ICPList[[#This Row],[Experiment ID]]&amp;"_Day"&amp;ICPList[[#This Row],[Duration (Days)]]&amp;"_"&amp;ICPList[[#This Row],[Dilution]]&amp;"x"</f>
        <v>Not Requested_Day0_x</v>
      </c>
      <c r="F319">
        <f>NMRResults[[#This Row],['#]]</f>
        <v>0</v>
      </c>
      <c r="G319" s="1">
        <f>NMRResults[[#This Row],[Date Run]]</f>
        <v>0</v>
      </c>
    </row>
    <row r="320" spans="1:7" hidden="1" x14ac:dyDescent="0.25">
      <c r="A320" t="str" cm="1">
        <f t="array" ref="A320">IF(ISBLANK(INDEX(SampleList[ICP],ROW()-1)),"Not Requested",INDEX(SampleList[Experiment ID],ROW()-1))</f>
        <v>Not Requested</v>
      </c>
      <c r="B320">
        <f>Sampling!E318</f>
        <v>0</v>
      </c>
      <c r="E320" t="str">
        <f>ICPList[[#This Row],[Experiment ID]]&amp;"_Day"&amp;ICPList[[#This Row],[Duration (Days)]]&amp;"_"&amp;ICPList[[#This Row],[Dilution]]&amp;"x"</f>
        <v>Not Requested_Day0_x</v>
      </c>
      <c r="F320">
        <f>NMRResults[[#This Row],['#]]</f>
        <v>0</v>
      </c>
      <c r="G320" s="1">
        <f>NMRResults[[#This Row],[Date Run]]</f>
        <v>0</v>
      </c>
    </row>
    <row r="321" spans="1:7" hidden="1" x14ac:dyDescent="0.25">
      <c r="A321" t="str" cm="1">
        <f t="array" ref="A321">IF(ISBLANK(INDEX(SampleList[ICP],ROW()-1)),"Not Requested",INDEX(SampleList[Experiment ID],ROW()-1))</f>
        <v>Not Requested</v>
      </c>
      <c r="B321">
        <f>Sampling!E319</f>
        <v>0</v>
      </c>
      <c r="E321" t="str">
        <f>ICPList[[#This Row],[Experiment ID]]&amp;"_Day"&amp;ICPList[[#This Row],[Duration (Days)]]&amp;"_"&amp;ICPList[[#This Row],[Dilution]]&amp;"x"</f>
        <v>Not Requested_Day0_x</v>
      </c>
      <c r="F321">
        <f>NMRResults[[#This Row],['#]]</f>
        <v>0</v>
      </c>
      <c r="G321" s="1">
        <f>NMRResults[[#This Row],[Date Run]]</f>
        <v>0</v>
      </c>
    </row>
    <row r="322" spans="1:7" hidden="1" x14ac:dyDescent="0.25">
      <c r="A322" t="str" cm="1">
        <f t="array" ref="A322">IF(ISBLANK(INDEX(SampleList[ICP],ROW()-1)),"Not Requested",INDEX(SampleList[Experiment ID],ROW()-1))</f>
        <v>Not Requested</v>
      </c>
      <c r="B322">
        <f>Sampling!E320</f>
        <v>0</v>
      </c>
      <c r="E322" t="str">
        <f>ICPList[[#This Row],[Experiment ID]]&amp;"_Day"&amp;ICPList[[#This Row],[Duration (Days)]]&amp;"_"&amp;ICPList[[#This Row],[Dilution]]&amp;"x"</f>
        <v>Not Requested_Day0_x</v>
      </c>
      <c r="F322">
        <f>NMRResults[[#This Row],['#]]</f>
        <v>0</v>
      </c>
      <c r="G322" s="1">
        <f>NMRResults[[#This Row],[Date Run]]</f>
        <v>0</v>
      </c>
    </row>
    <row r="323" spans="1:7" hidden="1" x14ac:dyDescent="0.25">
      <c r="A323" t="str" cm="1">
        <f t="array" ref="A323">IF(ISBLANK(INDEX(SampleList[ICP],ROW()-1)),"Not Requested",INDEX(SampleList[Experiment ID],ROW()-1))</f>
        <v>Not Requested</v>
      </c>
      <c r="B323">
        <f>Sampling!E321</f>
        <v>0</v>
      </c>
      <c r="E323" t="str">
        <f>ICPList[[#This Row],[Experiment ID]]&amp;"_Day"&amp;ICPList[[#This Row],[Duration (Days)]]&amp;"_"&amp;ICPList[[#This Row],[Dilution]]&amp;"x"</f>
        <v>Not Requested_Day0_x</v>
      </c>
      <c r="F323">
        <f>NMRResults[[#This Row],['#]]</f>
        <v>0</v>
      </c>
      <c r="G323" s="1">
        <f>NMRResults[[#This Row],[Date Run]]</f>
        <v>0</v>
      </c>
    </row>
    <row r="324" spans="1:7" hidden="1" x14ac:dyDescent="0.25">
      <c r="A324" t="str" cm="1">
        <f t="array" ref="A324">IF(ISBLANK(INDEX(SampleList[ICP],ROW()-1)),"Not Requested",INDEX(SampleList[Experiment ID],ROW()-1))</f>
        <v>Not Requested</v>
      </c>
      <c r="B324">
        <f>Sampling!E322</f>
        <v>0</v>
      </c>
      <c r="E324" t="str">
        <f>ICPList[[#This Row],[Experiment ID]]&amp;"_Day"&amp;ICPList[[#This Row],[Duration (Days)]]&amp;"_"&amp;ICPList[[#This Row],[Dilution]]&amp;"x"</f>
        <v>Not Requested_Day0_x</v>
      </c>
      <c r="F324">
        <f>NMRResults[[#This Row],['#]]</f>
        <v>0</v>
      </c>
      <c r="G324" s="1">
        <f>NMRResults[[#This Row],[Date Run]]</f>
        <v>0</v>
      </c>
    </row>
    <row r="325" spans="1:7" hidden="1" x14ac:dyDescent="0.25">
      <c r="A325" t="str" cm="1">
        <f t="array" ref="A325">IF(ISBLANK(INDEX(SampleList[ICP],ROW()-1)),"Not Requested",INDEX(SampleList[Experiment ID],ROW()-1))</f>
        <v>Not Requested</v>
      </c>
      <c r="B325">
        <f>Sampling!E323</f>
        <v>0</v>
      </c>
      <c r="E325" t="str">
        <f>ICPList[[#This Row],[Experiment ID]]&amp;"_Day"&amp;ICPList[[#This Row],[Duration (Days)]]&amp;"_"&amp;ICPList[[#This Row],[Dilution]]&amp;"x"</f>
        <v>Not Requested_Day0_x</v>
      </c>
      <c r="F325">
        <f>NMRResults[[#This Row],['#]]</f>
        <v>0</v>
      </c>
      <c r="G325" s="1">
        <f>NMRResults[[#This Row],[Date Run]]</f>
        <v>0</v>
      </c>
    </row>
    <row r="326" spans="1:7" hidden="1" x14ac:dyDescent="0.25">
      <c r="A326" t="str" cm="1">
        <f t="array" ref="A326">IF(ISBLANK(INDEX(SampleList[ICP],ROW()-1)),"Not Requested",INDEX(SampleList[Experiment ID],ROW()-1))</f>
        <v>Not Requested</v>
      </c>
      <c r="B326">
        <f>Sampling!E324</f>
        <v>0</v>
      </c>
      <c r="E326" t="str">
        <f>ICPList[[#This Row],[Experiment ID]]&amp;"_Day"&amp;ICPList[[#This Row],[Duration (Days)]]&amp;"_"&amp;ICPList[[#This Row],[Dilution]]&amp;"x"</f>
        <v>Not Requested_Day0_x</v>
      </c>
      <c r="F326">
        <f>NMRResults[[#This Row],['#]]</f>
        <v>0</v>
      </c>
      <c r="G326" s="1">
        <f>NMRResults[[#This Row],[Date Run]]</f>
        <v>0</v>
      </c>
    </row>
    <row r="327" spans="1:7" hidden="1" x14ac:dyDescent="0.25">
      <c r="A327" t="str" cm="1">
        <f t="array" ref="A327">IF(ISBLANK(INDEX(SampleList[ICP],ROW()-1)),"Not Requested",INDEX(SampleList[Experiment ID],ROW()-1))</f>
        <v>Not Requested</v>
      </c>
      <c r="B327">
        <f>Sampling!E325</f>
        <v>0</v>
      </c>
      <c r="E327" t="str">
        <f>ICPList[[#This Row],[Experiment ID]]&amp;"_Day"&amp;ICPList[[#This Row],[Duration (Days)]]&amp;"_"&amp;ICPList[[#This Row],[Dilution]]&amp;"x"</f>
        <v>Not Requested_Day0_x</v>
      </c>
      <c r="F327">
        <f>NMRResults[[#This Row],['#]]</f>
        <v>0</v>
      </c>
      <c r="G327" s="1">
        <f>NMRResults[[#This Row],[Date Run]]</f>
        <v>0</v>
      </c>
    </row>
    <row r="328" spans="1:7" hidden="1" x14ac:dyDescent="0.25">
      <c r="A328" t="str" cm="1">
        <f t="array" ref="A328">IF(ISBLANK(INDEX(SampleList[ICP],ROW()-1)),"Not Requested",INDEX(SampleList[Experiment ID],ROW()-1))</f>
        <v>Not Requested</v>
      </c>
      <c r="B328">
        <f>Sampling!E326</f>
        <v>0</v>
      </c>
      <c r="E328" t="str">
        <f>ICPList[[#This Row],[Experiment ID]]&amp;"_Day"&amp;ICPList[[#This Row],[Duration (Days)]]&amp;"_"&amp;ICPList[[#This Row],[Dilution]]&amp;"x"</f>
        <v>Not Requested_Day0_x</v>
      </c>
      <c r="F328">
        <f>NMRResults[[#This Row],['#]]</f>
        <v>0</v>
      </c>
      <c r="G328" s="1">
        <f>NMRResults[[#This Row],[Date Run]]</f>
        <v>0</v>
      </c>
    </row>
    <row r="329" spans="1:7" hidden="1" x14ac:dyDescent="0.25">
      <c r="A329" t="str" cm="1">
        <f t="array" ref="A329">IF(ISBLANK(INDEX(SampleList[ICP],ROW()-1)),"Not Requested",INDEX(SampleList[Experiment ID],ROW()-1))</f>
        <v>Not Requested</v>
      </c>
      <c r="B329">
        <f>Sampling!E327</f>
        <v>0</v>
      </c>
      <c r="E329" t="str">
        <f>ICPList[[#This Row],[Experiment ID]]&amp;"_Day"&amp;ICPList[[#This Row],[Duration (Days)]]&amp;"_"&amp;ICPList[[#This Row],[Dilution]]&amp;"x"</f>
        <v>Not Requested_Day0_x</v>
      </c>
      <c r="F329">
        <f>NMRResults[[#This Row],['#]]</f>
        <v>0</v>
      </c>
      <c r="G329" s="1">
        <f>NMRResults[[#This Row],[Date Run]]</f>
        <v>0</v>
      </c>
    </row>
    <row r="330" spans="1:7" hidden="1" x14ac:dyDescent="0.25">
      <c r="A330" t="str" cm="1">
        <f t="array" ref="A330">IF(ISBLANK(INDEX(SampleList[ICP],ROW()-1)),"Not Requested",INDEX(SampleList[Experiment ID],ROW()-1))</f>
        <v>Not Requested</v>
      </c>
      <c r="B330">
        <f>Sampling!E328</f>
        <v>0</v>
      </c>
      <c r="E330" t="str">
        <f>ICPList[[#This Row],[Experiment ID]]&amp;"_Day"&amp;ICPList[[#This Row],[Duration (Days)]]&amp;"_"&amp;ICPList[[#This Row],[Dilution]]&amp;"x"</f>
        <v>Not Requested_Day0_x</v>
      </c>
      <c r="F330">
        <f>NMRResults[[#This Row],['#]]</f>
        <v>0</v>
      </c>
      <c r="G330" s="1">
        <f>NMRResults[[#This Row],[Date Run]]</f>
        <v>0</v>
      </c>
    </row>
    <row r="331" spans="1:7" hidden="1" x14ac:dyDescent="0.25">
      <c r="A331" t="str" cm="1">
        <f t="array" ref="A331">IF(ISBLANK(INDEX(SampleList[ICP],ROW()-1)),"Not Requested",INDEX(SampleList[Experiment ID],ROW()-1))</f>
        <v>Not Requested</v>
      </c>
      <c r="B331">
        <f>Sampling!E329</f>
        <v>0</v>
      </c>
      <c r="E331" t="str">
        <f>ICPList[[#This Row],[Experiment ID]]&amp;"_Day"&amp;ICPList[[#This Row],[Duration (Days)]]&amp;"_"&amp;ICPList[[#This Row],[Dilution]]&amp;"x"</f>
        <v>Not Requested_Day0_x</v>
      </c>
      <c r="F331">
        <f>NMRResults[[#This Row],['#]]</f>
        <v>0</v>
      </c>
      <c r="G331" s="1">
        <f>NMRResults[[#This Row],[Date Run]]</f>
        <v>0</v>
      </c>
    </row>
    <row r="332" spans="1:7" hidden="1" x14ac:dyDescent="0.25">
      <c r="A332" t="str" cm="1">
        <f t="array" ref="A332">IF(ISBLANK(INDEX(SampleList[ICP],ROW()-1)),"Not Requested",INDEX(SampleList[Experiment ID],ROW()-1))</f>
        <v>Not Requested</v>
      </c>
      <c r="B332">
        <f>Sampling!E330</f>
        <v>0</v>
      </c>
      <c r="E332" t="str">
        <f>ICPList[[#This Row],[Experiment ID]]&amp;"_Day"&amp;ICPList[[#This Row],[Duration (Days)]]&amp;"_"&amp;ICPList[[#This Row],[Dilution]]&amp;"x"</f>
        <v>Not Requested_Day0_x</v>
      </c>
      <c r="F332">
        <f>NMRResults[[#This Row],['#]]</f>
        <v>0</v>
      </c>
      <c r="G332" s="1">
        <f>NMRResults[[#This Row],[Date Run]]</f>
        <v>0</v>
      </c>
    </row>
    <row r="333" spans="1:7" hidden="1" x14ac:dyDescent="0.25">
      <c r="A333" t="str" cm="1">
        <f t="array" ref="A333">IF(ISBLANK(INDEX(SampleList[ICP],ROW()-1)),"Not Requested",INDEX(SampleList[Experiment ID],ROW()-1))</f>
        <v>Not Requested</v>
      </c>
      <c r="B333">
        <f>Sampling!E331</f>
        <v>0</v>
      </c>
      <c r="E333" t="str">
        <f>ICPList[[#This Row],[Experiment ID]]&amp;"_Day"&amp;ICPList[[#This Row],[Duration (Days)]]&amp;"_"&amp;ICPList[[#This Row],[Dilution]]&amp;"x"</f>
        <v>Not Requested_Day0_x</v>
      </c>
      <c r="F333">
        <f>NMRResults[[#This Row],['#]]</f>
        <v>0</v>
      </c>
      <c r="G333" s="1">
        <f>NMRResults[[#This Row],[Date Run]]</f>
        <v>0</v>
      </c>
    </row>
    <row r="334" spans="1:7" hidden="1" x14ac:dyDescent="0.25">
      <c r="A334" t="str" cm="1">
        <f t="array" ref="A334">IF(ISBLANK(INDEX(SampleList[ICP],ROW()-1)),"Not Requested",INDEX(SampleList[Experiment ID],ROW()-1))</f>
        <v>Not Requested</v>
      </c>
      <c r="B334">
        <f>Sampling!E332</f>
        <v>0</v>
      </c>
      <c r="E334" t="str">
        <f>ICPList[[#This Row],[Experiment ID]]&amp;"_Day"&amp;ICPList[[#This Row],[Duration (Days)]]&amp;"_"&amp;ICPList[[#This Row],[Dilution]]&amp;"x"</f>
        <v>Not Requested_Day0_x</v>
      </c>
      <c r="F334">
        <f>NMRResults[[#This Row],['#]]</f>
        <v>0</v>
      </c>
      <c r="G334" s="1">
        <f>NMRResults[[#This Row],[Date Run]]</f>
        <v>0</v>
      </c>
    </row>
    <row r="335" spans="1:7" hidden="1" x14ac:dyDescent="0.25">
      <c r="A335" t="str" cm="1">
        <f t="array" ref="A335">IF(ISBLANK(INDEX(SampleList[ICP],ROW()-1)),"Not Requested",INDEX(SampleList[Experiment ID],ROW()-1))</f>
        <v>Not Requested</v>
      </c>
      <c r="B335">
        <f>Sampling!E333</f>
        <v>0</v>
      </c>
      <c r="E335" t="str">
        <f>ICPList[[#This Row],[Experiment ID]]&amp;"_Day"&amp;ICPList[[#This Row],[Duration (Days)]]&amp;"_"&amp;ICPList[[#This Row],[Dilution]]&amp;"x"</f>
        <v>Not Requested_Day0_x</v>
      </c>
      <c r="F335">
        <f>NMRResults[[#This Row],['#]]</f>
        <v>0</v>
      </c>
      <c r="G335" s="1">
        <f>NMRResults[[#This Row],[Date Run]]</f>
        <v>0</v>
      </c>
    </row>
    <row r="336" spans="1:7" hidden="1" x14ac:dyDescent="0.25">
      <c r="A336" t="str" cm="1">
        <f t="array" ref="A336">IF(ISBLANK(INDEX(SampleList[ICP],ROW()-1)),"Not Requested",INDEX(SampleList[Experiment ID],ROW()-1))</f>
        <v>Not Requested</v>
      </c>
      <c r="B336">
        <f>Sampling!E334</f>
        <v>0</v>
      </c>
      <c r="E336" t="str">
        <f>ICPList[[#This Row],[Experiment ID]]&amp;"_Day"&amp;ICPList[[#This Row],[Duration (Days)]]&amp;"_"&amp;ICPList[[#This Row],[Dilution]]&amp;"x"</f>
        <v>Not Requested_Day0_x</v>
      </c>
      <c r="F336">
        <f>NMRResults[[#This Row],['#]]</f>
        <v>0</v>
      </c>
      <c r="G336" s="1">
        <f>NMRResults[[#This Row],[Date Run]]</f>
        <v>0</v>
      </c>
    </row>
    <row r="337" spans="1:7" hidden="1" x14ac:dyDescent="0.25">
      <c r="A337" t="str" cm="1">
        <f t="array" ref="A337">IF(ISBLANK(INDEX(SampleList[ICP],ROW()-1)),"Not Requested",INDEX(SampleList[Experiment ID],ROW()-1))</f>
        <v>Not Requested</v>
      </c>
      <c r="B337">
        <f>Sampling!E335</f>
        <v>0</v>
      </c>
      <c r="E337" t="str">
        <f>ICPList[[#This Row],[Experiment ID]]&amp;"_Day"&amp;ICPList[[#This Row],[Duration (Days)]]&amp;"_"&amp;ICPList[[#This Row],[Dilution]]&amp;"x"</f>
        <v>Not Requested_Day0_x</v>
      </c>
      <c r="F337">
        <f>NMRResults[[#This Row],['#]]</f>
        <v>0</v>
      </c>
      <c r="G337" s="1">
        <f>NMRResults[[#This Row],[Date Run]]</f>
        <v>0</v>
      </c>
    </row>
    <row r="338" spans="1:7" hidden="1" x14ac:dyDescent="0.25">
      <c r="A338" t="str" cm="1">
        <f t="array" ref="A338">IF(ISBLANK(INDEX(SampleList[ICP],ROW()-1)),"Not Requested",INDEX(SampleList[Experiment ID],ROW()-1))</f>
        <v>Not Requested</v>
      </c>
      <c r="B338">
        <f>Sampling!E336</f>
        <v>0</v>
      </c>
      <c r="E338" t="str">
        <f>ICPList[[#This Row],[Experiment ID]]&amp;"_Day"&amp;ICPList[[#This Row],[Duration (Days)]]&amp;"_"&amp;ICPList[[#This Row],[Dilution]]&amp;"x"</f>
        <v>Not Requested_Day0_x</v>
      </c>
      <c r="F338">
        <f>NMRResults[[#This Row],['#]]</f>
        <v>0</v>
      </c>
      <c r="G338" s="1">
        <f>NMRResults[[#This Row],[Date Run]]</f>
        <v>0</v>
      </c>
    </row>
    <row r="339" spans="1:7" hidden="1" x14ac:dyDescent="0.25">
      <c r="A339" t="str" cm="1">
        <f t="array" ref="A339">IF(ISBLANK(INDEX(SampleList[ICP],ROW()-1)),"Not Requested",INDEX(SampleList[Experiment ID],ROW()-1))</f>
        <v>Not Requested</v>
      </c>
      <c r="B339">
        <f>Sampling!E337</f>
        <v>0</v>
      </c>
      <c r="E339" t="str">
        <f>ICPList[[#This Row],[Experiment ID]]&amp;"_Day"&amp;ICPList[[#This Row],[Duration (Days)]]&amp;"_"&amp;ICPList[[#This Row],[Dilution]]&amp;"x"</f>
        <v>Not Requested_Day0_x</v>
      </c>
      <c r="F339">
        <f>NMRResults[[#This Row],['#]]</f>
        <v>0</v>
      </c>
      <c r="G339" s="1">
        <f>NMRResults[[#This Row],[Date Run]]</f>
        <v>0</v>
      </c>
    </row>
    <row r="340" spans="1:7" hidden="1" x14ac:dyDescent="0.25">
      <c r="A340" t="str" cm="1">
        <f t="array" ref="A340">IF(ISBLANK(INDEX(SampleList[ICP],ROW()-1)),"Not Requested",INDEX(SampleList[Experiment ID],ROW()-1))</f>
        <v>Not Requested</v>
      </c>
      <c r="B340">
        <f>Sampling!E338</f>
        <v>0</v>
      </c>
      <c r="E340" t="str">
        <f>ICPList[[#This Row],[Experiment ID]]&amp;"_Day"&amp;ICPList[[#This Row],[Duration (Days)]]&amp;"_"&amp;ICPList[[#This Row],[Dilution]]&amp;"x"</f>
        <v>Not Requested_Day0_x</v>
      </c>
      <c r="F340">
        <f>NMRResults[[#This Row],['#]]</f>
        <v>0</v>
      </c>
      <c r="G340" s="1">
        <f>NMRResults[[#This Row],[Date Run]]</f>
        <v>0</v>
      </c>
    </row>
    <row r="341" spans="1:7" hidden="1" x14ac:dyDescent="0.25">
      <c r="A341" t="str" cm="1">
        <f t="array" ref="A341">IF(ISBLANK(INDEX(SampleList[ICP],ROW()-1)),"Not Requested",INDEX(SampleList[Experiment ID],ROW()-1))</f>
        <v>Not Requested</v>
      </c>
      <c r="B341">
        <f>Sampling!E339</f>
        <v>0</v>
      </c>
      <c r="E341" t="str">
        <f>ICPList[[#This Row],[Experiment ID]]&amp;"_Day"&amp;ICPList[[#This Row],[Duration (Days)]]&amp;"_"&amp;ICPList[[#This Row],[Dilution]]&amp;"x"</f>
        <v>Not Requested_Day0_x</v>
      </c>
      <c r="F341">
        <f>NMRResults[[#This Row],['#]]</f>
        <v>0</v>
      </c>
      <c r="G341" s="1">
        <f>NMRResults[[#This Row],[Date Run]]</f>
        <v>0</v>
      </c>
    </row>
    <row r="342" spans="1:7" hidden="1" x14ac:dyDescent="0.25">
      <c r="A342" t="str" cm="1">
        <f t="array" ref="A342">IF(ISBLANK(INDEX(SampleList[ICP],ROW()-1)),"Not Requested",INDEX(SampleList[Experiment ID],ROW()-1))</f>
        <v>Not Requested</v>
      </c>
      <c r="B342">
        <f>Sampling!E340</f>
        <v>0</v>
      </c>
      <c r="E342" t="str">
        <f>ICPList[[#This Row],[Experiment ID]]&amp;"_Day"&amp;ICPList[[#This Row],[Duration (Days)]]&amp;"_"&amp;ICPList[[#This Row],[Dilution]]&amp;"x"</f>
        <v>Not Requested_Day0_x</v>
      </c>
      <c r="F342">
        <f>NMRResults[[#This Row],['#]]</f>
        <v>0</v>
      </c>
      <c r="G342" s="1">
        <f>NMRResults[[#This Row],[Date Run]]</f>
        <v>0</v>
      </c>
    </row>
    <row r="343" spans="1:7" hidden="1" x14ac:dyDescent="0.25">
      <c r="A343" t="str" cm="1">
        <f t="array" ref="A343">IF(ISBLANK(INDEX(SampleList[ICP],ROW()-1)),"Not Requested",INDEX(SampleList[Experiment ID],ROW()-1))</f>
        <v>Not Requested</v>
      </c>
      <c r="B343">
        <f>Sampling!E341</f>
        <v>0</v>
      </c>
      <c r="E343" t="str">
        <f>ICPList[[#This Row],[Experiment ID]]&amp;"_Day"&amp;ICPList[[#This Row],[Duration (Days)]]&amp;"_"&amp;ICPList[[#This Row],[Dilution]]&amp;"x"</f>
        <v>Not Requested_Day0_x</v>
      </c>
      <c r="F343">
        <f>NMRResults[[#This Row],['#]]</f>
        <v>0</v>
      </c>
      <c r="G343" s="1">
        <f>NMRResults[[#This Row],[Date Run]]</f>
        <v>0</v>
      </c>
    </row>
    <row r="344" spans="1:7" hidden="1" x14ac:dyDescent="0.25">
      <c r="A344" t="str" cm="1">
        <f t="array" ref="A344">IF(ISBLANK(INDEX(SampleList[ICP],ROW()-1)),"Not Requested",INDEX(SampleList[Experiment ID],ROW()-1))</f>
        <v>Not Requested</v>
      </c>
      <c r="B344">
        <f>Sampling!E342</f>
        <v>0</v>
      </c>
      <c r="E344" t="str">
        <f>ICPList[[#This Row],[Experiment ID]]&amp;"_Day"&amp;ICPList[[#This Row],[Duration (Days)]]&amp;"_"&amp;ICPList[[#This Row],[Dilution]]&amp;"x"</f>
        <v>Not Requested_Day0_x</v>
      </c>
      <c r="F344">
        <f>NMRResults[[#This Row],['#]]</f>
        <v>0</v>
      </c>
      <c r="G344" s="1">
        <f>NMRResults[[#This Row],[Date Run]]</f>
        <v>0</v>
      </c>
    </row>
    <row r="345" spans="1:7" hidden="1" x14ac:dyDescent="0.25">
      <c r="A345" t="str" cm="1">
        <f t="array" ref="A345">IF(ISBLANK(INDEX(SampleList[ICP],ROW()-1)),"Not Requested",INDEX(SampleList[Experiment ID],ROW()-1))</f>
        <v>Not Requested</v>
      </c>
      <c r="B345">
        <f>Sampling!E343</f>
        <v>0</v>
      </c>
      <c r="E345" t="str">
        <f>ICPList[[#This Row],[Experiment ID]]&amp;"_Day"&amp;ICPList[[#This Row],[Duration (Days)]]&amp;"_"&amp;ICPList[[#This Row],[Dilution]]&amp;"x"</f>
        <v>Not Requested_Day0_x</v>
      </c>
      <c r="F345">
        <f>NMRResults[[#This Row],['#]]</f>
        <v>0</v>
      </c>
      <c r="G345" s="1">
        <f>NMRResults[[#This Row],[Date Run]]</f>
        <v>0</v>
      </c>
    </row>
    <row r="346" spans="1:7" hidden="1" x14ac:dyDescent="0.25">
      <c r="A346" t="str" cm="1">
        <f t="array" ref="A346">IF(ISBLANK(INDEX(SampleList[ICP],ROW()-1)),"Not Requested",INDEX(SampleList[Experiment ID],ROW()-1))</f>
        <v>Not Requested</v>
      </c>
      <c r="B346">
        <f>Sampling!E344</f>
        <v>0</v>
      </c>
      <c r="E346" t="str">
        <f>ICPList[[#This Row],[Experiment ID]]&amp;"_Day"&amp;ICPList[[#This Row],[Duration (Days)]]&amp;"_"&amp;ICPList[[#This Row],[Dilution]]&amp;"x"</f>
        <v>Not Requested_Day0_x</v>
      </c>
      <c r="F346">
        <f>NMRResults[[#This Row],['#]]</f>
        <v>0</v>
      </c>
      <c r="G346" s="1">
        <f>NMRResults[[#This Row],[Date Run]]</f>
        <v>0</v>
      </c>
    </row>
    <row r="347" spans="1:7" hidden="1" x14ac:dyDescent="0.25">
      <c r="A347" t="str" cm="1">
        <f t="array" ref="A347">IF(ISBLANK(INDEX(SampleList[ICP],ROW()-1)),"Not Requested",INDEX(SampleList[Experiment ID],ROW()-1))</f>
        <v>Not Requested</v>
      </c>
      <c r="B347">
        <f>Sampling!E345</f>
        <v>0</v>
      </c>
      <c r="E347" t="str">
        <f>ICPList[[#This Row],[Experiment ID]]&amp;"_Day"&amp;ICPList[[#This Row],[Duration (Days)]]&amp;"_"&amp;ICPList[[#This Row],[Dilution]]&amp;"x"</f>
        <v>Not Requested_Day0_x</v>
      </c>
      <c r="F347">
        <f>NMRResults[[#This Row],['#]]</f>
        <v>0</v>
      </c>
      <c r="G347" s="1">
        <f>NMRResults[[#This Row],[Date Run]]</f>
        <v>0</v>
      </c>
    </row>
    <row r="348" spans="1:7" hidden="1" x14ac:dyDescent="0.25">
      <c r="A348" t="str" cm="1">
        <f t="array" ref="A348">IF(ISBLANK(INDEX(SampleList[ICP],ROW()-1)),"Not Requested",INDEX(SampleList[Experiment ID],ROW()-1))</f>
        <v>Not Requested</v>
      </c>
      <c r="B348">
        <f>Sampling!E346</f>
        <v>0</v>
      </c>
      <c r="E348" t="str">
        <f>ICPList[[#This Row],[Experiment ID]]&amp;"_Day"&amp;ICPList[[#This Row],[Duration (Days)]]&amp;"_"&amp;ICPList[[#This Row],[Dilution]]&amp;"x"</f>
        <v>Not Requested_Day0_x</v>
      </c>
      <c r="F348">
        <f>NMRResults[[#This Row],['#]]</f>
        <v>0</v>
      </c>
      <c r="G348" s="1">
        <f>NMRResults[[#This Row],[Date Run]]</f>
        <v>0</v>
      </c>
    </row>
    <row r="349" spans="1:7" hidden="1" x14ac:dyDescent="0.25">
      <c r="A349" t="str" cm="1">
        <f t="array" ref="A349">IF(ISBLANK(INDEX(SampleList[ICP],ROW()-1)),"Not Requested",INDEX(SampleList[Experiment ID],ROW()-1))</f>
        <v>Not Requested</v>
      </c>
      <c r="B349">
        <f>Sampling!E347</f>
        <v>0</v>
      </c>
      <c r="E349" t="str">
        <f>ICPList[[#This Row],[Experiment ID]]&amp;"_Day"&amp;ICPList[[#This Row],[Duration (Days)]]&amp;"_"&amp;ICPList[[#This Row],[Dilution]]&amp;"x"</f>
        <v>Not Requested_Day0_x</v>
      </c>
      <c r="F349">
        <f>NMRResults[[#This Row],['#]]</f>
        <v>0</v>
      </c>
      <c r="G349" s="1">
        <f>NMRResults[[#This Row],[Date Run]]</f>
        <v>0</v>
      </c>
    </row>
    <row r="350" spans="1:7" hidden="1" x14ac:dyDescent="0.25">
      <c r="A350" t="str" cm="1">
        <f t="array" ref="A350">IF(ISBLANK(INDEX(SampleList[ICP],ROW()-1)),"Not Requested",INDEX(SampleList[Experiment ID],ROW()-1))</f>
        <v>Not Requested</v>
      </c>
      <c r="B350">
        <f>Sampling!E348</f>
        <v>0</v>
      </c>
      <c r="E350" t="str">
        <f>ICPList[[#This Row],[Experiment ID]]&amp;"_Day"&amp;ICPList[[#This Row],[Duration (Days)]]&amp;"_"&amp;ICPList[[#This Row],[Dilution]]&amp;"x"</f>
        <v>Not Requested_Day0_x</v>
      </c>
      <c r="F350">
        <f>NMRResults[[#This Row],['#]]</f>
        <v>0</v>
      </c>
      <c r="G350" s="1">
        <f>NMRResults[[#This Row],[Date Run]]</f>
        <v>0</v>
      </c>
    </row>
    <row r="351" spans="1:7" hidden="1" x14ac:dyDescent="0.25">
      <c r="A351" t="str" cm="1">
        <f t="array" ref="A351">IF(ISBLANK(INDEX(SampleList[ICP],ROW()-1)),"Not Requested",INDEX(SampleList[Experiment ID],ROW()-1))</f>
        <v>Not Requested</v>
      </c>
      <c r="B351">
        <f>Sampling!E349</f>
        <v>0</v>
      </c>
      <c r="E351" t="str">
        <f>ICPList[[#This Row],[Experiment ID]]&amp;"_Day"&amp;ICPList[[#This Row],[Duration (Days)]]&amp;"_"&amp;ICPList[[#This Row],[Dilution]]&amp;"x"</f>
        <v>Not Requested_Day0_x</v>
      </c>
      <c r="F351">
        <f>NMRResults[[#This Row],['#]]</f>
        <v>0</v>
      </c>
      <c r="G351" s="1">
        <f>NMRResults[[#This Row],[Date Run]]</f>
        <v>0</v>
      </c>
    </row>
    <row r="352" spans="1:7" hidden="1" x14ac:dyDescent="0.25">
      <c r="A352" t="str" cm="1">
        <f t="array" ref="A352">IF(ISBLANK(INDEX(SampleList[ICP],ROW()-1)),"Not Requested",INDEX(SampleList[Experiment ID],ROW()-1))</f>
        <v>Not Requested</v>
      </c>
      <c r="B352">
        <f>Sampling!E350</f>
        <v>0</v>
      </c>
      <c r="E352" t="str">
        <f>ICPList[[#This Row],[Experiment ID]]&amp;"_Day"&amp;ICPList[[#This Row],[Duration (Days)]]&amp;"_"&amp;ICPList[[#This Row],[Dilution]]&amp;"x"</f>
        <v>Not Requested_Day0_x</v>
      </c>
      <c r="F352">
        <f>NMRResults[[#This Row],['#]]</f>
        <v>0</v>
      </c>
      <c r="G352" s="1">
        <f>NMRResults[[#This Row],[Date Run]]</f>
        <v>0</v>
      </c>
    </row>
    <row r="353" spans="1:7" hidden="1" x14ac:dyDescent="0.25">
      <c r="A353" t="str" cm="1">
        <f t="array" ref="A353">IF(ISBLANK(INDEX(SampleList[ICP],ROW()-1)),"Not Requested",INDEX(SampleList[Experiment ID],ROW()-1))</f>
        <v>Not Requested</v>
      </c>
      <c r="B353">
        <f>Sampling!E351</f>
        <v>0</v>
      </c>
      <c r="E353" t="str">
        <f>ICPList[[#This Row],[Experiment ID]]&amp;"_Day"&amp;ICPList[[#This Row],[Duration (Days)]]&amp;"_"&amp;ICPList[[#This Row],[Dilution]]&amp;"x"</f>
        <v>Not Requested_Day0_x</v>
      </c>
      <c r="F353">
        <f>NMRResults[[#This Row],['#]]</f>
        <v>0</v>
      </c>
      <c r="G353" s="1">
        <f>NMRResults[[#This Row],[Date Run]]</f>
        <v>0</v>
      </c>
    </row>
    <row r="354" spans="1:7" hidden="1" x14ac:dyDescent="0.25">
      <c r="A354" t="str" cm="1">
        <f t="array" ref="A354">IF(ISBLANK(INDEX(SampleList[ICP],ROW()-1)),"Not Requested",INDEX(SampleList[Experiment ID],ROW()-1))</f>
        <v>Not Requested</v>
      </c>
      <c r="B354">
        <f>Sampling!E352</f>
        <v>0</v>
      </c>
      <c r="E354" t="str">
        <f>ICPList[[#This Row],[Experiment ID]]&amp;"_Day"&amp;ICPList[[#This Row],[Duration (Days)]]&amp;"_"&amp;ICPList[[#This Row],[Dilution]]&amp;"x"</f>
        <v>Not Requested_Day0_x</v>
      </c>
      <c r="F354">
        <f>NMRResults[[#This Row],['#]]</f>
        <v>0</v>
      </c>
      <c r="G354" s="1">
        <f>NMRResults[[#This Row],[Date Run]]</f>
        <v>0</v>
      </c>
    </row>
    <row r="355" spans="1:7" hidden="1" x14ac:dyDescent="0.25">
      <c r="A355" t="str" cm="1">
        <f t="array" ref="A355">IF(ISBLANK(INDEX(SampleList[ICP],ROW()-1)),"Not Requested",INDEX(SampleList[Experiment ID],ROW()-1))</f>
        <v>Not Requested</v>
      </c>
      <c r="B355">
        <f>Sampling!E353</f>
        <v>0</v>
      </c>
      <c r="E355" t="str">
        <f>ICPList[[#This Row],[Experiment ID]]&amp;"_Day"&amp;ICPList[[#This Row],[Duration (Days)]]&amp;"_"&amp;ICPList[[#This Row],[Dilution]]&amp;"x"</f>
        <v>Not Requested_Day0_x</v>
      </c>
      <c r="F355">
        <f>NMRResults[[#This Row],['#]]</f>
        <v>0</v>
      </c>
      <c r="G355" s="1">
        <f>NMRResults[[#This Row],[Date Run]]</f>
        <v>0</v>
      </c>
    </row>
    <row r="356" spans="1:7" hidden="1" x14ac:dyDescent="0.25">
      <c r="A356" t="str" cm="1">
        <f t="array" ref="A356">IF(ISBLANK(INDEX(SampleList[ICP],ROW()-1)),"Not Requested",INDEX(SampleList[Experiment ID],ROW()-1))</f>
        <v>Not Requested</v>
      </c>
      <c r="B356">
        <f>Sampling!E354</f>
        <v>0</v>
      </c>
      <c r="E356" t="str">
        <f>ICPList[[#This Row],[Experiment ID]]&amp;"_Day"&amp;ICPList[[#This Row],[Duration (Days)]]&amp;"_"&amp;ICPList[[#This Row],[Dilution]]&amp;"x"</f>
        <v>Not Requested_Day0_x</v>
      </c>
      <c r="F356">
        <f>NMRResults[[#This Row],['#]]</f>
        <v>0</v>
      </c>
      <c r="G356" s="1">
        <f>NMRResults[[#This Row],[Date Run]]</f>
        <v>0</v>
      </c>
    </row>
    <row r="357" spans="1:7" hidden="1" x14ac:dyDescent="0.25">
      <c r="A357" t="str" cm="1">
        <f t="array" ref="A357">IF(ISBLANK(INDEX(SampleList[ICP],ROW()-1)),"Not Requested",INDEX(SampleList[Experiment ID],ROW()-1))</f>
        <v>Not Requested</v>
      </c>
      <c r="B357">
        <f>Sampling!E355</f>
        <v>0</v>
      </c>
      <c r="E357" t="str">
        <f>ICPList[[#This Row],[Experiment ID]]&amp;"_Day"&amp;ICPList[[#This Row],[Duration (Days)]]&amp;"_"&amp;ICPList[[#This Row],[Dilution]]&amp;"x"</f>
        <v>Not Requested_Day0_x</v>
      </c>
      <c r="F357">
        <f>NMRResults[[#This Row],['#]]</f>
        <v>0</v>
      </c>
      <c r="G357" s="1">
        <f>NMRResults[[#This Row],[Date Run]]</f>
        <v>0</v>
      </c>
    </row>
    <row r="358" spans="1:7" hidden="1" x14ac:dyDescent="0.25">
      <c r="A358" t="str" cm="1">
        <f t="array" ref="A358">IF(ISBLANK(INDEX(SampleList[ICP],ROW()-1)),"Not Requested",INDEX(SampleList[Experiment ID],ROW()-1))</f>
        <v>Not Requested</v>
      </c>
      <c r="B358">
        <f>Sampling!E356</f>
        <v>0</v>
      </c>
      <c r="E358" t="str">
        <f>ICPList[[#This Row],[Experiment ID]]&amp;"_Day"&amp;ICPList[[#This Row],[Duration (Days)]]&amp;"_"&amp;ICPList[[#This Row],[Dilution]]&amp;"x"</f>
        <v>Not Requested_Day0_x</v>
      </c>
      <c r="F358">
        <f>NMRResults[[#This Row],['#]]</f>
        <v>0</v>
      </c>
      <c r="G358" s="1">
        <f>NMRResults[[#This Row],[Date Run]]</f>
        <v>0</v>
      </c>
    </row>
    <row r="359" spans="1:7" hidden="1" x14ac:dyDescent="0.25">
      <c r="A359" t="str" cm="1">
        <f t="array" ref="A359">IF(ISBLANK(INDEX(SampleList[ICP],ROW()-1)),"Not Requested",INDEX(SampleList[Experiment ID],ROW()-1))</f>
        <v>Not Requested</v>
      </c>
      <c r="B359">
        <f>Sampling!E357</f>
        <v>0</v>
      </c>
      <c r="E359" t="str">
        <f>ICPList[[#This Row],[Experiment ID]]&amp;"_Day"&amp;ICPList[[#This Row],[Duration (Days)]]&amp;"_"&amp;ICPList[[#This Row],[Dilution]]&amp;"x"</f>
        <v>Not Requested_Day0_x</v>
      </c>
      <c r="F359">
        <f>NMRResults[[#This Row],['#]]</f>
        <v>0</v>
      </c>
      <c r="G359" s="1">
        <f>NMRResults[[#This Row],[Date Run]]</f>
        <v>0</v>
      </c>
    </row>
    <row r="360" spans="1:7" hidden="1" x14ac:dyDescent="0.25">
      <c r="A360" t="str" cm="1">
        <f t="array" ref="A360">IF(ISBLANK(INDEX(SampleList[ICP],ROW()-1)),"Not Requested",INDEX(SampleList[Experiment ID],ROW()-1))</f>
        <v>Not Requested</v>
      </c>
      <c r="B360">
        <f>Sampling!E358</f>
        <v>0</v>
      </c>
      <c r="E360" t="str">
        <f>ICPList[[#This Row],[Experiment ID]]&amp;"_Day"&amp;ICPList[[#This Row],[Duration (Days)]]&amp;"_"&amp;ICPList[[#This Row],[Dilution]]&amp;"x"</f>
        <v>Not Requested_Day0_x</v>
      </c>
      <c r="F360">
        <f>NMRResults[[#This Row],['#]]</f>
        <v>0</v>
      </c>
      <c r="G360" s="1">
        <f>NMRResults[[#This Row],[Date Run]]</f>
        <v>0</v>
      </c>
    </row>
    <row r="361" spans="1:7" hidden="1" x14ac:dyDescent="0.25">
      <c r="A361" t="str" cm="1">
        <f t="array" ref="A361">IF(ISBLANK(INDEX(SampleList[ICP],ROW()-1)),"Not Requested",INDEX(SampleList[Experiment ID],ROW()-1))</f>
        <v>Not Requested</v>
      </c>
      <c r="B361">
        <f>Sampling!E359</f>
        <v>0</v>
      </c>
      <c r="E361" t="str">
        <f>ICPList[[#This Row],[Experiment ID]]&amp;"_Day"&amp;ICPList[[#This Row],[Duration (Days)]]&amp;"_"&amp;ICPList[[#This Row],[Dilution]]&amp;"x"</f>
        <v>Not Requested_Day0_x</v>
      </c>
      <c r="F361">
        <f>NMRResults[[#This Row],['#]]</f>
        <v>0</v>
      </c>
      <c r="G361" s="1">
        <f>NMRResults[[#This Row],[Date Run]]</f>
        <v>0</v>
      </c>
    </row>
    <row r="362" spans="1:7" hidden="1" x14ac:dyDescent="0.25">
      <c r="A362" t="str" cm="1">
        <f t="array" ref="A362">IF(ISBLANK(INDEX(SampleList[ICP],ROW()-1)),"Not Requested",INDEX(SampleList[Experiment ID],ROW()-1))</f>
        <v>Not Requested</v>
      </c>
      <c r="B362">
        <f>Sampling!E360</f>
        <v>0</v>
      </c>
      <c r="E362" t="str">
        <f>ICPList[[#This Row],[Experiment ID]]&amp;"_Day"&amp;ICPList[[#This Row],[Duration (Days)]]&amp;"_"&amp;ICPList[[#This Row],[Dilution]]&amp;"x"</f>
        <v>Not Requested_Day0_x</v>
      </c>
      <c r="F362">
        <f>NMRResults[[#This Row],['#]]</f>
        <v>0</v>
      </c>
      <c r="G362" s="1">
        <f>NMRResults[[#This Row],[Date Run]]</f>
        <v>0</v>
      </c>
    </row>
    <row r="363" spans="1:7" hidden="1" x14ac:dyDescent="0.25">
      <c r="A363" t="str" cm="1">
        <f t="array" ref="A363">IF(ISBLANK(INDEX(SampleList[ICP],ROW()-1)),"Not Requested",INDEX(SampleList[Experiment ID],ROW()-1))</f>
        <v>Not Requested</v>
      </c>
      <c r="B363">
        <f>Sampling!E361</f>
        <v>0</v>
      </c>
      <c r="E363" t="str">
        <f>ICPList[[#This Row],[Experiment ID]]&amp;"_Day"&amp;ICPList[[#This Row],[Duration (Days)]]&amp;"_"&amp;ICPList[[#This Row],[Dilution]]&amp;"x"</f>
        <v>Not Requested_Day0_x</v>
      </c>
      <c r="F363">
        <f>NMRResults[[#This Row],['#]]</f>
        <v>0</v>
      </c>
      <c r="G363" s="1">
        <f>NMRResults[[#This Row],[Date Run]]</f>
        <v>0</v>
      </c>
    </row>
    <row r="364" spans="1:7" hidden="1" x14ac:dyDescent="0.25">
      <c r="A364" t="str" cm="1">
        <f t="array" ref="A364">IF(ISBLANK(INDEX(SampleList[ICP],ROW()-1)),"Not Requested",INDEX(SampleList[Experiment ID],ROW()-1))</f>
        <v>Not Requested</v>
      </c>
      <c r="B364">
        <f>Sampling!E362</f>
        <v>0</v>
      </c>
      <c r="E364" t="str">
        <f>ICPList[[#This Row],[Experiment ID]]&amp;"_Day"&amp;ICPList[[#This Row],[Duration (Days)]]&amp;"_"&amp;ICPList[[#This Row],[Dilution]]&amp;"x"</f>
        <v>Not Requested_Day0_x</v>
      </c>
      <c r="F364">
        <f>NMRResults[[#This Row],['#]]</f>
        <v>0</v>
      </c>
      <c r="G364" s="1">
        <f>NMRResults[[#This Row],[Date Run]]</f>
        <v>0</v>
      </c>
    </row>
    <row r="365" spans="1:7" hidden="1" x14ac:dyDescent="0.25">
      <c r="A365" t="str" cm="1">
        <f t="array" ref="A365">IF(ISBLANK(INDEX(SampleList[ICP],ROW()-1)),"Not Requested",INDEX(SampleList[Experiment ID],ROW()-1))</f>
        <v>Not Requested</v>
      </c>
      <c r="B365">
        <f>Sampling!E363</f>
        <v>0</v>
      </c>
      <c r="E365" t="str">
        <f>ICPList[[#This Row],[Experiment ID]]&amp;"_Day"&amp;ICPList[[#This Row],[Duration (Days)]]&amp;"_"&amp;ICPList[[#This Row],[Dilution]]&amp;"x"</f>
        <v>Not Requested_Day0_x</v>
      </c>
      <c r="F365">
        <f>NMRResults[[#This Row],['#]]</f>
        <v>0</v>
      </c>
      <c r="G365" s="1">
        <f>NMRResults[[#This Row],[Date Run]]</f>
        <v>0</v>
      </c>
    </row>
    <row r="366" spans="1:7" hidden="1" x14ac:dyDescent="0.25">
      <c r="A366" t="str" cm="1">
        <f t="array" ref="A366">IF(ISBLANK(INDEX(SampleList[ICP],ROW()-1)),"Not Requested",INDEX(SampleList[Experiment ID],ROW()-1))</f>
        <v>Not Requested</v>
      </c>
      <c r="B366">
        <f>Sampling!E364</f>
        <v>0</v>
      </c>
      <c r="E366" t="str">
        <f>ICPList[[#This Row],[Experiment ID]]&amp;"_Day"&amp;ICPList[[#This Row],[Duration (Days)]]&amp;"_"&amp;ICPList[[#This Row],[Dilution]]&amp;"x"</f>
        <v>Not Requested_Day0_x</v>
      </c>
      <c r="F366">
        <f>NMRResults[[#This Row],['#]]</f>
        <v>0</v>
      </c>
      <c r="G366" s="1">
        <f>NMRResults[[#This Row],[Date Run]]</f>
        <v>0</v>
      </c>
    </row>
    <row r="367" spans="1:7" hidden="1" x14ac:dyDescent="0.25">
      <c r="A367" t="str" cm="1">
        <f t="array" ref="A367">IF(ISBLANK(INDEX(SampleList[ICP],ROW()-1)),"Not Requested",INDEX(SampleList[Experiment ID],ROW()-1))</f>
        <v>Not Requested</v>
      </c>
      <c r="B367">
        <f>Sampling!E365</f>
        <v>0</v>
      </c>
      <c r="E367" t="str">
        <f>ICPList[[#This Row],[Experiment ID]]&amp;"_Day"&amp;ICPList[[#This Row],[Duration (Days)]]&amp;"_"&amp;ICPList[[#This Row],[Dilution]]&amp;"x"</f>
        <v>Not Requested_Day0_x</v>
      </c>
      <c r="F367">
        <f>NMRResults[[#This Row],['#]]</f>
        <v>0</v>
      </c>
      <c r="G367" s="1">
        <f>NMRResults[[#This Row],[Date Run]]</f>
        <v>0</v>
      </c>
    </row>
    <row r="368" spans="1:7" hidden="1" x14ac:dyDescent="0.25">
      <c r="A368" t="str" cm="1">
        <f t="array" ref="A368">IF(ISBLANK(INDEX(SampleList[ICP],ROW()-1)),"Not Requested",INDEX(SampleList[Experiment ID],ROW()-1))</f>
        <v>Not Requested</v>
      </c>
      <c r="B368">
        <f>Sampling!E366</f>
        <v>0</v>
      </c>
      <c r="E368" t="str">
        <f>ICPList[[#This Row],[Experiment ID]]&amp;"_Day"&amp;ICPList[[#This Row],[Duration (Days)]]&amp;"_"&amp;ICPList[[#This Row],[Dilution]]&amp;"x"</f>
        <v>Not Requested_Day0_x</v>
      </c>
      <c r="F368">
        <f>NMRResults[[#This Row],['#]]</f>
        <v>0</v>
      </c>
      <c r="G368" s="1">
        <f>NMRResults[[#This Row],[Date Run]]</f>
        <v>0</v>
      </c>
    </row>
    <row r="369" spans="1:7" hidden="1" x14ac:dyDescent="0.25">
      <c r="A369" t="str" cm="1">
        <f t="array" ref="A369">IF(ISBLANK(INDEX(SampleList[ICP],ROW()-1)),"Not Requested",INDEX(SampleList[Experiment ID],ROW()-1))</f>
        <v>Not Requested</v>
      </c>
      <c r="B369">
        <f>Sampling!E367</f>
        <v>0</v>
      </c>
      <c r="E369" t="str">
        <f>ICPList[[#This Row],[Experiment ID]]&amp;"_Day"&amp;ICPList[[#This Row],[Duration (Days)]]&amp;"_"&amp;ICPList[[#This Row],[Dilution]]&amp;"x"</f>
        <v>Not Requested_Day0_x</v>
      </c>
      <c r="F369">
        <f>NMRResults[[#This Row],['#]]</f>
        <v>0</v>
      </c>
      <c r="G369" s="1">
        <f>NMRResults[[#This Row],[Date Run]]</f>
        <v>0</v>
      </c>
    </row>
    <row r="370" spans="1:7" hidden="1" x14ac:dyDescent="0.25">
      <c r="A370" t="str" cm="1">
        <f t="array" ref="A370">IF(ISBLANK(INDEX(SampleList[ICP],ROW()-1)),"Not Requested",INDEX(SampleList[Experiment ID],ROW()-1))</f>
        <v>Not Requested</v>
      </c>
      <c r="B370">
        <f>Sampling!E368</f>
        <v>0</v>
      </c>
      <c r="E370" t="str">
        <f>ICPList[[#This Row],[Experiment ID]]&amp;"_Day"&amp;ICPList[[#This Row],[Duration (Days)]]&amp;"_"&amp;ICPList[[#This Row],[Dilution]]&amp;"x"</f>
        <v>Not Requested_Day0_x</v>
      </c>
      <c r="F370">
        <f>NMRResults[[#This Row],['#]]</f>
        <v>0</v>
      </c>
      <c r="G370" s="1">
        <f>NMRResults[[#This Row],[Date Run]]</f>
        <v>0</v>
      </c>
    </row>
    <row r="371" spans="1:7" hidden="1" x14ac:dyDescent="0.25">
      <c r="A371" t="str" cm="1">
        <f t="array" ref="A371">IF(ISBLANK(INDEX(SampleList[ICP],ROW()-1)),"Not Requested",INDEX(SampleList[Experiment ID],ROW()-1))</f>
        <v>Not Requested</v>
      </c>
      <c r="B371">
        <f>Sampling!E369</f>
        <v>0</v>
      </c>
      <c r="E371" t="str">
        <f>ICPList[[#This Row],[Experiment ID]]&amp;"_Day"&amp;ICPList[[#This Row],[Duration (Days)]]&amp;"_"&amp;ICPList[[#This Row],[Dilution]]&amp;"x"</f>
        <v>Not Requested_Day0_x</v>
      </c>
      <c r="F371">
        <f>NMRResults[[#This Row],['#]]</f>
        <v>0</v>
      </c>
      <c r="G371" s="1">
        <f>NMRResults[[#This Row],[Date Run]]</f>
        <v>0</v>
      </c>
    </row>
    <row r="372" spans="1:7" hidden="1" x14ac:dyDescent="0.25">
      <c r="A372" t="str" cm="1">
        <f t="array" ref="A372">IF(ISBLANK(INDEX(SampleList[ICP],ROW()-1)),"Not Requested",INDEX(SampleList[Experiment ID],ROW()-1))</f>
        <v>Not Requested</v>
      </c>
      <c r="B372">
        <f>Sampling!E370</f>
        <v>0</v>
      </c>
      <c r="E372" t="str">
        <f>ICPList[[#This Row],[Experiment ID]]&amp;"_Day"&amp;ICPList[[#This Row],[Duration (Days)]]&amp;"_"&amp;ICPList[[#This Row],[Dilution]]&amp;"x"</f>
        <v>Not Requested_Day0_x</v>
      </c>
      <c r="F372">
        <f>NMRResults[[#This Row],['#]]</f>
        <v>0</v>
      </c>
      <c r="G372" s="1">
        <f>NMRResults[[#This Row],[Date Run]]</f>
        <v>0</v>
      </c>
    </row>
    <row r="373" spans="1:7" hidden="1" x14ac:dyDescent="0.25">
      <c r="A373" t="str" cm="1">
        <f t="array" ref="A373">IF(ISBLANK(INDEX(SampleList[ICP],ROW()-1)),"Not Requested",INDEX(SampleList[Experiment ID],ROW()-1))</f>
        <v>Not Requested</v>
      </c>
      <c r="B373">
        <f>Sampling!E371</f>
        <v>0</v>
      </c>
      <c r="E373" t="str">
        <f>ICPList[[#This Row],[Experiment ID]]&amp;"_Day"&amp;ICPList[[#This Row],[Duration (Days)]]&amp;"_"&amp;ICPList[[#This Row],[Dilution]]&amp;"x"</f>
        <v>Not Requested_Day0_x</v>
      </c>
      <c r="F373">
        <f>NMRResults[[#This Row],['#]]</f>
        <v>0</v>
      </c>
      <c r="G373" s="1">
        <f>NMRResults[[#This Row],[Date Run]]</f>
        <v>0</v>
      </c>
    </row>
    <row r="374" spans="1:7" hidden="1" x14ac:dyDescent="0.25">
      <c r="A374" t="str" cm="1">
        <f t="array" ref="A374">IF(ISBLANK(INDEX(SampleList[ICP],ROW()-1)),"Not Requested",INDEX(SampleList[Experiment ID],ROW()-1))</f>
        <v>Not Requested</v>
      </c>
      <c r="B374">
        <f>Sampling!E372</f>
        <v>0</v>
      </c>
      <c r="E374" t="str">
        <f>ICPList[[#This Row],[Experiment ID]]&amp;"_Day"&amp;ICPList[[#This Row],[Duration (Days)]]&amp;"_"&amp;ICPList[[#This Row],[Dilution]]&amp;"x"</f>
        <v>Not Requested_Day0_x</v>
      </c>
      <c r="F374">
        <f>NMRResults[[#This Row],['#]]</f>
        <v>0</v>
      </c>
      <c r="G374" s="1">
        <f>NMRResults[[#This Row],[Date Run]]</f>
        <v>0</v>
      </c>
    </row>
    <row r="375" spans="1:7" hidden="1" x14ac:dyDescent="0.25">
      <c r="A375" t="str" cm="1">
        <f t="array" ref="A375">IF(ISBLANK(INDEX(SampleList[ICP],ROW()-1)),"Not Requested",INDEX(SampleList[Experiment ID],ROW()-1))</f>
        <v>Not Requested</v>
      </c>
      <c r="B375">
        <f>Sampling!E373</f>
        <v>0</v>
      </c>
      <c r="E375" t="str">
        <f>ICPList[[#This Row],[Experiment ID]]&amp;"_Day"&amp;ICPList[[#This Row],[Duration (Days)]]&amp;"_"&amp;ICPList[[#This Row],[Dilution]]&amp;"x"</f>
        <v>Not Requested_Day0_x</v>
      </c>
      <c r="F375">
        <f>NMRResults[[#This Row],['#]]</f>
        <v>0</v>
      </c>
      <c r="G375" s="1">
        <f>NMRResults[[#This Row],[Date Run]]</f>
        <v>0</v>
      </c>
    </row>
    <row r="376" spans="1:7" hidden="1" x14ac:dyDescent="0.25">
      <c r="A376" t="str" cm="1">
        <f t="array" ref="A376">IF(ISBLANK(INDEX(SampleList[ICP],ROW()-1)),"Not Requested",INDEX(SampleList[Experiment ID],ROW()-1))</f>
        <v>Not Requested</v>
      </c>
      <c r="B376">
        <f>Sampling!E374</f>
        <v>0</v>
      </c>
      <c r="E376" t="str">
        <f>ICPList[[#This Row],[Experiment ID]]&amp;"_Day"&amp;ICPList[[#This Row],[Duration (Days)]]&amp;"_"&amp;ICPList[[#This Row],[Dilution]]&amp;"x"</f>
        <v>Not Requested_Day0_x</v>
      </c>
      <c r="F376">
        <f>NMRResults[[#This Row],['#]]</f>
        <v>0</v>
      </c>
      <c r="G376" s="1">
        <f>NMRResults[[#This Row],[Date Run]]</f>
        <v>0</v>
      </c>
    </row>
    <row r="377" spans="1:7" hidden="1" x14ac:dyDescent="0.25">
      <c r="A377" t="str" cm="1">
        <f t="array" ref="A377">IF(ISBLANK(INDEX(SampleList[ICP],ROW()-1)),"Not Requested",INDEX(SampleList[Experiment ID],ROW()-1))</f>
        <v>Not Requested</v>
      </c>
      <c r="B377">
        <f>Sampling!E375</f>
        <v>0</v>
      </c>
      <c r="E377" t="str">
        <f>ICPList[[#This Row],[Experiment ID]]&amp;"_Day"&amp;ICPList[[#This Row],[Duration (Days)]]&amp;"_"&amp;ICPList[[#This Row],[Dilution]]&amp;"x"</f>
        <v>Not Requested_Day0_x</v>
      </c>
      <c r="F377">
        <f>NMRResults[[#This Row],['#]]</f>
        <v>0</v>
      </c>
      <c r="G377" s="1">
        <f>NMRResults[[#This Row],[Date Run]]</f>
        <v>0</v>
      </c>
    </row>
    <row r="378" spans="1:7" hidden="1" x14ac:dyDescent="0.25">
      <c r="A378" t="str" cm="1">
        <f t="array" ref="A378">IF(ISBLANK(INDEX(SampleList[ICP],ROW()-1)),"Not Requested",INDEX(SampleList[Experiment ID],ROW()-1))</f>
        <v>Not Requested</v>
      </c>
      <c r="B378">
        <f>Sampling!E376</f>
        <v>0</v>
      </c>
      <c r="E378" t="str">
        <f>ICPList[[#This Row],[Experiment ID]]&amp;"_Day"&amp;ICPList[[#This Row],[Duration (Days)]]&amp;"_"&amp;ICPList[[#This Row],[Dilution]]&amp;"x"</f>
        <v>Not Requested_Day0_x</v>
      </c>
      <c r="F378">
        <f>NMRResults[[#This Row],['#]]</f>
        <v>0</v>
      </c>
      <c r="G378" s="1">
        <f>NMRResults[[#This Row],[Date Run]]</f>
        <v>0</v>
      </c>
    </row>
    <row r="379" spans="1:7" hidden="1" x14ac:dyDescent="0.25">
      <c r="A379" t="str" cm="1">
        <f t="array" ref="A379">IF(ISBLANK(INDEX(SampleList[ICP],ROW()-1)),"Not Requested",INDEX(SampleList[Experiment ID],ROW()-1))</f>
        <v>Not Requested</v>
      </c>
      <c r="B379">
        <f>Sampling!E377</f>
        <v>0</v>
      </c>
      <c r="E379" t="str">
        <f>ICPList[[#This Row],[Experiment ID]]&amp;"_Day"&amp;ICPList[[#This Row],[Duration (Days)]]&amp;"_"&amp;ICPList[[#This Row],[Dilution]]&amp;"x"</f>
        <v>Not Requested_Day0_x</v>
      </c>
      <c r="F379">
        <f>NMRResults[[#This Row],['#]]</f>
        <v>0</v>
      </c>
      <c r="G379" s="1">
        <f>NMRResults[[#This Row],[Date Run]]</f>
        <v>0</v>
      </c>
    </row>
    <row r="380" spans="1:7" hidden="1" x14ac:dyDescent="0.25">
      <c r="A380" t="str" cm="1">
        <f t="array" ref="A380">IF(ISBLANK(INDEX(SampleList[ICP],ROW()-1)),"Not Requested",INDEX(SampleList[Experiment ID],ROW()-1))</f>
        <v>Not Requested</v>
      </c>
      <c r="B380">
        <f>Sampling!E378</f>
        <v>0</v>
      </c>
      <c r="E380" t="str">
        <f>ICPList[[#This Row],[Experiment ID]]&amp;"_Day"&amp;ICPList[[#This Row],[Duration (Days)]]&amp;"_"&amp;ICPList[[#This Row],[Dilution]]&amp;"x"</f>
        <v>Not Requested_Day0_x</v>
      </c>
      <c r="F380">
        <f>NMRResults[[#This Row],['#]]</f>
        <v>0</v>
      </c>
      <c r="G380" s="1">
        <f>NMRResults[[#This Row],[Date Run]]</f>
        <v>0</v>
      </c>
    </row>
    <row r="381" spans="1:7" hidden="1" x14ac:dyDescent="0.25">
      <c r="A381" t="str" cm="1">
        <f t="array" ref="A381">IF(ISBLANK(INDEX(SampleList[ICP],ROW()-1)),"Not Requested",INDEX(SampleList[Experiment ID],ROW()-1))</f>
        <v>Not Requested</v>
      </c>
      <c r="B381">
        <f>Sampling!E379</f>
        <v>0</v>
      </c>
      <c r="E381" t="str">
        <f>ICPList[[#This Row],[Experiment ID]]&amp;"_Day"&amp;ICPList[[#This Row],[Duration (Days)]]&amp;"_"&amp;ICPList[[#This Row],[Dilution]]&amp;"x"</f>
        <v>Not Requested_Day0_x</v>
      </c>
      <c r="F381">
        <f>NMRResults[[#This Row],['#]]</f>
        <v>0</v>
      </c>
      <c r="G381" s="1">
        <f>NMRResults[[#This Row],[Date Run]]</f>
        <v>0</v>
      </c>
    </row>
    <row r="382" spans="1:7" hidden="1" x14ac:dyDescent="0.25">
      <c r="A382" t="str" cm="1">
        <f t="array" ref="A382">IF(ISBLANK(INDEX(SampleList[ICP],ROW()-1)),"Not Requested",INDEX(SampleList[Experiment ID],ROW()-1))</f>
        <v>Not Requested</v>
      </c>
      <c r="B382">
        <f>Sampling!E380</f>
        <v>0</v>
      </c>
      <c r="E382" t="str">
        <f>ICPList[[#This Row],[Experiment ID]]&amp;"_Day"&amp;ICPList[[#This Row],[Duration (Days)]]&amp;"_"&amp;ICPList[[#This Row],[Dilution]]&amp;"x"</f>
        <v>Not Requested_Day0_x</v>
      </c>
      <c r="F382">
        <f>NMRResults[[#This Row],['#]]</f>
        <v>0</v>
      </c>
      <c r="G382" s="1">
        <f>NMRResults[[#This Row],[Date Run]]</f>
        <v>0</v>
      </c>
    </row>
    <row r="383" spans="1:7" hidden="1" x14ac:dyDescent="0.25">
      <c r="A383" t="str" cm="1">
        <f t="array" ref="A383">IF(ISBLANK(INDEX(SampleList[ICP],ROW()-1)),"Not Requested",INDEX(SampleList[Experiment ID],ROW()-1))</f>
        <v>Not Requested</v>
      </c>
      <c r="B383">
        <f>Sampling!E381</f>
        <v>0</v>
      </c>
      <c r="E383" t="str">
        <f>ICPList[[#This Row],[Experiment ID]]&amp;"_Day"&amp;ICPList[[#This Row],[Duration (Days)]]&amp;"_"&amp;ICPList[[#This Row],[Dilution]]&amp;"x"</f>
        <v>Not Requested_Day0_x</v>
      </c>
      <c r="F383">
        <f>NMRResults[[#This Row],['#]]</f>
        <v>0</v>
      </c>
      <c r="G383" s="1">
        <f>NMRResults[[#This Row],[Date Run]]</f>
        <v>0</v>
      </c>
    </row>
    <row r="384" spans="1:7" hidden="1" x14ac:dyDescent="0.25">
      <c r="A384" t="str" cm="1">
        <f t="array" ref="A384">IF(ISBLANK(INDEX(SampleList[ICP],ROW()-1)),"Not Requested",INDEX(SampleList[Experiment ID],ROW()-1))</f>
        <v>Not Requested</v>
      </c>
      <c r="B384">
        <f>Sampling!E382</f>
        <v>0</v>
      </c>
      <c r="E384" t="str">
        <f>ICPList[[#This Row],[Experiment ID]]&amp;"_Day"&amp;ICPList[[#This Row],[Duration (Days)]]&amp;"_"&amp;ICPList[[#This Row],[Dilution]]&amp;"x"</f>
        <v>Not Requested_Day0_x</v>
      </c>
      <c r="F384">
        <f>NMRResults[[#This Row],['#]]</f>
        <v>0</v>
      </c>
      <c r="G384" s="1">
        <f>NMRResults[[#This Row],[Date Run]]</f>
        <v>0</v>
      </c>
    </row>
    <row r="385" spans="1:7" hidden="1" x14ac:dyDescent="0.25">
      <c r="A385" t="str" cm="1">
        <f t="array" ref="A385">IF(ISBLANK(INDEX(SampleList[ICP],ROW()-1)),"Not Requested",INDEX(SampleList[Experiment ID],ROW()-1))</f>
        <v>Not Requested</v>
      </c>
      <c r="B385">
        <f>Sampling!E383</f>
        <v>0</v>
      </c>
      <c r="E385" t="str">
        <f>ICPList[[#This Row],[Experiment ID]]&amp;"_Day"&amp;ICPList[[#This Row],[Duration (Days)]]&amp;"_"&amp;ICPList[[#This Row],[Dilution]]&amp;"x"</f>
        <v>Not Requested_Day0_x</v>
      </c>
      <c r="F385">
        <f>NMRResults[[#This Row],['#]]</f>
        <v>0</v>
      </c>
      <c r="G385" s="1">
        <f>NMRResults[[#This Row],[Date Run]]</f>
        <v>0</v>
      </c>
    </row>
    <row r="386" spans="1:7" hidden="1" x14ac:dyDescent="0.25">
      <c r="A386" t="str" cm="1">
        <f t="array" ref="A386">IF(ISBLANK(INDEX(SampleList[ICP],ROW()-1)),"Not Requested",INDEX(SampleList[Experiment ID],ROW()-1))</f>
        <v>Not Requested</v>
      </c>
      <c r="B386">
        <f>Sampling!E384</f>
        <v>0</v>
      </c>
      <c r="E386" t="str">
        <f>ICPList[[#This Row],[Experiment ID]]&amp;"_Day"&amp;ICPList[[#This Row],[Duration (Days)]]&amp;"_"&amp;ICPList[[#This Row],[Dilution]]&amp;"x"</f>
        <v>Not Requested_Day0_x</v>
      </c>
      <c r="F386">
        <f>NMRResults[[#This Row],['#]]</f>
        <v>0</v>
      </c>
      <c r="G386" s="1">
        <f>NMRResults[[#This Row],[Date Run]]</f>
        <v>0</v>
      </c>
    </row>
    <row r="387" spans="1:7" hidden="1" x14ac:dyDescent="0.25">
      <c r="A387" t="str" cm="1">
        <f t="array" ref="A387">IF(ISBLANK(INDEX(SampleList[ICP],ROW()-1)),"Not Requested",INDEX(SampleList[Experiment ID],ROW()-1))</f>
        <v>Not Requested</v>
      </c>
      <c r="B387">
        <f>Sampling!E385</f>
        <v>0</v>
      </c>
      <c r="E387" t="str">
        <f>ICPList[[#This Row],[Experiment ID]]&amp;"_Day"&amp;ICPList[[#This Row],[Duration (Days)]]&amp;"_"&amp;ICPList[[#This Row],[Dilution]]&amp;"x"</f>
        <v>Not Requested_Day0_x</v>
      </c>
      <c r="F387">
        <f>NMRResults[[#This Row],['#]]</f>
        <v>0</v>
      </c>
      <c r="G387" s="1">
        <f>NMRResults[[#This Row],[Date Run]]</f>
        <v>0</v>
      </c>
    </row>
    <row r="388" spans="1:7" hidden="1" x14ac:dyDescent="0.25">
      <c r="A388" t="str" cm="1">
        <f t="array" ref="A388">IF(ISBLANK(INDEX(SampleList[ICP],ROW()-1)),"Not Requested",INDEX(SampleList[Experiment ID],ROW()-1))</f>
        <v>Not Requested</v>
      </c>
      <c r="B388">
        <f>Sampling!E386</f>
        <v>0</v>
      </c>
      <c r="E388" t="str">
        <f>ICPList[[#This Row],[Experiment ID]]&amp;"_Day"&amp;ICPList[[#This Row],[Duration (Days)]]&amp;"_"&amp;ICPList[[#This Row],[Dilution]]&amp;"x"</f>
        <v>Not Requested_Day0_x</v>
      </c>
      <c r="F388">
        <f>NMRResults[[#This Row],['#]]</f>
        <v>0</v>
      </c>
      <c r="G388" s="1">
        <f>NMRResults[[#This Row],[Date Run]]</f>
        <v>0</v>
      </c>
    </row>
    <row r="389" spans="1:7" hidden="1" x14ac:dyDescent="0.25">
      <c r="A389" t="str" cm="1">
        <f t="array" ref="A389">IF(ISBLANK(INDEX(SampleList[ICP],ROW()-1)),"Not Requested",INDEX(SampleList[Experiment ID],ROW()-1))</f>
        <v>Not Requested</v>
      </c>
      <c r="B389">
        <f>Sampling!E387</f>
        <v>0</v>
      </c>
      <c r="E389" t="str">
        <f>ICPList[[#This Row],[Experiment ID]]&amp;"_Day"&amp;ICPList[[#This Row],[Duration (Days)]]&amp;"_"&amp;ICPList[[#This Row],[Dilution]]&amp;"x"</f>
        <v>Not Requested_Day0_x</v>
      </c>
      <c r="F389">
        <f>NMRResults[[#This Row],['#]]</f>
        <v>0</v>
      </c>
      <c r="G389" s="1">
        <f>NMRResults[[#This Row],[Date Run]]</f>
        <v>0</v>
      </c>
    </row>
    <row r="390" spans="1:7" hidden="1" x14ac:dyDescent="0.25">
      <c r="A390" t="str" cm="1">
        <f t="array" ref="A390">IF(ISBLANK(INDEX(SampleList[ICP],ROW()-1)),"Not Requested",INDEX(SampleList[Experiment ID],ROW()-1))</f>
        <v>Not Requested</v>
      </c>
      <c r="B390">
        <f>Sampling!E388</f>
        <v>0</v>
      </c>
      <c r="E390" t="str">
        <f>ICPList[[#This Row],[Experiment ID]]&amp;"_Day"&amp;ICPList[[#This Row],[Duration (Days)]]&amp;"_"&amp;ICPList[[#This Row],[Dilution]]&amp;"x"</f>
        <v>Not Requested_Day0_x</v>
      </c>
      <c r="F390">
        <f>NMRResults[[#This Row],['#]]</f>
        <v>0</v>
      </c>
      <c r="G390" s="1">
        <f>NMRResults[[#This Row],[Date Run]]</f>
        <v>0</v>
      </c>
    </row>
    <row r="391" spans="1:7" hidden="1" x14ac:dyDescent="0.25">
      <c r="A391" t="str" cm="1">
        <f t="array" ref="A391">IF(ISBLANK(INDEX(SampleList[ICP],ROW()-1)),"Not Requested",INDEX(SampleList[Experiment ID],ROW()-1))</f>
        <v>Not Requested</v>
      </c>
      <c r="B391">
        <f>Sampling!E389</f>
        <v>0</v>
      </c>
      <c r="E391" t="str">
        <f>ICPList[[#This Row],[Experiment ID]]&amp;"_Day"&amp;ICPList[[#This Row],[Duration (Days)]]&amp;"_"&amp;ICPList[[#This Row],[Dilution]]&amp;"x"</f>
        <v>Not Requested_Day0_x</v>
      </c>
      <c r="F391">
        <f>NMRResults[[#This Row],['#]]</f>
        <v>0</v>
      </c>
      <c r="G391" s="1">
        <f>NMRResults[[#This Row],[Date Run]]</f>
        <v>0</v>
      </c>
    </row>
    <row r="392" spans="1:7" hidden="1" x14ac:dyDescent="0.25">
      <c r="A392" t="str" cm="1">
        <f t="array" ref="A392">IF(ISBLANK(INDEX(SampleList[ICP],ROW()-1)),"Not Requested",INDEX(SampleList[Experiment ID],ROW()-1))</f>
        <v>Not Requested</v>
      </c>
      <c r="B392">
        <f>Sampling!E390</f>
        <v>0</v>
      </c>
      <c r="E392" t="str">
        <f>ICPList[[#This Row],[Experiment ID]]&amp;"_Day"&amp;ICPList[[#This Row],[Duration (Days)]]&amp;"_"&amp;ICPList[[#This Row],[Dilution]]&amp;"x"</f>
        <v>Not Requested_Day0_x</v>
      </c>
      <c r="F392">
        <f>NMRResults[[#This Row],['#]]</f>
        <v>0</v>
      </c>
      <c r="G392" s="1">
        <f>NMRResults[[#This Row],[Date Run]]</f>
        <v>0</v>
      </c>
    </row>
    <row r="393" spans="1:7" hidden="1" x14ac:dyDescent="0.25">
      <c r="A393" t="str" cm="1">
        <f t="array" ref="A393">IF(ISBLANK(INDEX(SampleList[ICP],ROW()-1)),"Not Requested",INDEX(SampleList[Experiment ID],ROW()-1))</f>
        <v>Not Requested</v>
      </c>
      <c r="B393">
        <f>Sampling!E391</f>
        <v>0</v>
      </c>
      <c r="E393" t="str">
        <f>ICPList[[#This Row],[Experiment ID]]&amp;"_Day"&amp;ICPList[[#This Row],[Duration (Days)]]&amp;"_"&amp;ICPList[[#This Row],[Dilution]]&amp;"x"</f>
        <v>Not Requested_Day0_x</v>
      </c>
      <c r="F393">
        <f>NMRResults[[#This Row],['#]]</f>
        <v>0</v>
      </c>
      <c r="G393" s="1">
        <f>NMRResults[[#This Row],[Date Run]]</f>
        <v>0</v>
      </c>
    </row>
    <row r="394" spans="1:7" hidden="1" x14ac:dyDescent="0.25">
      <c r="A394" t="str" cm="1">
        <f t="array" ref="A394">IF(ISBLANK(INDEX(SampleList[ICP],ROW()-1)),"Not Requested",INDEX(SampleList[Experiment ID],ROW()-1))</f>
        <v>Not Requested</v>
      </c>
      <c r="B394">
        <f>Sampling!E392</f>
        <v>0</v>
      </c>
      <c r="E394" t="str">
        <f>ICPList[[#This Row],[Experiment ID]]&amp;"_Day"&amp;ICPList[[#This Row],[Duration (Days)]]&amp;"_"&amp;ICPList[[#This Row],[Dilution]]&amp;"x"</f>
        <v>Not Requested_Day0_x</v>
      </c>
      <c r="F394">
        <f>NMRResults[[#This Row],['#]]</f>
        <v>0</v>
      </c>
      <c r="G394" s="1">
        <f>NMRResults[[#This Row],[Date Run]]</f>
        <v>0</v>
      </c>
    </row>
    <row r="395" spans="1:7" hidden="1" x14ac:dyDescent="0.25">
      <c r="A395" t="str" cm="1">
        <f t="array" ref="A395">IF(ISBLANK(INDEX(SampleList[ICP],ROW()-1)),"Not Requested",INDEX(SampleList[Experiment ID],ROW()-1))</f>
        <v>Not Requested</v>
      </c>
      <c r="B395">
        <f>Sampling!E393</f>
        <v>0</v>
      </c>
      <c r="E395" t="str">
        <f>ICPList[[#This Row],[Experiment ID]]&amp;"_Day"&amp;ICPList[[#This Row],[Duration (Days)]]&amp;"_"&amp;ICPList[[#This Row],[Dilution]]&amp;"x"</f>
        <v>Not Requested_Day0_x</v>
      </c>
      <c r="F395">
        <f>NMRResults[[#This Row],['#]]</f>
        <v>0</v>
      </c>
      <c r="G395" s="1">
        <f>NMRResults[[#This Row],[Date Run]]</f>
        <v>0</v>
      </c>
    </row>
    <row r="396" spans="1:7" hidden="1" x14ac:dyDescent="0.25">
      <c r="A396" t="str" cm="1">
        <f t="array" ref="A396">IF(ISBLANK(INDEX(SampleList[ICP],ROW()-1)),"Not Requested",INDEX(SampleList[Experiment ID],ROW()-1))</f>
        <v>Not Requested</v>
      </c>
      <c r="B396">
        <f>Sampling!E394</f>
        <v>0</v>
      </c>
      <c r="E396" t="str">
        <f>ICPList[[#This Row],[Experiment ID]]&amp;"_Day"&amp;ICPList[[#This Row],[Duration (Days)]]&amp;"_"&amp;ICPList[[#This Row],[Dilution]]&amp;"x"</f>
        <v>Not Requested_Day0_x</v>
      </c>
      <c r="F396">
        <f>NMRResults[[#This Row],['#]]</f>
        <v>0</v>
      </c>
      <c r="G396" s="1">
        <f>NMRResults[[#This Row],[Date Run]]</f>
        <v>0</v>
      </c>
    </row>
    <row r="397" spans="1:7" hidden="1" x14ac:dyDescent="0.25">
      <c r="A397" t="str" cm="1">
        <f t="array" ref="A397">IF(ISBLANK(INDEX(SampleList[ICP],ROW()-1)),"Not Requested",INDEX(SampleList[Experiment ID],ROW()-1))</f>
        <v>Not Requested</v>
      </c>
      <c r="B397">
        <f>Sampling!E395</f>
        <v>0</v>
      </c>
      <c r="E397" t="str">
        <f>ICPList[[#This Row],[Experiment ID]]&amp;"_Day"&amp;ICPList[[#This Row],[Duration (Days)]]&amp;"_"&amp;ICPList[[#This Row],[Dilution]]&amp;"x"</f>
        <v>Not Requested_Day0_x</v>
      </c>
      <c r="F397">
        <f>NMRResults[[#This Row],['#]]</f>
        <v>0</v>
      </c>
      <c r="G397" s="1">
        <f>NMRResults[[#This Row],[Date Run]]</f>
        <v>0</v>
      </c>
    </row>
    <row r="398" spans="1:7" hidden="1" x14ac:dyDescent="0.25">
      <c r="A398" t="str" cm="1">
        <f t="array" ref="A398">IF(ISBLANK(INDEX(SampleList[ICP],ROW()-1)),"Not Requested",INDEX(SampleList[Experiment ID],ROW()-1))</f>
        <v>Not Requested</v>
      </c>
      <c r="B398">
        <f>Sampling!E396</f>
        <v>0</v>
      </c>
      <c r="E398" t="str">
        <f>ICPList[[#This Row],[Experiment ID]]&amp;"_Day"&amp;ICPList[[#This Row],[Duration (Days)]]&amp;"_"&amp;ICPList[[#This Row],[Dilution]]&amp;"x"</f>
        <v>Not Requested_Day0_x</v>
      </c>
      <c r="F398">
        <f>NMRResults[[#This Row],['#]]</f>
        <v>0</v>
      </c>
      <c r="G398" s="1">
        <f>NMRResults[[#This Row],[Date Run]]</f>
        <v>0</v>
      </c>
    </row>
    <row r="399" spans="1:7" hidden="1" x14ac:dyDescent="0.25">
      <c r="A399" t="str" cm="1">
        <f t="array" ref="A399">IF(ISBLANK(INDEX(SampleList[ICP],ROW()-1)),"Not Requested",INDEX(SampleList[Experiment ID],ROW()-1))</f>
        <v>Not Requested</v>
      </c>
      <c r="B399">
        <f>Sampling!E397</f>
        <v>0</v>
      </c>
      <c r="E399" t="str">
        <f>ICPList[[#This Row],[Experiment ID]]&amp;"_Day"&amp;ICPList[[#This Row],[Duration (Days)]]&amp;"_"&amp;ICPList[[#This Row],[Dilution]]&amp;"x"</f>
        <v>Not Requested_Day0_x</v>
      </c>
      <c r="F399">
        <f>NMRResults[[#This Row],['#]]</f>
        <v>0</v>
      </c>
      <c r="G399" s="1">
        <f>NMRResults[[#This Row],[Date Run]]</f>
        <v>0</v>
      </c>
    </row>
    <row r="400" spans="1:7" hidden="1" x14ac:dyDescent="0.25">
      <c r="A400" t="str" cm="1">
        <f t="array" ref="A400">IF(ISBLANK(INDEX(SampleList[ICP],ROW()-1)),"Not Requested",INDEX(SampleList[Experiment ID],ROW()-1))</f>
        <v>Not Requested</v>
      </c>
      <c r="B400">
        <f>Sampling!E398</f>
        <v>0</v>
      </c>
      <c r="E400" t="str">
        <f>ICPList[[#This Row],[Experiment ID]]&amp;"_Day"&amp;ICPList[[#This Row],[Duration (Days)]]&amp;"_"&amp;ICPList[[#This Row],[Dilution]]&amp;"x"</f>
        <v>Not Requested_Day0_x</v>
      </c>
      <c r="F400">
        <f>NMRResults[[#This Row],['#]]</f>
        <v>0</v>
      </c>
      <c r="G400" s="1">
        <f>NMRResults[[#This Row],[Date Run]]</f>
        <v>0</v>
      </c>
    </row>
    <row r="401" spans="1:7" hidden="1" x14ac:dyDescent="0.25">
      <c r="A401" t="str" cm="1">
        <f t="array" ref="A401">IF(ISBLANK(INDEX(SampleList[ICP],ROW()-1)),"Not Requested",INDEX(SampleList[Experiment ID],ROW()-1))</f>
        <v>Not Requested</v>
      </c>
      <c r="B401">
        <f>Sampling!E399</f>
        <v>0</v>
      </c>
      <c r="E401" t="str">
        <f>ICPList[[#This Row],[Experiment ID]]&amp;"_Day"&amp;ICPList[[#This Row],[Duration (Days)]]&amp;"_"&amp;ICPList[[#This Row],[Dilution]]&amp;"x"</f>
        <v>Not Requested_Day0_x</v>
      </c>
      <c r="F401">
        <f>NMRResults[[#This Row],['#]]</f>
        <v>0</v>
      </c>
      <c r="G401" s="1">
        <f>NMRResults[[#This Row],[Date Run]]</f>
        <v>0</v>
      </c>
    </row>
    <row r="402" spans="1:7" hidden="1" x14ac:dyDescent="0.25">
      <c r="A402" t="str" cm="1">
        <f t="array" ref="A402">IF(ISBLANK(INDEX(SampleList[ICP],ROW()-1)),"Not Requested",INDEX(SampleList[Experiment ID],ROW()-1))</f>
        <v>Not Requested</v>
      </c>
      <c r="B402">
        <f>Sampling!E400</f>
        <v>0</v>
      </c>
      <c r="E402" t="str">
        <f>ICPList[[#This Row],[Experiment ID]]&amp;"_Day"&amp;ICPList[[#This Row],[Duration (Days)]]&amp;"_"&amp;ICPList[[#This Row],[Dilution]]&amp;"x"</f>
        <v>Not Requested_Day0_x</v>
      </c>
      <c r="F402">
        <f>NMRResults[[#This Row],['#]]</f>
        <v>0</v>
      </c>
      <c r="G402" s="1">
        <f>NMRResults[[#This Row],[Date Run]]</f>
        <v>0</v>
      </c>
    </row>
    <row r="403" spans="1:7" hidden="1" x14ac:dyDescent="0.25">
      <c r="A403" t="str" cm="1">
        <f t="array" ref="A403">IF(ISBLANK(INDEX(SampleList[ICP],ROW()-1)),"Not Requested",INDEX(SampleList[Experiment ID],ROW()-1))</f>
        <v>Not Requested</v>
      </c>
      <c r="B403">
        <f>Sampling!E401</f>
        <v>0</v>
      </c>
      <c r="E403" t="str">
        <f>ICPList[[#This Row],[Experiment ID]]&amp;"_Day"&amp;ICPList[[#This Row],[Duration (Days)]]&amp;"_"&amp;ICPList[[#This Row],[Dilution]]&amp;"x"</f>
        <v>Not Requested_Day0_x</v>
      </c>
      <c r="F403">
        <f>NMRResults[[#This Row],['#]]</f>
        <v>0</v>
      </c>
      <c r="G403" s="1">
        <f>NMRResults[[#This Row],[Date Run]]</f>
        <v>0</v>
      </c>
    </row>
    <row r="404" spans="1:7" hidden="1" x14ac:dyDescent="0.25">
      <c r="A404" t="str" cm="1">
        <f t="array" ref="A404">IF(ISBLANK(INDEX(SampleList[ICP],ROW()-1)),"Not Requested",INDEX(SampleList[Experiment ID],ROW()-1))</f>
        <v>Not Requested</v>
      </c>
      <c r="B404">
        <f>Sampling!E402</f>
        <v>0</v>
      </c>
      <c r="E404" t="str">
        <f>ICPList[[#This Row],[Experiment ID]]&amp;"_Day"&amp;ICPList[[#This Row],[Duration (Days)]]&amp;"_"&amp;ICPList[[#This Row],[Dilution]]&amp;"x"</f>
        <v>Not Requested_Day0_x</v>
      </c>
      <c r="F404">
        <f>NMRResults[[#This Row],['#]]</f>
        <v>0</v>
      </c>
      <c r="G404" s="1">
        <f>NMRResults[[#This Row],[Date Run]]</f>
        <v>0</v>
      </c>
    </row>
    <row r="405" spans="1:7" hidden="1" x14ac:dyDescent="0.25">
      <c r="A405" t="str" cm="1">
        <f t="array" ref="A405">IF(ISBLANK(INDEX(SampleList[ICP],ROW()-1)),"Not Requested",INDEX(SampleList[Experiment ID],ROW()-1))</f>
        <v>Not Requested</v>
      </c>
      <c r="B405">
        <f>Sampling!E403</f>
        <v>0</v>
      </c>
      <c r="E405" t="str">
        <f>ICPList[[#This Row],[Experiment ID]]&amp;"_Day"&amp;ICPList[[#This Row],[Duration (Days)]]&amp;"_"&amp;ICPList[[#This Row],[Dilution]]&amp;"x"</f>
        <v>Not Requested_Day0_x</v>
      </c>
      <c r="F405">
        <f>NMRResults[[#This Row],['#]]</f>
        <v>0</v>
      </c>
      <c r="G405" s="1">
        <f>NMRResults[[#This Row],[Date Run]]</f>
        <v>0</v>
      </c>
    </row>
    <row r="406" spans="1:7" hidden="1" x14ac:dyDescent="0.25">
      <c r="A406" t="str" cm="1">
        <f t="array" ref="A406">IF(ISBLANK(INDEX(SampleList[ICP],ROW()-1)),"Not Requested",INDEX(SampleList[Experiment ID],ROW()-1))</f>
        <v>Not Requested</v>
      </c>
      <c r="B406">
        <f>Sampling!E404</f>
        <v>0</v>
      </c>
      <c r="E406" t="str">
        <f>ICPList[[#This Row],[Experiment ID]]&amp;"_Day"&amp;ICPList[[#This Row],[Duration (Days)]]&amp;"_"&amp;ICPList[[#This Row],[Dilution]]&amp;"x"</f>
        <v>Not Requested_Day0_x</v>
      </c>
      <c r="F406">
        <f>NMRResults[[#This Row],['#]]</f>
        <v>0</v>
      </c>
      <c r="G406" s="1">
        <f>NMRResults[[#This Row],[Date Run]]</f>
        <v>0</v>
      </c>
    </row>
    <row r="407" spans="1:7" hidden="1" x14ac:dyDescent="0.25">
      <c r="A407" t="str" cm="1">
        <f t="array" ref="A407">IF(ISBLANK(INDEX(SampleList[ICP],ROW()-1)),"Not Requested",INDEX(SampleList[Experiment ID],ROW()-1))</f>
        <v>Not Requested</v>
      </c>
      <c r="B407">
        <f>Sampling!E405</f>
        <v>0</v>
      </c>
      <c r="E407" t="str">
        <f>ICPList[[#This Row],[Experiment ID]]&amp;"_Day"&amp;ICPList[[#This Row],[Duration (Days)]]&amp;"_"&amp;ICPList[[#This Row],[Dilution]]&amp;"x"</f>
        <v>Not Requested_Day0_x</v>
      </c>
      <c r="F407">
        <f>NMRResults[[#This Row],['#]]</f>
        <v>0</v>
      </c>
      <c r="G407" s="1">
        <f>NMRResults[[#This Row],[Date Run]]</f>
        <v>0</v>
      </c>
    </row>
    <row r="408" spans="1:7" hidden="1" x14ac:dyDescent="0.25">
      <c r="A408" t="str" cm="1">
        <f t="array" ref="A408">IF(ISBLANK(INDEX(SampleList[ICP],ROW()-1)),"Not Requested",INDEX(SampleList[Experiment ID],ROW()-1))</f>
        <v>Not Requested</v>
      </c>
      <c r="B408">
        <f>Sampling!E406</f>
        <v>0</v>
      </c>
      <c r="E408" t="str">
        <f>ICPList[[#This Row],[Experiment ID]]&amp;"_Day"&amp;ICPList[[#This Row],[Duration (Days)]]&amp;"_"&amp;ICPList[[#This Row],[Dilution]]&amp;"x"</f>
        <v>Not Requested_Day0_x</v>
      </c>
      <c r="F408">
        <f>NMRResults[[#This Row],['#]]</f>
        <v>0</v>
      </c>
      <c r="G408" s="1">
        <f>NMRResults[[#This Row],[Date Run]]</f>
        <v>0</v>
      </c>
    </row>
    <row r="409" spans="1:7" hidden="1" x14ac:dyDescent="0.25">
      <c r="A409" t="str" cm="1">
        <f t="array" ref="A409">IF(ISBLANK(INDEX(SampleList[ICP],ROW()-1)),"Not Requested",INDEX(SampleList[Experiment ID],ROW()-1))</f>
        <v>Not Requested</v>
      </c>
      <c r="B409">
        <f>Sampling!E407</f>
        <v>0</v>
      </c>
      <c r="E409" t="str">
        <f>ICPList[[#This Row],[Experiment ID]]&amp;"_Day"&amp;ICPList[[#This Row],[Duration (Days)]]&amp;"_"&amp;ICPList[[#This Row],[Dilution]]&amp;"x"</f>
        <v>Not Requested_Day0_x</v>
      </c>
      <c r="F409">
        <f>NMRResults[[#This Row],['#]]</f>
        <v>0</v>
      </c>
      <c r="G409" s="1">
        <f>NMRResults[[#This Row],[Date Run]]</f>
        <v>0</v>
      </c>
    </row>
    <row r="410" spans="1:7" hidden="1" x14ac:dyDescent="0.25">
      <c r="A410" t="str" cm="1">
        <f t="array" ref="A410">IF(ISBLANK(INDEX(SampleList[ICP],ROW()-1)),"Not Requested",INDEX(SampleList[Experiment ID],ROW()-1))</f>
        <v>Not Requested</v>
      </c>
      <c r="B410">
        <f>Sampling!E408</f>
        <v>0</v>
      </c>
      <c r="E410" t="str">
        <f>ICPList[[#This Row],[Experiment ID]]&amp;"_Day"&amp;ICPList[[#This Row],[Duration (Days)]]&amp;"_"&amp;ICPList[[#This Row],[Dilution]]&amp;"x"</f>
        <v>Not Requested_Day0_x</v>
      </c>
      <c r="F410">
        <f>NMRResults[[#This Row],['#]]</f>
        <v>0</v>
      </c>
      <c r="G410" s="1">
        <f>NMRResults[[#This Row],[Date Run]]</f>
        <v>0</v>
      </c>
    </row>
    <row r="411" spans="1:7" hidden="1" x14ac:dyDescent="0.25">
      <c r="A411" t="str" cm="1">
        <f t="array" ref="A411">IF(ISBLANK(INDEX(SampleList[ICP],ROW()-1)),"Not Requested",INDEX(SampleList[Experiment ID],ROW()-1))</f>
        <v>Not Requested</v>
      </c>
      <c r="B411">
        <f>Sampling!E409</f>
        <v>0</v>
      </c>
      <c r="E411" t="str">
        <f>ICPList[[#This Row],[Experiment ID]]&amp;"_Day"&amp;ICPList[[#This Row],[Duration (Days)]]&amp;"_"&amp;ICPList[[#This Row],[Dilution]]&amp;"x"</f>
        <v>Not Requested_Day0_x</v>
      </c>
      <c r="F411">
        <f>NMRResults[[#This Row],['#]]</f>
        <v>0</v>
      </c>
      <c r="G411" s="1">
        <f>NMRResults[[#This Row],[Date Run]]</f>
        <v>0</v>
      </c>
    </row>
    <row r="412" spans="1:7" hidden="1" x14ac:dyDescent="0.25">
      <c r="A412" t="str" cm="1">
        <f t="array" ref="A412">IF(ISBLANK(INDEX(SampleList[ICP],ROW()-1)),"Not Requested",INDEX(SampleList[Experiment ID],ROW()-1))</f>
        <v>Not Requested</v>
      </c>
      <c r="B412">
        <f>Sampling!E410</f>
        <v>0</v>
      </c>
      <c r="E412" t="str">
        <f>ICPList[[#This Row],[Experiment ID]]&amp;"_Day"&amp;ICPList[[#This Row],[Duration (Days)]]&amp;"_"&amp;ICPList[[#This Row],[Dilution]]&amp;"x"</f>
        <v>Not Requested_Day0_x</v>
      </c>
      <c r="F412">
        <f>NMRResults[[#This Row],['#]]</f>
        <v>0</v>
      </c>
      <c r="G412" s="1">
        <f>NMRResults[[#This Row],[Date Run]]</f>
        <v>0</v>
      </c>
    </row>
    <row r="413" spans="1:7" hidden="1" x14ac:dyDescent="0.25">
      <c r="A413" t="str" cm="1">
        <f t="array" ref="A413">IF(ISBLANK(INDEX(SampleList[ICP],ROW()-1)),"Not Requested",INDEX(SampleList[Experiment ID],ROW()-1))</f>
        <v>Not Requested</v>
      </c>
      <c r="B413">
        <f>Sampling!E411</f>
        <v>0</v>
      </c>
      <c r="E413" t="str">
        <f>ICPList[[#This Row],[Experiment ID]]&amp;"_Day"&amp;ICPList[[#This Row],[Duration (Days)]]&amp;"_"&amp;ICPList[[#This Row],[Dilution]]&amp;"x"</f>
        <v>Not Requested_Day0_x</v>
      </c>
      <c r="F413">
        <f>NMRResults[[#This Row],['#]]</f>
        <v>0</v>
      </c>
      <c r="G413" s="1">
        <f>NMRResults[[#This Row],[Date Run]]</f>
        <v>0</v>
      </c>
    </row>
    <row r="414" spans="1:7" hidden="1" x14ac:dyDescent="0.25">
      <c r="A414" t="str" cm="1">
        <f t="array" ref="A414">IF(ISBLANK(INDEX(SampleList[ICP],ROW()-1)),"Not Requested",INDEX(SampleList[Experiment ID],ROW()-1))</f>
        <v>Not Requested</v>
      </c>
      <c r="B414">
        <f>Sampling!E412</f>
        <v>0</v>
      </c>
      <c r="E414" t="str">
        <f>ICPList[[#This Row],[Experiment ID]]&amp;"_Day"&amp;ICPList[[#This Row],[Duration (Days)]]&amp;"_"&amp;ICPList[[#This Row],[Dilution]]&amp;"x"</f>
        <v>Not Requested_Day0_x</v>
      </c>
      <c r="F414">
        <f>NMRResults[[#This Row],['#]]</f>
        <v>0</v>
      </c>
      <c r="G414" s="1">
        <f>NMRResults[[#This Row],[Date Run]]</f>
        <v>0</v>
      </c>
    </row>
    <row r="415" spans="1:7" hidden="1" x14ac:dyDescent="0.25">
      <c r="A415" t="str" cm="1">
        <f t="array" ref="A415">IF(ISBLANK(INDEX(SampleList[ICP],ROW()-1)),"Not Requested",INDEX(SampleList[Experiment ID],ROW()-1))</f>
        <v>Not Requested</v>
      </c>
      <c r="B415">
        <f>Sampling!E413</f>
        <v>0</v>
      </c>
      <c r="E415" t="str">
        <f>ICPList[[#This Row],[Experiment ID]]&amp;"_Day"&amp;ICPList[[#This Row],[Duration (Days)]]&amp;"_"&amp;ICPList[[#This Row],[Dilution]]&amp;"x"</f>
        <v>Not Requested_Day0_x</v>
      </c>
      <c r="F415">
        <f>NMRResults[[#This Row],['#]]</f>
        <v>0</v>
      </c>
      <c r="G415" s="1">
        <f>NMRResults[[#This Row],[Date Run]]</f>
        <v>0</v>
      </c>
    </row>
    <row r="416" spans="1:7" hidden="1" x14ac:dyDescent="0.25">
      <c r="A416" t="str" cm="1">
        <f t="array" ref="A416">IF(ISBLANK(INDEX(SampleList[ICP],ROW()-1)),"Not Requested",INDEX(SampleList[Experiment ID],ROW()-1))</f>
        <v>Not Requested</v>
      </c>
      <c r="B416">
        <f>Sampling!E414</f>
        <v>0</v>
      </c>
      <c r="E416" t="str">
        <f>ICPList[[#This Row],[Experiment ID]]&amp;"_Day"&amp;ICPList[[#This Row],[Duration (Days)]]&amp;"_"&amp;ICPList[[#This Row],[Dilution]]&amp;"x"</f>
        <v>Not Requested_Day0_x</v>
      </c>
      <c r="F416">
        <f>NMRResults[[#This Row],['#]]</f>
        <v>0</v>
      </c>
      <c r="G416" s="1">
        <f>NMRResults[[#This Row],[Date Run]]</f>
        <v>0</v>
      </c>
    </row>
    <row r="417" spans="1:7" hidden="1" x14ac:dyDescent="0.25">
      <c r="A417" t="str" cm="1">
        <f t="array" ref="A417">IF(ISBLANK(INDEX(SampleList[ICP],ROW()-1)),"Not Requested",INDEX(SampleList[Experiment ID],ROW()-1))</f>
        <v>Not Requested</v>
      </c>
      <c r="B417">
        <f>Sampling!E415</f>
        <v>0</v>
      </c>
      <c r="E417" t="str">
        <f>ICPList[[#This Row],[Experiment ID]]&amp;"_Day"&amp;ICPList[[#This Row],[Duration (Days)]]&amp;"_"&amp;ICPList[[#This Row],[Dilution]]&amp;"x"</f>
        <v>Not Requested_Day0_x</v>
      </c>
      <c r="F417">
        <f>NMRResults[[#This Row],['#]]</f>
        <v>0</v>
      </c>
      <c r="G417" s="1">
        <f>NMRResults[[#This Row],[Date Run]]</f>
        <v>0</v>
      </c>
    </row>
    <row r="418" spans="1:7" hidden="1" x14ac:dyDescent="0.25">
      <c r="A418" t="str" cm="1">
        <f t="array" ref="A418">IF(ISBLANK(INDEX(SampleList[ICP],ROW()-1)),"Not Requested",INDEX(SampleList[Experiment ID],ROW()-1))</f>
        <v>Not Requested</v>
      </c>
      <c r="B418">
        <f>Sampling!E416</f>
        <v>0</v>
      </c>
      <c r="E418" t="str">
        <f>ICPList[[#This Row],[Experiment ID]]&amp;"_Day"&amp;ICPList[[#This Row],[Duration (Days)]]&amp;"_"&amp;ICPList[[#This Row],[Dilution]]&amp;"x"</f>
        <v>Not Requested_Day0_x</v>
      </c>
      <c r="F418">
        <f>NMRResults[[#This Row],['#]]</f>
        <v>0</v>
      </c>
      <c r="G418" s="1">
        <f>NMRResults[[#This Row],[Date Run]]</f>
        <v>0</v>
      </c>
    </row>
    <row r="419" spans="1:7" hidden="1" x14ac:dyDescent="0.25">
      <c r="A419" t="str" cm="1">
        <f t="array" ref="A419">IF(ISBLANK(INDEX(SampleList[ICP],ROW()-1)),"Not Requested",INDEX(SampleList[Experiment ID],ROW()-1))</f>
        <v>Not Requested</v>
      </c>
      <c r="B419">
        <f>Sampling!E417</f>
        <v>0</v>
      </c>
      <c r="E419" t="str">
        <f>ICPList[[#This Row],[Experiment ID]]&amp;"_Day"&amp;ICPList[[#This Row],[Duration (Days)]]&amp;"_"&amp;ICPList[[#This Row],[Dilution]]&amp;"x"</f>
        <v>Not Requested_Day0_x</v>
      </c>
      <c r="F419">
        <f>NMRResults[[#This Row],['#]]</f>
        <v>0</v>
      </c>
      <c r="G419" s="1">
        <f>NMRResults[[#This Row],[Date Run]]</f>
        <v>0</v>
      </c>
    </row>
    <row r="420" spans="1:7" hidden="1" x14ac:dyDescent="0.25">
      <c r="A420" t="str" cm="1">
        <f t="array" ref="A420">IF(ISBLANK(INDEX(SampleList[ICP],ROW()-1)),"Not Requested",INDEX(SampleList[Experiment ID],ROW()-1))</f>
        <v>Not Requested</v>
      </c>
      <c r="B420">
        <f>Sampling!E418</f>
        <v>0</v>
      </c>
      <c r="E420" t="str">
        <f>ICPList[[#This Row],[Experiment ID]]&amp;"_Day"&amp;ICPList[[#This Row],[Duration (Days)]]&amp;"_"&amp;ICPList[[#This Row],[Dilution]]&amp;"x"</f>
        <v>Not Requested_Day0_x</v>
      </c>
      <c r="F420">
        <f>NMRResults[[#This Row],['#]]</f>
        <v>0</v>
      </c>
      <c r="G420" s="1">
        <f>NMRResults[[#This Row],[Date Run]]</f>
        <v>0</v>
      </c>
    </row>
    <row r="421" spans="1:7" hidden="1" x14ac:dyDescent="0.25">
      <c r="A421" t="str" cm="1">
        <f t="array" ref="A421">IF(ISBLANK(INDEX(SampleList[ICP],ROW()-1)),"Not Requested",INDEX(SampleList[Experiment ID],ROW()-1))</f>
        <v>Not Requested</v>
      </c>
      <c r="B421">
        <f>Sampling!E419</f>
        <v>0</v>
      </c>
      <c r="E421" t="str">
        <f>ICPList[[#This Row],[Experiment ID]]&amp;"_Day"&amp;ICPList[[#This Row],[Duration (Days)]]&amp;"_"&amp;ICPList[[#This Row],[Dilution]]&amp;"x"</f>
        <v>Not Requested_Day0_x</v>
      </c>
      <c r="F421">
        <f>NMRResults[[#This Row],['#]]</f>
        <v>0</v>
      </c>
      <c r="G421" s="1">
        <f>NMRResults[[#This Row],[Date Run]]</f>
        <v>0</v>
      </c>
    </row>
    <row r="422" spans="1:7" hidden="1" x14ac:dyDescent="0.25">
      <c r="A422" t="str" cm="1">
        <f t="array" ref="A422">IF(ISBLANK(INDEX(SampleList[ICP],ROW()-1)),"Not Requested",INDEX(SampleList[Experiment ID],ROW()-1))</f>
        <v>Not Requested</v>
      </c>
      <c r="B422">
        <f>Sampling!E420</f>
        <v>0</v>
      </c>
      <c r="E422" t="str">
        <f>ICPList[[#This Row],[Experiment ID]]&amp;"_Day"&amp;ICPList[[#This Row],[Duration (Days)]]&amp;"_"&amp;ICPList[[#This Row],[Dilution]]&amp;"x"</f>
        <v>Not Requested_Day0_x</v>
      </c>
      <c r="F422">
        <f>NMRResults[[#This Row],['#]]</f>
        <v>0</v>
      </c>
      <c r="G422" s="1">
        <f>NMRResults[[#This Row],[Date Run]]</f>
        <v>0</v>
      </c>
    </row>
    <row r="423" spans="1:7" hidden="1" x14ac:dyDescent="0.25">
      <c r="A423" t="str" cm="1">
        <f t="array" ref="A423">IF(ISBLANK(INDEX(SampleList[ICP],ROW()-1)),"Not Requested",INDEX(SampleList[Experiment ID],ROW()-1))</f>
        <v>Not Requested</v>
      </c>
      <c r="B423">
        <f>Sampling!E421</f>
        <v>0</v>
      </c>
      <c r="E423" t="str">
        <f>ICPList[[#This Row],[Experiment ID]]&amp;"_Day"&amp;ICPList[[#This Row],[Duration (Days)]]&amp;"_"&amp;ICPList[[#This Row],[Dilution]]&amp;"x"</f>
        <v>Not Requested_Day0_x</v>
      </c>
      <c r="F423">
        <f>NMRResults[[#This Row],['#]]</f>
        <v>0</v>
      </c>
      <c r="G423" s="1">
        <f>NMRResults[[#This Row],[Date Run]]</f>
        <v>0</v>
      </c>
    </row>
    <row r="424" spans="1:7" hidden="1" x14ac:dyDescent="0.25">
      <c r="A424" t="str" cm="1">
        <f t="array" ref="A424">IF(ISBLANK(INDEX(SampleList[ICP],ROW()-1)),"Not Requested",INDEX(SampleList[Experiment ID],ROW()-1))</f>
        <v>Not Requested</v>
      </c>
      <c r="B424">
        <f>Sampling!E422</f>
        <v>0</v>
      </c>
      <c r="E424" t="str">
        <f>ICPList[[#This Row],[Experiment ID]]&amp;"_Day"&amp;ICPList[[#This Row],[Duration (Days)]]&amp;"_"&amp;ICPList[[#This Row],[Dilution]]&amp;"x"</f>
        <v>Not Requested_Day0_x</v>
      </c>
      <c r="F424">
        <f>NMRResults[[#This Row],['#]]</f>
        <v>0</v>
      </c>
      <c r="G424" s="1">
        <f>NMRResults[[#This Row],[Date Run]]</f>
        <v>0</v>
      </c>
    </row>
    <row r="425" spans="1:7" hidden="1" x14ac:dyDescent="0.25">
      <c r="A425" t="str" cm="1">
        <f t="array" ref="A425">IF(ISBLANK(INDEX(SampleList[ICP],ROW()-1)),"Not Requested",INDEX(SampleList[Experiment ID],ROW()-1))</f>
        <v>Not Requested</v>
      </c>
      <c r="B425">
        <f>Sampling!E423</f>
        <v>0</v>
      </c>
      <c r="E425" t="str">
        <f>ICPList[[#This Row],[Experiment ID]]&amp;"_Day"&amp;ICPList[[#This Row],[Duration (Days)]]&amp;"_"&amp;ICPList[[#This Row],[Dilution]]&amp;"x"</f>
        <v>Not Requested_Day0_x</v>
      </c>
      <c r="F425">
        <f>NMRResults[[#This Row],['#]]</f>
        <v>0</v>
      </c>
      <c r="G425" s="1">
        <f>NMRResults[[#This Row],[Date Run]]</f>
        <v>0</v>
      </c>
    </row>
    <row r="426" spans="1:7" hidden="1" x14ac:dyDescent="0.25">
      <c r="A426" t="str" cm="1">
        <f t="array" ref="A426">IF(ISBLANK(INDEX(SampleList[ICP],ROW()-1)),"Not Requested",INDEX(SampleList[Experiment ID],ROW()-1))</f>
        <v>Not Requested</v>
      </c>
      <c r="B426">
        <f>Sampling!E424</f>
        <v>0</v>
      </c>
      <c r="E426" t="str">
        <f>ICPList[[#This Row],[Experiment ID]]&amp;"_Day"&amp;ICPList[[#This Row],[Duration (Days)]]&amp;"_"&amp;ICPList[[#This Row],[Dilution]]&amp;"x"</f>
        <v>Not Requested_Day0_x</v>
      </c>
      <c r="F426">
        <f>NMRResults[[#This Row],['#]]</f>
        <v>0</v>
      </c>
      <c r="G426" s="1">
        <f>NMRResults[[#This Row],[Date Run]]</f>
        <v>0</v>
      </c>
    </row>
    <row r="427" spans="1:7" hidden="1" x14ac:dyDescent="0.25">
      <c r="A427" t="str" cm="1">
        <f t="array" ref="A427">IF(ISBLANK(INDEX(SampleList[ICP],ROW()-1)),"Not Requested",INDEX(SampleList[Experiment ID],ROW()-1))</f>
        <v>Not Requested</v>
      </c>
      <c r="B427">
        <f>Sampling!E425</f>
        <v>0</v>
      </c>
      <c r="E427" t="str">
        <f>ICPList[[#This Row],[Experiment ID]]&amp;"_Day"&amp;ICPList[[#This Row],[Duration (Days)]]&amp;"_"&amp;ICPList[[#This Row],[Dilution]]&amp;"x"</f>
        <v>Not Requested_Day0_x</v>
      </c>
      <c r="F427">
        <f>NMRResults[[#This Row],['#]]</f>
        <v>0</v>
      </c>
      <c r="G427" s="1">
        <f>NMRResults[[#This Row],[Date Run]]</f>
        <v>0</v>
      </c>
    </row>
    <row r="428" spans="1:7" hidden="1" x14ac:dyDescent="0.25">
      <c r="A428" t="str" cm="1">
        <f t="array" ref="A428">IF(ISBLANK(INDEX(SampleList[ICP],ROW()-1)),"Not Requested",INDEX(SampleList[Experiment ID],ROW()-1))</f>
        <v>Not Requested</v>
      </c>
      <c r="B428">
        <f>Sampling!E426</f>
        <v>0</v>
      </c>
      <c r="E428" t="str">
        <f>ICPList[[#This Row],[Experiment ID]]&amp;"_Day"&amp;ICPList[[#This Row],[Duration (Days)]]&amp;"_"&amp;ICPList[[#This Row],[Dilution]]&amp;"x"</f>
        <v>Not Requested_Day0_x</v>
      </c>
      <c r="F428">
        <f>NMRResults[[#This Row],['#]]</f>
        <v>0</v>
      </c>
      <c r="G428" s="1">
        <f>NMRResults[[#This Row],[Date Run]]</f>
        <v>0</v>
      </c>
    </row>
    <row r="429" spans="1:7" hidden="1" x14ac:dyDescent="0.25">
      <c r="A429" t="str" cm="1">
        <f t="array" ref="A429">IF(ISBLANK(INDEX(SampleList[ICP],ROW()-1)),"Not Requested",INDEX(SampleList[Experiment ID],ROW()-1))</f>
        <v>Not Requested</v>
      </c>
      <c r="B429">
        <f>Sampling!E427</f>
        <v>0</v>
      </c>
      <c r="E429" t="str">
        <f>ICPList[[#This Row],[Experiment ID]]&amp;"_Day"&amp;ICPList[[#This Row],[Duration (Days)]]&amp;"_"&amp;ICPList[[#This Row],[Dilution]]&amp;"x"</f>
        <v>Not Requested_Day0_x</v>
      </c>
      <c r="F429">
        <f>NMRResults[[#This Row],['#]]</f>
        <v>0</v>
      </c>
      <c r="G429" s="1">
        <f>NMRResults[[#This Row],[Date Run]]</f>
        <v>0</v>
      </c>
    </row>
    <row r="430" spans="1:7" hidden="1" x14ac:dyDescent="0.25">
      <c r="A430" t="str" cm="1">
        <f t="array" ref="A430">IF(ISBLANK(INDEX(SampleList[ICP],ROW()-1)),"Not Requested",INDEX(SampleList[Experiment ID],ROW()-1))</f>
        <v>Not Requested</v>
      </c>
      <c r="B430">
        <f>Sampling!E428</f>
        <v>0</v>
      </c>
      <c r="E430" t="str">
        <f>ICPList[[#This Row],[Experiment ID]]&amp;"_Day"&amp;ICPList[[#This Row],[Duration (Days)]]&amp;"_"&amp;ICPList[[#This Row],[Dilution]]&amp;"x"</f>
        <v>Not Requested_Day0_x</v>
      </c>
      <c r="F430">
        <f>NMRResults[[#This Row],['#]]</f>
        <v>0</v>
      </c>
      <c r="G430" s="1">
        <f>NMRResults[[#This Row],[Date Run]]</f>
        <v>0</v>
      </c>
    </row>
    <row r="431" spans="1:7" hidden="1" x14ac:dyDescent="0.25">
      <c r="A431" t="str" cm="1">
        <f t="array" ref="A431">IF(ISBLANK(INDEX(SampleList[ICP],ROW()-1)),"Not Requested",INDEX(SampleList[Experiment ID],ROW()-1))</f>
        <v>Not Requested</v>
      </c>
      <c r="B431">
        <f>Sampling!E429</f>
        <v>0</v>
      </c>
      <c r="E431" t="str">
        <f>ICPList[[#This Row],[Experiment ID]]&amp;"_Day"&amp;ICPList[[#This Row],[Duration (Days)]]&amp;"_"&amp;ICPList[[#This Row],[Dilution]]&amp;"x"</f>
        <v>Not Requested_Day0_x</v>
      </c>
      <c r="F431">
        <f>NMRResults[[#This Row],['#]]</f>
        <v>0</v>
      </c>
      <c r="G431" s="1">
        <f>NMRResults[[#This Row],[Date Run]]</f>
        <v>0</v>
      </c>
    </row>
    <row r="432" spans="1:7" hidden="1" x14ac:dyDescent="0.25">
      <c r="A432" t="str" cm="1">
        <f t="array" ref="A432">IF(ISBLANK(INDEX(SampleList[ICP],ROW()-1)),"Not Requested",INDEX(SampleList[Experiment ID],ROW()-1))</f>
        <v>Not Requested</v>
      </c>
      <c r="B432">
        <f>Sampling!E430</f>
        <v>0</v>
      </c>
      <c r="E432" t="str">
        <f>ICPList[[#This Row],[Experiment ID]]&amp;"_Day"&amp;ICPList[[#This Row],[Duration (Days)]]&amp;"_"&amp;ICPList[[#This Row],[Dilution]]&amp;"x"</f>
        <v>Not Requested_Day0_x</v>
      </c>
      <c r="F432">
        <f>NMRResults[[#This Row],['#]]</f>
        <v>0</v>
      </c>
      <c r="G432" s="1">
        <f>NMRResults[[#This Row],[Date Run]]</f>
        <v>0</v>
      </c>
    </row>
    <row r="433" spans="1:7" hidden="1" x14ac:dyDescent="0.25">
      <c r="A433" t="str" cm="1">
        <f t="array" ref="A433">IF(ISBLANK(INDEX(SampleList[ICP],ROW()-1)),"Not Requested",INDEX(SampleList[Experiment ID],ROW()-1))</f>
        <v>Not Requested</v>
      </c>
      <c r="B433">
        <f>Sampling!E431</f>
        <v>0</v>
      </c>
      <c r="E433" t="str">
        <f>ICPList[[#This Row],[Experiment ID]]&amp;"_Day"&amp;ICPList[[#This Row],[Duration (Days)]]&amp;"_"&amp;ICPList[[#This Row],[Dilution]]&amp;"x"</f>
        <v>Not Requested_Day0_x</v>
      </c>
      <c r="F433">
        <f>NMRResults[[#This Row],['#]]</f>
        <v>0</v>
      </c>
      <c r="G433" s="1">
        <f>NMRResults[[#This Row],[Date Run]]</f>
        <v>0</v>
      </c>
    </row>
    <row r="434" spans="1:7" hidden="1" x14ac:dyDescent="0.25">
      <c r="A434" t="str" cm="1">
        <f t="array" ref="A434">IF(ISBLANK(INDEX(SampleList[ICP],ROW()-1)),"Not Requested",INDEX(SampleList[Experiment ID],ROW()-1))</f>
        <v>Not Requested</v>
      </c>
      <c r="B434">
        <f>Sampling!E432</f>
        <v>0</v>
      </c>
      <c r="E434" t="str">
        <f>ICPList[[#This Row],[Experiment ID]]&amp;"_Day"&amp;ICPList[[#This Row],[Duration (Days)]]&amp;"_"&amp;ICPList[[#This Row],[Dilution]]&amp;"x"</f>
        <v>Not Requested_Day0_x</v>
      </c>
      <c r="F434">
        <f>NMRResults[[#This Row],['#]]</f>
        <v>0</v>
      </c>
      <c r="G434" s="1">
        <f>NMRResults[[#This Row],[Date Run]]</f>
        <v>0</v>
      </c>
    </row>
    <row r="435" spans="1:7" hidden="1" x14ac:dyDescent="0.25">
      <c r="A435" t="str" cm="1">
        <f t="array" ref="A435">IF(ISBLANK(INDEX(SampleList[ICP],ROW()-1)),"Not Requested",INDEX(SampleList[Experiment ID],ROW()-1))</f>
        <v>Not Requested</v>
      </c>
      <c r="B435">
        <f>Sampling!E433</f>
        <v>0</v>
      </c>
      <c r="E435" t="str">
        <f>ICPList[[#This Row],[Experiment ID]]&amp;"_Day"&amp;ICPList[[#This Row],[Duration (Days)]]&amp;"_"&amp;ICPList[[#This Row],[Dilution]]&amp;"x"</f>
        <v>Not Requested_Day0_x</v>
      </c>
      <c r="F435">
        <f>NMRResults[[#This Row],['#]]</f>
        <v>0</v>
      </c>
      <c r="G435" s="1">
        <f>NMRResults[[#This Row],[Date Run]]</f>
        <v>0</v>
      </c>
    </row>
    <row r="436" spans="1:7" hidden="1" x14ac:dyDescent="0.25">
      <c r="A436" t="str" cm="1">
        <f t="array" ref="A436">IF(ISBLANK(INDEX(SampleList[ICP],ROW()-1)),"Not Requested",INDEX(SampleList[Experiment ID],ROW()-1))</f>
        <v>Not Requested</v>
      </c>
      <c r="B436">
        <f>Sampling!E434</f>
        <v>0</v>
      </c>
      <c r="E436" t="str">
        <f>ICPList[[#This Row],[Experiment ID]]&amp;"_Day"&amp;ICPList[[#This Row],[Duration (Days)]]&amp;"_"&amp;ICPList[[#This Row],[Dilution]]&amp;"x"</f>
        <v>Not Requested_Day0_x</v>
      </c>
      <c r="F436">
        <f>NMRResults[[#This Row],['#]]</f>
        <v>0</v>
      </c>
      <c r="G436" s="1">
        <f>NMRResults[[#This Row],[Date Run]]</f>
        <v>0</v>
      </c>
    </row>
    <row r="437" spans="1:7" hidden="1" x14ac:dyDescent="0.25">
      <c r="A437" t="str" cm="1">
        <f t="array" ref="A437">IF(ISBLANK(INDEX(SampleList[ICP],ROW()-1)),"Not Requested",INDEX(SampleList[Experiment ID],ROW()-1))</f>
        <v>Not Requested</v>
      </c>
      <c r="B437">
        <f>Sampling!E435</f>
        <v>0</v>
      </c>
      <c r="E437" t="str">
        <f>ICPList[[#This Row],[Experiment ID]]&amp;"_Day"&amp;ICPList[[#This Row],[Duration (Days)]]&amp;"_"&amp;ICPList[[#This Row],[Dilution]]&amp;"x"</f>
        <v>Not Requested_Day0_x</v>
      </c>
      <c r="F437">
        <f>NMRResults[[#This Row],['#]]</f>
        <v>0</v>
      </c>
      <c r="G437" s="1">
        <f>NMRResults[[#This Row],[Date Run]]</f>
        <v>0</v>
      </c>
    </row>
    <row r="438" spans="1:7" hidden="1" x14ac:dyDescent="0.25">
      <c r="A438" t="str" cm="1">
        <f t="array" ref="A438">IF(ISBLANK(INDEX(SampleList[ICP],ROW()-1)),"Not Requested",INDEX(SampleList[Experiment ID],ROW()-1))</f>
        <v>Not Requested</v>
      </c>
      <c r="B438">
        <f>Sampling!E436</f>
        <v>0</v>
      </c>
      <c r="E438" t="str">
        <f>ICPList[[#This Row],[Experiment ID]]&amp;"_Day"&amp;ICPList[[#This Row],[Duration (Days)]]&amp;"_"&amp;ICPList[[#This Row],[Dilution]]&amp;"x"</f>
        <v>Not Requested_Day0_x</v>
      </c>
      <c r="F438">
        <f>NMRResults[[#This Row],['#]]</f>
        <v>0</v>
      </c>
      <c r="G438" s="1">
        <f>NMRResults[[#This Row],[Date Run]]</f>
        <v>0</v>
      </c>
    </row>
    <row r="439" spans="1:7" hidden="1" x14ac:dyDescent="0.25">
      <c r="A439" t="str" cm="1">
        <f t="array" ref="A439">IF(ISBLANK(INDEX(SampleList[ICP],ROW()-1)),"Not Requested",INDEX(SampleList[Experiment ID],ROW()-1))</f>
        <v>Not Requested</v>
      </c>
      <c r="B439">
        <f>Sampling!E437</f>
        <v>0</v>
      </c>
      <c r="E439" t="str">
        <f>ICPList[[#This Row],[Experiment ID]]&amp;"_Day"&amp;ICPList[[#This Row],[Duration (Days)]]&amp;"_"&amp;ICPList[[#This Row],[Dilution]]&amp;"x"</f>
        <v>Not Requested_Day0_x</v>
      </c>
      <c r="F439">
        <f>NMRResults[[#This Row],['#]]</f>
        <v>0</v>
      </c>
      <c r="G439" s="1">
        <f>NMRResults[[#This Row],[Date Run]]</f>
        <v>0</v>
      </c>
    </row>
    <row r="440" spans="1:7" hidden="1" x14ac:dyDescent="0.25">
      <c r="A440" t="str" cm="1">
        <f t="array" ref="A440">IF(ISBLANK(INDEX(SampleList[ICP],ROW()-1)),"Not Requested",INDEX(SampleList[Experiment ID],ROW()-1))</f>
        <v>Not Requested</v>
      </c>
      <c r="B440">
        <f>Sampling!E438</f>
        <v>0</v>
      </c>
      <c r="E440" t="str">
        <f>ICPList[[#This Row],[Experiment ID]]&amp;"_Day"&amp;ICPList[[#This Row],[Duration (Days)]]&amp;"_"&amp;ICPList[[#This Row],[Dilution]]&amp;"x"</f>
        <v>Not Requested_Day0_x</v>
      </c>
      <c r="F440">
        <f>NMRResults[[#This Row],['#]]</f>
        <v>0</v>
      </c>
      <c r="G440" s="1">
        <f>NMRResults[[#This Row],[Date Run]]</f>
        <v>0</v>
      </c>
    </row>
    <row r="441" spans="1:7" hidden="1" x14ac:dyDescent="0.25">
      <c r="A441" t="str" cm="1">
        <f t="array" ref="A441">IF(ISBLANK(INDEX(SampleList[ICP],ROW()-1)),"Not Requested",INDEX(SampleList[Experiment ID],ROW()-1))</f>
        <v>Not Requested</v>
      </c>
      <c r="B441">
        <f>Sampling!E439</f>
        <v>0</v>
      </c>
      <c r="E441" t="str">
        <f>ICPList[[#This Row],[Experiment ID]]&amp;"_Day"&amp;ICPList[[#This Row],[Duration (Days)]]&amp;"_"&amp;ICPList[[#This Row],[Dilution]]&amp;"x"</f>
        <v>Not Requested_Day0_x</v>
      </c>
      <c r="F441">
        <f>NMRResults[[#This Row],['#]]</f>
        <v>0</v>
      </c>
      <c r="G441" s="1">
        <f>NMRResults[[#This Row],[Date Run]]</f>
        <v>0</v>
      </c>
    </row>
    <row r="442" spans="1:7" hidden="1" x14ac:dyDescent="0.25">
      <c r="A442" t="str" cm="1">
        <f t="array" ref="A442">IF(ISBLANK(INDEX(SampleList[ICP],ROW()-1)),"Not Requested",INDEX(SampleList[Experiment ID],ROW()-1))</f>
        <v>Not Requested</v>
      </c>
      <c r="B442">
        <f>Sampling!E440</f>
        <v>0</v>
      </c>
      <c r="E442" t="str">
        <f>ICPList[[#This Row],[Experiment ID]]&amp;"_Day"&amp;ICPList[[#This Row],[Duration (Days)]]&amp;"_"&amp;ICPList[[#This Row],[Dilution]]&amp;"x"</f>
        <v>Not Requested_Day0_x</v>
      </c>
      <c r="F442">
        <f>NMRResults[[#This Row],['#]]</f>
        <v>0</v>
      </c>
      <c r="G442" s="1">
        <f>NMRResults[[#This Row],[Date Run]]</f>
        <v>0</v>
      </c>
    </row>
    <row r="443" spans="1:7" hidden="1" x14ac:dyDescent="0.25">
      <c r="A443" t="str" cm="1">
        <f t="array" ref="A443">IF(ISBLANK(INDEX(SampleList[ICP],ROW()-1)),"Not Requested",INDEX(SampleList[Experiment ID],ROW()-1))</f>
        <v>Not Requested</v>
      </c>
      <c r="B443">
        <f>Sampling!E441</f>
        <v>0</v>
      </c>
      <c r="E443" t="str">
        <f>ICPList[[#This Row],[Experiment ID]]&amp;"_Day"&amp;ICPList[[#This Row],[Duration (Days)]]&amp;"_"&amp;ICPList[[#This Row],[Dilution]]&amp;"x"</f>
        <v>Not Requested_Day0_x</v>
      </c>
      <c r="F443">
        <f>NMRResults[[#This Row],['#]]</f>
        <v>0</v>
      </c>
      <c r="G443" s="1">
        <f>NMRResults[[#This Row],[Date Run]]</f>
        <v>0</v>
      </c>
    </row>
    <row r="444" spans="1:7" hidden="1" x14ac:dyDescent="0.25">
      <c r="A444" t="str" cm="1">
        <f t="array" ref="A444">IF(ISBLANK(INDEX(SampleList[ICP],ROW()-1)),"Not Requested",INDEX(SampleList[Experiment ID],ROW()-1))</f>
        <v>Not Requested</v>
      </c>
      <c r="B444">
        <f>Sampling!E442</f>
        <v>0</v>
      </c>
      <c r="E444" t="str">
        <f>ICPList[[#This Row],[Experiment ID]]&amp;"_Day"&amp;ICPList[[#This Row],[Duration (Days)]]&amp;"_"&amp;ICPList[[#This Row],[Dilution]]&amp;"x"</f>
        <v>Not Requested_Day0_x</v>
      </c>
      <c r="F444">
        <f>NMRResults[[#This Row],['#]]</f>
        <v>0</v>
      </c>
      <c r="G444" s="1">
        <f>NMRResults[[#This Row],[Date Run]]</f>
        <v>0</v>
      </c>
    </row>
    <row r="445" spans="1:7" hidden="1" x14ac:dyDescent="0.25">
      <c r="A445" t="str" cm="1">
        <f t="array" ref="A445">IF(ISBLANK(INDEX(SampleList[ICP],ROW()-1)),"Not Requested",INDEX(SampleList[Experiment ID],ROW()-1))</f>
        <v>Not Requested</v>
      </c>
      <c r="B445">
        <f>Sampling!E443</f>
        <v>0</v>
      </c>
      <c r="E445" t="str">
        <f>ICPList[[#This Row],[Experiment ID]]&amp;"_Day"&amp;ICPList[[#This Row],[Duration (Days)]]&amp;"_"&amp;ICPList[[#This Row],[Dilution]]&amp;"x"</f>
        <v>Not Requested_Day0_x</v>
      </c>
      <c r="F445">
        <f>NMRResults[[#This Row],['#]]</f>
        <v>0</v>
      </c>
      <c r="G445" s="1">
        <f>NMRResults[[#This Row],[Date Run]]</f>
        <v>0</v>
      </c>
    </row>
    <row r="446" spans="1:7" hidden="1" x14ac:dyDescent="0.25">
      <c r="A446" t="str" cm="1">
        <f t="array" ref="A446">IF(ISBLANK(INDEX(SampleList[ICP],ROW()-1)),"Not Requested",INDEX(SampleList[Experiment ID],ROW()-1))</f>
        <v>Not Requested</v>
      </c>
      <c r="B446">
        <f>Sampling!E444</f>
        <v>0</v>
      </c>
      <c r="E446" t="str">
        <f>ICPList[[#This Row],[Experiment ID]]&amp;"_Day"&amp;ICPList[[#This Row],[Duration (Days)]]&amp;"_"&amp;ICPList[[#This Row],[Dilution]]&amp;"x"</f>
        <v>Not Requested_Day0_x</v>
      </c>
      <c r="F446">
        <f>NMRResults[[#This Row],['#]]</f>
        <v>0</v>
      </c>
      <c r="G446" s="1">
        <f>NMRResults[[#This Row],[Date Run]]</f>
        <v>0</v>
      </c>
    </row>
    <row r="447" spans="1:7" hidden="1" x14ac:dyDescent="0.25">
      <c r="A447" t="str" cm="1">
        <f t="array" ref="A447">IF(ISBLANK(INDEX(SampleList[ICP],ROW()-1)),"Not Requested",INDEX(SampleList[Experiment ID],ROW()-1))</f>
        <v>Not Requested</v>
      </c>
      <c r="B447">
        <f>Sampling!E445</f>
        <v>0</v>
      </c>
      <c r="E447" t="str">
        <f>ICPList[[#This Row],[Experiment ID]]&amp;"_Day"&amp;ICPList[[#This Row],[Duration (Days)]]&amp;"_"&amp;ICPList[[#This Row],[Dilution]]&amp;"x"</f>
        <v>Not Requested_Day0_x</v>
      </c>
      <c r="F447">
        <f>NMRResults[[#This Row],['#]]</f>
        <v>0</v>
      </c>
      <c r="G447" s="1">
        <f>NMRResults[[#This Row],[Date Run]]</f>
        <v>0</v>
      </c>
    </row>
    <row r="448" spans="1:7" hidden="1" x14ac:dyDescent="0.25">
      <c r="A448" t="str" cm="1">
        <f t="array" ref="A448">IF(ISBLANK(INDEX(SampleList[ICP],ROW()-1)),"Not Requested",INDEX(SampleList[Experiment ID],ROW()-1))</f>
        <v>Not Requested</v>
      </c>
      <c r="B448">
        <f>Sampling!E446</f>
        <v>0</v>
      </c>
      <c r="E448" t="str">
        <f>ICPList[[#This Row],[Experiment ID]]&amp;"_Day"&amp;ICPList[[#This Row],[Duration (Days)]]&amp;"_"&amp;ICPList[[#This Row],[Dilution]]&amp;"x"</f>
        <v>Not Requested_Day0_x</v>
      </c>
      <c r="F448">
        <f>NMRResults[[#This Row],['#]]</f>
        <v>0</v>
      </c>
      <c r="G448" s="1">
        <f>NMRResults[[#This Row],[Date Run]]</f>
        <v>0</v>
      </c>
    </row>
    <row r="449" spans="1:7" hidden="1" x14ac:dyDescent="0.25">
      <c r="A449" t="str" cm="1">
        <f t="array" ref="A449">IF(ISBLANK(INDEX(SampleList[ICP],ROW()-1)),"Not Requested",INDEX(SampleList[Experiment ID],ROW()-1))</f>
        <v>Not Requested</v>
      </c>
      <c r="B449">
        <f>Sampling!E447</f>
        <v>0</v>
      </c>
      <c r="E449" t="str">
        <f>ICPList[[#This Row],[Experiment ID]]&amp;"_Day"&amp;ICPList[[#This Row],[Duration (Days)]]&amp;"_"&amp;ICPList[[#This Row],[Dilution]]&amp;"x"</f>
        <v>Not Requested_Day0_x</v>
      </c>
      <c r="F449">
        <f>NMRResults[[#This Row],['#]]</f>
        <v>0</v>
      </c>
      <c r="G449" s="1">
        <f>NMRResults[[#This Row],[Date Run]]</f>
        <v>0</v>
      </c>
    </row>
    <row r="450" spans="1:7" hidden="1" x14ac:dyDescent="0.25">
      <c r="A450" t="str" cm="1">
        <f t="array" ref="A450">IF(ISBLANK(INDEX(SampleList[ICP],ROW()-1)),"Not Requested",INDEX(SampleList[Experiment ID],ROW()-1))</f>
        <v>Not Requested</v>
      </c>
      <c r="B450">
        <f>Sampling!E448</f>
        <v>0</v>
      </c>
      <c r="E450" t="str">
        <f>ICPList[[#This Row],[Experiment ID]]&amp;"_Day"&amp;ICPList[[#This Row],[Duration (Days)]]&amp;"_"&amp;ICPList[[#This Row],[Dilution]]&amp;"x"</f>
        <v>Not Requested_Day0_x</v>
      </c>
      <c r="F450">
        <f>NMRResults[[#This Row],['#]]</f>
        <v>0</v>
      </c>
      <c r="G450" s="1">
        <f>NMRResults[[#This Row],[Date Run]]</f>
        <v>0</v>
      </c>
    </row>
    <row r="451" spans="1:7" hidden="1" x14ac:dyDescent="0.25">
      <c r="A451" t="str" cm="1">
        <f t="array" ref="A451">IF(ISBLANK(INDEX(SampleList[ICP],ROW()-1)),"Not Requested",INDEX(SampleList[Experiment ID],ROW()-1))</f>
        <v>Not Requested</v>
      </c>
      <c r="B451">
        <f>Sampling!E449</f>
        <v>0</v>
      </c>
      <c r="E451" t="str">
        <f>ICPList[[#This Row],[Experiment ID]]&amp;"_Day"&amp;ICPList[[#This Row],[Duration (Days)]]&amp;"_"&amp;ICPList[[#This Row],[Dilution]]&amp;"x"</f>
        <v>Not Requested_Day0_x</v>
      </c>
      <c r="F451">
        <f>NMRResults[[#This Row],['#]]</f>
        <v>0</v>
      </c>
      <c r="G451" s="1">
        <f>NMRResults[[#This Row],[Date Run]]</f>
        <v>0</v>
      </c>
    </row>
    <row r="452" spans="1:7" hidden="1" x14ac:dyDescent="0.25">
      <c r="A452" t="str" cm="1">
        <f t="array" ref="A452">IF(ISBLANK(INDEX(SampleList[ICP],ROW()-1)),"Not Requested",INDEX(SampleList[Experiment ID],ROW()-1))</f>
        <v>Not Requested</v>
      </c>
      <c r="B452">
        <f>Sampling!E450</f>
        <v>0</v>
      </c>
      <c r="E452" t="str">
        <f>ICPList[[#This Row],[Experiment ID]]&amp;"_Day"&amp;ICPList[[#This Row],[Duration (Days)]]&amp;"_"&amp;ICPList[[#This Row],[Dilution]]&amp;"x"</f>
        <v>Not Requested_Day0_x</v>
      </c>
      <c r="F452">
        <f>NMRResults[[#This Row],['#]]</f>
        <v>0</v>
      </c>
      <c r="G452" s="1">
        <f>NMRResults[[#This Row],[Date Run]]</f>
        <v>0</v>
      </c>
    </row>
    <row r="453" spans="1:7" hidden="1" x14ac:dyDescent="0.25">
      <c r="A453" t="str" cm="1">
        <f t="array" ref="A453">IF(ISBLANK(INDEX(SampleList[ICP],ROW()-1)),"Not Requested",INDEX(SampleList[Experiment ID],ROW()-1))</f>
        <v>Not Requested</v>
      </c>
      <c r="B453">
        <f>Sampling!E451</f>
        <v>0</v>
      </c>
      <c r="E453" t="str">
        <f>ICPList[[#This Row],[Experiment ID]]&amp;"_Day"&amp;ICPList[[#This Row],[Duration (Days)]]&amp;"_"&amp;ICPList[[#This Row],[Dilution]]&amp;"x"</f>
        <v>Not Requested_Day0_x</v>
      </c>
      <c r="F453">
        <f>NMRResults[[#This Row],['#]]</f>
        <v>0</v>
      </c>
      <c r="G453" s="1">
        <f>NMRResults[[#This Row],[Date Run]]</f>
        <v>0</v>
      </c>
    </row>
    <row r="454" spans="1:7" hidden="1" x14ac:dyDescent="0.25">
      <c r="A454" t="str" cm="1">
        <f t="array" ref="A454">IF(ISBLANK(INDEX(SampleList[ICP],ROW()-1)),"Not Requested",INDEX(SampleList[Experiment ID],ROW()-1))</f>
        <v>Not Requested</v>
      </c>
      <c r="B454">
        <f>Sampling!E452</f>
        <v>0</v>
      </c>
      <c r="E454" t="str">
        <f>ICPList[[#This Row],[Experiment ID]]&amp;"_Day"&amp;ICPList[[#This Row],[Duration (Days)]]&amp;"_"&amp;ICPList[[#This Row],[Dilution]]&amp;"x"</f>
        <v>Not Requested_Day0_x</v>
      </c>
      <c r="F454">
        <f>NMRResults[[#This Row],['#]]</f>
        <v>0</v>
      </c>
      <c r="G454" s="1">
        <f>NMRResults[[#This Row],[Date Run]]</f>
        <v>0</v>
      </c>
    </row>
    <row r="455" spans="1:7" hidden="1" x14ac:dyDescent="0.25">
      <c r="A455" t="str" cm="1">
        <f t="array" ref="A455">IF(ISBLANK(INDEX(SampleList[ICP],ROW()-1)),"Not Requested",INDEX(SampleList[Experiment ID],ROW()-1))</f>
        <v>Not Requested</v>
      </c>
      <c r="B455">
        <f>Sampling!E453</f>
        <v>0</v>
      </c>
      <c r="E455" t="str">
        <f>ICPList[[#This Row],[Experiment ID]]&amp;"_Day"&amp;ICPList[[#This Row],[Duration (Days)]]&amp;"_"&amp;ICPList[[#This Row],[Dilution]]&amp;"x"</f>
        <v>Not Requested_Day0_x</v>
      </c>
      <c r="F455">
        <f>NMRResults[[#This Row],['#]]</f>
        <v>0</v>
      </c>
      <c r="G455" s="1">
        <f>NMRResults[[#This Row],[Date Run]]</f>
        <v>0</v>
      </c>
    </row>
    <row r="456" spans="1:7" hidden="1" x14ac:dyDescent="0.25">
      <c r="A456" t="str" cm="1">
        <f t="array" ref="A456">IF(ISBLANK(INDEX(SampleList[ICP],ROW()-1)),"Not Requested",INDEX(SampleList[Experiment ID],ROW()-1))</f>
        <v>Not Requested</v>
      </c>
      <c r="B456">
        <f>Sampling!E454</f>
        <v>0</v>
      </c>
      <c r="E456" t="str">
        <f>ICPList[[#This Row],[Experiment ID]]&amp;"_Day"&amp;ICPList[[#This Row],[Duration (Days)]]&amp;"_"&amp;ICPList[[#This Row],[Dilution]]&amp;"x"</f>
        <v>Not Requested_Day0_x</v>
      </c>
      <c r="F456">
        <f>NMRResults[[#This Row],['#]]</f>
        <v>0</v>
      </c>
      <c r="G456" s="1">
        <f>NMRResults[[#This Row],[Date Run]]</f>
        <v>0</v>
      </c>
    </row>
    <row r="457" spans="1:7" hidden="1" x14ac:dyDescent="0.25">
      <c r="A457" t="str" cm="1">
        <f t="array" ref="A457">IF(ISBLANK(INDEX(SampleList[ICP],ROW()-1)),"Not Requested",INDEX(SampleList[Experiment ID],ROW()-1))</f>
        <v>Not Requested</v>
      </c>
      <c r="B457">
        <f>Sampling!E455</f>
        <v>0</v>
      </c>
      <c r="E457" t="str">
        <f>ICPList[[#This Row],[Experiment ID]]&amp;"_Day"&amp;ICPList[[#This Row],[Duration (Days)]]&amp;"_"&amp;ICPList[[#This Row],[Dilution]]&amp;"x"</f>
        <v>Not Requested_Day0_x</v>
      </c>
      <c r="F457">
        <f>NMRResults[[#This Row],['#]]</f>
        <v>0</v>
      </c>
      <c r="G457" s="1">
        <f>NMRResults[[#This Row],[Date Run]]</f>
        <v>0</v>
      </c>
    </row>
    <row r="458" spans="1:7" hidden="1" x14ac:dyDescent="0.25">
      <c r="A458" t="str" cm="1">
        <f t="array" ref="A458">IF(ISBLANK(INDEX(SampleList[ICP],ROW()-1)),"Not Requested",INDEX(SampleList[Experiment ID],ROW()-1))</f>
        <v>Not Requested</v>
      </c>
      <c r="B458">
        <f>Sampling!E456</f>
        <v>0</v>
      </c>
      <c r="E458" t="str">
        <f>ICPList[[#This Row],[Experiment ID]]&amp;"_Day"&amp;ICPList[[#This Row],[Duration (Days)]]&amp;"_"&amp;ICPList[[#This Row],[Dilution]]&amp;"x"</f>
        <v>Not Requested_Day0_x</v>
      </c>
      <c r="F458">
        <f>NMRResults[[#This Row],['#]]</f>
        <v>0</v>
      </c>
      <c r="G458" s="1">
        <f>NMRResults[[#This Row],[Date Run]]</f>
        <v>0</v>
      </c>
    </row>
    <row r="459" spans="1:7" hidden="1" x14ac:dyDescent="0.25">
      <c r="A459" t="str" cm="1">
        <f t="array" ref="A459">IF(ISBLANK(INDEX(SampleList[ICP],ROW()-1)),"Not Requested",INDEX(SampleList[Experiment ID],ROW()-1))</f>
        <v>Not Requested</v>
      </c>
      <c r="B459">
        <f>Sampling!E457</f>
        <v>0</v>
      </c>
      <c r="E459" t="str">
        <f>ICPList[[#This Row],[Experiment ID]]&amp;"_Day"&amp;ICPList[[#This Row],[Duration (Days)]]&amp;"_"&amp;ICPList[[#This Row],[Dilution]]&amp;"x"</f>
        <v>Not Requested_Day0_x</v>
      </c>
      <c r="F459">
        <f>NMRResults[[#This Row],['#]]</f>
        <v>0</v>
      </c>
      <c r="G459" s="1">
        <f>NMRResults[[#This Row],[Date Run]]</f>
        <v>0</v>
      </c>
    </row>
    <row r="460" spans="1:7" hidden="1" x14ac:dyDescent="0.25">
      <c r="A460" t="str" cm="1">
        <f t="array" ref="A460">IF(ISBLANK(INDEX(SampleList[ICP],ROW()-1)),"Not Requested",INDEX(SampleList[Experiment ID],ROW()-1))</f>
        <v>Not Requested</v>
      </c>
      <c r="B460">
        <f>Sampling!E458</f>
        <v>0</v>
      </c>
      <c r="E460" t="str">
        <f>ICPList[[#This Row],[Experiment ID]]&amp;"_Day"&amp;ICPList[[#This Row],[Duration (Days)]]&amp;"_"&amp;ICPList[[#This Row],[Dilution]]&amp;"x"</f>
        <v>Not Requested_Day0_x</v>
      </c>
      <c r="F460">
        <f>NMRResults[[#This Row],['#]]</f>
        <v>0</v>
      </c>
      <c r="G460" s="1">
        <f>NMRResults[[#This Row],[Date Run]]</f>
        <v>0</v>
      </c>
    </row>
    <row r="461" spans="1:7" hidden="1" x14ac:dyDescent="0.25">
      <c r="A461" t="str" cm="1">
        <f t="array" ref="A461">IF(ISBLANK(INDEX(SampleList[ICP],ROW()-1)),"Not Requested",INDEX(SampleList[Experiment ID],ROW()-1))</f>
        <v>Not Requested</v>
      </c>
      <c r="B461">
        <f>Sampling!E459</f>
        <v>0</v>
      </c>
      <c r="E461" t="str">
        <f>ICPList[[#This Row],[Experiment ID]]&amp;"_Day"&amp;ICPList[[#This Row],[Duration (Days)]]&amp;"_"&amp;ICPList[[#This Row],[Dilution]]&amp;"x"</f>
        <v>Not Requested_Day0_x</v>
      </c>
      <c r="F461">
        <f>NMRResults[[#This Row],['#]]</f>
        <v>0</v>
      </c>
      <c r="G461" s="1">
        <f>NMRResults[[#This Row],[Date Run]]</f>
        <v>0</v>
      </c>
    </row>
    <row r="462" spans="1:7" hidden="1" x14ac:dyDescent="0.25">
      <c r="A462" t="str" cm="1">
        <f t="array" ref="A462">IF(ISBLANK(INDEX(SampleList[ICP],ROW()-1)),"Not Requested",INDEX(SampleList[Experiment ID],ROW()-1))</f>
        <v>Not Requested</v>
      </c>
      <c r="B462">
        <f>Sampling!E460</f>
        <v>0</v>
      </c>
      <c r="E462" t="str">
        <f>ICPList[[#This Row],[Experiment ID]]&amp;"_Day"&amp;ICPList[[#This Row],[Duration (Days)]]&amp;"_"&amp;ICPList[[#This Row],[Dilution]]&amp;"x"</f>
        <v>Not Requested_Day0_x</v>
      </c>
      <c r="F462">
        <f>NMRResults[[#This Row],['#]]</f>
        <v>0</v>
      </c>
      <c r="G462" s="1">
        <f>NMRResults[[#This Row],[Date Run]]</f>
        <v>0</v>
      </c>
    </row>
    <row r="463" spans="1:7" hidden="1" x14ac:dyDescent="0.25">
      <c r="A463" t="str" cm="1">
        <f t="array" ref="A463">IF(ISBLANK(INDEX(SampleList[ICP],ROW()-1)),"Not Requested",INDEX(SampleList[Experiment ID],ROW()-1))</f>
        <v>Not Requested</v>
      </c>
      <c r="B463">
        <f>Sampling!E461</f>
        <v>0</v>
      </c>
      <c r="E463" t="str">
        <f>ICPList[[#This Row],[Experiment ID]]&amp;"_Day"&amp;ICPList[[#This Row],[Duration (Days)]]&amp;"_"&amp;ICPList[[#This Row],[Dilution]]&amp;"x"</f>
        <v>Not Requested_Day0_x</v>
      </c>
      <c r="F463">
        <f>NMRResults[[#This Row],['#]]</f>
        <v>0</v>
      </c>
      <c r="G463" s="1">
        <f>NMRResults[[#This Row],[Date Run]]</f>
        <v>0</v>
      </c>
    </row>
    <row r="464" spans="1:7" hidden="1" x14ac:dyDescent="0.25">
      <c r="A464" t="str" cm="1">
        <f t="array" ref="A464">IF(ISBLANK(INDEX(SampleList[ICP],ROW()-1)),"Not Requested",INDEX(SampleList[Experiment ID],ROW()-1))</f>
        <v>Not Requested</v>
      </c>
      <c r="B464">
        <f>Sampling!E462</f>
        <v>0</v>
      </c>
      <c r="E464" t="str">
        <f>ICPList[[#This Row],[Experiment ID]]&amp;"_Day"&amp;ICPList[[#This Row],[Duration (Days)]]&amp;"_"&amp;ICPList[[#This Row],[Dilution]]&amp;"x"</f>
        <v>Not Requested_Day0_x</v>
      </c>
      <c r="F464">
        <f>NMRResults[[#This Row],['#]]</f>
        <v>0</v>
      </c>
      <c r="G464" s="1">
        <f>NMRResults[[#This Row],[Date Run]]</f>
        <v>0</v>
      </c>
    </row>
    <row r="465" spans="1:7" hidden="1" x14ac:dyDescent="0.25">
      <c r="A465" t="str" cm="1">
        <f t="array" ref="A465">IF(ISBLANK(INDEX(SampleList[ICP],ROW()-1)),"Not Requested",INDEX(SampleList[Experiment ID],ROW()-1))</f>
        <v>Not Requested</v>
      </c>
      <c r="B465">
        <f>Sampling!E463</f>
        <v>0</v>
      </c>
      <c r="E465" t="str">
        <f>ICPList[[#This Row],[Experiment ID]]&amp;"_Day"&amp;ICPList[[#This Row],[Duration (Days)]]&amp;"_"&amp;ICPList[[#This Row],[Dilution]]&amp;"x"</f>
        <v>Not Requested_Day0_x</v>
      </c>
      <c r="F465">
        <f>NMRResults[[#This Row],['#]]</f>
        <v>0</v>
      </c>
      <c r="G465" s="1">
        <f>NMRResults[[#This Row],[Date Run]]</f>
        <v>0</v>
      </c>
    </row>
    <row r="466" spans="1:7" hidden="1" x14ac:dyDescent="0.25">
      <c r="A466" t="str" cm="1">
        <f t="array" ref="A466">IF(ISBLANK(INDEX(SampleList[ICP],ROW()-1)),"Not Requested",INDEX(SampleList[Experiment ID],ROW()-1))</f>
        <v>Not Requested</v>
      </c>
      <c r="B466">
        <f>Sampling!E464</f>
        <v>0</v>
      </c>
      <c r="E466" t="str">
        <f>ICPList[[#This Row],[Experiment ID]]&amp;"_Day"&amp;ICPList[[#This Row],[Duration (Days)]]&amp;"_"&amp;ICPList[[#This Row],[Dilution]]&amp;"x"</f>
        <v>Not Requested_Day0_x</v>
      </c>
      <c r="F466">
        <f>NMRResults[[#This Row],['#]]</f>
        <v>0</v>
      </c>
      <c r="G466" s="1">
        <f>NMRResults[[#This Row],[Date Run]]</f>
        <v>0</v>
      </c>
    </row>
    <row r="467" spans="1:7" hidden="1" x14ac:dyDescent="0.25">
      <c r="A467" t="str" cm="1">
        <f t="array" ref="A467">IF(ISBLANK(INDEX(SampleList[ICP],ROW()-1)),"Not Requested",INDEX(SampleList[Experiment ID],ROW()-1))</f>
        <v>Not Requested</v>
      </c>
      <c r="B467">
        <f>Sampling!E465</f>
        <v>0</v>
      </c>
      <c r="E467" t="str">
        <f>ICPList[[#This Row],[Experiment ID]]&amp;"_Day"&amp;ICPList[[#This Row],[Duration (Days)]]&amp;"_"&amp;ICPList[[#This Row],[Dilution]]&amp;"x"</f>
        <v>Not Requested_Day0_x</v>
      </c>
      <c r="F467">
        <f>NMRResults[[#This Row],['#]]</f>
        <v>0</v>
      </c>
      <c r="G467" s="1">
        <f>NMRResults[[#This Row],[Date Run]]</f>
        <v>0</v>
      </c>
    </row>
    <row r="468" spans="1:7" hidden="1" x14ac:dyDescent="0.25">
      <c r="A468" t="str" cm="1">
        <f t="array" ref="A468">IF(ISBLANK(INDEX(SampleList[ICP],ROW()-1)),"Not Requested",INDEX(SampleList[Experiment ID],ROW()-1))</f>
        <v>Not Requested</v>
      </c>
      <c r="B468">
        <f>Sampling!E466</f>
        <v>0</v>
      </c>
      <c r="E468" t="str">
        <f>ICPList[[#This Row],[Experiment ID]]&amp;"_Day"&amp;ICPList[[#This Row],[Duration (Days)]]&amp;"_"&amp;ICPList[[#This Row],[Dilution]]&amp;"x"</f>
        <v>Not Requested_Day0_x</v>
      </c>
      <c r="F468">
        <f>NMRResults[[#This Row],['#]]</f>
        <v>0</v>
      </c>
      <c r="G468" s="1">
        <f>NMRResults[[#This Row],[Date Run]]</f>
        <v>0</v>
      </c>
    </row>
    <row r="469" spans="1:7" hidden="1" x14ac:dyDescent="0.25">
      <c r="A469" t="str" cm="1">
        <f t="array" ref="A469">IF(ISBLANK(INDEX(SampleList[ICP],ROW()-1)),"Not Requested",INDEX(SampleList[Experiment ID],ROW()-1))</f>
        <v>Not Requested</v>
      </c>
      <c r="B469">
        <f>Sampling!E467</f>
        <v>0</v>
      </c>
      <c r="E469" t="str">
        <f>ICPList[[#This Row],[Experiment ID]]&amp;"_Day"&amp;ICPList[[#This Row],[Duration (Days)]]&amp;"_"&amp;ICPList[[#This Row],[Dilution]]&amp;"x"</f>
        <v>Not Requested_Day0_x</v>
      </c>
      <c r="F469">
        <f>NMRResults[[#This Row],['#]]</f>
        <v>0</v>
      </c>
      <c r="G469" s="1">
        <f>NMRResults[[#This Row],[Date Run]]</f>
        <v>0</v>
      </c>
    </row>
    <row r="470" spans="1:7" hidden="1" x14ac:dyDescent="0.25">
      <c r="A470" t="str" cm="1">
        <f t="array" ref="A470">IF(ISBLANK(INDEX(SampleList[ICP],ROW()-1)),"Not Requested",INDEX(SampleList[Experiment ID],ROW()-1))</f>
        <v>Not Requested</v>
      </c>
      <c r="B470">
        <f>Sampling!E468</f>
        <v>0</v>
      </c>
      <c r="E470" t="str">
        <f>ICPList[[#This Row],[Experiment ID]]&amp;"_Day"&amp;ICPList[[#This Row],[Duration (Days)]]&amp;"_"&amp;ICPList[[#This Row],[Dilution]]&amp;"x"</f>
        <v>Not Requested_Day0_x</v>
      </c>
      <c r="F470">
        <f>NMRResults[[#This Row],['#]]</f>
        <v>0</v>
      </c>
      <c r="G470" s="1">
        <f>NMRResults[[#This Row],[Date Run]]</f>
        <v>0</v>
      </c>
    </row>
    <row r="471" spans="1:7" hidden="1" x14ac:dyDescent="0.25">
      <c r="A471" t="str" cm="1">
        <f t="array" ref="A471">IF(ISBLANK(INDEX(SampleList[ICP],ROW()-1)),"Not Requested",INDEX(SampleList[Experiment ID],ROW()-1))</f>
        <v>Not Requested</v>
      </c>
      <c r="B471">
        <f>Sampling!E469</f>
        <v>0</v>
      </c>
      <c r="E471" t="str">
        <f>ICPList[[#This Row],[Experiment ID]]&amp;"_Day"&amp;ICPList[[#This Row],[Duration (Days)]]&amp;"_"&amp;ICPList[[#This Row],[Dilution]]&amp;"x"</f>
        <v>Not Requested_Day0_x</v>
      </c>
      <c r="F471">
        <f>NMRResults[[#This Row],['#]]</f>
        <v>0</v>
      </c>
      <c r="G471" s="1">
        <f>NMRResults[[#This Row],[Date Run]]</f>
        <v>0</v>
      </c>
    </row>
    <row r="472" spans="1:7" hidden="1" x14ac:dyDescent="0.25">
      <c r="A472" t="str" cm="1">
        <f t="array" ref="A472">IF(ISBLANK(INDEX(SampleList[ICP],ROW()-1)),"Not Requested",INDEX(SampleList[Experiment ID],ROW()-1))</f>
        <v>Not Requested</v>
      </c>
      <c r="B472">
        <f>Sampling!E470</f>
        <v>0</v>
      </c>
      <c r="E472" t="str">
        <f>ICPList[[#This Row],[Experiment ID]]&amp;"_Day"&amp;ICPList[[#This Row],[Duration (Days)]]&amp;"_"&amp;ICPList[[#This Row],[Dilution]]&amp;"x"</f>
        <v>Not Requested_Day0_x</v>
      </c>
      <c r="F472">
        <f>NMRResults[[#This Row],['#]]</f>
        <v>0</v>
      </c>
      <c r="G472" s="1">
        <f>NMRResults[[#This Row],[Date Run]]</f>
        <v>0</v>
      </c>
    </row>
    <row r="473" spans="1:7" hidden="1" x14ac:dyDescent="0.25">
      <c r="A473" t="str" cm="1">
        <f t="array" ref="A473">IF(ISBLANK(INDEX(SampleList[ICP],ROW()-1)),"Not Requested",INDEX(SampleList[Experiment ID],ROW()-1))</f>
        <v>Not Requested</v>
      </c>
      <c r="B473">
        <f>Sampling!E471</f>
        <v>0</v>
      </c>
      <c r="E473" t="str">
        <f>ICPList[[#This Row],[Experiment ID]]&amp;"_Day"&amp;ICPList[[#This Row],[Duration (Days)]]&amp;"_"&amp;ICPList[[#This Row],[Dilution]]&amp;"x"</f>
        <v>Not Requested_Day0_x</v>
      </c>
      <c r="F473">
        <f>NMRResults[[#This Row],['#]]</f>
        <v>0</v>
      </c>
      <c r="G473" s="1">
        <f>NMRResults[[#This Row],[Date Run]]</f>
        <v>0</v>
      </c>
    </row>
    <row r="474" spans="1:7" hidden="1" x14ac:dyDescent="0.25">
      <c r="A474" t="str" cm="1">
        <f t="array" ref="A474">IF(ISBLANK(INDEX(SampleList[ICP],ROW()-1)),"Not Requested",INDEX(SampleList[Experiment ID],ROW()-1))</f>
        <v>Not Requested</v>
      </c>
      <c r="B474">
        <f>Sampling!E472</f>
        <v>0</v>
      </c>
      <c r="E474" t="str">
        <f>ICPList[[#This Row],[Experiment ID]]&amp;"_Day"&amp;ICPList[[#This Row],[Duration (Days)]]&amp;"_"&amp;ICPList[[#This Row],[Dilution]]&amp;"x"</f>
        <v>Not Requested_Day0_x</v>
      </c>
      <c r="F474">
        <f>NMRResults[[#This Row],['#]]</f>
        <v>0</v>
      </c>
      <c r="G474" s="1">
        <f>NMRResults[[#This Row],[Date Run]]</f>
        <v>0</v>
      </c>
    </row>
    <row r="475" spans="1:7" hidden="1" x14ac:dyDescent="0.25">
      <c r="A475" t="str" cm="1">
        <f t="array" ref="A475">IF(ISBLANK(INDEX(SampleList[ICP],ROW()-1)),"Not Requested",INDEX(SampleList[Experiment ID],ROW()-1))</f>
        <v>Not Requested</v>
      </c>
      <c r="B475">
        <f>Sampling!E473</f>
        <v>0</v>
      </c>
      <c r="E475" t="str">
        <f>ICPList[[#This Row],[Experiment ID]]&amp;"_Day"&amp;ICPList[[#This Row],[Duration (Days)]]&amp;"_"&amp;ICPList[[#This Row],[Dilution]]&amp;"x"</f>
        <v>Not Requested_Day0_x</v>
      </c>
      <c r="F475">
        <f>NMRResults[[#This Row],['#]]</f>
        <v>0</v>
      </c>
      <c r="G475" s="1">
        <f>NMRResults[[#This Row],[Date Run]]</f>
        <v>0</v>
      </c>
    </row>
    <row r="476" spans="1:7" hidden="1" x14ac:dyDescent="0.25">
      <c r="A476" t="str" cm="1">
        <f t="array" ref="A476">IF(ISBLANK(INDEX(SampleList[ICP],ROW()-1)),"Not Requested",INDEX(SampleList[Experiment ID],ROW()-1))</f>
        <v>Not Requested</v>
      </c>
      <c r="B476">
        <f>Sampling!E474</f>
        <v>0</v>
      </c>
      <c r="E476" t="str">
        <f>ICPList[[#This Row],[Experiment ID]]&amp;"_Day"&amp;ICPList[[#This Row],[Duration (Days)]]&amp;"_"&amp;ICPList[[#This Row],[Dilution]]&amp;"x"</f>
        <v>Not Requested_Day0_x</v>
      </c>
      <c r="F476">
        <f>NMRResults[[#This Row],['#]]</f>
        <v>0</v>
      </c>
      <c r="G476" s="1">
        <f>NMRResults[[#This Row],[Date Run]]</f>
        <v>0</v>
      </c>
    </row>
    <row r="477" spans="1:7" hidden="1" x14ac:dyDescent="0.25">
      <c r="A477" t="str" cm="1">
        <f t="array" ref="A477">IF(ISBLANK(INDEX(SampleList[ICP],ROW()-1)),"Not Requested",INDEX(SampleList[Experiment ID],ROW()-1))</f>
        <v>Not Requested</v>
      </c>
      <c r="B477">
        <f>Sampling!E475</f>
        <v>0</v>
      </c>
      <c r="E477" t="str">
        <f>ICPList[[#This Row],[Experiment ID]]&amp;"_Day"&amp;ICPList[[#This Row],[Duration (Days)]]&amp;"_"&amp;ICPList[[#This Row],[Dilution]]&amp;"x"</f>
        <v>Not Requested_Day0_x</v>
      </c>
      <c r="F477">
        <f>NMRResults[[#This Row],['#]]</f>
        <v>0</v>
      </c>
      <c r="G477" s="1">
        <f>NMRResults[[#This Row],[Date Run]]</f>
        <v>0</v>
      </c>
    </row>
    <row r="478" spans="1:7" hidden="1" x14ac:dyDescent="0.25">
      <c r="A478" t="str" cm="1">
        <f t="array" ref="A478">IF(ISBLANK(INDEX(SampleList[ICP],ROW()-1)),"Not Requested",INDEX(SampleList[Experiment ID],ROW()-1))</f>
        <v>Not Requested</v>
      </c>
      <c r="B478">
        <f>Sampling!E476</f>
        <v>0</v>
      </c>
      <c r="E478" t="str">
        <f>ICPList[[#This Row],[Experiment ID]]&amp;"_Day"&amp;ICPList[[#This Row],[Duration (Days)]]&amp;"_"&amp;ICPList[[#This Row],[Dilution]]&amp;"x"</f>
        <v>Not Requested_Day0_x</v>
      </c>
      <c r="F478">
        <f>NMRResults[[#This Row],['#]]</f>
        <v>0</v>
      </c>
      <c r="G478" s="1">
        <f>NMRResults[[#This Row],[Date Run]]</f>
        <v>0</v>
      </c>
    </row>
    <row r="479" spans="1:7" hidden="1" x14ac:dyDescent="0.25">
      <c r="A479" t="str" cm="1">
        <f t="array" ref="A479">IF(ISBLANK(INDEX(SampleList[ICP],ROW()-1)),"Not Requested",INDEX(SampleList[Experiment ID],ROW()-1))</f>
        <v>Not Requested</v>
      </c>
      <c r="B479">
        <f>Sampling!E477</f>
        <v>0</v>
      </c>
      <c r="E479" t="str">
        <f>ICPList[[#This Row],[Experiment ID]]&amp;"_Day"&amp;ICPList[[#This Row],[Duration (Days)]]&amp;"_"&amp;ICPList[[#This Row],[Dilution]]&amp;"x"</f>
        <v>Not Requested_Day0_x</v>
      </c>
      <c r="F479">
        <f>NMRResults[[#This Row],['#]]</f>
        <v>0</v>
      </c>
      <c r="G479" s="1">
        <f>NMRResults[[#This Row],[Date Run]]</f>
        <v>0</v>
      </c>
    </row>
    <row r="480" spans="1:7" hidden="1" x14ac:dyDescent="0.25">
      <c r="A480" t="str" cm="1">
        <f t="array" ref="A480">IF(ISBLANK(INDEX(SampleList[ICP],ROW()-1)),"Not Requested",INDEX(SampleList[Experiment ID],ROW()-1))</f>
        <v>Not Requested</v>
      </c>
      <c r="B480">
        <f>Sampling!E478</f>
        <v>0</v>
      </c>
      <c r="E480" t="str">
        <f>ICPList[[#This Row],[Experiment ID]]&amp;"_Day"&amp;ICPList[[#This Row],[Duration (Days)]]&amp;"_"&amp;ICPList[[#This Row],[Dilution]]&amp;"x"</f>
        <v>Not Requested_Day0_x</v>
      </c>
      <c r="F480">
        <f>NMRResults[[#This Row],['#]]</f>
        <v>0</v>
      </c>
      <c r="G480" s="1">
        <f>NMRResults[[#This Row],[Date Run]]</f>
        <v>0</v>
      </c>
    </row>
    <row r="481" spans="1:7" hidden="1" x14ac:dyDescent="0.25">
      <c r="A481" t="str" cm="1">
        <f t="array" ref="A481">IF(ISBLANK(INDEX(SampleList[ICP],ROW()-1)),"Not Requested",INDEX(SampleList[Experiment ID],ROW()-1))</f>
        <v>Not Requested</v>
      </c>
      <c r="B481">
        <f>Sampling!E479</f>
        <v>0</v>
      </c>
      <c r="E481" t="str">
        <f>ICPList[[#This Row],[Experiment ID]]&amp;"_Day"&amp;ICPList[[#This Row],[Duration (Days)]]&amp;"_"&amp;ICPList[[#This Row],[Dilution]]&amp;"x"</f>
        <v>Not Requested_Day0_x</v>
      </c>
      <c r="F481">
        <f>NMRResults[[#This Row],['#]]</f>
        <v>0</v>
      </c>
      <c r="G481" s="1">
        <f>NMRResults[[#This Row],[Date Run]]</f>
        <v>0</v>
      </c>
    </row>
    <row r="482" spans="1:7" hidden="1" x14ac:dyDescent="0.25">
      <c r="A482" t="str" cm="1">
        <f t="array" ref="A482">IF(ISBLANK(INDEX(SampleList[ICP],ROW()-1)),"Not Requested",INDEX(SampleList[Experiment ID],ROW()-1))</f>
        <v>Not Requested</v>
      </c>
      <c r="B482">
        <f>Sampling!E480</f>
        <v>0</v>
      </c>
      <c r="E482" t="str">
        <f>ICPList[[#This Row],[Experiment ID]]&amp;"_Day"&amp;ICPList[[#This Row],[Duration (Days)]]&amp;"_"&amp;ICPList[[#This Row],[Dilution]]&amp;"x"</f>
        <v>Not Requested_Day0_x</v>
      </c>
      <c r="F482">
        <f>NMRResults[[#This Row],['#]]</f>
        <v>0</v>
      </c>
      <c r="G482" s="1">
        <f>NMRResults[[#This Row],[Date Run]]</f>
        <v>0</v>
      </c>
    </row>
    <row r="483" spans="1:7" hidden="1" x14ac:dyDescent="0.25">
      <c r="A483" t="str" cm="1">
        <f t="array" ref="A483">IF(ISBLANK(INDEX(SampleList[ICP],ROW()-1)),"Not Requested",INDEX(SampleList[Experiment ID],ROW()-1))</f>
        <v>Not Requested</v>
      </c>
      <c r="B483">
        <f>Sampling!E481</f>
        <v>0</v>
      </c>
      <c r="E483" t="str">
        <f>ICPList[[#This Row],[Experiment ID]]&amp;"_Day"&amp;ICPList[[#This Row],[Duration (Days)]]&amp;"_"&amp;ICPList[[#This Row],[Dilution]]&amp;"x"</f>
        <v>Not Requested_Day0_x</v>
      </c>
      <c r="F483">
        <f>NMRResults[[#This Row],['#]]</f>
        <v>0</v>
      </c>
      <c r="G483" s="1">
        <f>NMRResults[[#This Row],[Date Run]]</f>
        <v>0</v>
      </c>
    </row>
    <row r="484" spans="1:7" hidden="1" x14ac:dyDescent="0.25">
      <c r="A484" t="str" cm="1">
        <f t="array" ref="A484">IF(ISBLANK(INDEX(SampleList[ICP],ROW()-1)),"Not Requested",INDEX(SampleList[Experiment ID],ROW()-1))</f>
        <v>Not Requested</v>
      </c>
      <c r="B484">
        <f>Sampling!E482</f>
        <v>0</v>
      </c>
      <c r="E484" t="str">
        <f>ICPList[[#This Row],[Experiment ID]]&amp;"_Day"&amp;ICPList[[#This Row],[Duration (Days)]]&amp;"_"&amp;ICPList[[#This Row],[Dilution]]&amp;"x"</f>
        <v>Not Requested_Day0_x</v>
      </c>
      <c r="F484">
        <f>NMRResults[[#This Row],['#]]</f>
        <v>0</v>
      </c>
      <c r="G484" s="1">
        <f>NMRResults[[#This Row],[Date Run]]</f>
        <v>0</v>
      </c>
    </row>
    <row r="485" spans="1:7" hidden="1" x14ac:dyDescent="0.25">
      <c r="A485" t="str" cm="1">
        <f t="array" ref="A485">IF(ISBLANK(INDEX(SampleList[ICP],ROW()-1)),"Not Requested",INDEX(SampleList[Experiment ID],ROW()-1))</f>
        <v>Not Requested</v>
      </c>
      <c r="B485">
        <f>Sampling!E483</f>
        <v>0</v>
      </c>
      <c r="E485" t="str">
        <f>ICPList[[#This Row],[Experiment ID]]&amp;"_Day"&amp;ICPList[[#This Row],[Duration (Days)]]&amp;"_"&amp;ICPList[[#This Row],[Dilution]]&amp;"x"</f>
        <v>Not Requested_Day0_x</v>
      </c>
      <c r="F485">
        <f>NMRResults[[#This Row],['#]]</f>
        <v>0</v>
      </c>
      <c r="G485" s="1">
        <f>NMRResults[[#This Row],[Date Run]]</f>
        <v>0</v>
      </c>
    </row>
    <row r="486" spans="1:7" hidden="1" x14ac:dyDescent="0.25">
      <c r="A486" t="str" cm="1">
        <f t="array" ref="A486">IF(ISBLANK(INDEX(SampleList[ICP],ROW()-1)),"Not Requested",INDEX(SampleList[Experiment ID],ROW()-1))</f>
        <v>Not Requested</v>
      </c>
      <c r="B486">
        <f>Sampling!E484</f>
        <v>0</v>
      </c>
      <c r="E486" t="str">
        <f>ICPList[[#This Row],[Experiment ID]]&amp;"_Day"&amp;ICPList[[#This Row],[Duration (Days)]]&amp;"_"&amp;ICPList[[#This Row],[Dilution]]&amp;"x"</f>
        <v>Not Requested_Day0_x</v>
      </c>
      <c r="F486">
        <f>NMRResults[[#This Row],['#]]</f>
        <v>0</v>
      </c>
      <c r="G486" s="1">
        <f>NMRResults[[#This Row],[Date Run]]</f>
        <v>0</v>
      </c>
    </row>
    <row r="487" spans="1:7" hidden="1" x14ac:dyDescent="0.25">
      <c r="A487" t="str" cm="1">
        <f t="array" ref="A487">IF(ISBLANK(INDEX(SampleList[ICP],ROW()-1)),"Not Requested",INDEX(SampleList[Experiment ID],ROW()-1))</f>
        <v>Not Requested</v>
      </c>
      <c r="B487">
        <f>Sampling!E485</f>
        <v>0</v>
      </c>
      <c r="E487" t="str">
        <f>ICPList[[#This Row],[Experiment ID]]&amp;"_Day"&amp;ICPList[[#This Row],[Duration (Days)]]&amp;"_"&amp;ICPList[[#This Row],[Dilution]]&amp;"x"</f>
        <v>Not Requested_Day0_x</v>
      </c>
      <c r="F487">
        <f>NMRResults[[#This Row],['#]]</f>
        <v>0</v>
      </c>
      <c r="G487" s="1">
        <f>NMRResults[[#This Row],[Date Run]]</f>
        <v>0</v>
      </c>
    </row>
    <row r="488" spans="1:7" hidden="1" x14ac:dyDescent="0.25">
      <c r="A488" t="str" cm="1">
        <f t="array" ref="A488">IF(ISBLANK(INDEX(SampleList[ICP],ROW()-1)),"Not Requested",INDEX(SampleList[Experiment ID],ROW()-1))</f>
        <v>Not Requested</v>
      </c>
      <c r="B488">
        <f>Sampling!E486</f>
        <v>0</v>
      </c>
      <c r="E488" t="str">
        <f>ICPList[[#This Row],[Experiment ID]]&amp;"_Day"&amp;ICPList[[#This Row],[Duration (Days)]]&amp;"_"&amp;ICPList[[#This Row],[Dilution]]&amp;"x"</f>
        <v>Not Requested_Day0_x</v>
      </c>
      <c r="F488">
        <f>NMRResults[[#This Row],['#]]</f>
        <v>0</v>
      </c>
      <c r="G488" s="1">
        <f>NMRResults[[#This Row],[Date Run]]</f>
        <v>0</v>
      </c>
    </row>
    <row r="489" spans="1:7" hidden="1" x14ac:dyDescent="0.25">
      <c r="A489" t="str" cm="1">
        <f t="array" ref="A489">IF(ISBLANK(INDEX(SampleList[ICP],ROW()-1)),"Not Requested",INDEX(SampleList[Experiment ID],ROW()-1))</f>
        <v>Not Requested</v>
      </c>
      <c r="B489">
        <f>Sampling!E487</f>
        <v>0</v>
      </c>
      <c r="E489" t="str">
        <f>ICPList[[#This Row],[Experiment ID]]&amp;"_Day"&amp;ICPList[[#This Row],[Duration (Days)]]&amp;"_"&amp;ICPList[[#This Row],[Dilution]]&amp;"x"</f>
        <v>Not Requested_Day0_x</v>
      </c>
      <c r="F489">
        <f>NMRResults[[#This Row],['#]]</f>
        <v>0</v>
      </c>
      <c r="G489" s="1">
        <f>NMRResults[[#This Row],[Date Run]]</f>
        <v>0</v>
      </c>
    </row>
    <row r="490" spans="1:7" hidden="1" x14ac:dyDescent="0.25">
      <c r="A490" t="str" cm="1">
        <f t="array" ref="A490">IF(ISBLANK(INDEX(SampleList[ICP],ROW()-1)),"Not Requested",INDEX(SampleList[Experiment ID],ROW()-1))</f>
        <v>Not Requested</v>
      </c>
      <c r="B490">
        <f>Sampling!E488</f>
        <v>0</v>
      </c>
      <c r="E490" t="str">
        <f>ICPList[[#This Row],[Experiment ID]]&amp;"_Day"&amp;ICPList[[#This Row],[Duration (Days)]]&amp;"_"&amp;ICPList[[#This Row],[Dilution]]&amp;"x"</f>
        <v>Not Requested_Day0_x</v>
      </c>
      <c r="F490">
        <f>NMRResults[[#This Row],['#]]</f>
        <v>0</v>
      </c>
      <c r="G490" s="1">
        <f>NMRResults[[#This Row],[Date Run]]</f>
        <v>0</v>
      </c>
    </row>
    <row r="491" spans="1:7" hidden="1" x14ac:dyDescent="0.25">
      <c r="A491" t="str" cm="1">
        <f t="array" ref="A491">IF(ISBLANK(INDEX(SampleList[ICP],ROW()-1)),"Not Requested",INDEX(SampleList[Experiment ID],ROW()-1))</f>
        <v>Not Requested</v>
      </c>
      <c r="B491">
        <f>Sampling!E489</f>
        <v>0</v>
      </c>
      <c r="E491" t="str">
        <f>ICPList[[#This Row],[Experiment ID]]&amp;"_Day"&amp;ICPList[[#This Row],[Duration (Days)]]&amp;"_"&amp;ICPList[[#This Row],[Dilution]]&amp;"x"</f>
        <v>Not Requested_Day0_x</v>
      </c>
      <c r="F491">
        <f>NMRResults[[#This Row],['#]]</f>
        <v>0</v>
      </c>
      <c r="G491" s="1">
        <f>NMRResults[[#This Row],[Date Run]]</f>
        <v>0</v>
      </c>
    </row>
    <row r="492" spans="1:7" hidden="1" x14ac:dyDescent="0.25">
      <c r="A492" t="str" cm="1">
        <f t="array" ref="A492">IF(ISBLANK(INDEX(SampleList[ICP],ROW()-1)),"Not Requested",INDEX(SampleList[Experiment ID],ROW()-1))</f>
        <v>Not Requested</v>
      </c>
      <c r="B492">
        <f>Sampling!E490</f>
        <v>0</v>
      </c>
      <c r="E492" t="str">
        <f>ICPList[[#This Row],[Experiment ID]]&amp;"_Day"&amp;ICPList[[#This Row],[Duration (Days)]]&amp;"_"&amp;ICPList[[#This Row],[Dilution]]&amp;"x"</f>
        <v>Not Requested_Day0_x</v>
      </c>
      <c r="F492">
        <f>NMRResults[[#This Row],['#]]</f>
        <v>0</v>
      </c>
      <c r="G492" s="1">
        <f>NMRResults[[#This Row],[Date Run]]</f>
        <v>0</v>
      </c>
    </row>
    <row r="493" spans="1:7" hidden="1" x14ac:dyDescent="0.25">
      <c r="A493" t="str" cm="1">
        <f t="array" ref="A493">IF(ISBLANK(INDEX(SampleList[ICP],ROW()-1)),"Not Requested",INDEX(SampleList[Experiment ID],ROW()-1))</f>
        <v>Not Requested</v>
      </c>
      <c r="B493">
        <f>Sampling!E491</f>
        <v>0</v>
      </c>
      <c r="E493" t="str">
        <f>ICPList[[#This Row],[Experiment ID]]&amp;"_Day"&amp;ICPList[[#This Row],[Duration (Days)]]&amp;"_"&amp;ICPList[[#This Row],[Dilution]]&amp;"x"</f>
        <v>Not Requested_Day0_x</v>
      </c>
      <c r="F493">
        <f>NMRResults[[#This Row],['#]]</f>
        <v>0</v>
      </c>
      <c r="G493" s="1">
        <f>NMRResults[[#This Row],[Date Run]]</f>
        <v>0</v>
      </c>
    </row>
    <row r="494" spans="1:7" hidden="1" x14ac:dyDescent="0.25">
      <c r="A494" t="str" cm="1">
        <f t="array" ref="A494">IF(ISBLANK(INDEX(SampleList[ICP],ROW()-1)),"Not Requested",INDEX(SampleList[Experiment ID],ROW()-1))</f>
        <v>Not Requested</v>
      </c>
      <c r="B494">
        <f>Sampling!E492</f>
        <v>0</v>
      </c>
      <c r="E494" t="str">
        <f>ICPList[[#This Row],[Experiment ID]]&amp;"_Day"&amp;ICPList[[#This Row],[Duration (Days)]]&amp;"_"&amp;ICPList[[#This Row],[Dilution]]&amp;"x"</f>
        <v>Not Requested_Day0_x</v>
      </c>
      <c r="F494">
        <f>NMRResults[[#This Row],['#]]</f>
        <v>0</v>
      </c>
      <c r="G494" s="1">
        <f>NMRResults[[#This Row],[Date Run]]</f>
        <v>0</v>
      </c>
    </row>
    <row r="495" spans="1:7" hidden="1" x14ac:dyDescent="0.25">
      <c r="A495" t="str" cm="1">
        <f t="array" ref="A495">IF(ISBLANK(INDEX(SampleList[ICP],ROW()-1)),"Not Requested",INDEX(SampleList[Experiment ID],ROW()-1))</f>
        <v>Not Requested</v>
      </c>
      <c r="B495">
        <f>Sampling!E493</f>
        <v>0</v>
      </c>
      <c r="E495" t="str">
        <f>ICPList[[#This Row],[Experiment ID]]&amp;"_Day"&amp;ICPList[[#This Row],[Duration (Days)]]&amp;"_"&amp;ICPList[[#This Row],[Dilution]]&amp;"x"</f>
        <v>Not Requested_Day0_x</v>
      </c>
      <c r="F495">
        <f>NMRResults[[#This Row],['#]]</f>
        <v>0</v>
      </c>
      <c r="G495" s="1">
        <f>NMRResults[[#This Row],[Date Run]]</f>
        <v>0</v>
      </c>
    </row>
    <row r="496" spans="1:7" hidden="1" x14ac:dyDescent="0.25">
      <c r="A496" t="str" cm="1">
        <f t="array" ref="A496">IF(ISBLANK(INDEX(SampleList[ICP],ROW()-1)),"Not Requested",INDEX(SampleList[Experiment ID],ROW()-1))</f>
        <v>Not Requested</v>
      </c>
      <c r="B496">
        <f>Sampling!E494</f>
        <v>0</v>
      </c>
      <c r="E496" t="str">
        <f>ICPList[[#This Row],[Experiment ID]]&amp;"_Day"&amp;ICPList[[#This Row],[Duration (Days)]]&amp;"_"&amp;ICPList[[#This Row],[Dilution]]&amp;"x"</f>
        <v>Not Requested_Day0_x</v>
      </c>
      <c r="F496">
        <f>NMRResults[[#This Row],['#]]</f>
        <v>0</v>
      </c>
      <c r="G496" s="1">
        <f>NMRResults[[#This Row],[Date Run]]</f>
        <v>0</v>
      </c>
    </row>
    <row r="497" spans="1:7" hidden="1" x14ac:dyDescent="0.25">
      <c r="A497" t="str" cm="1">
        <f t="array" ref="A497">IF(ISBLANK(INDEX(SampleList[ICP],ROW()-1)),"Not Requested",INDEX(SampleList[Experiment ID],ROW()-1))</f>
        <v>Not Requested</v>
      </c>
      <c r="B497">
        <f>Sampling!E495</f>
        <v>0</v>
      </c>
      <c r="E497" t="str">
        <f>ICPList[[#This Row],[Experiment ID]]&amp;"_Day"&amp;ICPList[[#This Row],[Duration (Days)]]&amp;"_"&amp;ICPList[[#This Row],[Dilution]]&amp;"x"</f>
        <v>Not Requested_Day0_x</v>
      </c>
      <c r="F497">
        <f>NMRResults[[#This Row],['#]]</f>
        <v>0</v>
      </c>
      <c r="G497" s="1">
        <f>NMRResults[[#This Row],[Date Run]]</f>
        <v>0</v>
      </c>
    </row>
    <row r="498" spans="1:7" hidden="1" x14ac:dyDescent="0.25">
      <c r="A498" t="str" cm="1">
        <f t="array" ref="A498">IF(ISBLANK(INDEX(SampleList[ICP],ROW()-1)),"Not Requested",INDEX(SampleList[Experiment ID],ROW()-1))</f>
        <v>Not Requested</v>
      </c>
      <c r="B498">
        <f>Sampling!E496</f>
        <v>0</v>
      </c>
      <c r="E498" t="str">
        <f>ICPList[[#This Row],[Experiment ID]]&amp;"_Day"&amp;ICPList[[#This Row],[Duration (Days)]]&amp;"_"&amp;ICPList[[#This Row],[Dilution]]&amp;"x"</f>
        <v>Not Requested_Day0_x</v>
      </c>
      <c r="F498">
        <f>NMRResults[[#This Row],['#]]</f>
        <v>0</v>
      </c>
      <c r="G498" s="1">
        <f>NMRResults[[#This Row],[Date Run]]</f>
        <v>0</v>
      </c>
    </row>
    <row r="499" spans="1:7" hidden="1" x14ac:dyDescent="0.25">
      <c r="A499" t="str" cm="1">
        <f t="array" ref="A499">IF(ISBLANK(INDEX(SampleList[ICP],ROW()-1)),"Not Requested",INDEX(SampleList[Experiment ID],ROW()-1))</f>
        <v>Not Requested</v>
      </c>
      <c r="B499">
        <f>Sampling!E497</f>
        <v>0</v>
      </c>
      <c r="E499" t="str">
        <f>ICPList[[#This Row],[Experiment ID]]&amp;"_Day"&amp;ICPList[[#This Row],[Duration (Days)]]&amp;"_"&amp;ICPList[[#This Row],[Dilution]]&amp;"x"</f>
        <v>Not Requested_Day0_x</v>
      </c>
      <c r="F499">
        <f>NMRResults[[#This Row],['#]]</f>
        <v>0</v>
      </c>
      <c r="G499" s="1">
        <f>NMRResults[[#This Row],[Date Run]]</f>
        <v>0</v>
      </c>
    </row>
    <row r="500" spans="1:7" hidden="1" x14ac:dyDescent="0.25">
      <c r="A500" t="str" cm="1">
        <f t="array" ref="A500">IF(ISBLANK(INDEX(SampleList[ICP],ROW()-1)),"Not Requested",INDEX(SampleList[Experiment ID],ROW()-1))</f>
        <v>Not Requested</v>
      </c>
      <c r="B500">
        <f>Sampling!E498</f>
        <v>0</v>
      </c>
      <c r="E500" t="str">
        <f>ICPList[[#This Row],[Experiment ID]]&amp;"_Day"&amp;ICPList[[#This Row],[Duration (Days)]]&amp;"_"&amp;ICPList[[#This Row],[Dilution]]&amp;"x"</f>
        <v>Not Requested_Day0_x</v>
      </c>
      <c r="F500">
        <f>NMRResults[[#This Row],['#]]</f>
        <v>0</v>
      </c>
      <c r="G500" s="1">
        <f>NMRResults[[#This Row],[Date Run]]</f>
        <v>0</v>
      </c>
    </row>
    <row r="501" spans="1:7" hidden="1" x14ac:dyDescent="0.25">
      <c r="A501" t="str" cm="1">
        <f t="array" ref="A501">IF(ISBLANK(INDEX(SampleList[ICP],ROW()-1)),"Not Requested",INDEX(SampleList[Experiment ID],ROW()-1))</f>
        <v>Not Requested</v>
      </c>
      <c r="B501">
        <f>Sampling!E499</f>
        <v>0</v>
      </c>
      <c r="E501" t="str">
        <f>ICPList[[#This Row],[Experiment ID]]&amp;"_Day"&amp;ICPList[[#This Row],[Duration (Days)]]&amp;"_"&amp;ICPList[[#This Row],[Dilution]]&amp;"x"</f>
        <v>Not Requested_Day0_x</v>
      </c>
      <c r="F501">
        <f>NMRResults[[#This Row],['#]]</f>
        <v>0</v>
      </c>
      <c r="G501" s="1">
        <f>NMRResults[[#This Row],[Date Run]]</f>
        <v>0</v>
      </c>
    </row>
    <row r="502" spans="1:7" hidden="1" x14ac:dyDescent="0.25">
      <c r="A502" t="str" cm="1">
        <f t="array" ref="A502">IF(ISBLANK(INDEX(SampleList[ICP],ROW()-1)),"Not Requested",INDEX(SampleList[Experiment ID],ROW()-1))</f>
        <v>Not Requested</v>
      </c>
      <c r="B502">
        <f>Sampling!E500</f>
        <v>0</v>
      </c>
      <c r="E502" t="str">
        <f>ICPList[[#This Row],[Experiment ID]]&amp;"_Day"&amp;ICPList[[#This Row],[Duration (Days)]]&amp;"_"&amp;ICPList[[#This Row],[Dilution]]&amp;"x"</f>
        <v>Not Requested_Day0_x</v>
      </c>
      <c r="F502">
        <f>NMRResults[[#This Row],['#]]</f>
        <v>0</v>
      </c>
      <c r="G502" s="1">
        <f>NMRResults[[#This Row],[Date Run]]</f>
        <v>0</v>
      </c>
    </row>
    <row r="503" spans="1:7" hidden="1" x14ac:dyDescent="0.25">
      <c r="A503" t="str" cm="1">
        <f t="array" ref="A503">IF(ISBLANK(INDEX(SampleList[ICP],ROW()-1)),"Not Requested",INDEX(SampleList[Experiment ID],ROW()-1))</f>
        <v>Not Requested</v>
      </c>
      <c r="B503">
        <f>Sampling!E501</f>
        <v>0</v>
      </c>
      <c r="E503" t="str">
        <f>ICPList[[#This Row],[Experiment ID]]&amp;"_Day"&amp;ICPList[[#This Row],[Duration (Days)]]&amp;"_"&amp;ICPList[[#This Row],[Dilution]]&amp;"x"</f>
        <v>Not Requested_Day0_x</v>
      </c>
      <c r="F503">
        <f>NMRResults[[#This Row],['#]]</f>
        <v>0</v>
      </c>
      <c r="G503" s="1">
        <f>NMRResults[[#This Row],[Date Run]]</f>
        <v>0</v>
      </c>
    </row>
    <row r="504" spans="1:7" hidden="1" x14ac:dyDescent="0.25">
      <c r="A504" t="str" cm="1">
        <f t="array" ref="A504">IF(ISBLANK(INDEX(SampleList[ICP],ROW()-1)),"Not Requested",INDEX(SampleList[Experiment ID],ROW()-1))</f>
        <v>Not Requested</v>
      </c>
      <c r="B504">
        <f>Sampling!E502</f>
        <v>0</v>
      </c>
      <c r="E504" t="str">
        <f>ICPList[[#This Row],[Experiment ID]]&amp;"_Day"&amp;ICPList[[#This Row],[Duration (Days)]]&amp;"_"&amp;ICPList[[#This Row],[Dilution]]&amp;"x"</f>
        <v>Not Requested_Day0_x</v>
      </c>
      <c r="F504">
        <f>NMRResults[[#This Row],['#]]</f>
        <v>0</v>
      </c>
      <c r="G504" s="1">
        <f>NMRResults[[#This Row],[Date Run]]</f>
        <v>0</v>
      </c>
    </row>
    <row r="505" spans="1:7" hidden="1" x14ac:dyDescent="0.25">
      <c r="A505" t="str" cm="1">
        <f t="array" ref="A505">IF(ISBLANK(INDEX(SampleList[ICP],ROW()-1)),"Not Requested",INDEX(SampleList[Experiment ID],ROW()-1))</f>
        <v>Not Requested</v>
      </c>
      <c r="B505">
        <f>Sampling!E503</f>
        <v>0</v>
      </c>
      <c r="E505" t="str">
        <f>ICPList[[#This Row],[Experiment ID]]&amp;"_Day"&amp;ICPList[[#This Row],[Duration (Days)]]&amp;"_"&amp;ICPList[[#This Row],[Dilution]]&amp;"x"</f>
        <v>Not Requested_Day0_x</v>
      </c>
      <c r="F505">
        <f>NMRResults[[#This Row],['#]]</f>
        <v>0</v>
      </c>
      <c r="G505" s="1">
        <f>NMRResults[[#This Row],[Date Run]]</f>
        <v>0</v>
      </c>
    </row>
    <row r="506" spans="1:7" hidden="1" x14ac:dyDescent="0.25">
      <c r="A506" t="str" cm="1">
        <f t="array" ref="A506">IF(ISBLANK(INDEX(SampleList[ICP],ROW()-1)),"Not Requested",INDEX(SampleList[Experiment ID],ROW()-1))</f>
        <v>Not Requested</v>
      </c>
      <c r="B506">
        <f>Sampling!E504</f>
        <v>0</v>
      </c>
      <c r="E506" t="str">
        <f>ICPList[[#This Row],[Experiment ID]]&amp;"_Day"&amp;ICPList[[#This Row],[Duration (Days)]]&amp;"_"&amp;ICPList[[#This Row],[Dilution]]&amp;"x"</f>
        <v>Not Requested_Day0_x</v>
      </c>
      <c r="F506">
        <f>NMRResults[[#This Row],['#]]</f>
        <v>0</v>
      </c>
      <c r="G506" s="1">
        <f>NMRResults[[#This Row],[Date Run]]</f>
        <v>0</v>
      </c>
    </row>
    <row r="507" spans="1:7" hidden="1" x14ac:dyDescent="0.25">
      <c r="A507" t="str" cm="1">
        <f t="array" ref="A507">IF(ISBLANK(INDEX(SampleList[ICP],ROW()-1)),"Not Requested",INDEX(SampleList[Experiment ID],ROW()-1))</f>
        <v>Not Requested</v>
      </c>
      <c r="B507">
        <f>Sampling!E505</f>
        <v>0</v>
      </c>
      <c r="E507" t="str">
        <f>ICPList[[#This Row],[Experiment ID]]&amp;"_Day"&amp;ICPList[[#This Row],[Duration (Days)]]&amp;"_"&amp;ICPList[[#This Row],[Dilution]]&amp;"x"</f>
        <v>Not Requested_Day0_x</v>
      </c>
      <c r="F507">
        <f>NMRResults[[#This Row],['#]]</f>
        <v>0</v>
      </c>
      <c r="G507" s="1">
        <f>NMRResults[[#This Row],[Date Run]]</f>
        <v>0</v>
      </c>
    </row>
    <row r="508" spans="1:7" hidden="1" x14ac:dyDescent="0.25">
      <c r="A508" t="str" cm="1">
        <f t="array" ref="A508">IF(ISBLANK(INDEX(SampleList[ICP],ROW()-1)),"Not Requested",INDEX(SampleList[Experiment ID],ROW()-1))</f>
        <v>Not Requested</v>
      </c>
      <c r="B508">
        <f>Sampling!E506</f>
        <v>0</v>
      </c>
      <c r="E508" t="str">
        <f>ICPList[[#This Row],[Experiment ID]]&amp;"_Day"&amp;ICPList[[#This Row],[Duration (Days)]]&amp;"_"&amp;ICPList[[#This Row],[Dilution]]&amp;"x"</f>
        <v>Not Requested_Day0_x</v>
      </c>
      <c r="F508">
        <f>NMRResults[[#This Row],['#]]</f>
        <v>0</v>
      </c>
      <c r="G508" s="1">
        <f>NMRResults[[#This Row],[Date Run]]</f>
        <v>0</v>
      </c>
    </row>
    <row r="509" spans="1:7" hidden="1" x14ac:dyDescent="0.25">
      <c r="A509" t="str" cm="1">
        <f t="array" ref="A509">IF(ISBLANK(INDEX(SampleList[ICP],ROW()-1)),"Not Requested",INDEX(SampleList[Experiment ID],ROW()-1))</f>
        <v>Not Requested</v>
      </c>
      <c r="B509">
        <f>Sampling!E507</f>
        <v>0</v>
      </c>
      <c r="E509" t="str">
        <f>ICPList[[#This Row],[Experiment ID]]&amp;"_Day"&amp;ICPList[[#This Row],[Duration (Days)]]&amp;"_"&amp;ICPList[[#This Row],[Dilution]]&amp;"x"</f>
        <v>Not Requested_Day0_x</v>
      </c>
      <c r="F509">
        <f>NMRResults[[#This Row],['#]]</f>
        <v>0</v>
      </c>
      <c r="G509" s="1">
        <f>NMRResults[[#This Row],[Date Run]]</f>
        <v>0</v>
      </c>
    </row>
    <row r="510" spans="1:7" hidden="1" x14ac:dyDescent="0.25">
      <c r="A510" t="str" cm="1">
        <f t="array" ref="A510">IF(ISBLANK(INDEX(SampleList[ICP],ROW()-1)),"Not Requested",INDEX(SampleList[Experiment ID],ROW()-1))</f>
        <v>Not Requested</v>
      </c>
      <c r="B510">
        <f>Sampling!E508</f>
        <v>0</v>
      </c>
      <c r="E510" t="str">
        <f>ICPList[[#This Row],[Experiment ID]]&amp;"_Day"&amp;ICPList[[#This Row],[Duration (Days)]]&amp;"_"&amp;ICPList[[#This Row],[Dilution]]&amp;"x"</f>
        <v>Not Requested_Day0_x</v>
      </c>
      <c r="F510">
        <f>NMRResults[[#This Row],['#]]</f>
        <v>0</v>
      </c>
      <c r="G510" s="1">
        <f>NMRResults[[#This Row],[Date Run]]</f>
        <v>0</v>
      </c>
    </row>
    <row r="511" spans="1:7" hidden="1" x14ac:dyDescent="0.25">
      <c r="A511" t="str" cm="1">
        <f t="array" ref="A511">IF(ISBLANK(INDEX(SampleList[ICP],ROW()-1)),"Not Requested",INDEX(SampleList[Experiment ID],ROW()-1))</f>
        <v>Not Requested</v>
      </c>
      <c r="B511">
        <f>Sampling!E509</f>
        <v>0</v>
      </c>
      <c r="E511" t="str">
        <f>ICPList[[#This Row],[Experiment ID]]&amp;"_Day"&amp;ICPList[[#This Row],[Duration (Days)]]&amp;"_"&amp;ICPList[[#This Row],[Dilution]]&amp;"x"</f>
        <v>Not Requested_Day0_x</v>
      </c>
      <c r="F511">
        <f>NMRResults[[#This Row],['#]]</f>
        <v>0</v>
      </c>
      <c r="G511" s="1">
        <f>NMRResults[[#This Row],[Date Run]]</f>
        <v>0</v>
      </c>
    </row>
    <row r="512" spans="1:7" hidden="1" x14ac:dyDescent="0.25">
      <c r="A512" t="str" cm="1">
        <f t="array" ref="A512">IF(ISBLANK(INDEX(SampleList[ICP],ROW()-1)),"Not Requested",INDEX(SampleList[Experiment ID],ROW()-1))</f>
        <v>Not Requested</v>
      </c>
      <c r="B512">
        <f>Sampling!E510</f>
        <v>0</v>
      </c>
      <c r="E512" t="str">
        <f>ICPList[[#This Row],[Experiment ID]]&amp;"_Day"&amp;ICPList[[#This Row],[Duration (Days)]]&amp;"_"&amp;ICPList[[#This Row],[Dilution]]&amp;"x"</f>
        <v>Not Requested_Day0_x</v>
      </c>
      <c r="F512">
        <f>NMRResults[[#This Row],['#]]</f>
        <v>0</v>
      </c>
      <c r="G512" s="1">
        <f>NMRResults[[#This Row],[Date Run]]</f>
        <v>0</v>
      </c>
    </row>
    <row r="513" spans="1:7" hidden="1" x14ac:dyDescent="0.25">
      <c r="A513" t="str" cm="1">
        <f t="array" ref="A513">IF(ISBLANK(INDEX(SampleList[ICP],ROW()-1)),"Not Requested",INDEX(SampleList[Experiment ID],ROW()-1))</f>
        <v>Not Requested</v>
      </c>
      <c r="B513">
        <f>Sampling!E511</f>
        <v>0</v>
      </c>
      <c r="E513" t="str">
        <f>ICPList[[#This Row],[Experiment ID]]&amp;"_Day"&amp;ICPList[[#This Row],[Duration (Days)]]&amp;"_"&amp;ICPList[[#This Row],[Dilution]]&amp;"x"</f>
        <v>Not Requested_Day0_x</v>
      </c>
      <c r="F513">
        <f>NMRResults[[#This Row],['#]]</f>
        <v>0</v>
      </c>
      <c r="G513" s="1">
        <f>NMRResults[[#This Row],[Date Run]]</f>
        <v>0</v>
      </c>
    </row>
    <row r="514" spans="1:7" hidden="1" x14ac:dyDescent="0.25">
      <c r="A514" t="str" cm="1">
        <f t="array" ref="A514">IF(ISBLANK(INDEX(SampleList[ICP],ROW()-1)),"Not Requested",INDEX(SampleList[Experiment ID],ROW()-1))</f>
        <v>Not Requested</v>
      </c>
      <c r="B514">
        <f>Sampling!E512</f>
        <v>0</v>
      </c>
      <c r="E514" t="str">
        <f>ICPList[[#This Row],[Experiment ID]]&amp;"_Day"&amp;ICPList[[#This Row],[Duration (Days)]]&amp;"_"&amp;ICPList[[#This Row],[Dilution]]&amp;"x"</f>
        <v>Not Requested_Day0_x</v>
      </c>
      <c r="F514">
        <f>NMRResults[[#This Row],['#]]</f>
        <v>0</v>
      </c>
      <c r="G514" s="1">
        <f>NMRResults[[#This Row],[Date Run]]</f>
        <v>0</v>
      </c>
    </row>
    <row r="515" spans="1:7" hidden="1" x14ac:dyDescent="0.25">
      <c r="A515" t="str" cm="1">
        <f t="array" ref="A515">IF(ISBLANK(INDEX(SampleList[ICP],ROW()-1)),"Not Requested",INDEX(SampleList[Experiment ID],ROW()-1))</f>
        <v>Not Requested</v>
      </c>
      <c r="B515">
        <f>Sampling!E513</f>
        <v>0</v>
      </c>
      <c r="E515" t="str">
        <f>ICPList[[#This Row],[Experiment ID]]&amp;"_Day"&amp;ICPList[[#This Row],[Duration (Days)]]&amp;"_"&amp;ICPList[[#This Row],[Dilution]]&amp;"x"</f>
        <v>Not Requested_Day0_x</v>
      </c>
      <c r="F515">
        <f>NMRResults[[#This Row],['#]]</f>
        <v>0</v>
      </c>
      <c r="G515" s="1">
        <f>NMRResults[[#This Row],[Date Run]]</f>
        <v>0</v>
      </c>
    </row>
    <row r="516" spans="1:7" hidden="1" x14ac:dyDescent="0.25">
      <c r="A516" t="str" cm="1">
        <f t="array" ref="A516">IF(ISBLANK(INDEX(SampleList[ICP],ROW()-1)),"Not Requested",INDEX(SampleList[Experiment ID],ROW()-1))</f>
        <v>Not Requested</v>
      </c>
      <c r="B516">
        <f>Sampling!E514</f>
        <v>0</v>
      </c>
      <c r="E516" t="str">
        <f>ICPList[[#This Row],[Experiment ID]]&amp;"_Day"&amp;ICPList[[#This Row],[Duration (Days)]]&amp;"_"&amp;ICPList[[#This Row],[Dilution]]&amp;"x"</f>
        <v>Not Requested_Day0_x</v>
      </c>
      <c r="F516">
        <f>NMRResults[[#This Row],['#]]</f>
        <v>0</v>
      </c>
      <c r="G516" s="1">
        <f>NMRResults[[#This Row],[Date Run]]</f>
        <v>0</v>
      </c>
    </row>
    <row r="517" spans="1:7" hidden="1" x14ac:dyDescent="0.25">
      <c r="A517" t="str" cm="1">
        <f t="array" ref="A517">IF(ISBLANK(INDEX(SampleList[ICP],ROW()-1)),"Not Requested",INDEX(SampleList[Experiment ID],ROW()-1))</f>
        <v>Not Requested</v>
      </c>
      <c r="B517">
        <f>Sampling!E515</f>
        <v>0</v>
      </c>
      <c r="E517" t="str">
        <f>ICPList[[#This Row],[Experiment ID]]&amp;"_Day"&amp;ICPList[[#This Row],[Duration (Days)]]&amp;"_"&amp;ICPList[[#This Row],[Dilution]]&amp;"x"</f>
        <v>Not Requested_Day0_x</v>
      </c>
      <c r="F517">
        <f>NMRResults[[#This Row],['#]]</f>
        <v>0</v>
      </c>
      <c r="G517" s="1">
        <f>NMRResults[[#This Row],[Date Run]]</f>
        <v>0</v>
      </c>
    </row>
    <row r="518" spans="1:7" hidden="1" x14ac:dyDescent="0.25">
      <c r="A518" t="str" cm="1">
        <f t="array" ref="A518">IF(ISBLANK(INDEX(SampleList[ICP],ROW()-1)),"Not Requested",INDEX(SampleList[Experiment ID],ROW()-1))</f>
        <v>Not Requested</v>
      </c>
      <c r="B518">
        <f>Sampling!E516</f>
        <v>0</v>
      </c>
      <c r="E518" t="str">
        <f>ICPList[[#This Row],[Experiment ID]]&amp;"_Day"&amp;ICPList[[#This Row],[Duration (Days)]]&amp;"_"&amp;ICPList[[#This Row],[Dilution]]&amp;"x"</f>
        <v>Not Requested_Day0_x</v>
      </c>
      <c r="F518">
        <f>NMRResults[[#This Row],['#]]</f>
        <v>0</v>
      </c>
      <c r="G518" s="1">
        <f>NMRResults[[#This Row],[Date Run]]</f>
        <v>0</v>
      </c>
    </row>
    <row r="519" spans="1:7" hidden="1" x14ac:dyDescent="0.25">
      <c r="A519" t="str" cm="1">
        <f t="array" ref="A519">IF(ISBLANK(INDEX(SampleList[ICP],ROW()-1)),"Not Requested",INDEX(SampleList[Experiment ID],ROW()-1))</f>
        <v>Not Requested</v>
      </c>
      <c r="B519">
        <f>Sampling!E517</f>
        <v>0</v>
      </c>
      <c r="E519" t="str">
        <f>ICPList[[#This Row],[Experiment ID]]&amp;"_Day"&amp;ICPList[[#This Row],[Duration (Days)]]&amp;"_"&amp;ICPList[[#This Row],[Dilution]]&amp;"x"</f>
        <v>Not Requested_Day0_x</v>
      </c>
      <c r="F519">
        <f>NMRResults[[#This Row],['#]]</f>
        <v>0</v>
      </c>
      <c r="G519" s="1">
        <f>NMRResults[[#This Row],[Date Run]]</f>
        <v>0</v>
      </c>
    </row>
    <row r="520" spans="1:7" hidden="1" x14ac:dyDescent="0.25">
      <c r="A520" t="str" cm="1">
        <f t="array" ref="A520">IF(ISBLANK(INDEX(SampleList[ICP],ROW()-1)),"Not Requested",INDEX(SampleList[Experiment ID],ROW()-1))</f>
        <v>Not Requested</v>
      </c>
      <c r="B520">
        <f>Sampling!E518</f>
        <v>0</v>
      </c>
      <c r="E520" t="str">
        <f>ICPList[[#This Row],[Experiment ID]]&amp;"_Day"&amp;ICPList[[#This Row],[Duration (Days)]]&amp;"_"&amp;ICPList[[#This Row],[Dilution]]&amp;"x"</f>
        <v>Not Requested_Day0_x</v>
      </c>
      <c r="F520">
        <f>NMRResults[[#This Row],['#]]</f>
        <v>0</v>
      </c>
      <c r="G520" s="1">
        <f>NMRResults[[#This Row],[Date Run]]</f>
        <v>0</v>
      </c>
    </row>
    <row r="521" spans="1:7" hidden="1" x14ac:dyDescent="0.25">
      <c r="A521" t="str" cm="1">
        <f t="array" ref="A521">IF(ISBLANK(INDEX(SampleList[ICP],ROW()-1)),"Not Requested",INDEX(SampleList[Experiment ID],ROW()-1))</f>
        <v>Not Requested</v>
      </c>
      <c r="B521">
        <f>Sampling!E519</f>
        <v>0</v>
      </c>
      <c r="E521" t="str">
        <f>ICPList[[#This Row],[Experiment ID]]&amp;"_Day"&amp;ICPList[[#This Row],[Duration (Days)]]&amp;"_"&amp;ICPList[[#This Row],[Dilution]]&amp;"x"</f>
        <v>Not Requested_Day0_x</v>
      </c>
      <c r="F521">
        <f>NMRResults[[#This Row],['#]]</f>
        <v>0</v>
      </c>
      <c r="G521" s="1">
        <f>NMRResults[[#This Row],[Date Run]]</f>
        <v>0</v>
      </c>
    </row>
    <row r="522" spans="1:7" hidden="1" x14ac:dyDescent="0.25">
      <c r="A522" t="str" cm="1">
        <f t="array" ref="A522">IF(ISBLANK(INDEX(SampleList[ICP],ROW()-1)),"Not Requested",INDEX(SampleList[Experiment ID],ROW()-1))</f>
        <v>Not Requested</v>
      </c>
      <c r="B522">
        <f>Sampling!E520</f>
        <v>0</v>
      </c>
      <c r="E522" t="str">
        <f>ICPList[[#This Row],[Experiment ID]]&amp;"_Day"&amp;ICPList[[#This Row],[Duration (Days)]]&amp;"_"&amp;ICPList[[#This Row],[Dilution]]&amp;"x"</f>
        <v>Not Requested_Day0_x</v>
      </c>
      <c r="F522">
        <f>NMRResults[[#This Row],['#]]</f>
        <v>0</v>
      </c>
      <c r="G522" s="1">
        <f>NMRResults[[#This Row],[Date Run]]</f>
        <v>0</v>
      </c>
    </row>
    <row r="523" spans="1:7" hidden="1" x14ac:dyDescent="0.25">
      <c r="A523" t="str" cm="1">
        <f t="array" ref="A523">IF(ISBLANK(INDEX(SampleList[ICP],ROW()-1)),"Not Requested",INDEX(SampleList[Experiment ID],ROW()-1))</f>
        <v>Not Requested</v>
      </c>
      <c r="B523">
        <f>Sampling!E521</f>
        <v>0</v>
      </c>
      <c r="E523" t="str">
        <f>ICPList[[#This Row],[Experiment ID]]&amp;"_Day"&amp;ICPList[[#This Row],[Duration (Days)]]&amp;"_"&amp;ICPList[[#This Row],[Dilution]]&amp;"x"</f>
        <v>Not Requested_Day0_x</v>
      </c>
      <c r="F523">
        <f>NMRResults[[#This Row],['#]]</f>
        <v>0</v>
      </c>
      <c r="G523" s="1">
        <f>NMRResults[[#This Row],[Date Run]]</f>
        <v>0</v>
      </c>
    </row>
    <row r="524" spans="1:7" hidden="1" x14ac:dyDescent="0.25">
      <c r="A524" t="str" cm="1">
        <f t="array" ref="A524">IF(ISBLANK(INDEX(SampleList[ICP],ROW()-1)),"Not Requested",INDEX(SampleList[Experiment ID],ROW()-1))</f>
        <v>Not Requested</v>
      </c>
      <c r="B524">
        <f>Sampling!E522</f>
        <v>0</v>
      </c>
      <c r="E524" t="str">
        <f>ICPList[[#This Row],[Experiment ID]]&amp;"_Day"&amp;ICPList[[#This Row],[Duration (Days)]]&amp;"_"&amp;ICPList[[#This Row],[Dilution]]&amp;"x"</f>
        <v>Not Requested_Day0_x</v>
      </c>
      <c r="F524">
        <f>NMRResults[[#This Row],['#]]</f>
        <v>0</v>
      </c>
      <c r="G524" s="1">
        <f>NMRResults[[#This Row],[Date Run]]</f>
        <v>0</v>
      </c>
    </row>
    <row r="525" spans="1:7" hidden="1" x14ac:dyDescent="0.25">
      <c r="A525" t="str" cm="1">
        <f t="array" ref="A525">IF(ISBLANK(INDEX(SampleList[ICP],ROW()-1)),"Not Requested",INDEX(SampleList[Experiment ID],ROW()-1))</f>
        <v>Not Requested</v>
      </c>
      <c r="B525">
        <f>Sampling!E523</f>
        <v>0</v>
      </c>
      <c r="E525" t="str">
        <f>ICPList[[#This Row],[Experiment ID]]&amp;"_Day"&amp;ICPList[[#This Row],[Duration (Days)]]&amp;"_"&amp;ICPList[[#This Row],[Dilution]]&amp;"x"</f>
        <v>Not Requested_Day0_x</v>
      </c>
      <c r="F525">
        <f>NMRResults[[#This Row],['#]]</f>
        <v>0</v>
      </c>
      <c r="G525" s="1">
        <f>NMRResults[[#This Row],[Date Run]]</f>
        <v>0</v>
      </c>
    </row>
    <row r="526" spans="1:7" hidden="1" x14ac:dyDescent="0.25">
      <c r="A526" t="str" cm="1">
        <f t="array" ref="A526">IF(ISBLANK(INDEX(SampleList[ICP],ROW()-1)),"Not Requested",INDEX(SampleList[Experiment ID],ROW()-1))</f>
        <v>Not Requested</v>
      </c>
      <c r="B526">
        <f>Sampling!E524</f>
        <v>0</v>
      </c>
      <c r="E526" t="str">
        <f>ICPList[[#This Row],[Experiment ID]]&amp;"_Day"&amp;ICPList[[#This Row],[Duration (Days)]]&amp;"_"&amp;ICPList[[#This Row],[Dilution]]&amp;"x"</f>
        <v>Not Requested_Day0_x</v>
      </c>
      <c r="F526">
        <f>NMRResults[[#This Row],['#]]</f>
        <v>0</v>
      </c>
      <c r="G526" s="1">
        <f>NMRResults[[#This Row],[Date Run]]</f>
        <v>0</v>
      </c>
    </row>
    <row r="527" spans="1:7" hidden="1" x14ac:dyDescent="0.25">
      <c r="A527" t="str" cm="1">
        <f t="array" ref="A527">IF(ISBLANK(INDEX(SampleList[ICP],ROW()-1)),"Not Requested",INDEX(SampleList[Experiment ID],ROW()-1))</f>
        <v>Not Requested</v>
      </c>
      <c r="B527">
        <f>Sampling!E525</f>
        <v>0</v>
      </c>
      <c r="E527" t="str">
        <f>ICPList[[#This Row],[Experiment ID]]&amp;"_Day"&amp;ICPList[[#This Row],[Duration (Days)]]&amp;"_"&amp;ICPList[[#This Row],[Dilution]]&amp;"x"</f>
        <v>Not Requested_Day0_x</v>
      </c>
      <c r="F527">
        <f>NMRResults[[#This Row],['#]]</f>
        <v>0</v>
      </c>
      <c r="G527" s="1">
        <f>NMRResults[[#This Row],[Date Run]]</f>
        <v>0</v>
      </c>
    </row>
    <row r="528" spans="1:7" hidden="1" x14ac:dyDescent="0.25">
      <c r="A528" t="str" cm="1">
        <f t="array" ref="A528">IF(ISBLANK(INDEX(SampleList[ICP],ROW()-1)),"Not Requested",INDEX(SampleList[Experiment ID],ROW()-1))</f>
        <v>Not Requested</v>
      </c>
      <c r="B528">
        <f>Sampling!E526</f>
        <v>0</v>
      </c>
      <c r="E528" t="str">
        <f>ICPList[[#This Row],[Experiment ID]]&amp;"_Day"&amp;ICPList[[#This Row],[Duration (Days)]]&amp;"_"&amp;ICPList[[#This Row],[Dilution]]&amp;"x"</f>
        <v>Not Requested_Day0_x</v>
      </c>
      <c r="F528">
        <f>NMRResults[[#This Row],['#]]</f>
        <v>0</v>
      </c>
      <c r="G528" s="1">
        <f>NMRResults[[#This Row],[Date Run]]</f>
        <v>0</v>
      </c>
    </row>
    <row r="529" spans="1:7" hidden="1" x14ac:dyDescent="0.25">
      <c r="A529" t="str" cm="1">
        <f t="array" ref="A529">IF(ISBLANK(INDEX(SampleList[ICP],ROW()-1)),"Not Requested",INDEX(SampleList[Experiment ID],ROW()-1))</f>
        <v>Not Requested</v>
      </c>
      <c r="B529">
        <f>Sampling!E527</f>
        <v>0</v>
      </c>
      <c r="E529" t="str">
        <f>ICPList[[#This Row],[Experiment ID]]&amp;"_Day"&amp;ICPList[[#This Row],[Duration (Days)]]&amp;"_"&amp;ICPList[[#This Row],[Dilution]]&amp;"x"</f>
        <v>Not Requested_Day0_x</v>
      </c>
      <c r="F529">
        <f>NMRResults[[#This Row],['#]]</f>
        <v>0</v>
      </c>
      <c r="G529" s="1">
        <f>NMRResults[[#This Row],[Date Run]]</f>
        <v>0</v>
      </c>
    </row>
    <row r="530" spans="1:7" hidden="1" x14ac:dyDescent="0.25">
      <c r="A530" t="str" cm="1">
        <f t="array" ref="A530">IF(ISBLANK(INDEX(SampleList[ICP],ROW()-1)),"Not Requested",INDEX(SampleList[Experiment ID],ROW()-1))</f>
        <v>Not Requested</v>
      </c>
      <c r="B530">
        <f>Sampling!E528</f>
        <v>0</v>
      </c>
      <c r="E530" t="str">
        <f>ICPList[[#This Row],[Experiment ID]]&amp;"_Day"&amp;ICPList[[#This Row],[Duration (Days)]]&amp;"_"&amp;ICPList[[#This Row],[Dilution]]&amp;"x"</f>
        <v>Not Requested_Day0_x</v>
      </c>
      <c r="F530">
        <f>NMRResults[[#This Row],['#]]</f>
        <v>0</v>
      </c>
      <c r="G530" s="1">
        <f>NMRResults[[#This Row],[Date Run]]</f>
        <v>0</v>
      </c>
    </row>
    <row r="531" spans="1:7" hidden="1" x14ac:dyDescent="0.25">
      <c r="A531" t="str" cm="1">
        <f t="array" ref="A531">IF(ISBLANK(INDEX(SampleList[ICP],ROW()-1)),"Not Requested",INDEX(SampleList[Experiment ID],ROW()-1))</f>
        <v>Not Requested</v>
      </c>
      <c r="B531">
        <f>Sampling!E529</f>
        <v>0</v>
      </c>
      <c r="E531" t="str">
        <f>ICPList[[#This Row],[Experiment ID]]&amp;"_Day"&amp;ICPList[[#This Row],[Duration (Days)]]&amp;"_"&amp;ICPList[[#This Row],[Dilution]]&amp;"x"</f>
        <v>Not Requested_Day0_x</v>
      </c>
      <c r="F531">
        <f>NMRResults[[#This Row],['#]]</f>
        <v>0</v>
      </c>
      <c r="G531" s="1">
        <f>NMRResults[[#This Row],[Date Run]]</f>
        <v>0</v>
      </c>
    </row>
    <row r="532" spans="1:7" hidden="1" x14ac:dyDescent="0.25">
      <c r="A532" t="str" cm="1">
        <f t="array" ref="A532">IF(ISBLANK(INDEX(SampleList[ICP],ROW()-1)),"Not Requested",INDEX(SampleList[Experiment ID],ROW()-1))</f>
        <v>Not Requested</v>
      </c>
      <c r="B532">
        <f>Sampling!E530</f>
        <v>0</v>
      </c>
      <c r="E532" t="str">
        <f>ICPList[[#This Row],[Experiment ID]]&amp;"_Day"&amp;ICPList[[#This Row],[Duration (Days)]]&amp;"_"&amp;ICPList[[#This Row],[Dilution]]&amp;"x"</f>
        <v>Not Requested_Day0_x</v>
      </c>
      <c r="F532">
        <f>NMRResults[[#This Row],['#]]</f>
        <v>0</v>
      </c>
      <c r="G532" s="1">
        <f>NMRResults[[#This Row],[Date Run]]</f>
        <v>0</v>
      </c>
    </row>
    <row r="533" spans="1:7" hidden="1" x14ac:dyDescent="0.25">
      <c r="A533" t="str" cm="1">
        <f t="array" ref="A533">IF(ISBLANK(INDEX(SampleList[ICP],ROW()-1)),"Not Requested",INDEX(SampleList[Experiment ID],ROW()-1))</f>
        <v>Not Requested</v>
      </c>
      <c r="B533">
        <f>Sampling!E531</f>
        <v>0</v>
      </c>
      <c r="E533" t="str">
        <f>ICPList[[#This Row],[Experiment ID]]&amp;"_Day"&amp;ICPList[[#This Row],[Duration (Days)]]&amp;"_"&amp;ICPList[[#This Row],[Dilution]]&amp;"x"</f>
        <v>Not Requested_Day0_x</v>
      </c>
      <c r="F533">
        <f>NMRResults[[#This Row],['#]]</f>
        <v>0</v>
      </c>
      <c r="G533" s="1">
        <f>NMRResults[[#This Row],[Date Run]]</f>
        <v>0</v>
      </c>
    </row>
    <row r="534" spans="1:7" hidden="1" x14ac:dyDescent="0.25">
      <c r="A534" t="str" cm="1">
        <f t="array" ref="A534">IF(ISBLANK(INDEX(SampleList[ICP],ROW()-1)),"Not Requested",INDEX(SampleList[Experiment ID],ROW()-1))</f>
        <v>Not Requested</v>
      </c>
      <c r="B534">
        <f>Sampling!E532</f>
        <v>0</v>
      </c>
      <c r="E534" t="str">
        <f>ICPList[[#This Row],[Experiment ID]]&amp;"_Day"&amp;ICPList[[#This Row],[Duration (Days)]]&amp;"_"&amp;ICPList[[#This Row],[Dilution]]&amp;"x"</f>
        <v>Not Requested_Day0_x</v>
      </c>
      <c r="F534">
        <f>NMRResults[[#This Row],['#]]</f>
        <v>0</v>
      </c>
      <c r="G534" s="1">
        <f>NMRResults[[#This Row],[Date Run]]</f>
        <v>0</v>
      </c>
    </row>
    <row r="535" spans="1:7" hidden="1" x14ac:dyDescent="0.25">
      <c r="A535" t="str" cm="1">
        <f t="array" ref="A535">IF(ISBLANK(INDEX(SampleList[ICP],ROW()-1)),"Not Requested",INDEX(SampleList[Experiment ID],ROW()-1))</f>
        <v>Not Requested</v>
      </c>
      <c r="B535">
        <f>Sampling!E533</f>
        <v>0</v>
      </c>
      <c r="E535" t="str">
        <f>ICPList[[#This Row],[Experiment ID]]&amp;"_Day"&amp;ICPList[[#This Row],[Duration (Days)]]&amp;"_"&amp;ICPList[[#This Row],[Dilution]]&amp;"x"</f>
        <v>Not Requested_Day0_x</v>
      </c>
      <c r="F535">
        <f>NMRResults[[#This Row],['#]]</f>
        <v>0</v>
      </c>
      <c r="G535" s="1">
        <f>NMRResults[[#This Row],[Date Run]]</f>
        <v>0</v>
      </c>
    </row>
    <row r="536" spans="1:7" hidden="1" x14ac:dyDescent="0.25">
      <c r="A536" t="str" cm="1">
        <f t="array" ref="A536">IF(ISBLANK(INDEX(SampleList[ICP],ROW()-1)),"Not Requested",INDEX(SampleList[Experiment ID],ROW()-1))</f>
        <v>Not Requested</v>
      </c>
      <c r="B536">
        <f>Sampling!E534</f>
        <v>0</v>
      </c>
      <c r="E536" t="str">
        <f>ICPList[[#This Row],[Experiment ID]]&amp;"_Day"&amp;ICPList[[#This Row],[Duration (Days)]]&amp;"_"&amp;ICPList[[#This Row],[Dilution]]&amp;"x"</f>
        <v>Not Requested_Day0_x</v>
      </c>
      <c r="F536">
        <f>NMRResults[[#This Row],['#]]</f>
        <v>0</v>
      </c>
      <c r="G536" s="1">
        <f>NMRResults[[#This Row],[Date Run]]</f>
        <v>0</v>
      </c>
    </row>
    <row r="537" spans="1:7" hidden="1" x14ac:dyDescent="0.25">
      <c r="A537" t="str" cm="1">
        <f t="array" ref="A537">IF(ISBLANK(INDEX(SampleList[ICP],ROW()-1)),"Not Requested",INDEX(SampleList[Experiment ID],ROW()-1))</f>
        <v>Not Requested</v>
      </c>
      <c r="B537">
        <f>Sampling!E535</f>
        <v>0</v>
      </c>
      <c r="E537" t="str">
        <f>ICPList[[#This Row],[Experiment ID]]&amp;"_Day"&amp;ICPList[[#This Row],[Duration (Days)]]&amp;"_"&amp;ICPList[[#This Row],[Dilution]]&amp;"x"</f>
        <v>Not Requested_Day0_x</v>
      </c>
      <c r="F537">
        <f>NMRResults[[#This Row],['#]]</f>
        <v>0</v>
      </c>
      <c r="G537" s="1">
        <f>NMRResults[[#This Row],[Date Run]]</f>
        <v>0</v>
      </c>
    </row>
    <row r="538" spans="1:7" hidden="1" x14ac:dyDescent="0.25">
      <c r="A538" t="str" cm="1">
        <f t="array" ref="A538">IF(ISBLANK(INDEX(SampleList[ICP],ROW()-1)),"Not Requested",INDEX(SampleList[Experiment ID],ROW()-1))</f>
        <v>Not Requested</v>
      </c>
      <c r="B538">
        <f>Sampling!E536</f>
        <v>0</v>
      </c>
      <c r="E538" t="str">
        <f>ICPList[[#This Row],[Experiment ID]]&amp;"_Day"&amp;ICPList[[#This Row],[Duration (Days)]]&amp;"_"&amp;ICPList[[#This Row],[Dilution]]&amp;"x"</f>
        <v>Not Requested_Day0_x</v>
      </c>
      <c r="F538">
        <f>NMRResults[[#This Row],['#]]</f>
        <v>0</v>
      </c>
      <c r="G538" s="1">
        <f>NMRResults[[#This Row],[Date Run]]</f>
        <v>0</v>
      </c>
    </row>
    <row r="539" spans="1:7" hidden="1" x14ac:dyDescent="0.25">
      <c r="A539" t="str" cm="1">
        <f t="array" ref="A539">IF(ISBLANK(INDEX(SampleList[ICP],ROW()-1)),"Not Requested",INDEX(SampleList[Experiment ID],ROW()-1))</f>
        <v>Not Requested</v>
      </c>
      <c r="B539">
        <f>Sampling!E537</f>
        <v>0</v>
      </c>
      <c r="E539" t="str">
        <f>ICPList[[#This Row],[Experiment ID]]&amp;"_Day"&amp;ICPList[[#This Row],[Duration (Days)]]&amp;"_"&amp;ICPList[[#This Row],[Dilution]]&amp;"x"</f>
        <v>Not Requested_Day0_x</v>
      </c>
      <c r="F539">
        <f>NMRResults[[#This Row],['#]]</f>
        <v>0</v>
      </c>
      <c r="G539" s="1">
        <f>NMRResults[[#This Row],[Date Run]]</f>
        <v>0</v>
      </c>
    </row>
    <row r="540" spans="1:7" hidden="1" x14ac:dyDescent="0.25">
      <c r="A540" t="str" cm="1">
        <f t="array" ref="A540">IF(ISBLANK(INDEX(SampleList[ICP],ROW()-1)),"Not Requested",INDEX(SampleList[Experiment ID],ROW()-1))</f>
        <v>Not Requested</v>
      </c>
      <c r="B540">
        <f>Sampling!E538</f>
        <v>0</v>
      </c>
      <c r="E540" t="str">
        <f>ICPList[[#This Row],[Experiment ID]]&amp;"_Day"&amp;ICPList[[#This Row],[Duration (Days)]]&amp;"_"&amp;ICPList[[#This Row],[Dilution]]&amp;"x"</f>
        <v>Not Requested_Day0_x</v>
      </c>
      <c r="F540">
        <f>NMRResults[[#This Row],['#]]</f>
        <v>0</v>
      </c>
      <c r="G540" s="1">
        <f>NMRResults[[#This Row],[Date Run]]</f>
        <v>0</v>
      </c>
    </row>
    <row r="541" spans="1:7" hidden="1" x14ac:dyDescent="0.25">
      <c r="A541" t="str" cm="1">
        <f t="array" ref="A541">IF(ISBLANK(INDEX(SampleList[ICP],ROW()-1)),"Not Requested",INDEX(SampleList[Experiment ID],ROW()-1))</f>
        <v>Not Requested</v>
      </c>
      <c r="B541">
        <f>Sampling!E539</f>
        <v>0</v>
      </c>
      <c r="E541" t="str">
        <f>ICPList[[#This Row],[Experiment ID]]&amp;"_Day"&amp;ICPList[[#This Row],[Duration (Days)]]&amp;"_"&amp;ICPList[[#This Row],[Dilution]]&amp;"x"</f>
        <v>Not Requested_Day0_x</v>
      </c>
      <c r="F541">
        <f>NMRResults[[#This Row],['#]]</f>
        <v>0</v>
      </c>
      <c r="G541" s="1">
        <f>NMRResults[[#This Row],[Date Run]]</f>
        <v>0</v>
      </c>
    </row>
    <row r="542" spans="1:7" hidden="1" x14ac:dyDescent="0.25">
      <c r="A542" t="str" cm="1">
        <f t="array" ref="A542">IF(ISBLANK(INDEX(SampleList[ICP],ROW()-1)),"Not Requested",INDEX(SampleList[Experiment ID],ROW()-1))</f>
        <v>Not Requested</v>
      </c>
      <c r="B542">
        <f>Sampling!E540</f>
        <v>0</v>
      </c>
      <c r="E542" t="str">
        <f>ICPList[[#This Row],[Experiment ID]]&amp;"_Day"&amp;ICPList[[#This Row],[Duration (Days)]]&amp;"_"&amp;ICPList[[#This Row],[Dilution]]&amp;"x"</f>
        <v>Not Requested_Day0_x</v>
      </c>
      <c r="F542">
        <f>NMRResults[[#This Row],['#]]</f>
        <v>0</v>
      </c>
      <c r="G542" s="1">
        <f>NMRResults[[#This Row],[Date Run]]</f>
        <v>0</v>
      </c>
    </row>
    <row r="543" spans="1:7" hidden="1" x14ac:dyDescent="0.25">
      <c r="A543" t="str" cm="1">
        <f t="array" ref="A543">IF(ISBLANK(INDEX(SampleList[ICP],ROW()-1)),"Not Requested",INDEX(SampleList[Experiment ID],ROW()-1))</f>
        <v>Not Requested</v>
      </c>
      <c r="B543">
        <f>Sampling!E541</f>
        <v>0</v>
      </c>
      <c r="E543" t="str">
        <f>ICPList[[#This Row],[Experiment ID]]&amp;"_Day"&amp;ICPList[[#This Row],[Duration (Days)]]&amp;"_"&amp;ICPList[[#This Row],[Dilution]]&amp;"x"</f>
        <v>Not Requested_Day0_x</v>
      </c>
      <c r="F543">
        <f>NMRResults[[#This Row],['#]]</f>
        <v>0</v>
      </c>
      <c r="G543" s="1">
        <f>NMRResults[[#This Row],[Date Run]]</f>
        <v>0</v>
      </c>
    </row>
    <row r="544" spans="1:7" hidden="1" x14ac:dyDescent="0.25">
      <c r="A544" t="str" cm="1">
        <f t="array" ref="A544">IF(ISBLANK(INDEX(SampleList[ICP],ROW()-1)),"Not Requested",INDEX(SampleList[Experiment ID],ROW()-1))</f>
        <v>Not Requested</v>
      </c>
      <c r="B544">
        <f>Sampling!E542</f>
        <v>0</v>
      </c>
      <c r="E544" t="str">
        <f>ICPList[[#This Row],[Experiment ID]]&amp;"_Day"&amp;ICPList[[#This Row],[Duration (Days)]]&amp;"_"&amp;ICPList[[#This Row],[Dilution]]&amp;"x"</f>
        <v>Not Requested_Day0_x</v>
      </c>
      <c r="F544">
        <f>NMRResults[[#This Row],['#]]</f>
        <v>0</v>
      </c>
      <c r="G544" s="1">
        <f>NMRResults[[#This Row],[Date Run]]</f>
        <v>0</v>
      </c>
    </row>
    <row r="545" spans="1:7" hidden="1" x14ac:dyDescent="0.25">
      <c r="A545" t="str" cm="1">
        <f t="array" ref="A545">IF(ISBLANK(INDEX(SampleList[ICP],ROW()-1)),"Not Requested",INDEX(SampleList[Experiment ID],ROW()-1))</f>
        <v>Not Requested</v>
      </c>
      <c r="B545">
        <f>Sampling!E543</f>
        <v>0</v>
      </c>
      <c r="E545" t="str">
        <f>ICPList[[#This Row],[Experiment ID]]&amp;"_Day"&amp;ICPList[[#This Row],[Duration (Days)]]&amp;"_"&amp;ICPList[[#This Row],[Dilution]]&amp;"x"</f>
        <v>Not Requested_Day0_x</v>
      </c>
      <c r="F545">
        <f>NMRResults[[#This Row],['#]]</f>
        <v>0</v>
      </c>
      <c r="G545" s="1">
        <f>NMRResults[[#This Row],[Date Run]]</f>
        <v>0</v>
      </c>
    </row>
    <row r="546" spans="1:7" hidden="1" x14ac:dyDescent="0.25">
      <c r="A546" t="str" cm="1">
        <f t="array" ref="A546">IF(ISBLANK(INDEX(SampleList[ICP],ROW()-1)),"Not Requested",INDEX(SampleList[Experiment ID],ROW()-1))</f>
        <v>Not Requested</v>
      </c>
      <c r="B546">
        <f>Sampling!E544</f>
        <v>0</v>
      </c>
      <c r="E546" t="str">
        <f>ICPList[[#This Row],[Experiment ID]]&amp;"_Day"&amp;ICPList[[#This Row],[Duration (Days)]]&amp;"_"&amp;ICPList[[#This Row],[Dilution]]&amp;"x"</f>
        <v>Not Requested_Day0_x</v>
      </c>
      <c r="F546">
        <f>NMRResults[[#This Row],['#]]</f>
        <v>0</v>
      </c>
      <c r="G546" s="1">
        <f>NMRResults[[#This Row],[Date Run]]</f>
        <v>0</v>
      </c>
    </row>
    <row r="547" spans="1:7" hidden="1" x14ac:dyDescent="0.25">
      <c r="A547" t="str" cm="1">
        <f t="array" ref="A547">IF(ISBLANK(INDEX(SampleList[ICP],ROW()-1)),"Not Requested",INDEX(SampleList[Experiment ID],ROW()-1))</f>
        <v>Not Requested</v>
      </c>
      <c r="B547">
        <f>Sampling!E545</f>
        <v>0</v>
      </c>
      <c r="E547" t="str">
        <f>ICPList[[#This Row],[Experiment ID]]&amp;"_Day"&amp;ICPList[[#This Row],[Duration (Days)]]&amp;"_"&amp;ICPList[[#This Row],[Dilution]]&amp;"x"</f>
        <v>Not Requested_Day0_x</v>
      </c>
      <c r="F547">
        <f>NMRResults[[#This Row],['#]]</f>
        <v>0</v>
      </c>
      <c r="G547" s="1">
        <f>NMRResults[[#This Row],[Date Run]]</f>
        <v>0</v>
      </c>
    </row>
    <row r="548" spans="1:7" hidden="1" x14ac:dyDescent="0.25">
      <c r="A548" t="str" cm="1">
        <f t="array" ref="A548">IF(ISBLANK(INDEX(SampleList[ICP],ROW()-1)),"Not Requested",INDEX(SampleList[Experiment ID],ROW()-1))</f>
        <v>Not Requested</v>
      </c>
      <c r="B548">
        <f>Sampling!E546</f>
        <v>0</v>
      </c>
      <c r="E548" t="str">
        <f>ICPList[[#This Row],[Experiment ID]]&amp;"_Day"&amp;ICPList[[#This Row],[Duration (Days)]]&amp;"_"&amp;ICPList[[#This Row],[Dilution]]&amp;"x"</f>
        <v>Not Requested_Day0_x</v>
      </c>
      <c r="F548">
        <f>NMRResults[[#This Row],['#]]</f>
        <v>0</v>
      </c>
      <c r="G548" s="1">
        <f>NMRResults[[#This Row],[Date Run]]</f>
        <v>0</v>
      </c>
    </row>
    <row r="549" spans="1:7" hidden="1" x14ac:dyDescent="0.25">
      <c r="A549" t="str" cm="1">
        <f t="array" ref="A549">IF(ISBLANK(INDEX(SampleList[ICP],ROW()-1)),"Not Requested",INDEX(SampleList[Experiment ID],ROW()-1))</f>
        <v>Not Requested</v>
      </c>
      <c r="B549">
        <f>Sampling!E547</f>
        <v>0</v>
      </c>
      <c r="E549" t="str">
        <f>ICPList[[#This Row],[Experiment ID]]&amp;"_Day"&amp;ICPList[[#This Row],[Duration (Days)]]&amp;"_"&amp;ICPList[[#This Row],[Dilution]]&amp;"x"</f>
        <v>Not Requested_Day0_x</v>
      </c>
      <c r="F549">
        <f>NMRResults[[#This Row],['#]]</f>
        <v>0</v>
      </c>
      <c r="G549" s="1">
        <f>NMRResults[[#This Row],[Date Run]]</f>
        <v>0</v>
      </c>
    </row>
    <row r="550" spans="1:7" hidden="1" x14ac:dyDescent="0.25">
      <c r="A550" t="str" cm="1">
        <f t="array" ref="A550">IF(ISBLANK(INDEX(SampleList[ICP],ROW()-1)),"Not Requested",INDEX(SampleList[Experiment ID],ROW()-1))</f>
        <v>Not Requested</v>
      </c>
      <c r="B550">
        <f>Sampling!E548</f>
        <v>0</v>
      </c>
      <c r="E550" t="str">
        <f>ICPList[[#This Row],[Experiment ID]]&amp;"_Day"&amp;ICPList[[#This Row],[Duration (Days)]]&amp;"_"&amp;ICPList[[#This Row],[Dilution]]&amp;"x"</f>
        <v>Not Requested_Day0_x</v>
      </c>
      <c r="F550">
        <f>NMRResults[[#This Row],['#]]</f>
        <v>0</v>
      </c>
      <c r="G550" s="1">
        <f>NMRResults[[#This Row],[Date Run]]</f>
        <v>0</v>
      </c>
    </row>
    <row r="551" spans="1:7" hidden="1" x14ac:dyDescent="0.25">
      <c r="A551" t="str" cm="1">
        <f t="array" ref="A551">IF(ISBLANK(INDEX(SampleList[ICP],ROW()-1)),"Not Requested",INDEX(SampleList[Experiment ID],ROW()-1))</f>
        <v>Not Requested</v>
      </c>
      <c r="B551">
        <f>Sampling!E549</f>
        <v>0</v>
      </c>
      <c r="E551" t="str">
        <f>ICPList[[#This Row],[Experiment ID]]&amp;"_Day"&amp;ICPList[[#This Row],[Duration (Days)]]&amp;"_"&amp;ICPList[[#This Row],[Dilution]]&amp;"x"</f>
        <v>Not Requested_Day0_x</v>
      </c>
      <c r="F551">
        <f>NMRResults[[#This Row],['#]]</f>
        <v>0</v>
      </c>
      <c r="G551" s="1">
        <f>NMRResults[[#This Row],[Date Run]]</f>
        <v>0</v>
      </c>
    </row>
    <row r="552" spans="1:7" hidden="1" x14ac:dyDescent="0.25">
      <c r="A552" t="str" cm="1">
        <f t="array" ref="A552">IF(ISBLANK(INDEX(SampleList[ICP],ROW()-1)),"Not Requested",INDEX(SampleList[Experiment ID],ROW()-1))</f>
        <v>Not Requested</v>
      </c>
      <c r="B552">
        <f>Sampling!E550</f>
        <v>0</v>
      </c>
      <c r="E552" t="str">
        <f>ICPList[[#This Row],[Experiment ID]]&amp;"_Day"&amp;ICPList[[#This Row],[Duration (Days)]]&amp;"_"&amp;ICPList[[#This Row],[Dilution]]&amp;"x"</f>
        <v>Not Requested_Day0_x</v>
      </c>
      <c r="F552">
        <f>NMRResults[[#This Row],['#]]</f>
        <v>0</v>
      </c>
      <c r="G552" s="1">
        <f>NMRResults[[#This Row],[Date Run]]</f>
        <v>0</v>
      </c>
    </row>
    <row r="553" spans="1:7" hidden="1" x14ac:dyDescent="0.25">
      <c r="A553" t="str" cm="1">
        <f t="array" ref="A553">IF(ISBLANK(INDEX(SampleList[ICP],ROW()-1)),"Not Requested",INDEX(SampleList[Experiment ID],ROW()-1))</f>
        <v>Not Requested</v>
      </c>
      <c r="B553">
        <f>Sampling!E551</f>
        <v>0</v>
      </c>
      <c r="E553" t="str">
        <f>ICPList[[#This Row],[Experiment ID]]&amp;"_Day"&amp;ICPList[[#This Row],[Duration (Days)]]&amp;"_"&amp;ICPList[[#This Row],[Dilution]]&amp;"x"</f>
        <v>Not Requested_Day0_x</v>
      </c>
      <c r="F553">
        <f>NMRResults[[#This Row],['#]]</f>
        <v>0</v>
      </c>
      <c r="G553" s="1">
        <f>NMRResults[[#This Row],[Date Run]]</f>
        <v>0</v>
      </c>
    </row>
    <row r="554" spans="1:7" hidden="1" x14ac:dyDescent="0.25">
      <c r="A554" t="str" cm="1">
        <f t="array" ref="A554">IF(ISBLANK(INDEX(SampleList[ICP],ROW()-1)),"Not Requested",INDEX(SampleList[Experiment ID],ROW()-1))</f>
        <v>Not Requested</v>
      </c>
      <c r="B554">
        <f>Sampling!E552</f>
        <v>0</v>
      </c>
      <c r="E554" t="str">
        <f>ICPList[[#This Row],[Experiment ID]]&amp;"_Day"&amp;ICPList[[#This Row],[Duration (Days)]]&amp;"_"&amp;ICPList[[#This Row],[Dilution]]&amp;"x"</f>
        <v>Not Requested_Day0_x</v>
      </c>
      <c r="F554">
        <f>NMRResults[[#This Row],['#]]</f>
        <v>0</v>
      </c>
      <c r="G554" s="1">
        <f>NMRResults[[#This Row],[Date Run]]</f>
        <v>0</v>
      </c>
    </row>
    <row r="555" spans="1:7" hidden="1" x14ac:dyDescent="0.25">
      <c r="A555" t="str" cm="1">
        <f t="array" ref="A555">IF(ISBLANK(INDEX(SampleList[ICP],ROW()-1)),"Not Requested",INDEX(SampleList[Experiment ID],ROW()-1))</f>
        <v>Not Requested</v>
      </c>
      <c r="B555">
        <f>Sampling!E553</f>
        <v>0</v>
      </c>
      <c r="E555" t="str">
        <f>ICPList[[#This Row],[Experiment ID]]&amp;"_Day"&amp;ICPList[[#This Row],[Duration (Days)]]&amp;"_"&amp;ICPList[[#This Row],[Dilution]]&amp;"x"</f>
        <v>Not Requested_Day0_x</v>
      </c>
      <c r="F555">
        <f>NMRResults[[#This Row],['#]]</f>
        <v>0</v>
      </c>
      <c r="G555" s="1">
        <f>NMRResults[[#This Row],[Date Run]]</f>
        <v>0</v>
      </c>
    </row>
    <row r="556" spans="1:7" hidden="1" x14ac:dyDescent="0.25">
      <c r="A556" t="str" cm="1">
        <f t="array" ref="A556">IF(ISBLANK(INDEX(SampleList[ICP],ROW()-1)),"Not Requested",INDEX(SampleList[Experiment ID],ROW()-1))</f>
        <v>Not Requested</v>
      </c>
      <c r="B556">
        <f>Sampling!E554</f>
        <v>0</v>
      </c>
      <c r="E556" t="str">
        <f>ICPList[[#This Row],[Experiment ID]]&amp;"_Day"&amp;ICPList[[#This Row],[Duration (Days)]]&amp;"_"&amp;ICPList[[#This Row],[Dilution]]&amp;"x"</f>
        <v>Not Requested_Day0_x</v>
      </c>
      <c r="F556">
        <f>NMRResults[[#This Row],['#]]</f>
        <v>0</v>
      </c>
      <c r="G556" s="1">
        <f>NMRResults[[#This Row],[Date Run]]</f>
        <v>0</v>
      </c>
    </row>
    <row r="557" spans="1:7" hidden="1" x14ac:dyDescent="0.25">
      <c r="A557" t="str" cm="1">
        <f t="array" ref="A557">IF(ISBLANK(INDEX(SampleList[ICP],ROW()-1)),"Not Requested",INDEX(SampleList[Experiment ID],ROW()-1))</f>
        <v>Not Requested</v>
      </c>
      <c r="B557">
        <f>Sampling!E555</f>
        <v>0</v>
      </c>
      <c r="E557" t="str">
        <f>ICPList[[#This Row],[Experiment ID]]&amp;"_Day"&amp;ICPList[[#This Row],[Duration (Days)]]&amp;"_"&amp;ICPList[[#This Row],[Dilution]]&amp;"x"</f>
        <v>Not Requested_Day0_x</v>
      </c>
      <c r="F557">
        <f>NMRResults[[#This Row],['#]]</f>
        <v>0</v>
      </c>
      <c r="G557" s="1">
        <f>NMRResults[[#This Row],[Date Run]]</f>
        <v>0</v>
      </c>
    </row>
    <row r="558" spans="1:7" hidden="1" x14ac:dyDescent="0.25">
      <c r="A558" t="str" cm="1">
        <f t="array" ref="A558">IF(ISBLANK(INDEX(SampleList[ICP],ROW()-1)),"Not Requested",INDEX(SampleList[Experiment ID],ROW()-1))</f>
        <v>Not Requested</v>
      </c>
      <c r="B558">
        <f>Sampling!E556</f>
        <v>0</v>
      </c>
      <c r="E558" t="str">
        <f>ICPList[[#This Row],[Experiment ID]]&amp;"_Day"&amp;ICPList[[#This Row],[Duration (Days)]]&amp;"_"&amp;ICPList[[#This Row],[Dilution]]&amp;"x"</f>
        <v>Not Requested_Day0_x</v>
      </c>
      <c r="F558">
        <f>NMRResults[[#This Row],['#]]</f>
        <v>0</v>
      </c>
      <c r="G558" s="1">
        <f>NMRResults[[#This Row],[Date Run]]</f>
        <v>0</v>
      </c>
    </row>
    <row r="559" spans="1:7" hidden="1" x14ac:dyDescent="0.25">
      <c r="A559" t="str" cm="1">
        <f t="array" ref="A559">IF(ISBLANK(INDEX(SampleList[ICP],ROW()-1)),"Not Requested",INDEX(SampleList[Experiment ID],ROW()-1))</f>
        <v>Not Requested</v>
      </c>
      <c r="B559">
        <f>Sampling!E557</f>
        <v>0</v>
      </c>
      <c r="E559" t="str">
        <f>ICPList[[#This Row],[Experiment ID]]&amp;"_Day"&amp;ICPList[[#This Row],[Duration (Days)]]&amp;"_"&amp;ICPList[[#This Row],[Dilution]]&amp;"x"</f>
        <v>Not Requested_Day0_x</v>
      </c>
      <c r="F559">
        <f>NMRResults[[#This Row],['#]]</f>
        <v>0</v>
      </c>
      <c r="G559" s="1">
        <f>NMRResults[[#This Row],[Date Run]]</f>
        <v>0</v>
      </c>
    </row>
    <row r="560" spans="1:7" hidden="1" x14ac:dyDescent="0.25">
      <c r="A560" t="str" cm="1">
        <f t="array" ref="A560">IF(ISBLANK(INDEX(SampleList[ICP],ROW()-1)),"Not Requested",INDEX(SampleList[Experiment ID],ROW()-1))</f>
        <v>Not Requested</v>
      </c>
      <c r="B560">
        <f>Sampling!E558</f>
        <v>0</v>
      </c>
      <c r="E560" t="str">
        <f>ICPList[[#This Row],[Experiment ID]]&amp;"_Day"&amp;ICPList[[#This Row],[Duration (Days)]]&amp;"_"&amp;ICPList[[#This Row],[Dilution]]&amp;"x"</f>
        <v>Not Requested_Day0_x</v>
      </c>
      <c r="F560">
        <f>NMRResults[[#This Row],['#]]</f>
        <v>0</v>
      </c>
      <c r="G560" s="1">
        <f>NMRResults[[#This Row],[Date Run]]</f>
        <v>0</v>
      </c>
    </row>
    <row r="561" spans="1:7" hidden="1" x14ac:dyDescent="0.25">
      <c r="A561" t="str" cm="1">
        <f t="array" ref="A561">IF(ISBLANK(INDEX(SampleList[ICP],ROW()-1)),"Not Requested",INDEX(SampleList[Experiment ID],ROW()-1))</f>
        <v>Not Requested</v>
      </c>
      <c r="B561">
        <f>Sampling!E559</f>
        <v>0</v>
      </c>
      <c r="E561" t="str">
        <f>ICPList[[#This Row],[Experiment ID]]&amp;"_Day"&amp;ICPList[[#This Row],[Duration (Days)]]&amp;"_"&amp;ICPList[[#This Row],[Dilution]]&amp;"x"</f>
        <v>Not Requested_Day0_x</v>
      </c>
      <c r="F561">
        <f>NMRResults[[#This Row],['#]]</f>
        <v>0</v>
      </c>
      <c r="G561" s="1">
        <f>NMRResults[[#This Row],[Date Run]]</f>
        <v>0</v>
      </c>
    </row>
    <row r="562" spans="1:7" hidden="1" x14ac:dyDescent="0.25">
      <c r="A562" t="str" cm="1">
        <f t="array" ref="A562">IF(ISBLANK(INDEX(SampleList[ICP],ROW()-1)),"Not Requested",INDEX(SampleList[Experiment ID],ROW()-1))</f>
        <v>Not Requested</v>
      </c>
      <c r="B562">
        <f>Sampling!E560</f>
        <v>0</v>
      </c>
      <c r="E562" t="str">
        <f>ICPList[[#This Row],[Experiment ID]]&amp;"_Day"&amp;ICPList[[#This Row],[Duration (Days)]]&amp;"_"&amp;ICPList[[#This Row],[Dilution]]&amp;"x"</f>
        <v>Not Requested_Day0_x</v>
      </c>
      <c r="F562">
        <f>NMRResults[[#This Row],['#]]</f>
        <v>0</v>
      </c>
      <c r="G562" s="1">
        <f>NMRResults[[#This Row],[Date Run]]</f>
        <v>0</v>
      </c>
    </row>
    <row r="563" spans="1:7" hidden="1" x14ac:dyDescent="0.25">
      <c r="A563" t="str" cm="1">
        <f t="array" ref="A563">IF(ISBLANK(INDEX(SampleList[ICP],ROW()-1)),"Not Requested",INDEX(SampleList[Experiment ID],ROW()-1))</f>
        <v>Not Requested</v>
      </c>
      <c r="B563">
        <f>Sampling!E561</f>
        <v>0</v>
      </c>
      <c r="E563" t="str">
        <f>ICPList[[#This Row],[Experiment ID]]&amp;"_Day"&amp;ICPList[[#This Row],[Duration (Days)]]&amp;"_"&amp;ICPList[[#This Row],[Dilution]]&amp;"x"</f>
        <v>Not Requested_Day0_x</v>
      </c>
      <c r="F563">
        <f>NMRResults[[#This Row],['#]]</f>
        <v>0</v>
      </c>
      <c r="G563" s="1">
        <f>NMRResults[[#This Row],[Date Run]]</f>
        <v>0</v>
      </c>
    </row>
    <row r="564" spans="1:7" hidden="1" x14ac:dyDescent="0.25">
      <c r="A564" t="str" cm="1">
        <f t="array" ref="A564">IF(ISBLANK(INDEX(SampleList[ICP],ROW()-1)),"Not Requested",INDEX(SampleList[Experiment ID],ROW()-1))</f>
        <v>Not Requested</v>
      </c>
      <c r="B564">
        <f>Sampling!E562</f>
        <v>0</v>
      </c>
      <c r="E564" t="str">
        <f>ICPList[[#This Row],[Experiment ID]]&amp;"_Day"&amp;ICPList[[#This Row],[Duration (Days)]]&amp;"_"&amp;ICPList[[#This Row],[Dilution]]&amp;"x"</f>
        <v>Not Requested_Day0_x</v>
      </c>
      <c r="F564">
        <f>NMRResults[[#This Row],['#]]</f>
        <v>0</v>
      </c>
      <c r="G564" s="1">
        <f>NMRResults[[#This Row],[Date Run]]</f>
        <v>0</v>
      </c>
    </row>
    <row r="565" spans="1:7" hidden="1" x14ac:dyDescent="0.25">
      <c r="A565" t="str" cm="1">
        <f t="array" ref="A565">IF(ISBLANK(INDEX(SampleList[ICP],ROW()-1)),"Not Requested",INDEX(SampleList[Experiment ID],ROW()-1))</f>
        <v>Not Requested</v>
      </c>
      <c r="B565">
        <f>Sampling!E563</f>
        <v>0</v>
      </c>
      <c r="E565" t="str">
        <f>ICPList[[#This Row],[Experiment ID]]&amp;"_Day"&amp;ICPList[[#This Row],[Duration (Days)]]&amp;"_"&amp;ICPList[[#This Row],[Dilution]]&amp;"x"</f>
        <v>Not Requested_Day0_x</v>
      </c>
      <c r="F565">
        <f>NMRResults[[#This Row],['#]]</f>
        <v>0</v>
      </c>
      <c r="G565" s="1">
        <f>NMRResults[[#This Row],[Date Run]]</f>
        <v>0</v>
      </c>
    </row>
    <row r="566" spans="1:7" hidden="1" x14ac:dyDescent="0.25">
      <c r="A566" t="str" cm="1">
        <f t="array" ref="A566">IF(ISBLANK(INDEX(SampleList[ICP],ROW()-1)),"Not Requested",INDEX(SampleList[Experiment ID],ROW()-1))</f>
        <v>Not Requested</v>
      </c>
      <c r="B566">
        <f>Sampling!E564</f>
        <v>0</v>
      </c>
      <c r="E566" t="str">
        <f>ICPList[[#This Row],[Experiment ID]]&amp;"_Day"&amp;ICPList[[#This Row],[Duration (Days)]]&amp;"_"&amp;ICPList[[#This Row],[Dilution]]&amp;"x"</f>
        <v>Not Requested_Day0_x</v>
      </c>
      <c r="F566">
        <f>NMRResults[[#This Row],['#]]</f>
        <v>0</v>
      </c>
      <c r="G566" s="1">
        <f>NMRResults[[#This Row],[Date Run]]</f>
        <v>0</v>
      </c>
    </row>
    <row r="567" spans="1:7" hidden="1" x14ac:dyDescent="0.25">
      <c r="A567" t="str" cm="1">
        <f t="array" ref="A567">IF(ISBLANK(INDEX(SampleList[ICP],ROW()-1)),"Not Requested",INDEX(SampleList[Experiment ID],ROW()-1))</f>
        <v>Not Requested</v>
      </c>
      <c r="B567">
        <f>Sampling!E565</f>
        <v>0</v>
      </c>
      <c r="E567" t="str">
        <f>ICPList[[#This Row],[Experiment ID]]&amp;"_Day"&amp;ICPList[[#This Row],[Duration (Days)]]&amp;"_"&amp;ICPList[[#This Row],[Dilution]]&amp;"x"</f>
        <v>Not Requested_Day0_x</v>
      </c>
      <c r="F567">
        <f>NMRResults[[#This Row],['#]]</f>
        <v>0</v>
      </c>
      <c r="G567" s="1">
        <f>NMRResults[[#This Row],[Date Run]]</f>
        <v>0</v>
      </c>
    </row>
    <row r="568" spans="1:7" hidden="1" x14ac:dyDescent="0.25">
      <c r="A568" t="str" cm="1">
        <f t="array" ref="A568">IF(ISBLANK(INDEX(SampleList[ICP],ROW()-1)),"Not Requested",INDEX(SampleList[Experiment ID],ROW()-1))</f>
        <v>Not Requested</v>
      </c>
      <c r="B568">
        <f>Sampling!E566</f>
        <v>0</v>
      </c>
      <c r="E568" t="str">
        <f>ICPList[[#This Row],[Experiment ID]]&amp;"_Day"&amp;ICPList[[#This Row],[Duration (Days)]]&amp;"_"&amp;ICPList[[#This Row],[Dilution]]&amp;"x"</f>
        <v>Not Requested_Day0_x</v>
      </c>
      <c r="F568">
        <f>NMRResults[[#This Row],['#]]</f>
        <v>0</v>
      </c>
      <c r="G568" s="1">
        <f>NMRResults[[#This Row],[Date Run]]</f>
        <v>0</v>
      </c>
    </row>
    <row r="569" spans="1:7" hidden="1" x14ac:dyDescent="0.25">
      <c r="A569" t="str" cm="1">
        <f t="array" ref="A569">IF(ISBLANK(INDEX(SampleList[ICP],ROW()-1)),"Not Requested",INDEX(SampleList[Experiment ID],ROW()-1))</f>
        <v>Not Requested</v>
      </c>
      <c r="B569">
        <f>Sampling!E567</f>
        <v>0</v>
      </c>
      <c r="E569" t="str">
        <f>ICPList[[#This Row],[Experiment ID]]&amp;"_Day"&amp;ICPList[[#This Row],[Duration (Days)]]&amp;"_"&amp;ICPList[[#This Row],[Dilution]]&amp;"x"</f>
        <v>Not Requested_Day0_x</v>
      </c>
      <c r="F569">
        <f>NMRResults[[#This Row],['#]]</f>
        <v>0</v>
      </c>
      <c r="G569" s="1">
        <f>NMRResults[[#This Row],[Date Run]]</f>
        <v>0</v>
      </c>
    </row>
    <row r="570" spans="1:7" hidden="1" x14ac:dyDescent="0.25">
      <c r="A570" t="str" cm="1">
        <f t="array" ref="A570">IF(ISBLANK(INDEX(SampleList[ICP],ROW()-1)),"Not Requested",INDEX(SampleList[Experiment ID],ROW()-1))</f>
        <v>Not Requested</v>
      </c>
      <c r="B570">
        <f>Sampling!E568</f>
        <v>0</v>
      </c>
      <c r="E570" t="str">
        <f>ICPList[[#This Row],[Experiment ID]]&amp;"_Day"&amp;ICPList[[#This Row],[Duration (Days)]]&amp;"_"&amp;ICPList[[#This Row],[Dilution]]&amp;"x"</f>
        <v>Not Requested_Day0_x</v>
      </c>
      <c r="F570">
        <f>NMRResults[[#This Row],['#]]</f>
        <v>0</v>
      </c>
      <c r="G570" s="1">
        <f>NMRResults[[#This Row],[Date Run]]</f>
        <v>0</v>
      </c>
    </row>
    <row r="571" spans="1:7" hidden="1" x14ac:dyDescent="0.25">
      <c r="A571" t="str" cm="1">
        <f t="array" ref="A571">IF(ISBLANK(INDEX(SampleList[ICP],ROW()-1)),"Not Requested",INDEX(SampleList[Experiment ID],ROW()-1))</f>
        <v>Not Requested</v>
      </c>
      <c r="B571">
        <f>Sampling!E569</f>
        <v>0</v>
      </c>
      <c r="E571" t="str">
        <f>ICPList[[#This Row],[Experiment ID]]&amp;"_Day"&amp;ICPList[[#This Row],[Duration (Days)]]&amp;"_"&amp;ICPList[[#This Row],[Dilution]]&amp;"x"</f>
        <v>Not Requested_Day0_x</v>
      </c>
      <c r="F571">
        <f>NMRResults[[#This Row],['#]]</f>
        <v>0</v>
      </c>
      <c r="G571" s="1">
        <f>NMRResults[[#This Row],[Date Run]]</f>
        <v>0</v>
      </c>
    </row>
    <row r="572" spans="1:7" hidden="1" x14ac:dyDescent="0.25">
      <c r="A572" t="str" cm="1">
        <f t="array" ref="A572">IF(ISBLANK(INDEX(SampleList[ICP],ROW()-1)),"Not Requested",INDEX(SampleList[Experiment ID],ROW()-1))</f>
        <v>Not Requested</v>
      </c>
      <c r="B572">
        <f>Sampling!E570</f>
        <v>0</v>
      </c>
      <c r="E572" t="str">
        <f>ICPList[[#This Row],[Experiment ID]]&amp;"_Day"&amp;ICPList[[#This Row],[Duration (Days)]]&amp;"_"&amp;ICPList[[#This Row],[Dilution]]&amp;"x"</f>
        <v>Not Requested_Day0_x</v>
      </c>
      <c r="F572">
        <f>NMRResults[[#This Row],['#]]</f>
        <v>0</v>
      </c>
      <c r="G572" s="1">
        <f>NMRResults[[#This Row],[Date Run]]</f>
        <v>0</v>
      </c>
    </row>
    <row r="573" spans="1:7" hidden="1" x14ac:dyDescent="0.25">
      <c r="A573" t="str" cm="1">
        <f t="array" ref="A573">IF(ISBLANK(INDEX(SampleList[ICP],ROW()-1)),"Not Requested",INDEX(SampleList[Experiment ID],ROW()-1))</f>
        <v>Not Requested</v>
      </c>
      <c r="B573">
        <f>Sampling!E571</f>
        <v>0</v>
      </c>
      <c r="E573" t="str">
        <f>ICPList[[#This Row],[Experiment ID]]&amp;"_Day"&amp;ICPList[[#This Row],[Duration (Days)]]&amp;"_"&amp;ICPList[[#This Row],[Dilution]]&amp;"x"</f>
        <v>Not Requested_Day0_x</v>
      </c>
      <c r="F573">
        <f>NMRResults[[#This Row],['#]]</f>
        <v>0</v>
      </c>
      <c r="G573" s="1">
        <f>NMRResults[[#This Row],[Date Run]]</f>
        <v>0</v>
      </c>
    </row>
    <row r="574" spans="1:7" hidden="1" x14ac:dyDescent="0.25">
      <c r="A574" t="str" cm="1">
        <f t="array" ref="A574">IF(ISBLANK(INDEX(SampleList[ICP],ROW()-1)),"Not Requested",INDEX(SampleList[Experiment ID],ROW()-1))</f>
        <v>Not Requested</v>
      </c>
      <c r="B574">
        <f>Sampling!E572</f>
        <v>0</v>
      </c>
      <c r="E574" t="str">
        <f>ICPList[[#This Row],[Experiment ID]]&amp;"_Day"&amp;ICPList[[#This Row],[Duration (Days)]]&amp;"_"&amp;ICPList[[#This Row],[Dilution]]&amp;"x"</f>
        <v>Not Requested_Day0_x</v>
      </c>
      <c r="F574">
        <f>NMRResults[[#This Row],['#]]</f>
        <v>0</v>
      </c>
      <c r="G574" s="1">
        <f>NMRResults[[#This Row],[Date Run]]</f>
        <v>0</v>
      </c>
    </row>
    <row r="575" spans="1:7" hidden="1" x14ac:dyDescent="0.25">
      <c r="A575" t="str" cm="1">
        <f t="array" ref="A575">IF(ISBLANK(INDEX(SampleList[ICP],ROW()-1)),"Not Requested",INDEX(SampleList[Experiment ID],ROW()-1))</f>
        <v>Not Requested</v>
      </c>
      <c r="B575">
        <f>Sampling!E573</f>
        <v>0</v>
      </c>
      <c r="E575" t="str">
        <f>ICPList[[#This Row],[Experiment ID]]&amp;"_Day"&amp;ICPList[[#This Row],[Duration (Days)]]&amp;"_"&amp;ICPList[[#This Row],[Dilution]]&amp;"x"</f>
        <v>Not Requested_Day0_x</v>
      </c>
      <c r="F575">
        <f>NMRResults[[#This Row],['#]]</f>
        <v>0</v>
      </c>
      <c r="G575" s="1">
        <f>NMRResults[[#This Row],[Date Run]]</f>
        <v>0</v>
      </c>
    </row>
    <row r="576" spans="1:7" hidden="1" x14ac:dyDescent="0.25">
      <c r="A576" t="str" cm="1">
        <f t="array" ref="A576">IF(ISBLANK(INDEX(SampleList[ICP],ROW()-1)),"Not Requested",INDEX(SampleList[Experiment ID],ROW()-1))</f>
        <v>Not Requested</v>
      </c>
      <c r="B576">
        <f>Sampling!E574</f>
        <v>0</v>
      </c>
      <c r="E576" t="str">
        <f>ICPList[[#This Row],[Experiment ID]]&amp;"_Day"&amp;ICPList[[#This Row],[Duration (Days)]]&amp;"_"&amp;ICPList[[#This Row],[Dilution]]&amp;"x"</f>
        <v>Not Requested_Day0_x</v>
      </c>
      <c r="F576">
        <f>NMRResults[[#This Row],['#]]</f>
        <v>0</v>
      </c>
      <c r="G576" s="1">
        <f>NMRResults[[#This Row],[Date Run]]</f>
        <v>0</v>
      </c>
    </row>
    <row r="577" spans="1:7" hidden="1" x14ac:dyDescent="0.25">
      <c r="A577" t="str" cm="1">
        <f t="array" ref="A577">IF(ISBLANK(INDEX(SampleList[ICP],ROW()-1)),"Not Requested",INDEX(SampleList[Experiment ID],ROW()-1))</f>
        <v>Not Requested</v>
      </c>
      <c r="B577">
        <f>Sampling!E575</f>
        <v>0</v>
      </c>
      <c r="E577" t="str">
        <f>ICPList[[#This Row],[Experiment ID]]&amp;"_Day"&amp;ICPList[[#This Row],[Duration (Days)]]&amp;"_"&amp;ICPList[[#This Row],[Dilution]]&amp;"x"</f>
        <v>Not Requested_Day0_x</v>
      </c>
      <c r="F577">
        <f>NMRResults[[#This Row],['#]]</f>
        <v>0</v>
      </c>
      <c r="G577" s="1">
        <f>NMRResults[[#This Row],[Date Run]]</f>
        <v>0</v>
      </c>
    </row>
    <row r="578" spans="1:7" hidden="1" x14ac:dyDescent="0.25">
      <c r="A578" t="str" cm="1">
        <f t="array" ref="A578">IF(ISBLANK(INDEX(SampleList[ICP],ROW()-1)),"Not Requested",INDEX(SampleList[Experiment ID],ROW()-1))</f>
        <v>Not Requested</v>
      </c>
      <c r="B578">
        <f>Sampling!E576</f>
        <v>0</v>
      </c>
      <c r="E578" t="str">
        <f>ICPList[[#This Row],[Experiment ID]]&amp;"_Day"&amp;ICPList[[#This Row],[Duration (Days)]]&amp;"_"&amp;ICPList[[#This Row],[Dilution]]&amp;"x"</f>
        <v>Not Requested_Day0_x</v>
      </c>
      <c r="F578">
        <f>NMRResults[[#This Row],['#]]</f>
        <v>0</v>
      </c>
      <c r="G578" s="1">
        <f>NMRResults[[#This Row],[Date Run]]</f>
        <v>0</v>
      </c>
    </row>
    <row r="579" spans="1:7" hidden="1" x14ac:dyDescent="0.25">
      <c r="A579" t="str" cm="1">
        <f t="array" ref="A579">IF(ISBLANK(INDEX(SampleList[ICP],ROW()-1)),"Not Requested",INDEX(SampleList[Experiment ID],ROW()-1))</f>
        <v>Not Requested</v>
      </c>
      <c r="B579">
        <f>Sampling!E577</f>
        <v>0</v>
      </c>
      <c r="E579" t="str">
        <f>ICPList[[#This Row],[Experiment ID]]&amp;"_Day"&amp;ICPList[[#This Row],[Duration (Days)]]&amp;"_"&amp;ICPList[[#This Row],[Dilution]]&amp;"x"</f>
        <v>Not Requested_Day0_x</v>
      </c>
      <c r="F579">
        <f>NMRResults[[#This Row],['#]]</f>
        <v>0</v>
      </c>
      <c r="G579" s="1">
        <f>NMRResults[[#This Row],[Date Run]]</f>
        <v>0</v>
      </c>
    </row>
    <row r="580" spans="1:7" hidden="1" x14ac:dyDescent="0.25">
      <c r="A580" t="str" cm="1">
        <f t="array" ref="A580">IF(ISBLANK(INDEX(SampleList[ICP],ROW()-1)),"Not Requested",INDEX(SampleList[Experiment ID],ROW()-1))</f>
        <v>Not Requested</v>
      </c>
      <c r="B580">
        <f>Sampling!E578</f>
        <v>0</v>
      </c>
      <c r="E580" t="str">
        <f>ICPList[[#This Row],[Experiment ID]]&amp;"_Day"&amp;ICPList[[#This Row],[Duration (Days)]]&amp;"_"&amp;ICPList[[#This Row],[Dilution]]&amp;"x"</f>
        <v>Not Requested_Day0_x</v>
      </c>
      <c r="F580">
        <f>NMRResults[[#This Row],['#]]</f>
        <v>0</v>
      </c>
      <c r="G580" s="1">
        <f>NMRResults[[#This Row],[Date Run]]</f>
        <v>0</v>
      </c>
    </row>
    <row r="581" spans="1:7" hidden="1" x14ac:dyDescent="0.25">
      <c r="A581" t="str" cm="1">
        <f t="array" ref="A581">IF(ISBLANK(INDEX(SampleList[ICP],ROW()-1)),"Not Requested",INDEX(SampleList[Experiment ID],ROW()-1))</f>
        <v>Not Requested</v>
      </c>
      <c r="B581">
        <f>Sampling!E579</f>
        <v>0</v>
      </c>
      <c r="E581" t="str">
        <f>ICPList[[#This Row],[Experiment ID]]&amp;"_Day"&amp;ICPList[[#This Row],[Duration (Days)]]&amp;"_"&amp;ICPList[[#This Row],[Dilution]]&amp;"x"</f>
        <v>Not Requested_Day0_x</v>
      </c>
      <c r="F581">
        <f>NMRResults[[#This Row],['#]]</f>
        <v>0</v>
      </c>
      <c r="G581" s="1">
        <f>NMRResults[[#This Row],[Date Run]]</f>
        <v>0</v>
      </c>
    </row>
    <row r="582" spans="1:7" hidden="1" x14ac:dyDescent="0.25">
      <c r="A582" t="str" cm="1">
        <f t="array" ref="A582">IF(ISBLANK(INDEX(SampleList[ICP],ROW()-1)),"Not Requested",INDEX(SampleList[Experiment ID],ROW()-1))</f>
        <v>Not Requested</v>
      </c>
      <c r="B582">
        <f>Sampling!E580</f>
        <v>0</v>
      </c>
      <c r="E582" t="str">
        <f>ICPList[[#This Row],[Experiment ID]]&amp;"_Day"&amp;ICPList[[#This Row],[Duration (Days)]]&amp;"_"&amp;ICPList[[#This Row],[Dilution]]&amp;"x"</f>
        <v>Not Requested_Day0_x</v>
      </c>
      <c r="F582">
        <f>NMRResults[[#This Row],['#]]</f>
        <v>0</v>
      </c>
      <c r="G582" s="1">
        <f>NMRResults[[#This Row],[Date Run]]</f>
        <v>0</v>
      </c>
    </row>
    <row r="583" spans="1:7" hidden="1" x14ac:dyDescent="0.25">
      <c r="A583" t="str" cm="1">
        <f t="array" ref="A583">IF(ISBLANK(INDEX(SampleList[ICP],ROW()-1)),"Not Requested",INDEX(SampleList[Experiment ID],ROW()-1))</f>
        <v>Not Requested</v>
      </c>
      <c r="B583">
        <f>Sampling!E581</f>
        <v>0</v>
      </c>
      <c r="E583" t="str">
        <f>ICPList[[#This Row],[Experiment ID]]&amp;"_Day"&amp;ICPList[[#This Row],[Duration (Days)]]&amp;"_"&amp;ICPList[[#This Row],[Dilution]]&amp;"x"</f>
        <v>Not Requested_Day0_x</v>
      </c>
      <c r="F583">
        <f>NMRResults[[#This Row],['#]]</f>
        <v>0</v>
      </c>
      <c r="G583" s="1">
        <f>NMRResults[[#This Row],[Date Run]]</f>
        <v>0</v>
      </c>
    </row>
    <row r="584" spans="1:7" hidden="1" x14ac:dyDescent="0.25">
      <c r="A584" t="str" cm="1">
        <f t="array" ref="A584">IF(ISBLANK(INDEX(SampleList[ICP],ROW()-1)),"Not Requested",INDEX(SampleList[Experiment ID],ROW()-1))</f>
        <v>Not Requested</v>
      </c>
      <c r="B584">
        <f>Sampling!E582</f>
        <v>0</v>
      </c>
      <c r="E584" t="str">
        <f>ICPList[[#This Row],[Experiment ID]]&amp;"_Day"&amp;ICPList[[#This Row],[Duration (Days)]]&amp;"_"&amp;ICPList[[#This Row],[Dilution]]&amp;"x"</f>
        <v>Not Requested_Day0_x</v>
      </c>
      <c r="F584">
        <f>NMRResults[[#This Row],['#]]</f>
        <v>0</v>
      </c>
      <c r="G584" s="1">
        <f>NMRResults[[#This Row],[Date Run]]</f>
        <v>0</v>
      </c>
    </row>
    <row r="585" spans="1:7" hidden="1" x14ac:dyDescent="0.25">
      <c r="A585" t="str" cm="1">
        <f t="array" ref="A585">IF(ISBLANK(INDEX(SampleList[ICP],ROW()-1)),"Not Requested",INDEX(SampleList[Experiment ID],ROW()-1))</f>
        <v>Not Requested</v>
      </c>
      <c r="B585">
        <f>Sampling!E583</f>
        <v>0</v>
      </c>
      <c r="E585" t="str">
        <f>ICPList[[#This Row],[Experiment ID]]&amp;"_Day"&amp;ICPList[[#This Row],[Duration (Days)]]&amp;"_"&amp;ICPList[[#This Row],[Dilution]]&amp;"x"</f>
        <v>Not Requested_Day0_x</v>
      </c>
      <c r="F585">
        <f>NMRResults[[#This Row],['#]]</f>
        <v>0</v>
      </c>
      <c r="G585" s="1">
        <f>NMRResults[[#This Row],[Date Run]]</f>
        <v>0</v>
      </c>
    </row>
    <row r="586" spans="1:7" hidden="1" x14ac:dyDescent="0.25">
      <c r="A586" t="str" cm="1">
        <f t="array" ref="A586">IF(ISBLANK(INDEX(SampleList[ICP],ROW()-1)),"Not Requested",INDEX(SampleList[Experiment ID],ROW()-1))</f>
        <v>Not Requested</v>
      </c>
      <c r="B586">
        <f>Sampling!E584</f>
        <v>0</v>
      </c>
      <c r="E586" t="str">
        <f>ICPList[[#This Row],[Experiment ID]]&amp;"_Day"&amp;ICPList[[#This Row],[Duration (Days)]]&amp;"_"&amp;ICPList[[#This Row],[Dilution]]&amp;"x"</f>
        <v>Not Requested_Day0_x</v>
      </c>
      <c r="F586">
        <f>NMRResults[[#This Row],['#]]</f>
        <v>0</v>
      </c>
      <c r="G586" s="1">
        <f>NMRResults[[#This Row],[Date Run]]</f>
        <v>0</v>
      </c>
    </row>
    <row r="587" spans="1:7" hidden="1" x14ac:dyDescent="0.25">
      <c r="A587" t="str" cm="1">
        <f t="array" ref="A587">IF(ISBLANK(INDEX(SampleList[ICP],ROW()-1)),"Not Requested",INDEX(SampleList[Experiment ID],ROW()-1))</f>
        <v>Not Requested</v>
      </c>
      <c r="B587">
        <f>Sampling!E585</f>
        <v>0</v>
      </c>
      <c r="E587" t="str">
        <f>ICPList[[#This Row],[Experiment ID]]&amp;"_Day"&amp;ICPList[[#This Row],[Duration (Days)]]&amp;"_"&amp;ICPList[[#This Row],[Dilution]]&amp;"x"</f>
        <v>Not Requested_Day0_x</v>
      </c>
      <c r="F587">
        <f>NMRResults[[#This Row],['#]]</f>
        <v>0</v>
      </c>
      <c r="G587" s="1">
        <f>NMRResults[[#This Row],[Date Run]]</f>
        <v>0</v>
      </c>
    </row>
    <row r="588" spans="1:7" hidden="1" x14ac:dyDescent="0.25">
      <c r="A588" t="str" cm="1">
        <f t="array" ref="A588">IF(ISBLANK(INDEX(SampleList[ICP],ROW()-1)),"Not Requested",INDEX(SampleList[Experiment ID],ROW()-1))</f>
        <v>Not Requested</v>
      </c>
      <c r="B588">
        <f>Sampling!E586</f>
        <v>0</v>
      </c>
      <c r="E588" t="str">
        <f>ICPList[[#This Row],[Experiment ID]]&amp;"_Day"&amp;ICPList[[#This Row],[Duration (Days)]]&amp;"_"&amp;ICPList[[#This Row],[Dilution]]&amp;"x"</f>
        <v>Not Requested_Day0_x</v>
      </c>
      <c r="F588">
        <f>NMRResults[[#This Row],['#]]</f>
        <v>0</v>
      </c>
      <c r="G588" s="1">
        <f>NMRResults[[#This Row],[Date Run]]</f>
        <v>0</v>
      </c>
    </row>
    <row r="589" spans="1:7" hidden="1" x14ac:dyDescent="0.25">
      <c r="A589" t="str" cm="1">
        <f t="array" ref="A589">IF(ISBLANK(INDEX(SampleList[ICP],ROW()-1)),"Not Requested",INDEX(SampleList[Experiment ID],ROW()-1))</f>
        <v>Not Requested</v>
      </c>
      <c r="B589">
        <f>Sampling!E587</f>
        <v>0</v>
      </c>
      <c r="E589" t="str">
        <f>ICPList[[#This Row],[Experiment ID]]&amp;"_Day"&amp;ICPList[[#This Row],[Duration (Days)]]&amp;"_"&amp;ICPList[[#This Row],[Dilution]]&amp;"x"</f>
        <v>Not Requested_Day0_x</v>
      </c>
      <c r="F589">
        <f>NMRResults[[#This Row],['#]]</f>
        <v>0</v>
      </c>
      <c r="G589" s="1">
        <f>NMRResults[[#This Row],[Date Run]]</f>
        <v>0</v>
      </c>
    </row>
    <row r="590" spans="1:7" hidden="1" x14ac:dyDescent="0.25">
      <c r="A590" t="str" cm="1">
        <f t="array" ref="A590">IF(ISBLANK(INDEX(SampleList[ICP],ROW()-1)),"Not Requested",INDEX(SampleList[Experiment ID],ROW()-1))</f>
        <v>Not Requested</v>
      </c>
      <c r="B590">
        <f>Sampling!E588</f>
        <v>0</v>
      </c>
      <c r="E590" t="str">
        <f>ICPList[[#This Row],[Experiment ID]]&amp;"_Day"&amp;ICPList[[#This Row],[Duration (Days)]]&amp;"_"&amp;ICPList[[#This Row],[Dilution]]&amp;"x"</f>
        <v>Not Requested_Day0_x</v>
      </c>
      <c r="F590">
        <f>NMRResults[[#This Row],['#]]</f>
        <v>0</v>
      </c>
      <c r="G590" s="1">
        <f>NMRResults[[#This Row],[Date Run]]</f>
        <v>0</v>
      </c>
    </row>
    <row r="591" spans="1:7" hidden="1" x14ac:dyDescent="0.25">
      <c r="A591" t="str" cm="1">
        <f t="array" ref="A591">IF(ISBLANK(INDEX(SampleList[ICP],ROW()-1)),"Not Requested",INDEX(SampleList[Experiment ID],ROW()-1))</f>
        <v>Not Requested</v>
      </c>
      <c r="B591">
        <f>Sampling!E589</f>
        <v>0</v>
      </c>
      <c r="E591" t="str">
        <f>ICPList[[#This Row],[Experiment ID]]&amp;"_Day"&amp;ICPList[[#This Row],[Duration (Days)]]&amp;"_"&amp;ICPList[[#This Row],[Dilution]]&amp;"x"</f>
        <v>Not Requested_Day0_x</v>
      </c>
      <c r="F591">
        <f>NMRResults[[#This Row],['#]]</f>
        <v>0</v>
      </c>
      <c r="G591" s="1">
        <f>NMRResults[[#This Row],[Date Run]]</f>
        <v>0</v>
      </c>
    </row>
    <row r="592" spans="1:7" hidden="1" x14ac:dyDescent="0.25">
      <c r="A592" t="str" cm="1">
        <f t="array" ref="A592">IF(ISBLANK(INDEX(SampleList[ICP],ROW()-1)),"Not Requested",INDEX(SampleList[Experiment ID],ROW()-1))</f>
        <v>Not Requested</v>
      </c>
      <c r="B592">
        <f>Sampling!E590</f>
        <v>0</v>
      </c>
      <c r="E592" t="str">
        <f>ICPList[[#This Row],[Experiment ID]]&amp;"_Day"&amp;ICPList[[#This Row],[Duration (Days)]]&amp;"_"&amp;ICPList[[#This Row],[Dilution]]&amp;"x"</f>
        <v>Not Requested_Day0_x</v>
      </c>
      <c r="F592">
        <f>NMRResults[[#This Row],['#]]</f>
        <v>0</v>
      </c>
      <c r="G592" s="1">
        <f>NMRResults[[#This Row],[Date Run]]</f>
        <v>0</v>
      </c>
    </row>
    <row r="593" spans="1:7" hidden="1" x14ac:dyDescent="0.25">
      <c r="A593" t="str" cm="1">
        <f t="array" ref="A593">IF(ISBLANK(INDEX(SampleList[ICP],ROW()-1)),"Not Requested",INDEX(SampleList[Experiment ID],ROW()-1))</f>
        <v>Not Requested</v>
      </c>
      <c r="B593">
        <f>Sampling!E591</f>
        <v>0</v>
      </c>
      <c r="E593" t="str">
        <f>ICPList[[#This Row],[Experiment ID]]&amp;"_Day"&amp;ICPList[[#This Row],[Duration (Days)]]&amp;"_"&amp;ICPList[[#This Row],[Dilution]]&amp;"x"</f>
        <v>Not Requested_Day0_x</v>
      </c>
      <c r="F593">
        <f>NMRResults[[#This Row],['#]]</f>
        <v>0</v>
      </c>
      <c r="G593" s="1">
        <f>NMRResults[[#This Row],[Date Run]]</f>
        <v>0</v>
      </c>
    </row>
    <row r="594" spans="1:7" hidden="1" x14ac:dyDescent="0.25">
      <c r="A594" t="str" cm="1">
        <f t="array" ref="A594">IF(ISBLANK(INDEX(SampleList[ICP],ROW()-1)),"Not Requested",INDEX(SampleList[Experiment ID],ROW()-1))</f>
        <v>Not Requested</v>
      </c>
      <c r="B594">
        <f>Sampling!E592</f>
        <v>0</v>
      </c>
      <c r="E594" t="str">
        <f>ICPList[[#This Row],[Experiment ID]]&amp;"_Day"&amp;ICPList[[#This Row],[Duration (Days)]]&amp;"_"&amp;ICPList[[#This Row],[Dilution]]&amp;"x"</f>
        <v>Not Requested_Day0_x</v>
      </c>
      <c r="F594">
        <f>NMRResults[[#This Row],['#]]</f>
        <v>0</v>
      </c>
      <c r="G594" s="1">
        <f>NMRResults[[#This Row],[Date Run]]</f>
        <v>0</v>
      </c>
    </row>
    <row r="595" spans="1:7" hidden="1" x14ac:dyDescent="0.25">
      <c r="A595" t="str" cm="1">
        <f t="array" ref="A595">IF(ISBLANK(INDEX(SampleList[ICP],ROW()-1)),"Not Requested",INDEX(SampleList[Experiment ID],ROW()-1))</f>
        <v>Not Requested</v>
      </c>
      <c r="B595">
        <f>Sampling!E593</f>
        <v>0</v>
      </c>
      <c r="E595" t="str">
        <f>ICPList[[#This Row],[Experiment ID]]&amp;"_Day"&amp;ICPList[[#This Row],[Duration (Days)]]&amp;"_"&amp;ICPList[[#This Row],[Dilution]]&amp;"x"</f>
        <v>Not Requested_Day0_x</v>
      </c>
      <c r="F595">
        <f>NMRResults[[#This Row],['#]]</f>
        <v>0</v>
      </c>
      <c r="G595" s="1">
        <f>NMRResults[[#This Row],[Date Run]]</f>
        <v>0</v>
      </c>
    </row>
    <row r="596" spans="1:7" hidden="1" x14ac:dyDescent="0.25">
      <c r="A596" t="str" cm="1">
        <f t="array" ref="A596">IF(ISBLANK(INDEX(SampleList[ICP],ROW()-1)),"Not Requested",INDEX(SampleList[Experiment ID],ROW()-1))</f>
        <v>Not Requested</v>
      </c>
      <c r="B596">
        <f>Sampling!E594</f>
        <v>0</v>
      </c>
      <c r="E596" t="str">
        <f>ICPList[[#This Row],[Experiment ID]]&amp;"_Day"&amp;ICPList[[#This Row],[Duration (Days)]]&amp;"_"&amp;ICPList[[#This Row],[Dilution]]&amp;"x"</f>
        <v>Not Requested_Day0_x</v>
      </c>
      <c r="F596">
        <f>NMRResults[[#This Row],['#]]</f>
        <v>0</v>
      </c>
      <c r="G596" s="1">
        <f>NMRResults[[#This Row],[Date Run]]</f>
        <v>0</v>
      </c>
    </row>
    <row r="597" spans="1:7" hidden="1" x14ac:dyDescent="0.25">
      <c r="A597" t="str" cm="1">
        <f t="array" ref="A597">IF(ISBLANK(INDEX(SampleList[ICP],ROW()-1)),"Not Requested",INDEX(SampleList[Experiment ID],ROW()-1))</f>
        <v>Not Requested</v>
      </c>
      <c r="B597">
        <f>Sampling!E595</f>
        <v>0</v>
      </c>
      <c r="E597" t="str">
        <f>ICPList[[#This Row],[Experiment ID]]&amp;"_Day"&amp;ICPList[[#This Row],[Duration (Days)]]&amp;"_"&amp;ICPList[[#This Row],[Dilution]]&amp;"x"</f>
        <v>Not Requested_Day0_x</v>
      </c>
      <c r="F597">
        <f>NMRResults[[#This Row],['#]]</f>
        <v>0</v>
      </c>
      <c r="G597" s="1">
        <f>NMRResults[[#This Row],[Date Run]]</f>
        <v>0</v>
      </c>
    </row>
    <row r="598" spans="1:7" hidden="1" x14ac:dyDescent="0.25">
      <c r="A598" t="str" cm="1">
        <f t="array" ref="A598">IF(ISBLANK(INDEX(SampleList[ICP],ROW()-1)),"Not Requested",INDEX(SampleList[Experiment ID],ROW()-1))</f>
        <v>Not Requested</v>
      </c>
      <c r="B598">
        <f>Sampling!E596</f>
        <v>0</v>
      </c>
      <c r="E598" t="str">
        <f>ICPList[[#This Row],[Experiment ID]]&amp;"_Day"&amp;ICPList[[#This Row],[Duration (Days)]]&amp;"_"&amp;ICPList[[#This Row],[Dilution]]&amp;"x"</f>
        <v>Not Requested_Day0_x</v>
      </c>
      <c r="F598">
        <f>NMRResults[[#This Row],['#]]</f>
        <v>0</v>
      </c>
      <c r="G598" s="1">
        <f>NMRResults[[#This Row],[Date Run]]</f>
        <v>0</v>
      </c>
    </row>
    <row r="599" spans="1:7" hidden="1" x14ac:dyDescent="0.25">
      <c r="A599" t="str" cm="1">
        <f t="array" ref="A599">IF(ISBLANK(INDEX(SampleList[ICP],ROW()-1)),"Not Requested",INDEX(SampleList[Experiment ID],ROW()-1))</f>
        <v>Not Requested</v>
      </c>
      <c r="B599">
        <f>Sampling!E597</f>
        <v>0</v>
      </c>
      <c r="E599" t="str">
        <f>ICPList[[#This Row],[Experiment ID]]&amp;"_Day"&amp;ICPList[[#This Row],[Duration (Days)]]&amp;"_"&amp;ICPList[[#This Row],[Dilution]]&amp;"x"</f>
        <v>Not Requested_Day0_x</v>
      </c>
      <c r="F599">
        <f>NMRResults[[#This Row],['#]]</f>
        <v>0</v>
      </c>
      <c r="G599" s="1">
        <f>NMRResults[[#This Row],[Date Run]]</f>
        <v>0</v>
      </c>
    </row>
    <row r="600" spans="1:7" hidden="1" x14ac:dyDescent="0.25">
      <c r="A600" t="str" cm="1">
        <f t="array" ref="A600">IF(ISBLANK(INDEX(SampleList[ICP],ROW()-1)),"Not Requested",INDEX(SampleList[Experiment ID],ROW()-1))</f>
        <v>Not Requested</v>
      </c>
      <c r="B600">
        <f>Sampling!E598</f>
        <v>0</v>
      </c>
      <c r="E600" t="str">
        <f>ICPList[[#This Row],[Experiment ID]]&amp;"_Day"&amp;ICPList[[#This Row],[Duration (Days)]]&amp;"_"&amp;ICPList[[#This Row],[Dilution]]&amp;"x"</f>
        <v>Not Requested_Day0_x</v>
      </c>
      <c r="F600">
        <f>NMRResults[[#This Row],['#]]</f>
        <v>0</v>
      </c>
      <c r="G600" s="1">
        <f>NMRResults[[#This Row],[Date Run]]</f>
        <v>0</v>
      </c>
    </row>
    <row r="601" spans="1:7" hidden="1" x14ac:dyDescent="0.25">
      <c r="A601" t="str" cm="1">
        <f t="array" ref="A601">IF(ISBLANK(INDEX(SampleList[ICP],ROW()-1)),"Not Requested",INDEX(SampleList[Experiment ID],ROW()-1))</f>
        <v>Not Requested</v>
      </c>
      <c r="B601">
        <f>Sampling!E599</f>
        <v>0</v>
      </c>
      <c r="E601" t="str">
        <f>ICPList[[#This Row],[Experiment ID]]&amp;"_Day"&amp;ICPList[[#This Row],[Duration (Days)]]&amp;"_"&amp;ICPList[[#This Row],[Dilution]]&amp;"x"</f>
        <v>Not Requested_Day0_x</v>
      </c>
      <c r="F601">
        <f>NMRResults[[#This Row],['#]]</f>
        <v>0</v>
      </c>
      <c r="G601" s="1">
        <f>NMRResults[[#This Row],[Date Run]]</f>
        <v>0</v>
      </c>
    </row>
    <row r="602" spans="1:7" hidden="1" x14ac:dyDescent="0.25">
      <c r="A602" t="str" cm="1">
        <f t="array" ref="A602">IF(ISBLANK(INDEX(SampleList[ICP],ROW()-1)),"Not Requested",INDEX(SampleList[Experiment ID],ROW()-1))</f>
        <v>Not Requested</v>
      </c>
      <c r="B602">
        <f>Sampling!E600</f>
        <v>0</v>
      </c>
      <c r="E602" t="str">
        <f>ICPList[[#This Row],[Experiment ID]]&amp;"_Day"&amp;ICPList[[#This Row],[Duration (Days)]]&amp;"_"&amp;ICPList[[#This Row],[Dilution]]&amp;"x"</f>
        <v>Not Requested_Day0_x</v>
      </c>
      <c r="F602">
        <f>NMRResults[[#This Row],['#]]</f>
        <v>0</v>
      </c>
      <c r="G602" s="1">
        <f>NMRResults[[#This Row],[Date Run]]</f>
        <v>0</v>
      </c>
    </row>
    <row r="603" spans="1:7" hidden="1" x14ac:dyDescent="0.25">
      <c r="A603" t="str" cm="1">
        <f t="array" ref="A603">IF(ISBLANK(INDEX(SampleList[ICP],ROW()-1)),"Not Requested",INDEX(SampleList[Experiment ID],ROW()-1))</f>
        <v>Not Requested</v>
      </c>
      <c r="B603">
        <f>Sampling!E601</f>
        <v>0</v>
      </c>
      <c r="E603" t="str">
        <f>ICPList[[#This Row],[Experiment ID]]&amp;"_Day"&amp;ICPList[[#This Row],[Duration (Days)]]&amp;"_"&amp;ICPList[[#This Row],[Dilution]]&amp;"x"</f>
        <v>Not Requested_Day0_x</v>
      </c>
      <c r="F603">
        <f>NMRResults[[#This Row],['#]]</f>
        <v>0</v>
      </c>
      <c r="G603" s="1">
        <f>NMRResults[[#This Row],[Date Run]]</f>
        <v>0</v>
      </c>
    </row>
    <row r="604" spans="1:7" hidden="1" x14ac:dyDescent="0.25">
      <c r="A604" t="str" cm="1">
        <f t="array" ref="A604">IF(ISBLANK(INDEX(SampleList[ICP],ROW()-1)),"Not Requested",INDEX(SampleList[Experiment ID],ROW()-1))</f>
        <v>Not Requested</v>
      </c>
      <c r="B604">
        <f>Sampling!E602</f>
        <v>0</v>
      </c>
      <c r="E604" t="str">
        <f>ICPList[[#This Row],[Experiment ID]]&amp;"_Day"&amp;ICPList[[#This Row],[Duration (Days)]]&amp;"_"&amp;ICPList[[#This Row],[Dilution]]&amp;"x"</f>
        <v>Not Requested_Day0_x</v>
      </c>
      <c r="F604">
        <f>NMRResults[[#This Row],['#]]</f>
        <v>0</v>
      </c>
      <c r="G604" s="1">
        <f>NMRResults[[#This Row],[Date Run]]</f>
        <v>0</v>
      </c>
    </row>
    <row r="605" spans="1:7" hidden="1" x14ac:dyDescent="0.25">
      <c r="A605" t="str" cm="1">
        <f t="array" ref="A605">IF(ISBLANK(INDEX(SampleList[ICP],ROW()-1)),"Not Requested",INDEX(SampleList[Experiment ID],ROW()-1))</f>
        <v>Not Requested</v>
      </c>
      <c r="B605">
        <f>Sampling!E603</f>
        <v>0</v>
      </c>
      <c r="E605" t="str">
        <f>ICPList[[#This Row],[Experiment ID]]&amp;"_Day"&amp;ICPList[[#This Row],[Duration (Days)]]&amp;"_"&amp;ICPList[[#This Row],[Dilution]]&amp;"x"</f>
        <v>Not Requested_Day0_x</v>
      </c>
      <c r="F605">
        <f>NMRResults[[#This Row],['#]]</f>
        <v>0</v>
      </c>
      <c r="G605" s="1">
        <f>NMRResults[[#This Row],[Date Run]]</f>
        <v>0</v>
      </c>
    </row>
    <row r="606" spans="1:7" hidden="1" x14ac:dyDescent="0.25">
      <c r="A606" t="str" cm="1">
        <f t="array" ref="A606">IF(ISBLANK(INDEX(SampleList[ICP],ROW()-1)),"Not Requested",INDEX(SampleList[Experiment ID],ROW()-1))</f>
        <v>Not Requested</v>
      </c>
      <c r="B606">
        <f>Sampling!E604</f>
        <v>0</v>
      </c>
      <c r="E606" t="str">
        <f>ICPList[[#This Row],[Experiment ID]]&amp;"_Day"&amp;ICPList[[#This Row],[Duration (Days)]]&amp;"_"&amp;ICPList[[#This Row],[Dilution]]&amp;"x"</f>
        <v>Not Requested_Day0_x</v>
      </c>
      <c r="F606">
        <f>NMRResults[[#This Row],['#]]</f>
        <v>0</v>
      </c>
      <c r="G606" s="1">
        <f>NMRResults[[#This Row],[Date Run]]</f>
        <v>0</v>
      </c>
    </row>
    <row r="607" spans="1:7" hidden="1" x14ac:dyDescent="0.25">
      <c r="A607" t="str" cm="1">
        <f t="array" ref="A607">IF(ISBLANK(INDEX(SampleList[ICP],ROW()-1)),"Not Requested",INDEX(SampleList[Experiment ID],ROW()-1))</f>
        <v>Not Requested</v>
      </c>
      <c r="B607">
        <f>Sampling!E605</f>
        <v>0</v>
      </c>
      <c r="E607" t="str">
        <f>ICPList[[#This Row],[Experiment ID]]&amp;"_Day"&amp;ICPList[[#This Row],[Duration (Days)]]&amp;"_"&amp;ICPList[[#This Row],[Dilution]]&amp;"x"</f>
        <v>Not Requested_Day0_x</v>
      </c>
      <c r="F607">
        <f>NMRResults[[#This Row],['#]]</f>
        <v>0</v>
      </c>
      <c r="G607" s="1">
        <f>NMRResults[[#This Row],[Date Run]]</f>
        <v>0</v>
      </c>
    </row>
    <row r="608" spans="1:7" hidden="1" x14ac:dyDescent="0.25">
      <c r="A608" t="str" cm="1">
        <f t="array" ref="A608">IF(ISBLANK(INDEX(SampleList[ICP],ROW()-1)),"Not Requested",INDEX(SampleList[Experiment ID],ROW()-1))</f>
        <v>Not Requested</v>
      </c>
      <c r="B608">
        <f>Sampling!E606</f>
        <v>0</v>
      </c>
      <c r="E608" t="str">
        <f>ICPList[[#This Row],[Experiment ID]]&amp;"_Day"&amp;ICPList[[#This Row],[Duration (Days)]]&amp;"_"&amp;ICPList[[#This Row],[Dilution]]&amp;"x"</f>
        <v>Not Requested_Day0_x</v>
      </c>
      <c r="F608">
        <f>NMRResults[[#This Row],['#]]</f>
        <v>0</v>
      </c>
      <c r="G608" s="1">
        <f>NMRResults[[#This Row],[Date Run]]</f>
        <v>0</v>
      </c>
    </row>
    <row r="609" spans="1:7" hidden="1" x14ac:dyDescent="0.25">
      <c r="A609" t="str" cm="1">
        <f t="array" ref="A609">IF(ISBLANK(INDEX(SampleList[ICP],ROW()-1)),"Not Requested",INDEX(SampleList[Experiment ID],ROW()-1))</f>
        <v>Not Requested</v>
      </c>
      <c r="B609">
        <f>Sampling!E607</f>
        <v>0</v>
      </c>
      <c r="E609" t="str">
        <f>ICPList[[#This Row],[Experiment ID]]&amp;"_Day"&amp;ICPList[[#This Row],[Duration (Days)]]&amp;"_"&amp;ICPList[[#This Row],[Dilution]]&amp;"x"</f>
        <v>Not Requested_Day0_x</v>
      </c>
      <c r="F609">
        <f>NMRResults[[#This Row],['#]]</f>
        <v>0</v>
      </c>
      <c r="G609" s="1">
        <f>NMRResults[[#This Row],[Date Run]]</f>
        <v>0</v>
      </c>
    </row>
    <row r="610" spans="1:7" hidden="1" x14ac:dyDescent="0.25">
      <c r="A610" t="str" cm="1">
        <f t="array" ref="A610">IF(ISBLANK(INDEX(SampleList[ICP],ROW()-1)),"Not Requested",INDEX(SampleList[Experiment ID],ROW()-1))</f>
        <v>Not Requested</v>
      </c>
      <c r="B610">
        <f>Sampling!E608</f>
        <v>0</v>
      </c>
      <c r="E610" t="str">
        <f>ICPList[[#This Row],[Experiment ID]]&amp;"_Day"&amp;ICPList[[#This Row],[Duration (Days)]]&amp;"_"&amp;ICPList[[#This Row],[Dilution]]&amp;"x"</f>
        <v>Not Requested_Day0_x</v>
      </c>
      <c r="F610">
        <f>NMRResults[[#This Row],['#]]</f>
        <v>0</v>
      </c>
      <c r="G610" s="1">
        <f>NMRResults[[#This Row],[Date Run]]</f>
        <v>0</v>
      </c>
    </row>
    <row r="611" spans="1:7" hidden="1" x14ac:dyDescent="0.25">
      <c r="A611" t="str" cm="1">
        <f t="array" ref="A611">IF(ISBLANK(INDEX(SampleList[ICP],ROW()-1)),"Not Requested",INDEX(SampleList[Experiment ID],ROW()-1))</f>
        <v>Not Requested</v>
      </c>
      <c r="B611">
        <f>Sampling!E609</f>
        <v>0</v>
      </c>
      <c r="E611" t="str">
        <f>ICPList[[#This Row],[Experiment ID]]&amp;"_Day"&amp;ICPList[[#This Row],[Duration (Days)]]&amp;"_"&amp;ICPList[[#This Row],[Dilution]]&amp;"x"</f>
        <v>Not Requested_Day0_x</v>
      </c>
      <c r="F611">
        <f>NMRResults[[#This Row],['#]]</f>
        <v>0</v>
      </c>
      <c r="G611" s="1">
        <f>NMRResults[[#This Row],[Date Run]]</f>
        <v>0</v>
      </c>
    </row>
    <row r="612" spans="1:7" hidden="1" x14ac:dyDescent="0.25">
      <c r="A612" t="str" cm="1">
        <f t="array" ref="A612">IF(ISBLANK(INDEX(SampleList[ICP],ROW()-1)),"Not Requested",INDEX(SampleList[Experiment ID],ROW()-1))</f>
        <v>Not Requested</v>
      </c>
      <c r="B612">
        <f>Sampling!E610</f>
        <v>0</v>
      </c>
      <c r="E612" t="str">
        <f>ICPList[[#This Row],[Experiment ID]]&amp;"_Day"&amp;ICPList[[#This Row],[Duration (Days)]]&amp;"_"&amp;ICPList[[#This Row],[Dilution]]&amp;"x"</f>
        <v>Not Requested_Day0_x</v>
      </c>
      <c r="F612">
        <f>NMRResults[[#This Row],['#]]</f>
        <v>0</v>
      </c>
      <c r="G612" s="1">
        <f>NMRResults[[#This Row],[Date Run]]</f>
        <v>0</v>
      </c>
    </row>
    <row r="613" spans="1:7" hidden="1" x14ac:dyDescent="0.25">
      <c r="A613" t="str" cm="1">
        <f t="array" ref="A613">IF(ISBLANK(INDEX(SampleList[ICP],ROW()-1)),"Not Requested",INDEX(SampleList[Experiment ID],ROW()-1))</f>
        <v>Not Requested</v>
      </c>
      <c r="B613">
        <f>Sampling!E611</f>
        <v>0</v>
      </c>
      <c r="E613" t="str">
        <f>ICPList[[#This Row],[Experiment ID]]&amp;"_Day"&amp;ICPList[[#This Row],[Duration (Days)]]&amp;"_"&amp;ICPList[[#This Row],[Dilution]]&amp;"x"</f>
        <v>Not Requested_Day0_x</v>
      </c>
      <c r="F613">
        <f>NMRResults[[#This Row],['#]]</f>
        <v>0</v>
      </c>
      <c r="G613" s="1">
        <f>NMRResults[[#This Row],[Date Run]]</f>
        <v>0</v>
      </c>
    </row>
    <row r="614" spans="1:7" hidden="1" x14ac:dyDescent="0.25">
      <c r="A614" t="str" cm="1">
        <f t="array" ref="A614">IF(ISBLANK(INDEX(SampleList[ICP],ROW()-1)),"Not Requested",INDEX(SampleList[Experiment ID],ROW()-1))</f>
        <v>Not Requested</v>
      </c>
      <c r="B614">
        <f>Sampling!E612</f>
        <v>0</v>
      </c>
      <c r="E614" t="str">
        <f>ICPList[[#This Row],[Experiment ID]]&amp;"_Day"&amp;ICPList[[#This Row],[Duration (Days)]]&amp;"_"&amp;ICPList[[#This Row],[Dilution]]&amp;"x"</f>
        <v>Not Requested_Day0_x</v>
      </c>
      <c r="F614">
        <f>NMRResults[[#This Row],['#]]</f>
        <v>0</v>
      </c>
      <c r="G614" s="1">
        <f>NMRResults[[#This Row],[Date Run]]</f>
        <v>0</v>
      </c>
    </row>
    <row r="615" spans="1:7" hidden="1" x14ac:dyDescent="0.25">
      <c r="A615" t="str" cm="1">
        <f t="array" ref="A615">IF(ISBLANK(INDEX(SampleList[ICP],ROW()-1)),"Not Requested",INDEX(SampleList[Experiment ID],ROW()-1))</f>
        <v>Not Requested</v>
      </c>
      <c r="B615">
        <f>Sampling!E613</f>
        <v>0</v>
      </c>
      <c r="E615" t="str">
        <f>ICPList[[#This Row],[Experiment ID]]&amp;"_Day"&amp;ICPList[[#This Row],[Duration (Days)]]&amp;"_"&amp;ICPList[[#This Row],[Dilution]]&amp;"x"</f>
        <v>Not Requested_Day0_x</v>
      </c>
      <c r="F615">
        <f>NMRResults[[#This Row],['#]]</f>
        <v>0</v>
      </c>
      <c r="G615" s="1">
        <f>NMRResults[[#This Row],[Date Run]]</f>
        <v>0</v>
      </c>
    </row>
    <row r="616" spans="1:7" hidden="1" x14ac:dyDescent="0.25">
      <c r="A616" t="str" cm="1">
        <f t="array" ref="A616">IF(ISBLANK(INDEX(SampleList[ICP],ROW()-1)),"Not Requested",INDEX(SampleList[Experiment ID],ROW()-1))</f>
        <v>Not Requested</v>
      </c>
      <c r="B616">
        <f>Sampling!E614</f>
        <v>0</v>
      </c>
      <c r="E616" t="str">
        <f>ICPList[[#This Row],[Experiment ID]]&amp;"_Day"&amp;ICPList[[#This Row],[Duration (Days)]]&amp;"_"&amp;ICPList[[#This Row],[Dilution]]&amp;"x"</f>
        <v>Not Requested_Day0_x</v>
      </c>
      <c r="F616">
        <f>NMRResults[[#This Row],['#]]</f>
        <v>0</v>
      </c>
      <c r="G616" s="1">
        <f>NMRResults[[#This Row],[Date Run]]</f>
        <v>0</v>
      </c>
    </row>
    <row r="617" spans="1:7" hidden="1" x14ac:dyDescent="0.25">
      <c r="A617" t="str" cm="1">
        <f t="array" ref="A617">IF(ISBLANK(INDEX(SampleList[ICP],ROW()-1)),"Not Requested",INDEX(SampleList[Experiment ID],ROW()-1))</f>
        <v>Not Requested</v>
      </c>
      <c r="B617">
        <f>Sampling!E615</f>
        <v>0</v>
      </c>
      <c r="E617" t="str">
        <f>ICPList[[#This Row],[Experiment ID]]&amp;"_Day"&amp;ICPList[[#This Row],[Duration (Days)]]&amp;"_"&amp;ICPList[[#This Row],[Dilution]]&amp;"x"</f>
        <v>Not Requested_Day0_x</v>
      </c>
      <c r="F617">
        <f>NMRResults[[#This Row],['#]]</f>
        <v>0</v>
      </c>
      <c r="G617" s="1">
        <f>NMRResults[[#This Row],[Date Run]]</f>
        <v>0</v>
      </c>
    </row>
    <row r="618" spans="1:7" hidden="1" x14ac:dyDescent="0.25">
      <c r="A618" t="str" cm="1">
        <f t="array" ref="A618">IF(ISBLANK(INDEX(SampleList[ICP],ROW()-1)),"Not Requested",INDEX(SampleList[Experiment ID],ROW()-1))</f>
        <v>Not Requested</v>
      </c>
      <c r="B618">
        <f>Sampling!E616</f>
        <v>0</v>
      </c>
      <c r="E618" t="str">
        <f>ICPList[[#This Row],[Experiment ID]]&amp;"_Day"&amp;ICPList[[#This Row],[Duration (Days)]]&amp;"_"&amp;ICPList[[#This Row],[Dilution]]&amp;"x"</f>
        <v>Not Requested_Day0_x</v>
      </c>
      <c r="F618">
        <f>NMRResults[[#This Row],['#]]</f>
        <v>0</v>
      </c>
      <c r="G618" s="1">
        <f>NMRResults[[#This Row],[Date Run]]</f>
        <v>0</v>
      </c>
    </row>
    <row r="619" spans="1:7" hidden="1" x14ac:dyDescent="0.25">
      <c r="A619" t="str" cm="1">
        <f t="array" ref="A619">IF(ISBLANK(INDEX(SampleList[ICP],ROW()-1)),"Not Requested",INDEX(SampleList[Experiment ID],ROW()-1))</f>
        <v>Not Requested</v>
      </c>
      <c r="B619">
        <f>Sampling!E617</f>
        <v>0</v>
      </c>
      <c r="E619" t="str">
        <f>ICPList[[#This Row],[Experiment ID]]&amp;"_Day"&amp;ICPList[[#This Row],[Duration (Days)]]&amp;"_"&amp;ICPList[[#This Row],[Dilution]]&amp;"x"</f>
        <v>Not Requested_Day0_x</v>
      </c>
      <c r="F619">
        <f>NMRResults[[#This Row],['#]]</f>
        <v>0</v>
      </c>
      <c r="G619" s="1">
        <f>NMRResults[[#This Row],[Date Run]]</f>
        <v>0</v>
      </c>
    </row>
    <row r="620" spans="1:7" hidden="1" x14ac:dyDescent="0.25">
      <c r="A620" t="str" cm="1">
        <f t="array" ref="A620">IF(ISBLANK(INDEX(SampleList[ICP],ROW()-1)),"Not Requested",INDEX(SampleList[Experiment ID],ROW()-1))</f>
        <v>Not Requested</v>
      </c>
      <c r="B620">
        <f>Sampling!E618</f>
        <v>0</v>
      </c>
      <c r="E620" t="str">
        <f>ICPList[[#This Row],[Experiment ID]]&amp;"_Day"&amp;ICPList[[#This Row],[Duration (Days)]]&amp;"_"&amp;ICPList[[#This Row],[Dilution]]&amp;"x"</f>
        <v>Not Requested_Day0_x</v>
      </c>
      <c r="F620">
        <f>NMRResults[[#This Row],['#]]</f>
        <v>0</v>
      </c>
      <c r="G620" s="1">
        <f>NMRResults[[#This Row],[Date Run]]</f>
        <v>0</v>
      </c>
    </row>
    <row r="621" spans="1:7" hidden="1" x14ac:dyDescent="0.25">
      <c r="A621" t="str" cm="1">
        <f t="array" ref="A621">IF(ISBLANK(INDEX(SampleList[ICP],ROW()-1)),"Not Requested",INDEX(SampleList[Experiment ID],ROW()-1))</f>
        <v>Not Requested</v>
      </c>
      <c r="B621">
        <f>Sampling!E619</f>
        <v>0</v>
      </c>
      <c r="E621" t="str">
        <f>ICPList[[#This Row],[Experiment ID]]&amp;"_Day"&amp;ICPList[[#This Row],[Duration (Days)]]&amp;"_"&amp;ICPList[[#This Row],[Dilution]]&amp;"x"</f>
        <v>Not Requested_Day0_x</v>
      </c>
      <c r="F621">
        <f>NMRResults[[#This Row],['#]]</f>
        <v>0</v>
      </c>
      <c r="G621" s="1">
        <f>NMRResults[[#This Row],[Date Run]]</f>
        <v>0</v>
      </c>
    </row>
    <row r="622" spans="1:7" hidden="1" x14ac:dyDescent="0.25">
      <c r="A622" t="str" cm="1">
        <f t="array" ref="A622">IF(ISBLANK(INDEX(SampleList[ICP],ROW()-1)),"Not Requested",INDEX(SampleList[Experiment ID],ROW()-1))</f>
        <v>Not Requested</v>
      </c>
      <c r="B622">
        <f>Sampling!E620</f>
        <v>0</v>
      </c>
      <c r="E622" t="str">
        <f>ICPList[[#This Row],[Experiment ID]]&amp;"_Day"&amp;ICPList[[#This Row],[Duration (Days)]]&amp;"_"&amp;ICPList[[#This Row],[Dilution]]&amp;"x"</f>
        <v>Not Requested_Day0_x</v>
      </c>
      <c r="F622">
        <f>NMRResults[[#This Row],['#]]</f>
        <v>0</v>
      </c>
      <c r="G622" s="1">
        <f>NMRResults[[#This Row],[Date Run]]</f>
        <v>0</v>
      </c>
    </row>
    <row r="623" spans="1:7" hidden="1" x14ac:dyDescent="0.25">
      <c r="A623" t="str" cm="1">
        <f t="array" ref="A623">IF(ISBLANK(INDEX(SampleList[ICP],ROW()-1)),"Not Requested",INDEX(SampleList[Experiment ID],ROW()-1))</f>
        <v>Not Requested</v>
      </c>
      <c r="B623">
        <f>Sampling!E621</f>
        <v>0</v>
      </c>
      <c r="E623" t="str">
        <f>ICPList[[#This Row],[Experiment ID]]&amp;"_Day"&amp;ICPList[[#This Row],[Duration (Days)]]&amp;"_"&amp;ICPList[[#This Row],[Dilution]]&amp;"x"</f>
        <v>Not Requested_Day0_x</v>
      </c>
      <c r="F623">
        <f>NMRResults[[#This Row],['#]]</f>
        <v>0</v>
      </c>
      <c r="G623" s="1">
        <f>NMRResults[[#This Row],[Date Run]]</f>
        <v>0</v>
      </c>
    </row>
    <row r="624" spans="1:7" hidden="1" x14ac:dyDescent="0.25">
      <c r="A624" t="str" cm="1">
        <f t="array" ref="A624">IF(ISBLANK(INDEX(SampleList[ICP],ROW()-1)),"Not Requested",INDEX(SampleList[Experiment ID],ROW()-1))</f>
        <v>Not Requested</v>
      </c>
      <c r="B624">
        <f>Sampling!E622</f>
        <v>0</v>
      </c>
      <c r="E624" t="str">
        <f>ICPList[[#This Row],[Experiment ID]]&amp;"_Day"&amp;ICPList[[#This Row],[Duration (Days)]]&amp;"_"&amp;ICPList[[#This Row],[Dilution]]&amp;"x"</f>
        <v>Not Requested_Day0_x</v>
      </c>
      <c r="F624">
        <f>NMRResults[[#This Row],['#]]</f>
        <v>0</v>
      </c>
      <c r="G624" s="1">
        <f>NMRResults[[#This Row],[Date Run]]</f>
        <v>0</v>
      </c>
    </row>
    <row r="625" spans="1:7" hidden="1" x14ac:dyDescent="0.25">
      <c r="A625" t="str" cm="1">
        <f t="array" ref="A625">IF(ISBLANK(INDEX(SampleList[ICP],ROW()-1)),"Not Requested",INDEX(SampleList[Experiment ID],ROW()-1))</f>
        <v>Not Requested</v>
      </c>
      <c r="B625">
        <f>Sampling!E623</f>
        <v>0</v>
      </c>
      <c r="E625" t="str">
        <f>ICPList[[#This Row],[Experiment ID]]&amp;"_Day"&amp;ICPList[[#This Row],[Duration (Days)]]&amp;"_"&amp;ICPList[[#This Row],[Dilution]]&amp;"x"</f>
        <v>Not Requested_Day0_x</v>
      </c>
      <c r="F625">
        <f>NMRResults[[#This Row],['#]]</f>
        <v>0</v>
      </c>
      <c r="G625" s="1">
        <f>NMRResults[[#This Row],[Date Run]]</f>
        <v>0</v>
      </c>
    </row>
    <row r="626" spans="1:7" hidden="1" x14ac:dyDescent="0.25">
      <c r="A626" t="str" cm="1">
        <f t="array" ref="A626">IF(ISBLANK(INDEX(SampleList[ICP],ROW()-1)),"Not Requested",INDEX(SampleList[Experiment ID],ROW()-1))</f>
        <v>Not Requested</v>
      </c>
      <c r="B626">
        <f>Sampling!E624</f>
        <v>0</v>
      </c>
      <c r="E626" t="str">
        <f>ICPList[[#This Row],[Experiment ID]]&amp;"_Day"&amp;ICPList[[#This Row],[Duration (Days)]]&amp;"_"&amp;ICPList[[#This Row],[Dilution]]&amp;"x"</f>
        <v>Not Requested_Day0_x</v>
      </c>
      <c r="F626">
        <f>NMRResults[[#This Row],['#]]</f>
        <v>0</v>
      </c>
      <c r="G626" s="1">
        <f>NMRResults[[#This Row],[Date Run]]</f>
        <v>0</v>
      </c>
    </row>
    <row r="627" spans="1:7" hidden="1" x14ac:dyDescent="0.25">
      <c r="A627" t="str" cm="1">
        <f t="array" ref="A627">IF(ISBLANK(INDEX(SampleList[ICP],ROW()-1)),"Not Requested",INDEX(SampleList[Experiment ID],ROW()-1))</f>
        <v>Not Requested</v>
      </c>
      <c r="B627">
        <f>Sampling!E625</f>
        <v>0</v>
      </c>
      <c r="E627" t="str">
        <f>ICPList[[#This Row],[Experiment ID]]&amp;"_Day"&amp;ICPList[[#This Row],[Duration (Days)]]&amp;"_"&amp;ICPList[[#This Row],[Dilution]]&amp;"x"</f>
        <v>Not Requested_Day0_x</v>
      </c>
      <c r="F627">
        <f>NMRResults[[#This Row],['#]]</f>
        <v>0</v>
      </c>
      <c r="G627" s="1">
        <f>NMRResults[[#This Row],[Date Run]]</f>
        <v>0</v>
      </c>
    </row>
    <row r="628" spans="1:7" hidden="1" x14ac:dyDescent="0.25">
      <c r="A628" t="str" cm="1">
        <f t="array" ref="A628">IF(ISBLANK(INDEX(SampleList[ICP],ROW()-1)),"Not Requested",INDEX(SampleList[Experiment ID],ROW()-1))</f>
        <v>Not Requested</v>
      </c>
      <c r="B628">
        <f>Sampling!E626</f>
        <v>0</v>
      </c>
      <c r="E628" t="str">
        <f>ICPList[[#This Row],[Experiment ID]]&amp;"_Day"&amp;ICPList[[#This Row],[Duration (Days)]]&amp;"_"&amp;ICPList[[#This Row],[Dilution]]&amp;"x"</f>
        <v>Not Requested_Day0_x</v>
      </c>
      <c r="F628">
        <f>NMRResults[[#This Row],['#]]</f>
        <v>0</v>
      </c>
      <c r="G628" s="1">
        <f>NMRResults[[#This Row],[Date Run]]</f>
        <v>0</v>
      </c>
    </row>
    <row r="629" spans="1:7" hidden="1" x14ac:dyDescent="0.25">
      <c r="A629" t="str" cm="1">
        <f t="array" ref="A629">IF(ISBLANK(INDEX(SampleList[ICP],ROW()-1)),"Not Requested",INDEX(SampleList[Experiment ID],ROW()-1))</f>
        <v>Not Requested</v>
      </c>
      <c r="B629">
        <f>Sampling!E627</f>
        <v>0</v>
      </c>
      <c r="E629" t="str">
        <f>ICPList[[#This Row],[Experiment ID]]&amp;"_Day"&amp;ICPList[[#This Row],[Duration (Days)]]&amp;"_"&amp;ICPList[[#This Row],[Dilution]]&amp;"x"</f>
        <v>Not Requested_Day0_x</v>
      </c>
      <c r="F629">
        <f>NMRResults[[#This Row],['#]]</f>
        <v>0</v>
      </c>
      <c r="G629" s="1">
        <f>NMRResults[[#This Row],[Date Run]]</f>
        <v>0</v>
      </c>
    </row>
    <row r="630" spans="1:7" hidden="1" x14ac:dyDescent="0.25">
      <c r="A630" t="str" cm="1">
        <f t="array" ref="A630">IF(ISBLANK(INDEX(SampleList[ICP],ROW()-1)),"Not Requested",INDEX(SampleList[Experiment ID],ROW()-1))</f>
        <v>Not Requested</v>
      </c>
      <c r="B630">
        <f>Sampling!E628</f>
        <v>0</v>
      </c>
      <c r="E630" t="str">
        <f>ICPList[[#This Row],[Experiment ID]]&amp;"_Day"&amp;ICPList[[#This Row],[Duration (Days)]]&amp;"_"&amp;ICPList[[#This Row],[Dilution]]&amp;"x"</f>
        <v>Not Requested_Day0_x</v>
      </c>
      <c r="F630">
        <f>NMRResults[[#This Row],['#]]</f>
        <v>0</v>
      </c>
      <c r="G630" s="1">
        <f>NMRResults[[#This Row],[Date Run]]</f>
        <v>0</v>
      </c>
    </row>
    <row r="631" spans="1:7" hidden="1" x14ac:dyDescent="0.25">
      <c r="A631" t="str" cm="1">
        <f t="array" ref="A631">IF(ISBLANK(INDEX(SampleList[ICP],ROW()-1)),"Not Requested",INDEX(SampleList[Experiment ID],ROW()-1))</f>
        <v>Not Requested</v>
      </c>
      <c r="B631">
        <f>Sampling!E629</f>
        <v>0</v>
      </c>
      <c r="E631" t="str">
        <f>ICPList[[#This Row],[Experiment ID]]&amp;"_Day"&amp;ICPList[[#This Row],[Duration (Days)]]&amp;"_"&amp;ICPList[[#This Row],[Dilution]]&amp;"x"</f>
        <v>Not Requested_Day0_x</v>
      </c>
      <c r="F631">
        <f>NMRResults[[#This Row],['#]]</f>
        <v>0</v>
      </c>
      <c r="G631" s="1">
        <f>NMRResults[[#This Row],[Date Run]]</f>
        <v>0</v>
      </c>
    </row>
    <row r="632" spans="1:7" hidden="1" x14ac:dyDescent="0.25">
      <c r="A632" t="str" cm="1">
        <f t="array" ref="A632">IF(ISBLANK(INDEX(SampleList[ICP],ROW()-1)),"Not Requested",INDEX(SampleList[Experiment ID],ROW()-1))</f>
        <v>Not Requested</v>
      </c>
      <c r="B632">
        <f>Sampling!E630</f>
        <v>0</v>
      </c>
      <c r="E632" t="str">
        <f>ICPList[[#This Row],[Experiment ID]]&amp;"_Day"&amp;ICPList[[#This Row],[Duration (Days)]]&amp;"_"&amp;ICPList[[#This Row],[Dilution]]&amp;"x"</f>
        <v>Not Requested_Day0_x</v>
      </c>
      <c r="F632">
        <f>NMRResults[[#This Row],['#]]</f>
        <v>0</v>
      </c>
      <c r="G632" s="1">
        <f>NMRResults[[#This Row],[Date Run]]</f>
        <v>0</v>
      </c>
    </row>
    <row r="633" spans="1:7" hidden="1" x14ac:dyDescent="0.25">
      <c r="A633" t="str" cm="1">
        <f t="array" ref="A633">IF(ISBLANK(INDEX(SampleList[ICP],ROW()-1)),"Not Requested",INDEX(SampleList[Experiment ID],ROW()-1))</f>
        <v>Not Requested</v>
      </c>
      <c r="B633">
        <f>Sampling!E631</f>
        <v>0</v>
      </c>
      <c r="E633" t="str">
        <f>ICPList[[#This Row],[Experiment ID]]&amp;"_Day"&amp;ICPList[[#This Row],[Duration (Days)]]&amp;"_"&amp;ICPList[[#This Row],[Dilution]]&amp;"x"</f>
        <v>Not Requested_Day0_x</v>
      </c>
      <c r="F633">
        <f>NMRResults[[#This Row],['#]]</f>
        <v>0</v>
      </c>
      <c r="G633" s="1">
        <f>NMRResults[[#This Row],[Date Run]]</f>
        <v>0</v>
      </c>
    </row>
    <row r="634" spans="1:7" hidden="1" x14ac:dyDescent="0.25">
      <c r="A634" t="str" cm="1">
        <f t="array" ref="A634">IF(ISBLANK(INDEX(SampleList[ICP],ROW()-1)),"Not Requested",INDEX(SampleList[Experiment ID],ROW()-1))</f>
        <v>Not Requested</v>
      </c>
      <c r="B634">
        <f>Sampling!E632</f>
        <v>0</v>
      </c>
      <c r="E634" t="str">
        <f>ICPList[[#This Row],[Experiment ID]]&amp;"_Day"&amp;ICPList[[#This Row],[Duration (Days)]]&amp;"_"&amp;ICPList[[#This Row],[Dilution]]&amp;"x"</f>
        <v>Not Requested_Day0_x</v>
      </c>
      <c r="F634">
        <f>NMRResults[[#This Row],['#]]</f>
        <v>0</v>
      </c>
      <c r="G634" s="1">
        <f>NMRResults[[#This Row],[Date Run]]</f>
        <v>0</v>
      </c>
    </row>
    <row r="635" spans="1:7" hidden="1" x14ac:dyDescent="0.25">
      <c r="A635" t="str" cm="1">
        <f t="array" ref="A635">IF(ISBLANK(INDEX(SampleList[ICP],ROW()-1)),"Not Requested",INDEX(SampleList[Experiment ID],ROW()-1))</f>
        <v>Not Requested</v>
      </c>
      <c r="B635">
        <f>Sampling!E633</f>
        <v>0</v>
      </c>
      <c r="E635" t="str">
        <f>ICPList[[#This Row],[Experiment ID]]&amp;"_Day"&amp;ICPList[[#This Row],[Duration (Days)]]&amp;"_"&amp;ICPList[[#This Row],[Dilution]]&amp;"x"</f>
        <v>Not Requested_Day0_x</v>
      </c>
      <c r="F635">
        <f>NMRResults[[#This Row],['#]]</f>
        <v>0</v>
      </c>
      <c r="G635" s="1">
        <f>NMRResults[[#This Row],[Date Run]]</f>
        <v>0</v>
      </c>
    </row>
    <row r="636" spans="1:7" hidden="1" x14ac:dyDescent="0.25">
      <c r="A636" t="str" cm="1">
        <f t="array" ref="A636">IF(ISBLANK(INDEX(SampleList[ICP],ROW()-1)),"Not Requested",INDEX(SampleList[Experiment ID],ROW()-1))</f>
        <v>Not Requested</v>
      </c>
      <c r="B636">
        <f>Sampling!E634</f>
        <v>0</v>
      </c>
      <c r="E636" t="str">
        <f>ICPList[[#This Row],[Experiment ID]]&amp;"_Day"&amp;ICPList[[#This Row],[Duration (Days)]]&amp;"_"&amp;ICPList[[#This Row],[Dilution]]&amp;"x"</f>
        <v>Not Requested_Day0_x</v>
      </c>
      <c r="F636">
        <f>NMRResults[[#This Row],['#]]</f>
        <v>0</v>
      </c>
      <c r="G636" s="1">
        <f>NMRResults[[#This Row],[Date Run]]</f>
        <v>0</v>
      </c>
    </row>
    <row r="637" spans="1:7" hidden="1" x14ac:dyDescent="0.25">
      <c r="A637" t="str" cm="1">
        <f t="array" ref="A637">IF(ISBLANK(INDEX(SampleList[ICP],ROW()-1)),"Not Requested",INDEX(SampleList[Experiment ID],ROW()-1))</f>
        <v>Not Requested</v>
      </c>
      <c r="B637">
        <f>Sampling!E635</f>
        <v>0</v>
      </c>
      <c r="E637" t="str">
        <f>ICPList[[#This Row],[Experiment ID]]&amp;"_Day"&amp;ICPList[[#This Row],[Duration (Days)]]&amp;"_"&amp;ICPList[[#This Row],[Dilution]]&amp;"x"</f>
        <v>Not Requested_Day0_x</v>
      </c>
      <c r="F637">
        <f>NMRResults[[#This Row],['#]]</f>
        <v>0</v>
      </c>
      <c r="G637" s="1">
        <f>NMRResults[[#This Row],[Date Run]]</f>
        <v>0</v>
      </c>
    </row>
    <row r="638" spans="1:7" hidden="1" x14ac:dyDescent="0.25">
      <c r="A638" t="str" cm="1">
        <f t="array" ref="A638">IF(ISBLANK(INDEX(SampleList[ICP],ROW()-1)),"Not Requested",INDEX(SampleList[Experiment ID],ROW()-1))</f>
        <v>Not Requested</v>
      </c>
      <c r="B638">
        <f>Sampling!E636</f>
        <v>0</v>
      </c>
      <c r="E638" t="str">
        <f>ICPList[[#This Row],[Experiment ID]]&amp;"_Day"&amp;ICPList[[#This Row],[Duration (Days)]]&amp;"_"&amp;ICPList[[#This Row],[Dilution]]&amp;"x"</f>
        <v>Not Requested_Day0_x</v>
      </c>
      <c r="F638">
        <f>NMRResults[[#This Row],['#]]</f>
        <v>0</v>
      </c>
      <c r="G638" s="1">
        <f>NMRResults[[#This Row],[Date Run]]</f>
        <v>0</v>
      </c>
    </row>
    <row r="639" spans="1:7" hidden="1" x14ac:dyDescent="0.25">
      <c r="A639" t="str" cm="1">
        <f t="array" ref="A639">IF(ISBLANK(INDEX(SampleList[ICP],ROW()-1)),"Not Requested",INDEX(SampleList[Experiment ID],ROW()-1))</f>
        <v>Not Requested</v>
      </c>
      <c r="B639">
        <f>Sampling!E637</f>
        <v>0</v>
      </c>
      <c r="E639" t="str">
        <f>ICPList[[#This Row],[Experiment ID]]&amp;"_Day"&amp;ICPList[[#This Row],[Duration (Days)]]&amp;"_"&amp;ICPList[[#This Row],[Dilution]]&amp;"x"</f>
        <v>Not Requested_Day0_x</v>
      </c>
      <c r="F639">
        <f>NMRResults[[#This Row],['#]]</f>
        <v>0</v>
      </c>
      <c r="G639" s="1">
        <f>NMRResults[[#This Row],[Date Run]]</f>
        <v>0</v>
      </c>
    </row>
    <row r="640" spans="1:7" hidden="1" x14ac:dyDescent="0.25">
      <c r="A640" t="str" cm="1">
        <f t="array" ref="A640">IF(ISBLANK(INDEX(SampleList[ICP],ROW()-1)),"Not Requested",INDEX(SampleList[Experiment ID],ROW()-1))</f>
        <v>Not Requested</v>
      </c>
      <c r="B640">
        <f>Sampling!E638</f>
        <v>0</v>
      </c>
      <c r="E640" t="str">
        <f>ICPList[[#This Row],[Experiment ID]]&amp;"_Day"&amp;ICPList[[#This Row],[Duration (Days)]]&amp;"_"&amp;ICPList[[#This Row],[Dilution]]&amp;"x"</f>
        <v>Not Requested_Day0_x</v>
      </c>
      <c r="F640">
        <f>NMRResults[[#This Row],['#]]</f>
        <v>0</v>
      </c>
      <c r="G640" s="1">
        <f>NMRResults[[#This Row],[Date Run]]</f>
        <v>0</v>
      </c>
    </row>
    <row r="641" spans="1:7" hidden="1" x14ac:dyDescent="0.25">
      <c r="A641" t="str" cm="1">
        <f t="array" ref="A641">IF(ISBLANK(INDEX(SampleList[ICP],ROW()-1)),"Not Requested",INDEX(SampleList[Experiment ID],ROW()-1))</f>
        <v>Not Requested</v>
      </c>
      <c r="B641">
        <f>Sampling!E639</f>
        <v>0</v>
      </c>
      <c r="E641" t="str">
        <f>ICPList[[#This Row],[Experiment ID]]&amp;"_Day"&amp;ICPList[[#This Row],[Duration (Days)]]&amp;"_"&amp;ICPList[[#This Row],[Dilution]]&amp;"x"</f>
        <v>Not Requested_Day0_x</v>
      </c>
      <c r="F641">
        <f>NMRResults[[#This Row],['#]]</f>
        <v>0</v>
      </c>
      <c r="G641" s="1">
        <f>NMRResults[[#This Row],[Date Run]]</f>
        <v>0</v>
      </c>
    </row>
    <row r="642" spans="1:7" hidden="1" x14ac:dyDescent="0.25">
      <c r="A642" t="str" cm="1">
        <f t="array" ref="A642">IF(ISBLANK(INDEX(SampleList[ICP],ROW()-1)),"Not Requested",INDEX(SampleList[Experiment ID],ROW()-1))</f>
        <v>Not Requested</v>
      </c>
      <c r="B642">
        <f>Sampling!E640</f>
        <v>0</v>
      </c>
      <c r="E642" t="str">
        <f>ICPList[[#This Row],[Experiment ID]]&amp;"_Day"&amp;ICPList[[#This Row],[Duration (Days)]]&amp;"_"&amp;ICPList[[#This Row],[Dilution]]&amp;"x"</f>
        <v>Not Requested_Day0_x</v>
      </c>
      <c r="F642">
        <f>NMRResults[[#This Row],['#]]</f>
        <v>0</v>
      </c>
      <c r="G642" s="1">
        <f>NMRResults[[#This Row],[Date Run]]</f>
        <v>0</v>
      </c>
    </row>
    <row r="643" spans="1:7" hidden="1" x14ac:dyDescent="0.25">
      <c r="A643" t="str" cm="1">
        <f t="array" ref="A643">IF(ISBLANK(INDEX(SampleList[ICP],ROW()-1)),"Not Requested",INDEX(SampleList[Experiment ID],ROW()-1))</f>
        <v>Not Requested</v>
      </c>
      <c r="B643">
        <f>Sampling!E641</f>
        <v>0</v>
      </c>
      <c r="E643" t="str">
        <f>ICPList[[#This Row],[Experiment ID]]&amp;"_Day"&amp;ICPList[[#This Row],[Duration (Days)]]&amp;"_"&amp;ICPList[[#This Row],[Dilution]]&amp;"x"</f>
        <v>Not Requested_Day0_x</v>
      </c>
      <c r="F643">
        <f>NMRResults[[#This Row],['#]]</f>
        <v>0</v>
      </c>
      <c r="G643" s="1">
        <f>NMRResults[[#This Row],[Date Run]]</f>
        <v>0</v>
      </c>
    </row>
    <row r="644" spans="1:7" hidden="1" x14ac:dyDescent="0.25">
      <c r="A644" t="str" cm="1">
        <f t="array" ref="A644">IF(ISBLANK(INDEX(SampleList[ICP],ROW()-1)),"Not Requested",INDEX(SampleList[Experiment ID],ROW()-1))</f>
        <v>Not Requested</v>
      </c>
      <c r="B644">
        <f>Sampling!E642</f>
        <v>0</v>
      </c>
      <c r="E644" t="str">
        <f>ICPList[[#This Row],[Experiment ID]]&amp;"_Day"&amp;ICPList[[#This Row],[Duration (Days)]]&amp;"_"&amp;ICPList[[#This Row],[Dilution]]&amp;"x"</f>
        <v>Not Requested_Day0_x</v>
      </c>
      <c r="F644">
        <f>NMRResults[[#This Row],['#]]</f>
        <v>0</v>
      </c>
      <c r="G644" s="1">
        <f>NMRResults[[#This Row],[Date Run]]</f>
        <v>0</v>
      </c>
    </row>
    <row r="645" spans="1:7" hidden="1" x14ac:dyDescent="0.25">
      <c r="A645" t="str" cm="1">
        <f t="array" ref="A645">IF(ISBLANK(INDEX(SampleList[ICP],ROW()-1)),"Not Requested",INDEX(SampleList[Experiment ID],ROW()-1))</f>
        <v>Not Requested</v>
      </c>
      <c r="B645">
        <f>Sampling!E643</f>
        <v>0</v>
      </c>
      <c r="E645" t="str">
        <f>ICPList[[#This Row],[Experiment ID]]&amp;"_Day"&amp;ICPList[[#This Row],[Duration (Days)]]&amp;"_"&amp;ICPList[[#This Row],[Dilution]]&amp;"x"</f>
        <v>Not Requested_Day0_x</v>
      </c>
      <c r="F645">
        <f>NMRResults[[#This Row],['#]]</f>
        <v>0</v>
      </c>
      <c r="G645" s="1">
        <f>NMRResults[[#This Row],[Date Run]]</f>
        <v>0</v>
      </c>
    </row>
    <row r="646" spans="1:7" hidden="1" x14ac:dyDescent="0.25">
      <c r="A646" t="str" cm="1">
        <f t="array" ref="A646">IF(ISBLANK(INDEX(SampleList[ICP],ROW()-1)),"Not Requested",INDEX(SampleList[Experiment ID],ROW()-1))</f>
        <v>Not Requested</v>
      </c>
      <c r="B646">
        <f>Sampling!E644</f>
        <v>0</v>
      </c>
      <c r="E646" t="str">
        <f>ICPList[[#This Row],[Experiment ID]]&amp;"_Day"&amp;ICPList[[#This Row],[Duration (Days)]]&amp;"_"&amp;ICPList[[#This Row],[Dilution]]&amp;"x"</f>
        <v>Not Requested_Day0_x</v>
      </c>
      <c r="F646">
        <f>NMRResults[[#This Row],['#]]</f>
        <v>0</v>
      </c>
      <c r="G646" s="1">
        <f>NMRResults[[#This Row],[Date Run]]</f>
        <v>0</v>
      </c>
    </row>
    <row r="647" spans="1:7" hidden="1" x14ac:dyDescent="0.25">
      <c r="A647" t="str" cm="1">
        <f t="array" ref="A647">IF(ISBLANK(INDEX(SampleList[ICP],ROW()-1)),"Not Requested",INDEX(SampleList[Experiment ID],ROW()-1))</f>
        <v>Not Requested</v>
      </c>
      <c r="B647">
        <f>Sampling!E645</f>
        <v>0</v>
      </c>
      <c r="E647" t="str">
        <f>ICPList[[#This Row],[Experiment ID]]&amp;"_Day"&amp;ICPList[[#This Row],[Duration (Days)]]&amp;"_"&amp;ICPList[[#This Row],[Dilution]]&amp;"x"</f>
        <v>Not Requested_Day0_x</v>
      </c>
      <c r="F647">
        <f>NMRResults[[#This Row],['#]]</f>
        <v>0</v>
      </c>
      <c r="G647" s="1">
        <f>NMRResults[[#This Row],[Date Run]]</f>
        <v>0</v>
      </c>
    </row>
    <row r="648" spans="1:7" hidden="1" x14ac:dyDescent="0.25">
      <c r="A648" t="str" cm="1">
        <f t="array" ref="A648">IF(ISBLANK(INDEX(SampleList[ICP],ROW()-1)),"Not Requested",INDEX(SampleList[Experiment ID],ROW()-1))</f>
        <v>Not Requested</v>
      </c>
      <c r="B648">
        <f>Sampling!E646</f>
        <v>0</v>
      </c>
      <c r="E648" t="str">
        <f>ICPList[[#This Row],[Experiment ID]]&amp;"_Day"&amp;ICPList[[#This Row],[Duration (Days)]]&amp;"_"&amp;ICPList[[#This Row],[Dilution]]&amp;"x"</f>
        <v>Not Requested_Day0_x</v>
      </c>
      <c r="F648">
        <f>NMRResults[[#This Row],['#]]</f>
        <v>0</v>
      </c>
      <c r="G648" s="1">
        <f>NMRResults[[#This Row],[Date Run]]</f>
        <v>0</v>
      </c>
    </row>
    <row r="649" spans="1:7" hidden="1" x14ac:dyDescent="0.25">
      <c r="A649" t="str" cm="1">
        <f t="array" ref="A649">IF(ISBLANK(INDEX(SampleList[ICP],ROW()-1)),"Not Requested",INDEX(SampleList[Experiment ID],ROW()-1))</f>
        <v>Not Requested</v>
      </c>
      <c r="B649">
        <f>Sampling!E647</f>
        <v>0</v>
      </c>
      <c r="E649" t="str">
        <f>ICPList[[#This Row],[Experiment ID]]&amp;"_Day"&amp;ICPList[[#This Row],[Duration (Days)]]&amp;"_"&amp;ICPList[[#This Row],[Dilution]]&amp;"x"</f>
        <v>Not Requested_Day0_x</v>
      </c>
      <c r="F649">
        <f>NMRResults[[#This Row],['#]]</f>
        <v>0</v>
      </c>
      <c r="G649" s="1">
        <f>NMRResults[[#This Row],[Date Run]]</f>
        <v>0</v>
      </c>
    </row>
    <row r="650" spans="1:7" hidden="1" x14ac:dyDescent="0.25">
      <c r="A650" t="str" cm="1">
        <f t="array" ref="A650">IF(ISBLANK(INDEX(SampleList[ICP],ROW()-1)),"Not Requested",INDEX(SampleList[Experiment ID],ROW()-1))</f>
        <v>Not Requested</v>
      </c>
      <c r="B650">
        <f>Sampling!E648</f>
        <v>0</v>
      </c>
      <c r="E650" t="str">
        <f>ICPList[[#This Row],[Experiment ID]]&amp;"_Day"&amp;ICPList[[#This Row],[Duration (Days)]]&amp;"_"&amp;ICPList[[#This Row],[Dilution]]&amp;"x"</f>
        <v>Not Requested_Day0_x</v>
      </c>
      <c r="F650">
        <f>NMRResults[[#This Row],['#]]</f>
        <v>0</v>
      </c>
      <c r="G650" s="1">
        <f>NMRResults[[#This Row],[Date Run]]</f>
        <v>0</v>
      </c>
    </row>
    <row r="651" spans="1:7" hidden="1" x14ac:dyDescent="0.25">
      <c r="A651" t="str" cm="1">
        <f t="array" ref="A651">IF(ISBLANK(INDEX(SampleList[ICP],ROW()-1)),"Not Requested",INDEX(SampleList[Experiment ID],ROW()-1))</f>
        <v>Not Requested</v>
      </c>
      <c r="B651">
        <f>Sampling!E649</f>
        <v>0</v>
      </c>
      <c r="E651" t="str">
        <f>ICPList[[#This Row],[Experiment ID]]&amp;"_Day"&amp;ICPList[[#This Row],[Duration (Days)]]&amp;"_"&amp;ICPList[[#This Row],[Dilution]]&amp;"x"</f>
        <v>Not Requested_Day0_x</v>
      </c>
      <c r="F651">
        <f>NMRResults[[#This Row],['#]]</f>
        <v>0</v>
      </c>
      <c r="G651" s="1">
        <f>NMRResults[[#This Row],[Date Run]]</f>
        <v>0</v>
      </c>
    </row>
    <row r="652" spans="1:7" hidden="1" x14ac:dyDescent="0.25">
      <c r="A652" t="str" cm="1">
        <f t="array" ref="A652">IF(ISBLANK(INDEX(SampleList[ICP],ROW()-1)),"Not Requested",INDEX(SampleList[Experiment ID],ROW()-1))</f>
        <v>Not Requested</v>
      </c>
      <c r="B652">
        <f>Sampling!E650</f>
        <v>0</v>
      </c>
      <c r="E652" t="str">
        <f>ICPList[[#This Row],[Experiment ID]]&amp;"_Day"&amp;ICPList[[#This Row],[Duration (Days)]]&amp;"_"&amp;ICPList[[#This Row],[Dilution]]&amp;"x"</f>
        <v>Not Requested_Day0_x</v>
      </c>
      <c r="F652">
        <f>NMRResults[[#This Row],['#]]</f>
        <v>0</v>
      </c>
      <c r="G652" s="1">
        <f>NMRResults[[#This Row],[Date Run]]</f>
        <v>0</v>
      </c>
    </row>
    <row r="653" spans="1:7" hidden="1" x14ac:dyDescent="0.25">
      <c r="A653" t="str" cm="1">
        <f t="array" ref="A653">IF(ISBLANK(INDEX(SampleList[ICP],ROW()-1)),"Not Requested",INDEX(SampleList[Experiment ID],ROW()-1))</f>
        <v>Not Requested</v>
      </c>
      <c r="B653">
        <f>Sampling!E651</f>
        <v>0</v>
      </c>
      <c r="E653" t="str">
        <f>ICPList[[#This Row],[Experiment ID]]&amp;"_Day"&amp;ICPList[[#This Row],[Duration (Days)]]&amp;"_"&amp;ICPList[[#This Row],[Dilution]]&amp;"x"</f>
        <v>Not Requested_Day0_x</v>
      </c>
      <c r="F653">
        <f>NMRResults[[#This Row],['#]]</f>
        <v>0</v>
      </c>
      <c r="G653" s="1">
        <f>NMRResults[[#This Row],[Date Run]]</f>
        <v>0</v>
      </c>
    </row>
    <row r="654" spans="1:7" hidden="1" x14ac:dyDescent="0.25">
      <c r="A654" t="str" cm="1">
        <f t="array" ref="A654">IF(ISBLANK(INDEX(SampleList[ICP],ROW()-1)),"Not Requested",INDEX(SampleList[Experiment ID],ROW()-1))</f>
        <v>Not Requested</v>
      </c>
      <c r="B654">
        <f>Sampling!E652</f>
        <v>0</v>
      </c>
      <c r="E654" t="str">
        <f>ICPList[[#This Row],[Experiment ID]]&amp;"_Day"&amp;ICPList[[#This Row],[Duration (Days)]]&amp;"_"&amp;ICPList[[#This Row],[Dilution]]&amp;"x"</f>
        <v>Not Requested_Day0_x</v>
      </c>
      <c r="F654">
        <f>NMRResults[[#This Row],['#]]</f>
        <v>0</v>
      </c>
      <c r="G654" s="1">
        <f>NMRResults[[#This Row],[Date Run]]</f>
        <v>0</v>
      </c>
    </row>
    <row r="655" spans="1:7" hidden="1" x14ac:dyDescent="0.25">
      <c r="A655" t="str" cm="1">
        <f t="array" ref="A655">IF(ISBLANK(INDEX(SampleList[ICP],ROW()-1)),"Not Requested",INDEX(SampleList[Experiment ID],ROW()-1))</f>
        <v>Not Requested</v>
      </c>
      <c r="B655">
        <f>Sampling!E653</f>
        <v>0</v>
      </c>
      <c r="E655" t="str">
        <f>ICPList[[#This Row],[Experiment ID]]&amp;"_Day"&amp;ICPList[[#This Row],[Duration (Days)]]&amp;"_"&amp;ICPList[[#This Row],[Dilution]]&amp;"x"</f>
        <v>Not Requested_Day0_x</v>
      </c>
      <c r="F655">
        <f>NMRResults[[#This Row],['#]]</f>
        <v>0</v>
      </c>
      <c r="G655" s="1">
        <f>NMRResults[[#This Row],[Date Run]]</f>
        <v>0</v>
      </c>
    </row>
    <row r="656" spans="1:7" hidden="1" x14ac:dyDescent="0.25">
      <c r="A656" t="str" cm="1">
        <f t="array" ref="A656">IF(ISBLANK(INDEX(SampleList[ICP],ROW()-1)),"Not Requested",INDEX(SampleList[Experiment ID],ROW()-1))</f>
        <v>Not Requested</v>
      </c>
      <c r="B656">
        <f>Sampling!E654</f>
        <v>0</v>
      </c>
      <c r="E656" t="str">
        <f>ICPList[[#This Row],[Experiment ID]]&amp;"_Day"&amp;ICPList[[#This Row],[Duration (Days)]]&amp;"_"&amp;ICPList[[#This Row],[Dilution]]&amp;"x"</f>
        <v>Not Requested_Day0_x</v>
      </c>
      <c r="F656">
        <f>NMRResults[[#This Row],['#]]</f>
        <v>0</v>
      </c>
      <c r="G656" s="1">
        <f>NMRResults[[#This Row],[Date Run]]</f>
        <v>0</v>
      </c>
    </row>
    <row r="657" spans="1:7" hidden="1" x14ac:dyDescent="0.25">
      <c r="A657" t="str" cm="1">
        <f t="array" ref="A657">IF(ISBLANK(INDEX(SampleList[ICP],ROW()-1)),"Not Requested",INDEX(SampleList[Experiment ID],ROW()-1))</f>
        <v>Not Requested</v>
      </c>
      <c r="B657">
        <f>Sampling!E655</f>
        <v>0</v>
      </c>
      <c r="E657" t="str">
        <f>ICPList[[#This Row],[Experiment ID]]&amp;"_Day"&amp;ICPList[[#This Row],[Duration (Days)]]&amp;"_"&amp;ICPList[[#This Row],[Dilution]]&amp;"x"</f>
        <v>Not Requested_Day0_x</v>
      </c>
      <c r="F657">
        <f>NMRResults[[#This Row],['#]]</f>
        <v>0</v>
      </c>
      <c r="G657" s="1">
        <f>NMRResults[[#This Row],[Date Run]]</f>
        <v>0</v>
      </c>
    </row>
    <row r="658" spans="1:7" hidden="1" x14ac:dyDescent="0.25">
      <c r="A658" t="str" cm="1">
        <f t="array" ref="A658">IF(ISBLANK(INDEX(SampleList[ICP],ROW()-1)),"Not Requested",INDEX(SampleList[Experiment ID],ROW()-1))</f>
        <v>Not Requested</v>
      </c>
      <c r="B658">
        <f>Sampling!E656</f>
        <v>0</v>
      </c>
      <c r="E658" t="str">
        <f>ICPList[[#This Row],[Experiment ID]]&amp;"_Day"&amp;ICPList[[#This Row],[Duration (Days)]]&amp;"_"&amp;ICPList[[#This Row],[Dilution]]&amp;"x"</f>
        <v>Not Requested_Day0_x</v>
      </c>
      <c r="F658">
        <f>NMRResults[[#This Row],['#]]</f>
        <v>0</v>
      </c>
      <c r="G658" s="1">
        <f>NMRResults[[#This Row],[Date Run]]</f>
        <v>0</v>
      </c>
    </row>
    <row r="659" spans="1:7" hidden="1" x14ac:dyDescent="0.25">
      <c r="A659" t="str" cm="1">
        <f t="array" ref="A659">IF(ISBLANK(INDEX(SampleList[ICP],ROW()-1)),"Not Requested",INDEX(SampleList[Experiment ID],ROW()-1))</f>
        <v>Not Requested</v>
      </c>
      <c r="B659">
        <f>Sampling!E657</f>
        <v>0</v>
      </c>
      <c r="E659" t="str">
        <f>ICPList[[#This Row],[Experiment ID]]&amp;"_Day"&amp;ICPList[[#This Row],[Duration (Days)]]&amp;"_"&amp;ICPList[[#This Row],[Dilution]]&amp;"x"</f>
        <v>Not Requested_Day0_x</v>
      </c>
      <c r="F659">
        <f>NMRResults[[#This Row],['#]]</f>
        <v>0</v>
      </c>
      <c r="G659" s="1">
        <f>NMRResults[[#This Row],[Date Run]]</f>
        <v>0</v>
      </c>
    </row>
    <row r="660" spans="1:7" hidden="1" x14ac:dyDescent="0.25">
      <c r="A660" t="str" cm="1">
        <f t="array" ref="A660">IF(ISBLANK(INDEX(SampleList[ICP],ROW()-1)),"Not Requested",INDEX(SampleList[Experiment ID],ROW()-1))</f>
        <v>Not Requested</v>
      </c>
      <c r="B660">
        <f>Sampling!E658</f>
        <v>0</v>
      </c>
      <c r="E660" t="str">
        <f>ICPList[[#This Row],[Experiment ID]]&amp;"_Day"&amp;ICPList[[#This Row],[Duration (Days)]]&amp;"_"&amp;ICPList[[#This Row],[Dilution]]&amp;"x"</f>
        <v>Not Requested_Day0_x</v>
      </c>
      <c r="F660">
        <f>NMRResults[[#This Row],['#]]</f>
        <v>0</v>
      </c>
      <c r="G660" s="1">
        <f>NMRResults[[#This Row],[Date Run]]</f>
        <v>0</v>
      </c>
    </row>
    <row r="661" spans="1:7" hidden="1" x14ac:dyDescent="0.25">
      <c r="A661" t="str" cm="1">
        <f t="array" ref="A661">IF(ISBLANK(INDEX(SampleList[ICP],ROW()-1)),"Not Requested",INDEX(SampleList[Experiment ID],ROW()-1))</f>
        <v>Not Requested</v>
      </c>
      <c r="B661">
        <f>Sampling!E659</f>
        <v>0</v>
      </c>
      <c r="E661" t="str">
        <f>ICPList[[#This Row],[Experiment ID]]&amp;"_Day"&amp;ICPList[[#This Row],[Duration (Days)]]&amp;"_"&amp;ICPList[[#This Row],[Dilution]]&amp;"x"</f>
        <v>Not Requested_Day0_x</v>
      </c>
      <c r="F661">
        <f>NMRResults[[#This Row],['#]]</f>
        <v>0</v>
      </c>
      <c r="G661" s="1">
        <f>NMRResults[[#This Row],[Date Run]]</f>
        <v>0</v>
      </c>
    </row>
    <row r="662" spans="1:7" hidden="1" x14ac:dyDescent="0.25">
      <c r="A662" t="str" cm="1">
        <f t="array" ref="A662">IF(ISBLANK(INDEX(SampleList[ICP],ROW()-1)),"Not Requested",INDEX(SampleList[Experiment ID],ROW()-1))</f>
        <v>Not Requested</v>
      </c>
      <c r="B662">
        <f>Sampling!E660</f>
        <v>0</v>
      </c>
      <c r="E662" t="str">
        <f>ICPList[[#This Row],[Experiment ID]]&amp;"_Day"&amp;ICPList[[#This Row],[Duration (Days)]]&amp;"_"&amp;ICPList[[#This Row],[Dilution]]&amp;"x"</f>
        <v>Not Requested_Day0_x</v>
      </c>
      <c r="F662">
        <f>NMRResults[[#This Row],['#]]</f>
        <v>0</v>
      </c>
      <c r="G662" s="1">
        <f>NMRResults[[#This Row],[Date Run]]</f>
        <v>0</v>
      </c>
    </row>
    <row r="663" spans="1:7" hidden="1" x14ac:dyDescent="0.25">
      <c r="A663" t="str" cm="1">
        <f t="array" ref="A663">IF(ISBLANK(INDEX(SampleList[ICP],ROW()-1)),"Not Requested",INDEX(SampleList[Experiment ID],ROW()-1))</f>
        <v>Not Requested</v>
      </c>
      <c r="B663">
        <f>Sampling!E661</f>
        <v>0</v>
      </c>
      <c r="E663" t="str">
        <f>ICPList[[#This Row],[Experiment ID]]&amp;"_Day"&amp;ICPList[[#This Row],[Duration (Days)]]&amp;"_"&amp;ICPList[[#This Row],[Dilution]]&amp;"x"</f>
        <v>Not Requested_Day0_x</v>
      </c>
      <c r="F663">
        <f>NMRResults[[#This Row],['#]]</f>
        <v>0</v>
      </c>
      <c r="G663" s="1">
        <f>NMRResults[[#This Row],[Date Run]]</f>
        <v>0</v>
      </c>
    </row>
    <row r="664" spans="1:7" hidden="1" x14ac:dyDescent="0.25">
      <c r="A664" t="str" cm="1">
        <f t="array" ref="A664">IF(ISBLANK(INDEX(SampleList[ICP],ROW()-1)),"Not Requested",INDEX(SampleList[Experiment ID],ROW()-1))</f>
        <v>Not Requested</v>
      </c>
      <c r="B664">
        <f>Sampling!E662</f>
        <v>0</v>
      </c>
      <c r="E664" t="str">
        <f>ICPList[[#This Row],[Experiment ID]]&amp;"_Day"&amp;ICPList[[#This Row],[Duration (Days)]]&amp;"_"&amp;ICPList[[#This Row],[Dilution]]&amp;"x"</f>
        <v>Not Requested_Day0_x</v>
      </c>
      <c r="F664">
        <f>NMRResults[[#This Row],['#]]</f>
        <v>0</v>
      </c>
      <c r="G664" s="1">
        <f>NMRResults[[#This Row],[Date Run]]</f>
        <v>0</v>
      </c>
    </row>
    <row r="665" spans="1:7" hidden="1" x14ac:dyDescent="0.25">
      <c r="A665" t="str" cm="1">
        <f t="array" ref="A665">IF(ISBLANK(INDEX(SampleList[ICP],ROW()-1)),"Not Requested",INDEX(SampleList[Experiment ID],ROW()-1))</f>
        <v>Not Requested</v>
      </c>
      <c r="B665">
        <f>Sampling!E663</f>
        <v>0</v>
      </c>
      <c r="E665" t="str">
        <f>ICPList[[#This Row],[Experiment ID]]&amp;"_Day"&amp;ICPList[[#This Row],[Duration (Days)]]&amp;"_"&amp;ICPList[[#This Row],[Dilution]]&amp;"x"</f>
        <v>Not Requested_Day0_x</v>
      </c>
      <c r="F665">
        <f>NMRResults[[#This Row],['#]]</f>
        <v>0</v>
      </c>
      <c r="G665" s="1">
        <f>NMRResults[[#This Row],[Date Run]]</f>
        <v>0</v>
      </c>
    </row>
    <row r="666" spans="1:7" hidden="1" x14ac:dyDescent="0.25">
      <c r="A666" t="str" cm="1">
        <f t="array" ref="A666">IF(ISBLANK(INDEX(SampleList[ICP],ROW()-1)),"Not Requested",INDEX(SampleList[Experiment ID],ROW()-1))</f>
        <v>Not Requested</v>
      </c>
      <c r="B666">
        <f>Sampling!E664</f>
        <v>0</v>
      </c>
      <c r="E666" t="str">
        <f>ICPList[[#This Row],[Experiment ID]]&amp;"_Day"&amp;ICPList[[#This Row],[Duration (Days)]]&amp;"_"&amp;ICPList[[#This Row],[Dilution]]&amp;"x"</f>
        <v>Not Requested_Day0_x</v>
      </c>
      <c r="F666">
        <f>NMRResults[[#This Row],['#]]</f>
        <v>0</v>
      </c>
      <c r="G666" s="1">
        <f>NMRResults[[#This Row],[Date Run]]</f>
        <v>0</v>
      </c>
    </row>
    <row r="667" spans="1:7" hidden="1" x14ac:dyDescent="0.25">
      <c r="A667" t="str" cm="1">
        <f t="array" ref="A667">IF(ISBLANK(INDEX(SampleList[ICP],ROW()-1)),"Not Requested",INDEX(SampleList[Experiment ID],ROW()-1))</f>
        <v>Not Requested</v>
      </c>
      <c r="B667">
        <f>Sampling!E665</f>
        <v>0</v>
      </c>
      <c r="E667" t="str">
        <f>ICPList[[#This Row],[Experiment ID]]&amp;"_Day"&amp;ICPList[[#This Row],[Duration (Days)]]&amp;"_"&amp;ICPList[[#This Row],[Dilution]]&amp;"x"</f>
        <v>Not Requested_Day0_x</v>
      </c>
      <c r="F667">
        <f>NMRResults[[#This Row],['#]]</f>
        <v>0</v>
      </c>
      <c r="G667" s="1">
        <f>NMRResults[[#This Row],[Date Run]]</f>
        <v>0</v>
      </c>
    </row>
    <row r="668" spans="1:7" hidden="1" x14ac:dyDescent="0.25">
      <c r="A668" t="str" cm="1">
        <f t="array" ref="A668">IF(ISBLANK(INDEX(SampleList[ICP],ROW()-1)),"Not Requested",INDEX(SampleList[Experiment ID],ROW()-1))</f>
        <v>Not Requested</v>
      </c>
      <c r="B668">
        <f>Sampling!E666</f>
        <v>0</v>
      </c>
      <c r="E668" t="str">
        <f>ICPList[[#This Row],[Experiment ID]]&amp;"_Day"&amp;ICPList[[#This Row],[Duration (Days)]]&amp;"_"&amp;ICPList[[#This Row],[Dilution]]&amp;"x"</f>
        <v>Not Requested_Day0_x</v>
      </c>
      <c r="F668">
        <f>NMRResults[[#This Row],['#]]</f>
        <v>0</v>
      </c>
      <c r="G668" s="1">
        <f>NMRResults[[#This Row],[Date Run]]</f>
        <v>0</v>
      </c>
    </row>
    <row r="669" spans="1:7" hidden="1" x14ac:dyDescent="0.25">
      <c r="A669" t="str" cm="1">
        <f t="array" ref="A669">IF(ISBLANK(INDEX(SampleList[ICP],ROW()-1)),"Not Requested",INDEX(SampleList[Experiment ID],ROW()-1))</f>
        <v>Not Requested</v>
      </c>
      <c r="B669">
        <f>Sampling!E667</f>
        <v>0</v>
      </c>
      <c r="E669" t="str">
        <f>ICPList[[#This Row],[Experiment ID]]&amp;"_Day"&amp;ICPList[[#This Row],[Duration (Days)]]&amp;"_"&amp;ICPList[[#This Row],[Dilution]]&amp;"x"</f>
        <v>Not Requested_Day0_x</v>
      </c>
      <c r="F669">
        <f>NMRResults[[#This Row],['#]]</f>
        <v>0</v>
      </c>
      <c r="G669" s="1">
        <f>NMRResults[[#This Row],[Date Run]]</f>
        <v>0</v>
      </c>
    </row>
    <row r="670" spans="1:7" hidden="1" x14ac:dyDescent="0.25">
      <c r="A670" t="str" cm="1">
        <f t="array" ref="A670">IF(ISBLANK(INDEX(SampleList[ICP],ROW()-1)),"Not Requested",INDEX(SampleList[Experiment ID],ROW()-1))</f>
        <v>Not Requested</v>
      </c>
      <c r="B670">
        <f>Sampling!E668</f>
        <v>0</v>
      </c>
      <c r="E670" t="str">
        <f>ICPList[[#This Row],[Experiment ID]]&amp;"_Day"&amp;ICPList[[#This Row],[Duration (Days)]]&amp;"_"&amp;ICPList[[#This Row],[Dilution]]&amp;"x"</f>
        <v>Not Requested_Day0_x</v>
      </c>
      <c r="F670">
        <f>NMRResults[[#This Row],['#]]</f>
        <v>0</v>
      </c>
      <c r="G670" s="1">
        <f>NMRResults[[#This Row],[Date Run]]</f>
        <v>0</v>
      </c>
    </row>
    <row r="671" spans="1:7" hidden="1" x14ac:dyDescent="0.25">
      <c r="A671" t="str" cm="1">
        <f t="array" ref="A671">IF(ISBLANK(INDEX(SampleList[ICP],ROW()-1)),"Not Requested",INDEX(SampleList[Experiment ID],ROW()-1))</f>
        <v>Not Requested</v>
      </c>
      <c r="B671">
        <f>Sampling!E669</f>
        <v>0</v>
      </c>
      <c r="E671" t="str">
        <f>ICPList[[#This Row],[Experiment ID]]&amp;"_Day"&amp;ICPList[[#This Row],[Duration (Days)]]&amp;"_"&amp;ICPList[[#This Row],[Dilution]]&amp;"x"</f>
        <v>Not Requested_Day0_x</v>
      </c>
      <c r="F671">
        <f>NMRResults[[#This Row],['#]]</f>
        <v>0</v>
      </c>
      <c r="G671" s="1">
        <f>NMRResults[[#This Row],[Date Run]]</f>
        <v>0</v>
      </c>
    </row>
    <row r="672" spans="1:7" hidden="1" x14ac:dyDescent="0.25">
      <c r="A672" t="str" cm="1">
        <f t="array" ref="A672">IF(ISBLANK(INDEX(SampleList[ICP],ROW()-1)),"Not Requested",INDEX(SampleList[Experiment ID],ROW()-1))</f>
        <v>Not Requested</v>
      </c>
      <c r="B672">
        <f>Sampling!E670</f>
        <v>0</v>
      </c>
      <c r="E672" t="str">
        <f>ICPList[[#This Row],[Experiment ID]]&amp;"_Day"&amp;ICPList[[#This Row],[Duration (Days)]]&amp;"_"&amp;ICPList[[#This Row],[Dilution]]&amp;"x"</f>
        <v>Not Requested_Day0_x</v>
      </c>
      <c r="F672">
        <f>NMRResults[[#This Row],['#]]</f>
        <v>0</v>
      </c>
      <c r="G672" s="1">
        <f>NMRResults[[#This Row],[Date Run]]</f>
        <v>0</v>
      </c>
    </row>
    <row r="673" spans="1:7" hidden="1" x14ac:dyDescent="0.25">
      <c r="A673" t="str" cm="1">
        <f t="array" ref="A673">IF(ISBLANK(INDEX(SampleList[ICP],ROW()-1)),"Not Requested",INDEX(SampleList[Experiment ID],ROW()-1))</f>
        <v>Not Requested</v>
      </c>
      <c r="B673">
        <f>Sampling!E671</f>
        <v>0</v>
      </c>
      <c r="E673" t="str">
        <f>ICPList[[#This Row],[Experiment ID]]&amp;"_Day"&amp;ICPList[[#This Row],[Duration (Days)]]&amp;"_"&amp;ICPList[[#This Row],[Dilution]]&amp;"x"</f>
        <v>Not Requested_Day0_x</v>
      </c>
      <c r="F673">
        <f>NMRResults[[#This Row],['#]]</f>
        <v>0</v>
      </c>
      <c r="G673" s="1">
        <f>NMRResults[[#This Row],[Date Run]]</f>
        <v>0</v>
      </c>
    </row>
    <row r="674" spans="1:7" hidden="1" x14ac:dyDescent="0.25">
      <c r="A674" t="str" cm="1">
        <f t="array" ref="A674">IF(ISBLANK(INDEX(SampleList[ICP],ROW()-1)),"Not Requested",INDEX(SampleList[Experiment ID],ROW()-1))</f>
        <v>Not Requested</v>
      </c>
      <c r="B674">
        <f>Sampling!E672</f>
        <v>0</v>
      </c>
      <c r="E674" t="str">
        <f>ICPList[[#This Row],[Experiment ID]]&amp;"_Day"&amp;ICPList[[#This Row],[Duration (Days)]]&amp;"_"&amp;ICPList[[#This Row],[Dilution]]&amp;"x"</f>
        <v>Not Requested_Day0_x</v>
      </c>
      <c r="F674">
        <f>NMRResults[[#This Row],['#]]</f>
        <v>0</v>
      </c>
      <c r="G674" s="1">
        <f>NMRResults[[#This Row],[Date Run]]</f>
        <v>0</v>
      </c>
    </row>
    <row r="675" spans="1:7" hidden="1" x14ac:dyDescent="0.25">
      <c r="A675" t="str" cm="1">
        <f t="array" ref="A675">IF(ISBLANK(INDEX(SampleList[ICP],ROW()-1)),"Not Requested",INDEX(SampleList[Experiment ID],ROW()-1))</f>
        <v>Not Requested</v>
      </c>
      <c r="B675">
        <f>Sampling!E673</f>
        <v>0</v>
      </c>
      <c r="E675" t="str">
        <f>ICPList[[#This Row],[Experiment ID]]&amp;"_Day"&amp;ICPList[[#This Row],[Duration (Days)]]&amp;"_"&amp;ICPList[[#This Row],[Dilution]]&amp;"x"</f>
        <v>Not Requested_Day0_x</v>
      </c>
      <c r="F675">
        <f>NMRResults[[#This Row],['#]]</f>
        <v>0</v>
      </c>
      <c r="G675" s="1">
        <f>NMRResults[[#This Row],[Date Run]]</f>
        <v>0</v>
      </c>
    </row>
    <row r="676" spans="1:7" hidden="1" x14ac:dyDescent="0.25">
      <c r="A676" t="str" cm="1">
        <f t="array" ref="A676">IF(ISBLANK(INDEX(SampleList[ICP],ROW()-1)),"Not Requested",INDEX(SampleList[Experiment ID],ROW()-1))</f>
        <v>Not Requested</v>
      </c>
      <c r="B676">
        <f>Sampling!E674</f>
        <v>0</v>
      </c>
      <c r="E676" t="str">
        <f>ICPList[[#This Row],[Experiment ID]]&amp;"_Day"&amp;ICPList[[#This Row],[Duration (Days)]]&amp;"_"&amp;ICPList[[#This Row],[Dilution]]&amp;"x"</f>
        <v>Not Requested_Day0_x</v>
      </c>
      <c r="F676">
        <f>NMRResults[[#This Row],['#]]</f>
        <v>0</v>
      </c>
      <c r="G676" s="1">
        <f>NMRResults[[#This Row],[Date Run]]</f>
        <v>0</v>
      </c>
    </row>
    <row r="677" spans="1:7" hidden="1" x14ac:dyDescent="0.25">
      <c r="A677" t="str" cm="1">
        <f t="array" ref="A677">IF(ISBLANK(INDEX(SampleList[ICP],ROW()-1)),"Not Requested",INDEX(SampleList[Experiment ID],ROW()-1))</f>
        <v>Not Requested</v>
      </c>
      <c r="B677">
        <f>Sampling!E675</f>
        <v>0</v>
      </c>
      <c r="E677" t="str">
        <f>ICPList[[#This Row],[Experiment ID]]&amp;"_Day"&amp;ICPList[[#This Row],[Duration (Days)]]&amp;"_"&amp;ICPList[[#This Row],[Dilution]]&amp;"x"</f>
        <v>Not Requested_Day0_x</v>
      </c>
      <c r="F677">
        <f>NMRResults[[#This Row],['#]]</f>
        <v>0</v>
      </c>
      <c r="G677" s="1">
        <f>NMRResults[[#This Row],[Date Run]]</f>
        <v>0</v>
      </c>
    </row>
    <row r="678" spans="1:7" hidden="1" x14ac:dyDescent="0.25">
      <c r="A678" t="str" cm="1">
        <f t="array" ref="A678">IF(ISBLANK(INDEX(SampleList[ICP],ROW()-1)),"Not Requested",INDEX(SampleList[Experiment ID],ROW()-1))</f>
        <v>Not Requested</v>
      </c>
      <c r="B678">
        <f>Sampling!E676</f>
        <v>0</v>
      </c>
      <c r="E678" t="str">
        <f>ICPList[[#This Row],[Experiment ID]]&amp;"_Day"&amp;ICPList[[#This Row],[Duration (Days)]]&amp;"_"&amp;ICPList[[#This Row],[Dilution]]&amp;"x"</f>
        <v>Not Requested_Day0_x</v>
      </c>
      <c r="F678">
        <f>NMRResults[[#This Row],['#]]</f>
        <v>0</v>
      </c>
      <c r="G678" s="1">
        <f>NMRResults[[#This Row],[Date Run]]</f>
        <v>0</v>
      </c>
    </row>
    <row r="679" spans="1:7" hidden="1" x14ac:dyDescent="0.25">
      <c r="A679" t="str" cm="1">
        <f t="array" ref="A679">IF(ISBLANK(INDEX(SampleList[ICP],ROW()-1)),"Not Requested",INDEX(SampleList[Experiment ID],ROW()-1))</f>
        <v>Not Requested</v>
      </c>
      <c r="B679">
        <f>Sampling!E677</f>
        <v>0</v>
      </c>
      <c r="E679" t="str">
        <f>ICPList[[#This Row],[Experiment ID]]&amp;"_Day"&amp;ICPList[[#This Row],[Duration (Days)]]&amp;"_"&amp;ICPList[[#This Row],[Dilution]]&amp;"x"</f>
        <v>Not Requested_Day0_x</v>
      </c>
      <c r="F679">
        <f>NMRResults[[#This Row],['#]]</f>
        <v>0</v>
      </c>
      <c r="G679" s="1">
        <f>NMRResults[[#This Row],[Date Run]]</f>
        <v>0</v>
      </c>
    </row>
    <row r="680" spans="1:7" hidden="1" x14ac:dyDescent="0.25">
      <c r="A680" t="str" cm="1">
        <f t="array" ref="A680">IF(ISBLANK(INDEX(SampleList[ICP],ROW()-1)),"Not Requested",INDEX(SampleList[Experiment ID],ROW()-1))</f>
        <v>Not Requested</v>
      </c>
      <c r="B680">
        <f>Sampling!E678</f>
        <v>0</v>
      </c>
      <c r="E680" t="str">
        <f>ICPList[[#This Row],[Experiment ID]]&amp;"_Day"&amp;ICPList[[#This Row],[Duration (Days)]]&amp;"_"&amp;ICPList[[#This Row],[Dilution]]&amp;"x"</f>
        <v>Not Requested_Day0_x</v>
      </c>
      <c r="F680">
        <f>NMRResults[[#This Row],['#]]</f>
        <v>0</v>
      </c>
      <c r="G680" s="1">
        <f>NMRResults[[#This Row],[Date Run]]</f>
        <v>0</v>
      </c>
    </row>
    <row r="681" spans="1:7" hidden="1" x14ac:dyDescent="0.25">
      <c r="A681" t="str" cm="1">
        <f t="array" ref="A681">IF(ISBLANK(INDEX(SampleList[ICP],ROW()-1)),"Not Requested",INDEX(SampleList[Experiment ID],ROW()-1))</f>
        <v>Not Requested</v>
      </c>
      <c r="B681">
        <f>Sampling!E679</f>
        <v>0</v>
      </c>
      <c r="E681" t="str">
        <f>ICPList[[#This Row],[Experiment ID]]&amp;"_Day"&amp;ICPList[[#This Row],[Duration (Days)]]&amp;"_"&amp;ICPList[[#This Row],[Dilution]]&amp;"x"</f>
        <v>Not Requested_Day0_x</v>
      </c>
      <c r="F681">
        <f>NMRResults[[#This Row],['#]]</f>
        <v>0</v>
      </c>
      <c r="G681" s="1">
        <f>NMRResults[[#This Row],[Date Run]]</f>
        <v>0</v>
      </c>
    </row>
    <row r="682" spans="1:7" hidden="1" x14ac:dyDescent="0.25">
      <c r="A682" t="str" cm="1">
        <f t="array" ref="A682">IF(ISBLANK(INDEX(SampleList[ICP],ROW()-1)),"Not Requested",INDEX(SampleList[Experiment ID],ROW()-1))</f>
        <v>Not Requested</v>
      </c>
      <c r="B682">
        <f>Sampling!E680</f>
        <v>0</v>
      </c>
      <c r="E682" t="str">
        <f>ICPList[[#This Row],[Experiment ID]]&amp;"_Day"&amp;ICPList[[#This Row],[Duration (Days)]]&amp;"_"&amp;ICPList[[#This Row],[Dilution]]&amp;"x"</f>
        <v>Not Requested_Day0_x</v>
      </c>
      <c r="F682">
        <f>NMRResults[[#This Row],['#]]</f>
        <v>0</v>
      </c>
      <c r="G682" s="1">
        <f>NMRResults[[#This Row],[Date Run]]</f>
        <v>0</v>
      </c>
    </row>
    <row r="683" spans="1:7" hidden="1" x14ac:dyDescent="0.25">
      <c r="A683" t="str" cm="1">
        <f t="array" ref="A683">IF(ISBLANK(INDEX(SampleList[ICP],ROW()-1)),"Not Requested",INDEX(SampleList[Experiment ID],ROW()-1))</f>
        <v>Not Requested</v>
      </c>
      <c r="B683">
        <f>Sampling!E681</f>
        <v>0</v>
      </c>
      <c r="E683" t="str">
        <f>ICPList[[#This Row],[Experiment ID]]&amp;"_Day"&amp;ICPList[[#This Row],[Duration (Days)]]&amp;"_"&amp;ICPList[[#This Row],[Dilution]]&amp;"x"</f>
        <v>Not Requested_Day0_x</v>
      </c>
      <c r="F683">
        <f>NMRResults[[#This Row],['#]]</f>
        <v>0</v>
      </c>
      <c r="G683" s="1">
        <f>NMRResults[[#This Row],[Date Run]]</f>
        <v>0</v>
      </c>
    </row>
    <row r="684" spans="1:7" hidden="1" x14ac:dyDescent="0.25">
      <c r="A684" t="str" cm="1">
        <f t="array" ref="A684">IF(ISBLANK(INDEX(SampleList[ICP],ROW()-1)),"Not Requested",INDEX(SampleList[Experiment ID],ROW()-1))</f>
        <v>Not Requested</v>
      </c>
      <c r="B684">
        <f>Sampling!E682</f>
        <v>0</v>
      </c>
      <c r="E684" t="str">
        <f>ICPList[[#This Row],[Experiment ID]]&amp;"_Day"&amp;ICPList[[#This Row],[Duration (Days)]]&amp;"_"&amp;ICPList[[#This Row],[Dilution]]&amp;"x"</f>
        <v>Not Requested_Day0_x</v>
      </c>
      <c r="F684">
        <f>NMRResults[[#This Row],['#]]</f>
        <v>0</v>
      </c>
      <c r="G684" s="1">
        <f>NMRResults[[#This Row],[Date Run]]</f>
        <v>0</v>
      </c>
    </row>
    <row r="685" spans="1:7" hidden="1" x14ac:dyDescent="0.25">
      <c r="A685" t="str" cm="1">
        <f t="array" ref="A685">IF(ISBLANK(INDEX(SampleList[ICP],ROW()-1)),"Not Requested",INDEX(SampleList[Experiment ID],ROW()-1))</f>
        <v>Not Requested</v>
      </c>
      <c r="B685">
        <f>Sampling!E683</f>
        <v>0</v>
      </c>
      <c r="E685" t="str">
        <f>ICPList[[#This Row],[Experiment ID]]&amp;"_Day"&amp;ICPList[[#This Row],[Duration (Days)]]&amp;"_"&amp;ICPList[[#This Row],[Dilution]]&amp;"x"</f>
        <v>Not Requested_Day0_x</v>
      </c>
      <c r="F685">
        <f>NMRResults[[#This Row],['#]]</f>
        <v>0</v>
      </c>
      <c r="G685" s="1">
        <f>NMRResults[[#This Row],[Date Run]]</f>
        <v>0</v>
      </c>
    </row>
    <row r="686" spans="1:7" hidden="1" x14ac:dyDescent="0.25">
      <c r="A686" t="str" cm="1">
        <f t="array" ref="A686">IF(ISBLANK(INDEX(SampleList[ICP],ROW()-1)),"Not Requested",INDEX(SampleList[Experiment ID],ROW()-1))</f>
        <v>Not Requested</v>
      </c>
      <c r="B686">
        <f>Sampling!E684</f>
        <v>0</v>
      </c>
      <c r="E686" t="str">
        <f>ICPList[[#This Row],[Experiment ID]]&amp;"_Day"&amp;ICPList[[#This Row],[Duration (Days)]]&amp;"_"&amp;ICPList[[#This Row],[Dilution]]&amp;"x"</f>
        <v>Not Requested_Day0_x</v>
      </c>
      <c r="F686">
        <f>NMRResults[[#This Row],['#]]</f>
        <v>0</v>
      </c>
      <c r="G686" s="1">
        <f>NMRResults[[#This Row],[Date Run]]</f>
        <v>0</v>
      </c>
    </row>
    <row r="687" spans="1:7" hidden="1" x14ac:dyDescent="0.25">
      <c r="A687" t="str" cm="1">
        <f t="array" ref="A687">IF(ISBLANK(INDEX(SampleList[ICP],ROW()-1)),"Not Requested",INDEX(SampleList[Experiment ID],ROW()-1))</f>
        <v>Not Requested</v>
      </c>
      <c r="B687">
        <f>Sampling!E685</f>
        <v>0</v>
      </c>
      <c r="E687" t="str">
        <f>ICPList[[#This Row],[Experiment ID]]&amp;"_Day"&amp;ICPList[[#This Row],[Duration (Days)]]&amp;"_"&amp;ICPList[[#This Row],[Dilution]]&amp;"x"</f>
        <v>Not Requested_Day0_x</v>
      </c>
      <c r="F687">
        <f>NMRResults[[#This Row],['#]]</f>
        <v>0</v>
      </c>
      <c r="G687" s="1">
        <f>NMRResults[[#This Row],[Date Run]]</f>
        <v>0</v>
      </c>
    </row>
    <row r="688" spans="1:7" hidden="1" x14ac:dyDescent="0.25">
      <c r="A688" t="str" cm="1">
        <f t="array" ref="A688">IF(ISBLANK(INDEX(SampleList[ICP],ROW()-1)),"Not Requested",INDEX(SampleList[Experiment ID],ROW()-1))</f>
        <v>Not Requested</v>
      </c>
      <c r="B688">
        <f>Sampling!E686</f>
        <v>0</v>
      </c>
      <c r="E688" t="str">
        <f>ICPList[[#This Row],[Experiment ID]]&amp;"_Day"&amp;ICPList[[#This Row],[Duration (Days)]]&amp;"_"&amp;ICPList[[#This Row],[Dilution]]&amp;"x"</f>
        <v>Not Requested_Day0_x</v>
      </c>
      <c r="F688">
        <f>NMRResults[[#This Row],['#]]</f>
        <v>0</v>
      </c>
      <c r="G688" s="1">
        <f>NMRResults[[#This Row],[Date Run]]</f>
        <v>0</v>
      </c>
    </row>
    <row r="689" spans="1:7" hidden="1" x14ac:dyDescent="0.25">
      <c r="A689" t="str" cm="1">
        <f t="array" ref="A689">IF(ISBLANK(INDEX(SampleList[ICP],ROW()-1)),"Not Requested",INDEX(SampleList[Experiment ID],ROW()-1))</f>
        <v>Not Requested</v>
      </c>
      <c r="B689">
        <f>Sampling!E687</f>
        <v>0</v>
      </c>
      <c r="E689" t="str">
        <f>ICPList[[#This Row],[Experiment ID]]&amp;"_Day"&amp;ICPList[[#This Row],[Duration (Days)]]&amp;"_"&amp;ICPList[[#This Row],[Dilution]]&amp;"x"</f>
        <v>Not Requested_Day0_x</v>
      </c>
      <c r="F689">
        <f>NMRResults[[#This Row],['#]]</f>
        <v>0</v>
      </c>
      <c r="G689" s="1">
        <f>NMRResults[[#This Row],[Date Run]]</f>
        <v>0</v>
      </c>
    </row>
    <row r="690" spans="1:7" hidden="1" x14ac:dyDescent="0.25">
      <c r="A690" t="str" cm="1">
        <f t="array" ref="A690">IF(ISBLANK(INDEX(SampleList[ICP],ROW()-1)),"Not Requested",INDEX(SampleList[Experiment ID],ROW()-1))</f>
        <v>Not Requested</v>
      </c>
      <c r="B690">
        <f>Sampling!E688</f>
        <v>0</v>
      </c>
      <c r="E690" t="str">
        <f>ICPList[[#This Row],[Experiment ID]]&amp;"_Day"&amp;ICPList[[#This Row],[Duration (Days)]]&amp;"_"&amp;ICPList[[#This Row],[Dilution]]&amp;"x"</f>
        <v>Not Requested_Day0_x</v>
      </c>
      <c r="F690">
        <f>NMRResults[[#This Row],['#]]</f>
        <v>0</v>
      </c>
      <c r="G690" s="1">
        <f>NMRResults[[#This Row],[Date Run]]</f>
        <v>0</v>
      </c>
    </row>
    <row r="691" spans="1:7" hidden="1" x14ac:dyDescent="0.25">
      <c r="A691" t="str" cm="1">
        <f t="array" ref="A691">IF(ISBLANK(INDEX(SampleList[ICP],ROW()-1)),"Not Requested",INDEX(SampleList[Experiment ID],ROW()-1))</f>
        <v>Not Requested</v>
      </c>
      <c r="B691">
        <f>Sampling!E689</f>
        <v>0</v>
      </c>
      <c r="E691" t="str">
        <f>ICPList[[#This Row],[Experiment ID]]&amp;"_Day"&amp;ICPList[[#This Row],[Duration (Days)]]&amp;"_"&amp;ICPList[[#This Row],[Dilution]]&amp;"x"</f>
        <v>Not Requested_Day0_x</v>
      </c>
      <c r="F691">
        <f>NMRResults[[#This Row],['#]]</f>
        <v>0</v>
      </c>
      <c r="G691" s="1">
        <f>NMRResults[[#This Row],[Date Run]]</f>
        <v>0</v>
      </c>
    </row>
    <row r="692" spans="1:7" hidden="1" x14ac:dyDescent="0.25">
      <c r="A692" t="str" cm="1">
        <f t="array" ref="A692">IF(ISBLANK(INDEX(SampleList[ICP],ROW()-1)),"Not Requested",INDEX(SampleList[Experiment ID],ROW()-1))</f>
        <v>Not Requested</v>
      </c>
      <c r="B692">
        <f>Sampling!E690</f>
        <v>0</v>
      </c>
      <c r="E692" t="str">
        <f>ICPList[[#This Row],[Experiment ID]]&amp;"_Day"&amp;ICPList[[#This Row],[Duration (Days)]]&amp;"_"&amp;ICPList[[#This Row],[Dilution]]&amp;"x"</f>
        <v>Not Requested_Day0_x</v>
      </c>
      <c r="F692">
        <f>NMRResults[[#This Row],['#]]</f>
        <v>0</v>
      </c>
      <c r="G692" s="1">
        <f>NMRResults[[#This Row],[Date Run]]</f>
        <v>0</v>
      </c>
    </row>
    <row r="693" spans="1:7" hidden="1" x14ac:dyDescent="0.25">
      <c r="A693" t="str" cm="1">
        <f t="array" ref="A693">IF(ISBLANK(INDEX(SampleList[ICP],ROW()-1)),"Not Requested",INDEX(SampleList[Experiment ID],ROW()-1))</f>
        <v>Not Requested</v>
      </c>
      <c r="B693">
        <f>Sampling!E691</f>
        <v>0</v>
      </c>
      <c r="E693" t="str">
        <f>ICPList[[#This Row],[Experiment ID]]&amp;"_Day"&amp;ICPList[[#This Row],[Duration (Days)]]&amp;"_"&amp;ICPList[[#This Row],[Dilution]]&amp;"x"</f>
        <v>Not Requested_Day0_x</v>
      </c>
      <c r="F693">
        <f>NMRResults[[#This Row],['#]]</f>
        <v>0</v>
      </c>
      <c r="G693" s="1">
        <f>NMRResults[[#This Row],[Date Run]]</f>
        <v>0</v>
      </c>
    </row>
    <row r="694" spans="1:7" hidden="1" x14ac:dyDescent="0.25">
      <c r="A694" t="str" cm="1">
        <f t="array" ref="A694">IF(ISBLANK(INDEX(SampleList[ICP],ROW()-1)),"Not Requested",INDEX(SampleList[Experiment ID],ROW()-1))</f>
        <v>Not Requested</v>
      </c>
      <c r="B694">
        <f>Sampling!E692</f>
        <v>0</v>
      </c>
      <c r="E694" t="str">
        <f>ICPList[[#This Row],[Experiment ID]]&amp;"_Day"&amp;ICPList[[#This Row],[Duration (Days)]]&amp;"_"&amp;ICPList[[#This Row],[Dilution]]&amp;"x"</f>
        <v>Not Requested_Day0_x</v>
      </c>
      <c r="F694">
        <f>NMRResults[[#This Row],['#]]</f>
        <v>0</v>
      </c>
      <c r="G694" s="1">
        <f>NMRResults[[#This Row],[Date Run]]</f>
        <v>0</v>
      </c>
    </row>
    <row r="695" spans="1:7" hidden="1" x14ac:dyDescent="0.25">
      <c r="A695" t="str" cm="1">
        <f t="array" ref="A695">IF(ISBLANK(INDEX(SampleList[ICP],ROW()-1)),"Not Requested",INDEX(SampleList[Experiment ID],ROW()-1))</f>
        <v>Not Requested</v>
      </c>
      <c r="B695">
        <f>Sampling!E693</f>
        <v>0</v>
      </c>
      <c r="E695" t="str">
        <f>ICPList[[#This Row],[Experiment ID]]&amp;"_Day"&amp;ICPList[[#This Row],[Duration (Days)]]&amp;"_"&amp;ICPList[[#This Row],[Dilution]]&amp;"x"</f>
        <v>Not Requested_Day0_x</v>
      </c>
      <c r="F695">
        <f>NMRResults[[#This Row],['#]]</f>
        <v>0</v>
      </c>
      <c r="G695" s="1">
        <f>NMRResults[[#This Row],[Date Run]]</f>
        <v>0</v>
      </c>
    </row>
    <row r="696" spans="1:7" hidden="1" x14ac:dyDescent="0.25">
      <c r="A696" t="str" cm="1">
        <f t="array" ref="A696">IF(ISBLANK(INDEX(SampleList[ICP],ROW()-1)),"Not Requested",INDEX(SampleList[Experiment ID],ROW()-1))</f>
        <v>Not Requested</v>
      </c>
      <c r="B696">
        <f>Sampling!E694</f>
        <v>0</v>
      </c>
      <c r="E696" t="str">
        <f>ICPList[[#This Row],[Experiment ID]]&amp;"_Day"&amp;ICPList[[#This Row],[Duration (Days)]]&amp;"_"&amp;ICPList[[#This Row],[Dilution]]&amp;"x"</f>
        <v>Not Requested_Day0_x</v>
      </c>
      <c r="F696">
        <f>NMRResults[[#This Row],['#]]</f>
        <v>0</v>
      </c>
      <c r="G696" s="1">
        <f>NMRResults[[#This Row],[Date Run]]</f>
        <v>0</v>
      </c>
    </row>
    <row r="697" spans="1:7" hidden="1" x14ac:dyDescent="0.25">
      <c r="A697" t="str" cm="1">
        <f t="array" ref="A697">IF(ISBLANK(INDEX(SampleList[ICP],ROW()-1)),"Not Requested",INDEX(SampleList[Experiment ID],ROW()-1))</f>
        <v>Not Requested</v>
      </c>
      <c r="B697">
        <f>Sampling!E695</f>
        <v>0</v>
      </c>
      <c r="E697" t="str">
        <f>ICPList[[#This Row],[Experiment ID]]&amp;"_Day"&amp;ICPList[[#This Row],[Duration (Days)]]&amp;"_"&amp;ICPList[[#This Row],[Dilution]]&amp;"x"</f>
        <v>Not Requested_Day0_x</v>
      </c>
      <c r="F697">
        <f>NMRResults[[#This Row],['#]]</f>
        <v>0</v>
      </c>
      <c r="G697" s="1">
        <f>NMRResults[[#This Row],[Date Run]]</f>
        <v>0</v>
      </c>
    </row>
    <row r="698" spans="1:7" hidden="1" x14ac:dyDescent="0.25">
      <c r="A698" t="str" cm="1">
        <f t="array" ref="A698">IF(ISBLANK(INDEX(SampleList[ICP],ROW()-1)),"Not Requested",INDEX(SampleList[Experiment ID],ROW()-1))</f>
        <v>Not Requested</v>
      </c>
      <c r="B698">
        <f>Sampling!E696</f>
        <v>0</v>
      </c>
      <c r="E698" t="str">
        <f>ICPList[[#This Row],[Experiment ID]]&amp;"_Day"&amp;ICPList[[#This Row],[Duration (Days)]]&amp;"_"&amp;ICPList[[#This Row],[Dilution]]&amp;"x"</f>
        <v>Not Requested_Day0_x</v>
      </c>
      <c r="F698">
        <f>NMRResults[[#This Row],['#]]</f>
        <v>0</v>
      </c>
      <c r="G698" s="1">
        <f>NMRResults[[#This Row],[Date Run]]</f>
        <v>0</v>
      </c>
    </row>
    <row r="699" spans="1:7" hidden="1" x14ac:dyDescent="0.25">
      <c r="A699" t="str" cm="1">
        <f t="array" ref="A699">IF(ISBLANK(INDEX(SampleList[ICP],ROW()-1)),"Not Requested",INDEX(SampleList[Experiment ID],ROW()-1))</f>
        <v>Not Requested</v>
      </c>
      <c r="B699">
        <f>Sampling!E697</f>
        <v>0</v>
      </c>
      <c r="E699" t="str">
        <f>ICPList[[#This Row],[Experiment ID]]&amp;"_Day"&amp;ICPList[[#This Row],[Duration (Days)]]&amp;"_"&amp;ICPList[[#This Row],[Dilution]]&amp;"x"</f>
        <v>Not Requested_Day0_x</v>
      </c>
      <c r="F699">
        <f>NMRResults[[#This Row],['#]]</f>
        <v>0</v>
      </c>
      <c r="G699" s="1">
        <f>NMRResults[[#This Row],[Date Run]]</f>
        <v>0</v>
      </c>
    </row>
    <row r="700" spans="1:7" hidden="1" x14ac:dyDescent="0.25">
      <c r="A700" t="str" cm="1">
        <f t="array" ref="A700">IF(ISBLANK(INDEX(SampleList[ICP],ROW()-1)),"Not Requested",INDEX(SampleList[Experiment ID],ROW()-1))</f>
        <v>Not Requested</v>
      </c>
      <c r="B700">
        <f>Sampling!E698</f>
        <v>0</v>
      </c>
      <c r="E700" t="str">
        <f>ICPList[[#This Row],[Experiment ID]]&amp;"_Day"&amp;ICPList[[#This Row],[Duration (Days)]]&amp;"_"&amp;ICPList[[#This Row],[Dilution]]&amp;"x"</f>
        <v>Not Requested_Day0_x</v>
      </c>
      <c r="F700">
        <f>NMRResults[[#This Row],['#]]</f>
        <v>0</v>
      </c>
      <c r="G700" s="1">
        <f>NMRResults[[#This Row],[Date Run]]</f>
        <v>0</v>
      </c>
    </row>
    <row r="701" spans="1:7" hidden="1" x14ac:dyDescent="0.25">
      <c r="A701" t="str" cm="1">
        <f t="array" ref="A701">IF(ISBLANK(INDEX(SampleList[ICP],ROW()-1)),"Not Requested",INDEX(SampleList[Experiment ID],ROW()-1))</f>
        <v>Not Requested</v>
      </c>
      <c r="B701">
        <f>Sampling!E699</f>
        <v>0</v>
      </c>
      <c r="E701" t="str">
        <f>ICPList[[#This Row],[Experiment ID]]&amp;"_Day"&amp;ICPList[[#This Row],[Duration (Days)]]&amp;"_"&amp;ICPList[[#This Row],[Dilution]]&amp;"x"</f>
        <v>Not Requested_Day0_x</v>
      </c>
      <c r="F701">
        <f>NMRResults[[#This Row],['#]]</f>
        <v>0</v>
      </c>
      <c r="G701" s="1">
        <f>NMRResults[[#This Row],[Date Run]]</f>
        <v>0</v>
      </c>
    </row>
    <row r="702" spans="1:7" hidden="1" x14ac:dyDescent="0.25">
      <c r="A702" t="str" cm="1">
        <f t="array" ref="A702">IF(ISBLANK(INDEX(SampleList[ICP],ROW()-1)),"Not Requested",INDEX(SampleList[Experiment ID],ROW()-1))</f>
        <v>Not Requested</v>
      </c>
      <c r="B702">
        <f>Sampling!E700</f>
        <v>0</v>
      </c>
      <c r="E702" t="str">
        <f>ICPList[[#This Row],[Experiment ID]]&amp;"_Day"&amp;ICPList[[#This Row],[Duration (Days)]]&amp;"_"&amp;ICPList[[#This Row],[Dilution]]&amp;"x"</f>
        <v>Not Requested_Day0_x</v>
      </c>
      <c r="F702">
        <f>NMRResults[[#This Row],['#]]</f>
        <v>0</v>
      </c>
      <c r="G702" s="1">
        <f>NMRResults[[#This Row],[Date Run]]</f>
        <v>0</v>
      </c>
    </row>
    <row r="703" spans="1:7" hidden="1" x14ac:dyDescent="0.25">
      <c r="A703" t="str" cm="1">
        <f t="array" ref="A703">IF(ISBLANK(INDEX(SampleList[ICP],ROW()-1)),"Not Requested",INDEX(SampleList[Experiment ID],ROW()-1))</f>
        <v>Not Requested</v>
      </c>
      <c r="B703">
        <f>Sampling!E701</f>
        <v>0</v>
      </c>
      <c r="E703" t="str">
        <f>ICPList[[#This Row],[Experiment ID]]&amp;"_Day"&amp;ICPList[[#This Row],[Duration (Days)]]&amp;"_"&amp;ICPList[[#This Row],[Dilution]]&amp;"x"</f>
        <v>Not Requested_Day0_x</v>
      </c>
      <c r="F703">
        <f>NMRResults[[#This Row],['#]]</f>
        <v>0</v>
      </c>
      <c r="G703" s="1">
        <f>NMRResults[[#This Row],[Date Run]]</f>
        <v>0</v>
      </c>
    </row>
    <row r="704" spans="1:7" hidden="1" x14ac:dyDescent="0.25">
      <c r="A704" t="str" cm="1">
        <f t="array" ref="A704">IF(ISBLANK(INDEX(SampleList[ICP],ROW()-1)),"Not Requested",INDEX(SampleList[Experiment ID],ROW()-1))</f>
        <v>Not Requested</v>
      </c>
      <c r="B704">
        <f>Sampling!E702</f>
        <v>0</v>
      </c>
      <c r="E704" t="str">
        <f>ICPList[[#This Row],[Experiment ID]]&amp;"_Day"&amp;ICPList[[#This Row],[Duration (Days)]]&amp;"_"&amp;ICPList[[#This Row],[Dilution]]&amp;"x"</f>
        <v>Not Requested_Day0_x</v>
      </c>
      <c r="F704">
        <f>NMRResults[[#This Row],['#]]</f>
        <v>0</v>
      </c>
      <c r="G704" s="1">
        <f>NMRResults[[#This Row],[Date Run]]</f>
        <v>0</v>
      </c>
    </row>
    <row r="705" spans="1:7" hidden="1" x14ac:dyDescent="0.25">
      <c r="A705" t="str" cm="1">
        <f t="array" ref="A705">IF(ISBLANK(INDEX(SampleList[ICP],ROW()-1)),"Not Requested",INDEX(SampleList[Experiment ID],ROW()-1))</f>
        <v>Not Requested</v>
      </c>
      <c r="B705">
        <f>Sampling!E703</f>
        <v>0</v>
      </c>
      <c r="E705" t="str">
        <f>ICPList[[#This Row],[Experiment ID]]&amp;"_Day"&amp;ICPList[[#This Row],[Duration (Days)]]&amp;"_"&amp;ICPList[[#This Row],[Dilution]]&amp;"x"</f>
        <v>Not Requested_Day0_x</v>
      </c>
      <c r="F705">
        <f>NMRResults[[#This Row],['#]]</f>
        <v>0</v>
      </c>
      <c r="G705" s="1">
        <f>NMRResults[[#This Row],[Date Run]]</f>
        <v>0</v>
      </c>
    </row>
    <row r="706" spans="1:7" hidden="1" x14ac:dyDescent="0.25">
      <c r="A706" t="str" cm="1">
        <f t="array" ref="A706">IF(ISBLANK(INDEX(SampleList[ICP],ROW()-1)),"Not Requested",INDEX(SampleList[Experiment ID],ROW()-1))</f>
        <v>Not Requested</v>
      </c>
      <c r="B706">
        <f>Sampling!E704</f>
        <v>0</v>
      </c>
      <c r="E706" t="str">
        <f>ICPList[[#This Row],[Experiment ID]]&amp;"_Day"&amp;ICPList[[#This Row],[Duration (Days)]]&amp;"_"&amp;ICPList[[#This Row],[Dilution]]&amp;"x"</f>
        <v>Not Requested_Day0_x</v>
      </c>
      <c r="F706">
        <f>NMRResults[[#This Row],['#]]</f>
        <v>0</v>
      </c>
      <c r="G706" s="1">
        <f>NMRResults[[#This Row],[Date Run]]</f>
        <v>0</v>
      </c>
    </row>
    <row r="707" spans="1:7" hidden="1" x14ac:dyDescent="0.25">
      <c r="A707" t="str" cm="1">
        <f t="array" ref="A707">IF(ISBLANK(INDEX(SampleList[ICP],ROW()-1)),"Not Requested",INDEX(SampleList[Experiment ID],ROW()-1))</f>
        <v>Not Requested</v>
      </c>
      <c r="B707">
        <f>Sampling!E705</f>
        <v>0</v>
      </c>
      <c r="E707" t="str">
        <f>ICPList[[#This Row],[Experiment ID]]&amp;"_Day"&amp;ICPList[[#This Row],[Duration (Days)]]&amp;"_"&amp;ICPList[[#This Row],[Dilution]]&amp;"x"</f>
        <v>Not Requested_Day0_x</v>
      </c>
      <c r="F707">
        <f>NMRResults[[#This Row],['#]]</f>
        <v>0</v>
      </c>
      <c r="G707" s="1">
        <f>NMRResults[[#This Row],[Date Run]]</f>
        <v>0</v>
      </c>
    </row>
    <row r="708" spans="1:7" hidden="1" x14ac:dyDescent="0.25">
      <c r="A708" t="str" cm="1">
        <f t="array" ref="A708">IF(ISBLANK(INDEX(SampleList[ICP],ROW()-1)),"Not Requested",INDEX(SampleList[Experiment ID],ROW()-1))</f>
        <v>Not Requested</v>
      </c>
      <c r="B708">
        <f>Sampling!E706</f>
        <v>0</v>
      </c>
      <c r="E708" t="str">
        <f>ICPList[[#This Row],[Experiment ID]]&amp;"_Day"&amp;ICPList[[#This Row],[Duration (Days)]]&amp;"_"&amp;ICPList[[#This Row],[Dilution]]&amp;"x"</f>
        <v>Not Requested_Day0_x</v>
      </c>
      <c r="F708">
        <f>NMRResults[[#This Row],['#]]</f>
        <v>0</v>
      </c>
      <c r="G708" s="1">
        <f>NMRResults[[#This Row],[Date Run]]</f>
        <v>0</v>
      </c>
    </row>
    <row r="709" spans="1:7" hidden="1" x14ac:dyDescent="0.25">
      <c r="A709" t="str" cm="1">
        <f t="array" ref="A709">IF(ISBLANK(INDEX(SampleList[ICP],ROW()-1)),"Not Requested",INDEX(SampleList[Experiment ID],ROW()-1))</f>
        <v>Not Requested</v>
      </c>
      <c r="B709">
        <f>Sampling!E707</f>
        <v>0</v>
      </c>
      <c r="E709" t="str">
        <f>ICPList[[#This Row],[Experiment ID]]&amp;"_Day"&amp;ICPList[[#This Row],[Duration (Days)]]&amp;"_"&amp;ICPList[[#This Row],[Dilution]]&amp;"x"</f>
        <v>Not Requested_Day0_x</v>
      </c>
      <c r="F709">
        <f>NMRResults[[#This Row],['#]]</f>
        <v>0</v>
      </c>
      <c r="G709" s="1">
        <f>NMRResults[[#This Row],[Date Run]]</f>
        <v>0</v>
      </c>
    </row>
    <row r="710" spans="1:7" hidden="1" x14ac:dyDescent="0.25">
      <c r="A710" t="str" cm="1">
        <f t="array" ref="A710">IF(ISBLANK(INDEX(SampleList[ICP],ROW()-1)),"Not Requested",INDEX(SampleList[Experiment ID],ROW()-1))</f>
        <v>Not Requested</v>
      </c>
      <c r="B710">
        <f>Sampling!E708</f>
        <v>0</v>
      </c>
      <c r="E710" t="str">
        <f>ICPList[[#This Row],[Experiment ID]]&amp;"_Day"&amp;ICPList[[#This Row],[Duration (Days)]]&amp;"_"&amp;ICPList[[#This Row],[Dilution]]&amp;"x"</f>
        <v>Not Requested_Day0_x</v>
      </c>
      <c r="F710">
        <f>NMRResults[[#This Row],['#]]</f>
        <v>0</v>
      </c>
      <c r="G710" s="1">
        <f>NMRResults[[#This Row],[Date Run]]</f>
        <v>0</v>
      </c>
    </row>
    <row r="711" spans="1:7" hidden="1" x14ac:dyDescent="0.25">
      <c r="A711" t="str" cm="1">
        <f t="array" ref="A711">IF(ISBLANK(INDEX(SampleList[ICP],ROW()-1)),"Not Requested",INDEX(SampleList[Experiment ID],ROW()-1))</f>
        <v>Not Requested</v>
      </c>
      <c r="B711">
        <f>Sampling!E709</f>
        <v>0</v>
      </c>
      <c r="E711" t="str">
        <f>ICPList[[#This Row],[Experiment ID]]&amp;"_Day"&amp;ICPList[[#This Row],[Duration (Days)]]&amp;"_"&amp;ICPList[[#This Row],[Dilution]]&amp;"x"</f>
        <v>Not Requested_Day0_x</v>
      </c>
      <c r="F711">
        <f>NMRResults[[#This Row],['#]]</f>
        <v>0</v>
      </c>
      <c r="G711" s="1">
        <f>NMRResults[[#This Row],[Date Run]]</f>
        <v>0</v>
      </c>
    </row>
    <row r="712" spans="1:7" hidden="1" x14ac:dyDescent="0.25">
      <c r="A712" t="str" cm="1">
        <f t="array" ref="A712">IF(ISBLANK(INDEX(SampleList[ICP],ROW()-1)),"Not Requested",INDEX(SampleList[Experiment ID],ROW()-1))</f>
        <v>Not Requested</v>
      </c>
      <c r="B712">
        <f>Sampling!E710</f>
        <v>0</v>
      </c>
      <c r="E712" t="str">
        <f>ICPList[[#This Row],[Experiment ID]]&amp;"_Day"&amp;ICPList[[#This Row],[Duration (Days)]]&amp;"_"&amp;ICPList[[#This Row],[Dilution]]&amp;"x"</f>
        <v>Not Requested_Day0_x</v>
      </c>
      <c r="F712">
        <f>NMRResults[[#This Row],['#]]</f>
        <v>0</v>
      </c>
      <c r="G712" s="1">
        <f>NMRResults[[#This Row],[Date Run]]</f>
        <v>0</v>
      </c>
    </row>
    <row r="713" spans="1:7" hidden="1" x14ac:dyDescent="0.25">
      <c r="A713" t="str" cm="1">
        <f t="array" ref="A713">IF(ISBLANK(INDEX(SampleList[ICP],ROW()-1)),"Not Requested",INDEX(SampleList[Experiment ID],ROW()-1))</f>
        <v>Not Requested</v>
      </c>
      <c r="B713">
        <f>Sampling!E711</f>
        <v>0</v>
      </c>
      <c r="E713" t="str">
        <f>ICPList[[#This Row],[Experiment ID]]&amp;"_Day"&amp;ICPList[[#This Row],[Duration (Days)]]&amp;"_"&amp;ICPList[[#This Row],[Dilution]]&amp;"x"</f>
        <v>Not Requested_Day0_x</v>
      </c>
      <c r="F713">
        <f>NMRResults[[#This Row],['#]]</f>
        <v>0</v>
      </c>
      <c r="G713" s="1">
        <f>NMRResults[[#This Row],[Date Run]]</f>
        <v>0</v>
      </c>
    </row>
    <row r="714" spans="1:7" hidden="1" x14ac:dyDescent="0.25">
      <c r="A714" t="str" cm="1">
        <f t="array" ref="A714">IF(ISBLANK(INDEX(SampleList[ICP],ROW()-1)),"Not Requested",INDEX(SampleList[Experiment ID],ROW()-1))</f>
        <v>Not Requested</v>
      </c>
      <c r="B714">
        <f>Sampling!E712</f>
        <v>0</v>
      </c>
      <c r="E714" t="str">
        <f>ICPList[[#This Row],[Experiment ID]]&amp;"_Day"&amp;ICPList[[#This Row],[Duration (Days)]]&amp;"_"&amp;ICPList[[#This Row],[Dilution]]&amp;"x"</f>
        <v>Not Requested_Day0_x</v>
      </c>
      <c r="F714">
        <f>NMRResults[[#This Row],['#]]</f>
        <v>0</v>
      </c>
      <c r="G714" s="1">
        <f>NMRResults[[#This Row],[Date Run]]</f>
        <v>0</v>
      </c>
    </row>
    <row r="715" spans="1:7" hidden="1" x14ac:dyDescent="0.25">
      <c r="A715" t="str" cm="1">
        <f t="array" ref="A715">IF(ISBLANK(INDEX(SampleList[ICP],ROW()-1)),"Not Requested",INDEX(SampleList[Experiment ID],ROW()-1))</f>
        <v>Not Requested</v>
      </c>
      <c r="B715">
        <f>Sampling!E713</f>
        <v>0</v>
      </c>
      <c r="E715" t="str">
        <f>ICPList[[#This Row],[Experiment ID]]&amp;"_Day"&amp;ICPList[[#This Row],[Duration (Days)]]&amp;"_"&amp;ICPList[[#This Row],[Dilution]]&amp;"x"</f>
        <v>Not Requested_Day0_x</v>
      </c>
      <c r="F715">
        <f>NMRResults[[#This Row],['#]]</f>
        <v>0</v>
      </c>
      <c r="G715" s="1">
        <f>NMRResults[[#This Row],[Date Run]]</f>
        <v>0</v>
      </c>
    </row>
    <row r="716" spans="1:7" hidden="1" x14ac:dyDescent="0.25">
      <c r="A716" t="str" cm="1">
        <f t="array" ref="A716">IF(ISBLANK(INDEX(SampleList[ICP],ROW()-1)),"Not Requested",INDEX(SampleList[Experiment ID],ROW()-1))</f>
        <v>Not Requested</v>
      </c>
      <c r="B716">
        <f>Sampling!E714</f>
        <v>0</v>
      </c>
      <c r="E716" t="str">
        <f>ICPList[[#This Row],[Experiment ID]]&amp;"_Day"&amp;ICPList[[#This Row],[Duration (Days)]]&amp;"_"&amp;ICPList[[#This Row],[Dilution]]&amp;"x"</f>
        <v>Not Requested_Day0_x</v>
      </c>
      <c r="F716">
        <f>NMRResults[[#This Row],['#]]</f>
        <v>0</v>
      </c>
      <c r="G716" s="1">
        <f>NMRResults[[#This Row],[Date Run]]</f>
        <v>0</v>
      </c>
    </row>
    <row r="717" spans="1:7" hidden="1" x14ac:dyDescent="0.25">
      <c r="A717" t="str" cm="1">
        <f t="array" ref="A717">IF(ISBLANK(INDEX(SampleList[ICP],ROW()-1)),"Not Requested",INDEX(SampleList[Experiment ID],ROW()-1))</f>
        <v>Not Requested</v>
      </c>
      <c r="B717">
        <f>Sampling!E715</f>
        <v>0</v>
      </c>
      <c r="E717" t="str">
        <f>ICPList[[#This Row],[Experiment ID]]&amp;"_Day"&amp;ICPList[[#This Row],[Duration (Days)]]&amp;"_"&amp;ICPList[[#This Row],[Dilution]]&amp;"x"</f>
        <v>Not Requested_Day0_x</v>
      </c>
      <c r="F717">
        <f>NMRResults[[#This Row],['#]]</f>
        <v>0</v>
      </c>
      <c r="G717" s="1">
        <f>NMRResults[[#This Row],[Date Run]]</f>
        <v>0</v>
      </c>
    </row>
    <row r="718" spans="1:7" hidden="1" x14ac:dyDescent="0.25">
      <c r="A718" t="str" cm="1">
        <f t="array" ref="A718">IF(ISBLANK(INDEX(SampleList[ICP],ROW()-1)),"Not Requested",INDEX(SampleList[Experiment ID],ROW()-1))</f>
        <v>Not Requested</v>
      </c>
      <c r="B718">
        <f>Sampling!E716</f>
        <v>0</v>
      </c>
      <c r="E718" t="str">
        <f>ICPList[[#This Row],[Experiment ID]]&amp;"_Day"&amp;ICPList[[#This Row],[Duration (Days)]]&amp;"_"&amp;ICPList[[#This Row],[Dilution]]&amp;"x"</f>
        <v>Not Requested_Day0_x</v>
      </c>
      <c r="F718">
        <f>NMRResults[[#This Row],['#]]</f>
        <v>0</v>
      </c>
      <c r="G718" s="1">
        <f>NMRResults[[#This Row],[Date Run]]</f>
        <v>0</v>
      </c>
    </row>
    <row r="719" spans="1:7" hidden="1" x14ac:dyDescent="0.25">
      <c r="A719" t="str" cm="1">
        <f t="array" ref="A719">IF(ISBLANK(INDEX(SampleList[ICP],ROW()-1)),"Not Requested",INDEX(SampleList[Experiment ID],ROW()-1))</f>
        <v>Not Requested</v>
      </c>
      <c r="B719">
        <f>Sampling!E717</f>
        <v>0</v>
      </c>
      <c r="E719" t="str">
        <f>ICPList[[#This Row],[Experiment ID]]&amp;"_Day"&amp;ICPList[[#This Row],[Duration (Days)]]&amp;"_"&amp;ICPList[[#This Row],[Dilution]]&amp;"x"</f>
        <v>Not Requested_Day0_x</v>
      </c>
      <c r="F719">
        <f>NMRResults[[#This Row],['#]]</f>
        <v>0</v>
      </c>
      <c r="G719" s="1">
        <f>NMRResults[[#This Row],[Date Run]]</f>
        <v>0</v>
      </c>
    </row>
    <row r="720" spans="1:7" hidden="1" x14ac:dyDescent="0.25">
      <c r="A720" t="str" cm="1">
        <f t="array" ref="A720">IF(ISBLANK(INDEX(SampleList[ICP],ROW()-1)),"Not Requested",INDEX(SampleList[Experiment ID],ROW()-1))</f>
        <v>Not Requested</v>
      </c>
      <c r="B720">
        <f>Sampling!E718</f>
        <v>0</v>
      </c>
      <c r="E720" t="str">
        <f>ICPList[[#This Row],[Experiment ID]]&amp;"_Day"&amp;ICPList[[#This Row],[Duration (Days)]]&amp;"_"&amp;ICPList[[#This Row],[Dilution]]&amp;"x"</f>
        <v>Not Requested_Day0_x</v>
      </c>
      <c r="F720">
        <f>NMRResults[[#This Row],['#]]</f>
        <v>0</v>
      </c>
      <c r="G720" s="1">
        <f>NMRResults[[#This Row],[Date Run]]</f>
        <v>0</v>
      </c>
    </row>
    <row r="721" spans="1:7" hidden="1" x14ac:dyDescent="0.25">
      <c r="A721" t="str" cm="1">
        <f t="array" ref="A721">IF(ISBLANK(INDEX(SampleList[ICP],ROW()-1)),"Not Requested",INDEX(SampleList[Experiment ID],ROW()-1))</f>
        <v>Not Requested</v>
      </c>
      <c r="B721">
        <f>Sampling!E719</f>
        <v>0</v>
      </c>
      <c r="E721" t="str">
        <f>ICPList[[#This Row],[Experiment ID]]&amp;"_Day"&amp;ICPList[[#This Row],[Duration (Days)]]&amp;"_"&amp;ICPList[[#This Row],[Dilution]]&amp;"x"</f>
        <v>Not Requested_Day0_x</v>
      </c>
      <c r="F721">
        <f>NMRResults[[#This Row],['#]]</f>
        <v>0</v>
      </c>
      <c r="G721" s="1">
        <f>NMRResults[[#This Row],[Date Run]]</f>
        <v>0</v>
      </c>
    </row>
    <row r="722" spans="1:7" hidden="1" x14ac:dyDescent="0.25">
      <c r="A722" t="str" cm="1">
        <f t="array" ref="A722">IF(ISBLANK(INDEX(SampleList[ICP],ROW()-1)),"Not Requested",INDEX(SampleList[Experiment ID],ROW()-1))</f>
        <v>Not Requested</v>
      </c>
      <c r="B722">
        <f>Sampling!E720</f>
        <v>0</v>
      </c>
      <c r="E722" t="str">
        <f>ICPList[[#This Row],[Experiment ID]]&amp;"_Day"&amp;ICPList[[#This Row],[Duration (Days)]]&amp;"_"&amp;ICPList[[#This Row],[Dilution]]&amp;"x"</f>
        <v>Not Requested_Day0_x</v>
      </c>
      <c r="F722">
        <f>NMRResults[[#This Row],['#]]</f>
        <v>0</v>
      </c>
      <c r="G722" s="1">
        <f>NMRResults[[#This Row],[Date Run]]</f>
        <v>0</v>
      </c>
    </row>
    <row r="723" spans="1:7" hidden="1" x14ac:dyDescent="0.25">
      <c r="A723" t="str" cm="1">
        <f t="array" ref="A723">IF(ISBLANK(INDEX(SampleList[ICP],ROW()-1)),"Not Requested",INDEX(SampleList[Experiment ID],ROW()-1))</f>
        <v>Not Requested</v>
      </c>
      <c r="B723">
        <f>Sampling!E721</f>
        <v>0</v>
      </c>
      <c r="E723" t="str">
        <f>ICPList[[#This Row],[Experiment ID]]&amp;"_Day"&amp;ICPList[[#This Row],[Duration (Days)]]&amp;"_"&amp;ICPList[[#This Row],[Dilution]]&amp;"x"</f>
        <v>Not Requested_Day0_x</v>
      </c>
      <c r="F723">
        <f>NMRResults[[#This Row],['#]]</f>
        <v>0</v>
      </c>
      <c r="G723" s="1">
        <f>NMRResults[[#This Row],[Date Run]]</f>
        <v>0</v>
      </c>
    </row>
    <row r="724" spans="1:7" hidden="1" x14ac:dyDescent="0.25">
      <c r="A724" t="str" cm="1">
        <f t="array" ref="A724">IF(ISBLANK(INDEX(SampleList[ICP],ROW()-1)),"Not Requested",INDEX(SampleList[Experiment ID],ROW()-1))</f>
        <v>Not Requested</v>
      </c>
      <c r="B724">
        <f>Sampling!E722</f>
        <v>0</v>
      </c>
      <c r="E724" t="str">
        <f>ICPList[[#This Row],[Experiment ID]]&amp;"_Day"&amp;ICPList[[#This Row],[Duration (Days)]]&amp;"_"&amp;ICPList[[#This Row],[Dilution]]&amp;"x"</f>
        <v>Not Requested_Day0_x</v>
      </c>
      <c r="F724">
        <f>NMRResults[[#This Row],['#]]</f>
        <v>0</v>
      </c>
      <c r="G724" s="1">
        <f>NMRResults[[#This Row],[Date Run]]</f>
        <v>0</v>
      </c>
    </row>
    <row r="725" spans="1:7" hidden="1" x14ac:dyDescent="0.25">
      <c r="A725" t="str" cm="1">
        <f t="array" ref="A725">IF(ISBLANK(INDEX(SampleList[ICP],ROW()-1)),"Not Requested",INDEX(SampleList[Experiment ID],ROW()-1))</f>
        <v>Not Requested</v>
      </c>
      <c r="B725">
        <f>Sampling!E723</f>
        <v>0</v>
      </c>
      <c r="E725" t="str">
        <f>ICPList[[#This Row],[Experiment ID]]&amp;"_Day"&amp;ICPList[[#This Row],[Duration (Days)]]&amp;"_"&amp;ICPList[[#This Row],[Dilution]]&amp;"x"</f>
        <v>Not Requested_Day0_x</v>
      </c>
      <c r="F725">
        <f>NMRResults[[#This Row],['#]]</f>
        <v>0</v>
      </c>
      <c r="G725" s="1">
        <f>NMRResults[[#This Row],[Date Run]]</f>
        <v>0</v>
      </c>
    </row>
    <row r="726" spans="1:7" hidden="1" x14ac:dyDescent="0.25">
      <c r="A726" t="str" cm="1">
        <f t="array" ref="A726">IF(ISBLANK(INDEX(SampleList[ICP],ROW()-1)),"Not Requested",INDEX(SampleList[Experiment ID],ROW()-1))</f>
        <v>Not Requested</v>
      </c>
      <c r="B726">
        <f>Sampling!E724</f>
        <v>0</v>
      </c>
      <c r="E726" t="str">
        <f>ICPList[[#This Row],[Experiment ID]]&amp;"_Day"&amp;ICPList[[#This Row],[Duration (Days)]]&amp;"_"&amp;ICPList[[#This Row],[Dilution]]&amp;"x"</f>
        <v>Not Requested_Day0_x</v>
      </c>
      <c r="F726">
        <f>NMRResults[[#This Row],['#]]</f>
        <v>0</v>
      </c>
      <c r="G726" s="1">
        <f>NMRResults[[#This Row],[Date Run]]</f>
        <v>0</v>
      </c>
    </row>
    <row r="727" spans="1:7" hidden="1" x14ac:dyDescent="0.25">
      <c r="A727" t="str" cm="1">
        <f t="array" ref="A727">IF(ISBLANK(INDEX(SampleList[ICP],ROW()-1)),"Not Requested",INDEX(SampleList[Experiment ID],ROW()-1))</f>
        <v>Not Requested</v>
      </c>
      <c r="B727">
        <f>Sampling!E725</f>
        <v>0</v>
      </c>
      <c r="E727" t="str">
        <f>ICPList[[#This Row],[Experiment ID]]&amp;"_Day"&amp;ICPList[[#This Row],[Duration (Days)]]&amp;"_"&amp;ICPList[[#This Row],[Dilution]]&amp;"x"</f>
        <v>Not Requested_Day0_x</v>
      </c>
      <c r="F727">
        <f>NMRResults[[#This Row],['#]]</f>
        <v>0</v>
      </c>
      <c r="G727" s="1">
        <f>NMRResults[[#This Row],[Date Run]]</f>
        <v>0</v>
      </c>
    </row>
    <row r="728" spans="1:7" hidden="1" x14ac:dyDescent="0.25">
      <c r="A728" t="str" cm="1">
        <f t="array" ref="A728">IF(ISBLANK(INDEX(SampleList[ICP],ROW()-1)),"Not Requested",INDEX(SampleList[Experiment ID],ROW()-1))</f>
        <v>Not Requested</v>
      </c>
      <c r="B728">
        <f>Sampling!E726</f>
        <v>0</v>
      </c>
      <c r="E728" t="str">
        <f>ICPList[[#This Row],[Experiment ID]]&amp;"_Day"&amp;ICPList[[#This Row],[Duration (Days)]]&amp;"_"&amp;ICPList[[#This Row],[Dilution]]&amp;"x"</f>
        <v>Not Requested_Day0_x</v>
      </c>
      <c r="F728">
        <f>NMRResults[[#This Row],['#]]</f>
        <v>0</v>
      </c>
      <c r="G728" s="1">
        <f>NMRResults[[#This Row],[Date Run]]</f>
        <v>0</v>
      </c>
    </row>
    <row r="729" spans="1:7" hidden="1" x14ac:dyDescent="0.25">
      <c r="A729" t="str" cm="1">
        <f t="array" ref="A729">IF(ISBLANK(INDEX(SampleList[ICP],ROW()-1)),"Not Requested",INDEX(SampleList[Experiment ID],ROW()-1))</f>
        <v>Not Requested</v>
      </c>
      <c r="B729">
        <f>Sampling!E727</f>
        <v>0</v>
      </c>
      <c r="E729" t="str">
        <f>ICPList[[#This Row],[Experiment ID]]&amp;"_Day"&amp;ICPList[[#This Row],[Duration (Days)]]&amp;"_"&amp;ICPList[[#This Row],[Dilution]]&amp;"x"</f>
        <v>Not Requested_Day0_x</v>
      </c>
      <c r="F729">
        <f>NMRResults[[#This Row],['#]]</f>
        <v>0</v>
      </c>
      <c r="G729" s="1">
        <f>NMRResults[[#This Row],[Date Run]]</f>
        <v>0</v>
      </c>
    </row>
    <row r="730" spans="1:7" hidden="1" x14ac:dyDescent="0.25">
      <c r="A730" t="str" cm="1">
        <f t="array" ref="A730">IF(ISBLANK(INDEX(SampleList[ICP],ROW()-1)),"Not Requested",INDEX(SampleList[Experiment ID],ROW()-1))</f>
        <v>Not Requested</v>
      </c>
      <c r="B730">
        <f>Sampling!E728</f>
        <v>0</v>
      </c>
      <c r="E730" t="str">
        <f>ICPList[[#This Row],[Experiment ID]]&amp;"_Day"&amp;ICPList[[#This Row],[Duration (Days)]]&amp;"_"&amp;ICPList[[#This Row],[Dilution]]&amp;"x"</f>
        <v>Not Requested_Day0_x</v>
      </c>
      <c r="F730">
        <f>NMRResults[[#This Row],['#]]</f>
        <v>0</v>
      </c>
      <c r="G730" s="1">
        <f>NMRResults[[#This Row],[Date Run]]</f>
        <v>0</v>
      </c>
    </row>
    <row r="731" spans="1:7" hidden="1" x14ac:dyDescent="0.25">
      <c r="A731" t="str" cm="1">
        <f t="array" ref="A731">IF(ISBLANK(INDEX(SampleList[ICP],ROW()-1)),"Not Requested",INDEX(SampleList[Experiment ID],ROW()-1))</f>
        <v>Not Requested</v>
      </c>
      <c r="B731">
        <f>Sampling!E729</f>
        <v>0</v>
      </c>
      <c r="E731" t="str">
        <f>ICPList[[#This Row],[Experiment ID]]&amp;"_Day"&amp;ICPList[[#This Row],[Duration (Days)]]&amp;"_"&amp;ICPList[[#This Row],[Dilution]]&amp;"x"</f>
        <v>Not Requested_Day0_x</v>
      </c>
      <c r="F731">
        <f>NMRResults[[#This Row],['#]]</f>
        <v>0</v>
      </c>
      <c r="G731" s="1">
        <f>NMRResults[[#This Row],[Date Run]]</f>
        <v>0</v>
      </c>
    </row>
    <row r="732" spans="1:7" hidden="1" x14ac:dyDescent="0.25">
      <c r="A732" t="str" cm="1">
        <f t="array" ref="A732">IF(ISBLANK(INDEX(SampleList[ICP],ROW()-1)),"Not Requested",INDEX(SampleList[Experiment ID],ROW()-1))</f>
        <v>Not Requested</v>
      </c>
      <c r="B732">
        <f>Sampling!E730</f>
        <v>0</v>
      </c>
      <c r="E732" t="str">
        <f>ICPList[[#This Row],[Experiment ID]]&amp;"_Day"&amp;ICPList[[#This Row],[Duration (Days)]]&amp;"_"&amp;ICPList[[#This Row],[Dilution]]&amp;"x"</f>
        <v>Not Requested_Day0_x</v>
      </c>
      <c r="F732">
        <f>NMRResults[[#This Row],['#]]</f>
        <v>0</v>
      </c>
      <c r="G732" s="1">
        <f>NMRResults[[#This Row],[Date Run]]</f>
        <v>0</v>
      </c>
    </row>
    <row r="733" spans="1:7" hidden="1" x14ac:dyDescent="0.25">
      <c r="A733" t="str" cm="1">
        <f t="array" ref="A733">IF(ISBLANK(INDEX(SampleList[ICP],ROW()-1)),"Not Requested",INDEX(SampleList[Experiment ID],ROW()-1))</f>
        <v>Not Requested</v>
      </c>
      <c r="B733">
        <f>Sampling!E731</f>
        <v>0</v>
      </c>
      <c r="E733" t="str">
        <f>ICPList[[#This Row],[Experiment ID]]&amp;"_Day"&amp;ICPList[[#This Row],[Duration (Days)]]&amp;"_"&amp;ICPList[[#This Row],[Dilution]]&amp;"x"</f>
        <v>Not Requested_Day0_x</v>
      </c>
      <c r="F733">
        <f>NMRResults[[#This Row],['#]]</f>
        <v>0</v>
      </c>
      <c r="G733" s="1">
        <f>NMRResults[[#This Row],[Date Run]]</f>
        <v>0</v>
      </c>
    </row>
    <row r="734" spans="1:7" hidden="1" x14ac:dyDescent="0.25">
      <c r="A734" t="str" cm="1">
        <f t="array" ref="A734">IF(ISBLANK(INDEX(SampleList[ICP],ROW()-1)),"Not Requested",INDEX(SampleList[Experiment ID],ROW()-1))</f>
        <v>Not Requested</v>
      </c>
      <c r="B734">
        <f>Sampling!E732</f>
        <v>0</v>
      </c>
      <c r="E734" t="str">
        <f>ICPList[[#This Row],[Experiment ID]]&amp;"_Day"&amp;ICPList[[#This Row],[Duration (Days)]]&amp;"_"&amp;ICPList[[#This Row],[Dilution]]&amp;"x"</f>
        <v>Not Requested_Day0_x</v>
      </c>
      <c r="F734">
        <f>NMRResults[[#This Row],['#]]</f>
        <v>0</v>
      </c>
      <c r="G734" s="1">
        <f>NMRResults[[#This Row],[Date Run]]</f>
        <v>0</v>
      </c>
    </row>
    <row r="735" spans="1:7" hidden="1" x14ac:dyDescent="0.25">
      <c r="A735" t="str" cm="1">
        <f t="array" ref="A735">IF(ISBLANK(INDEX(SampleList[ICP],ROW()-1)),"Not Requested",INDEX(SampleList[Experiment ID],ROW()-1))</f>
        <v>Not Requested</v>
      </c>
      <c r="B735">
        <f>Sampling!E733</f>
        <v>0</v>
      </c>
      <c r="E735" t="str">
        <f>ICPList[[#This Row],[Experiment ID]]&amp;"_Day"&amp;ICPList[[#This Row],[Duration (Days)]]&amp;"_"&amp;ICPList[[#This Row],[Dilution]]&amp;"x"</f>
        <v>Not Requested_Day0_x</v>
      </c>
      <c r="F735">
        <f>NMRResults[[#This Row],['#]]</f>
        <v>0</v>
      </c>
      <c r="G735" s="1">
        <f>NMRResults[[#This Row],[Date Run]]</f>
        <v>0</v>
      </c>
    </row>
    <row r="736" spans="1:7" hidden="1" x14ac:dyDescent="0.25">
      <c r="A736" t="str" cm="1">
        <f t="array" ref="A736">IF(ISBLANK(INDEX(SampleList[ICP],ROW()-1)),"Not Requested",INDEX(SampleList[Experiment ID],ROW()-1))</f>
        <v>Not Requested</v>
      </c>
      <c r="B736">
        <f>Sampling!E734</f>
        <v>0</v>
      </c>
      <c r="E736" t="str">
        <f>ICPList[[#This Row],[Experiment ID]]&amp;"_Day"&amp;ICPList[[#This Row],[Duration (Days)]]&amp;"_"&amp;ICPList[[#This Row],[Dilution]]&amp;"x"</f>
        <v>Not Requested_Day0_x</v>
      </c>
      <c r="F736">
        <f>NMRResults[[#This Row],['#]]</f>
        <v>0</v>
      </c>
      <c r="G736" s="1">
        <f>NMRResults[[#This Row],[Date Run]]</f>
        <v>0</v>
      </c>
    </row>
    <row r="737" spans="1:7" hidden="1" x14ac:dyDescent="0.25">
      <c r="A737" t="str" cm="1">
        <f t="array" ref="A737">IF(ISBLANK(INDEX(SampleList[ICP],ROW()-1)),"Not Requested",INDEX(SampleList[Experiment ID],ROW()-1))</f>
        <v>Not Requested</v>
      </c>
      <c r="B737">
        <f>Sampling!E735</f>
        <v>0</v>
      </c>
      <c r="E737" t="str">
        <f>ICPList[[#This Row],[Experiment ID]]&amp;"_Day"&amp;ICPList[[#This Row],[Duration (Days)]]&amp;"_"&amp;ICPList[[#This Row],[Dilution]]&amp;"x"</f>
        <v>Not Requested_Day0_x</v>
      </c>
      <c r="F737">
        <f>NMRResults[[#This Row],['#]]</f>
        <v>0</v>
      </c>
      <c r="G737" s="1">
        <f>NMRResults[[#This Row],[Date Run]]</f>
        <v>0</v>
      </c>
    </row>
    <row r="738" spans="1:7" hidden="1" x14ac:dyDescent="0.25">
      <c r="A738" t="str" cm="1">
        <f t="array" ref="A738">IF(ISBLANK(INDEX(SampleList[ICP],ROW()-1)),"Not Requested",INDEX(SampleList[Experiment ID],ROW()-1))</f>
        <v>Not Requested</v>
      </c>
      <c r="B738">
        <f>Sampling!E736</f>
        <v>0</v>
      </c>
      <c r="E738" t="str">
        <f>ICPList[[#This Row],[Experiment ID]]&amp;"_Day"&amp;ICPList[[#This Row],[Duration (Days)]]&amp;"_"&amp;ICPList[[#This Row],[Dilution]]&amp;"x"</f>
        <v>Not Requested_Day0_x</v>
      </c>
      <c r="F738">
        <f>NMRResults[[#This Row],['#]]</f>
        <v>0</v>
      </c>
      <c r="G738" s="1">
        <f>NMRResults[[#This Row],[Date Run]]</f>
        <v>0</v>
      </c>
    </row>
    <row r="739" spans="1:7" hidden="1" x14ac:dyDescent="0.25">
      <c r="A739" t="str" cm="1">
        <f t="array" ref="A739">IF(ISBLANK(INDEX(SampleList[ICP],ROW()-1)),"Not Requested",INDEX(SampleList[Experiment ID],ROW()-1))</f>
        <v>Not Requested</v>
      </c>
      <c r="B739">
        <f>Sampling!E737</f>
        <v>0</v>
      </c>
      <c r="E739" t="str">
        <f>ICPList[[#This Row],[Experiment ID]]&amp;"_Day"&amp;ICPList[[#This Row],[Duration (Days)]]&amp;"_"&amp;ICPList[[#This Row],[Dilution]]&amp;"x"</f>
        <v>Not Requested_Day0_x</v>
      </c>
      <c r="F739">
        <f>NMRResults[[#This Row],['#]]</f>
        <v>0</v>
      </c>
      <c r="G739" s="1">
        <f>NMRResults[[#This Row],[Date Run]]</f>
        <v>0</v>
      </c>
    </row>
    <row r="740" spans="1:7" hidden="1" x14ac:dyDescent="0.25">
      <c r="A740" t="str" cm="1">
        <f t="array" ref="A740">IF(ISBLANK(INDEX(SampleList[ICP],ROW()-1)),"Not Requested",INDEX(SampleList[Experiment ID],ROW()-1))</f>
        <v>Not Requested</v>
      </c>
      <c r="B740">
        <f>Sampling!E738</f>
        <v>0</v>
      </c>
      <c r="E740" t="str">
        <f>ICPList[[#This Row],[Experiment ID]]&amp;"_Day"&amp;ICPList[[#This Row],[Duration (Days)]]&amp;"_"&amp;ICPList[[#This Row],[Dilution]]&amp;"x"</f>
        <v>Not Requested_Day0_x</v>
      </c>
      <c r="F740">
        <f>NMRResults[[#This Row],['#]]</f>
        <v>0</v>
      </c>
      <c r="G740" s="1">
        <f>NMRResults[[#This Row],[Date Run]]</f>
        <v>0</v>
      </c>
    </row>
    <row r="741" spans="1:7" hidden="1" x14ac:dyDescent="0.25">
      <c r="A741" t="str" cm="1">
        <f t="array" ref="A741">IF(ISBLANK(INDEX(SampleList[ICP],ROW()-1)),"Not Requested",INDEX(SampleList[Experiment ID],ROW()-1))</f>
        <v>Not Requested</v>
      </c>
      <c r="B741">
        <f>Sampling!E739</f>
        <v>0</v>
      </c>
      <c r="E741" t="str">
        <f>ICPList[[#This Row],[Experiment ID]]&amp;"_Day"&amp;ICPList[[#This Row],[Duration (Days)]]&amp;"_"&amp;ICPList[[#This Row],[Dilution]]&amp;"x"</f>
        <v>Not Requested_Day0_x</v>
      </c>
      <c r="F741">
        <f>NMRResults[[#This Row],['#]]</f>
        <v>0</v>
      </c>
      <c r="G741" s="1">
        <f>NMRResults[[#This Row],[Date Run]]</f>
        <v>0</v>
      </c>
    </row>
    <row r="742" spans="1:7" hidden="1" x14ac:dyDescent="0.25">
      <c r="A742" t="str" cm="1">
        <f t="array" ref="A742">IF(ISBLANK(INDEX(SampleList[ICP],ROW()-1)),"Not Requested",INDEX(SampleList[Experiment ID],ROW()-1))</f>
        <v>Not Requested</v>
      </c>
      <c r="B742">
        <f>Sampling!E740</f>
        <v>0</v>
      </c>
      <c r="E742" t="str">
        <f>ICPList[[#This Row],[Experiment ID]]&amp;"_Day"&amp;ICPList[[#This Row],[Duration (Days)]]&amp;"_"&amp;ICPList[[#This Row],[Dilution]]&amp;"x"</f>
        <v>Not Requested_Day0_x</v>
      </c>
      <c r="F742">
        <f>NMRResults[[#This Row],['#]]</f>
        <v>0</v>
      </c>
      <c r="G742" s="1">
        <f>NMRResults[[#This Row],[Date Run]]</f>
        <v>0</v>
      </c>
    </row>
    <row r="743" spans="1:7" hidden="1" x14ac:dyDescent="0.25">
      <c r="A743" t="str" cm="1">
        <f t="array" ref="A743">IF(ISBLANK(INDEX(SampleList[ICP],ROW()-1)),"Not Requested",INDEX(SampleList[Experiment ID],ROW()-1))</f>
        <v>Not Requested</v>
      </c>
      <c r="B743">
        <f>Sampling!E741</f>
        <v>0</v>
      </c>
      <c r="E743" t="str">
        <f>ICPList[[#This Row],[Experiment ID]]&amp;"_Day"&amp;ICPList[[#This Row],[Duration (Days)]]&amp;"_"&amp;ICPList[[#This Row],[Dilution]]&amp;"x"</f>
        <v>Not Requested_Day0_x</v>
      </c>
      <c r="F743">
        <f>NMRResults[[#This Row],['#]]</f>
        <v>0</v>
      </c>
      <c r="G743" s="1">
        <f>NMRResults[[#This Row],[Date Run]]</f>
        <v>0</v>
      </c>
    </row>
    <row r="744" spans="1:7" hidden="1" x14ac:dyDescent="0.25">
      <c r="A744" t="str" cm="1">
        <f t="array" ref="A744">IF(ISBLANK(INDEX(SampleList[ICP],ROW()-1)),"Not Requested",INDEX(SampleList[Experiment ID],ROW()-1))</f>
        <v>Not Requested</v>
      </c>
      <c r="B744">
        <f>Sampling!E742</f>
        <v>0</v>
      </c>
      <c r="E744" t="str">
        <f>ICPList[[#This Row],[Experiment ID]]&amp;"_Day"&amp;ICPList[[#This Row],[Duration (Days)]]&amp;"_"&amp;ICPList[[#This Row],[Dilution]]&amp;"x"</f>
        <v>Not Requested_Day0_x</v>
      </c>
      <c r="F744">
        <f>NMRResults[[#This Row],['#]]</f>
        <v>1</v>
      </c>
      <c r="G744" s="1">
        <f>NMRResults[[#This Row],[Date Run]]</f>
        <v>0</v>
      </c>
    </row>
    <row r="745" spans="1:7" hidden="1" x14ac:dyDescent="0.25">
      <c r="A745" t="str" cm="1">
        <f t="array" ref="A745">IF(ISBLANK(INDEX(SampleList[ICP],ROW()-1)),"Not Requested",INDEX(SampleList[Experiment ID],ROW()-1))</f>
        <v>Not Requested</v>
      </c>
      <c r="B745">
        <f>Sampling!E743</f>
        <v>0</v>
      </c>
      <c r="E745" t="str">
        <f>ICPList[[#This Row],[Experiment ID]]&amp;"_Day"&amp;ICPList[[#This Row],[Duration (Days)]]&amp;"_"&amp;ICPList[[#This Row],[Dilution]]&amp;"x"</f>
        <v>Not Requested_Day0_x</v>
      </c>
      <c r="F745">
        <f>NMRResults[[#This Row],['#]]</f>
        <v>2</v>
      </c>
      <c r="G745" s="1">
        <f>NMRResults[[#This Row],[Date Run]]</f>
        <v>0</v>
      </c>
    </row>
    <row r="746" spans="1:7" hidden="1" x14ac:dyDescent="0.25">
      <c r="A746" t="str" cm="1">
        <f t="array" ref="A746">IF(ISBLANK(INDEX(SampleList[ICP],ROW()-1)),"Not Requested",INDEX(SampleList[Experiment ID],ROW()-1))</f>
        <v>Not Requested</v>
      </c>
      <c r="B746">
        <f>Sampling!E744</f>
        <v>0</v>
      </c>
      <c r="E746" t="str">
        <f>ICPList[[#This Row],[Experiment ID]]&amp;"_Day"&amp;ICPList[[#This Row],[Duration (Days)]]&amp;"_"&amp;ICPList[[#This Row],[Dilution]]&amp;"x"</f>
        <v>Not Requested_Day0_x</v>
      </c>
      <c r="F746">
        <f>NMRResults[[#This Row],['#]]</f>
        <v>3</v>
      </c>
      <c r="G746" s="1">
        <f>NMRResults[[#This Row],[Date Run]]</f>
        <v>0</v>
      </c>
    </row>
    <row r="747" spans="1:7" hidden="1" x14ac:dyDescent="0.25">
      <c r="A747" t="str" cm="1">
        <f t="array" ref="A747">IF(ISBLANK(INDEX(SampleList[ICP],ROW()-1)),"Not Requested",INDEX(SampleList[Experiment ID],ROW()-1))</f>
        <v>Not Requested</v>
      </c>
      <c r="B747">
        <f>Sampling!E745</f>
        <v>0</v>
      </c>
      <c r="E747" t="str">
        <f>ICPList[[#This Row],[Experiment ID]]&amp;"_Day"&amp;ICPList[[#This Row],[Duration (Days)]]&amp;"_"&amp;ICPList[[#This Row],[Dilution]]&amp;"x"</f>
        <v>Not Requested_Day0_x</v>
      </c>
      <c r="F747">
        <f>NMRResults[[#This Row],['#]]</f>
        <v>4</v>
      </c>
      <c r="G747" s="1">
        <f>NMRResults[[#This Row],[Date Run]]</f>
        <v>0</v>
      </c>
    </row>
    <row r="748" spans="1:7" hidden="1" x14ac:dyDescent="0.25">
      <c r="A748" t="str" cm="1">
        <f t="array" ref="A748">IF(ISBLANK(INDEX(SampleList[ICP],ROW()-1)),"Not Requested",INDEX(SampleList[Experiment ID],ROW()-1))</f>
        <v>Not Requested</v>
      </c>
      <c r="B748">
        <f>Sampling!E746</f>
        <v>0</v>
      </c>
      <c r="E748" t="str">
        <f>ICPList[[#This Row],[Experiment ID]]&amp;"_Day"&amp;ICPList[[#This Row],[Duration (Days)]]&amp;"_"&amp;ICPList[[#This Row],[Dilution]]&amp;"x"</f>
        <v>Not Requested_Day0_x</v>
      </c>
      <c r="F748">
        <f>NMRResults[[#This Row],['#]]</f>
        <v>6</v>
      </c>
      <c r="G748" s="1">
        <f>NMRResults[[#This Row],[Date Run]]</f>
        <v>0</v>
      </c>
    </row>
    <row r="749" spans="1:7" hidden="1" x14ac:dyDescent="0.25">
      <c r="A749" t="str" cm="1">
        <f t="array" ref="A749">IF(ISBLANK(INDEX(SampleList[ICP],ROW()-1)),"Not Requested",INDEX(SampleList[Experiment ID],ROW()-1))</f>
        <v>Not Requested</v>
      </c>
      <c r="B749">
        <f>Sampling!E747</f>
        <v>0</v>
      </c>
      <c r="E749" t="str">
        <f>ICPList[[#This Row],[Experiment ID]]&amp;"_Day"&amp;ICPList[[#This Row],[Duration (Days)]]&amp;"_"&amp;ICPList[[#This Row],[Dilution]]&amp;"x"</f>
        <v>Not Requested_Day0_x</v>
      </c>
      <c r="F749">
        <f>NMRResults[[#This Row],['#]]</f>
        <v>5</v>
      </c>
      <c r="G749" s="1">
        <f>NMRResults[[#This Row],[Date Run]]</f>
        <v>0</v>
      </c>
    </row>
    <row r="750" spans="1:7" hidden="1" x14ac:dyDescent="0.25">
      <c r="A750" t="str" cm="1">
        <f t="array" ref="A750">IF(ISBLANK(INDEX(SampleList[ICP],ROW()-1)),"Not Requested",INDEX(SampleList[Experiment ID],ROW()-1))</f>
        <v>Not Requested</v>
      </c>
      <c r="B750">
        <f>Sampling!E748</f>
        <v>0</v>
      </c>
      <c r="E750" t="str">
        <f>ICPList[[#This Row],[Experiment ID]]&amp;"_Day"&amp;ICPList[[#This Row],[Duration (Days)]]&amp;"_"&amp;ICPList[[#This Row],[Dilution]]&amp;"x"</f>
        <v>Not Requested_Day0_x</v>
      </c>
      <c r="F750">
        <f>NMRResults[[#This Row],['#]]</f>
        <v>7</v>
      </c>
      <c r="G750" s="1">
        <f>NMRResults[[#This Row],[Date Run]]</f>
        <v>0</v>
      </c>
    </row>
    <row r="751" spans="1:7" hidden="1" x14ac:dyDescent="0.25">
      <c r="A751" t="str" cm="1">
        <f t="array" ref="A751">IF(ISBLANK(INDEX(SampleList[ICP],ROW()-1)),"Not Requested",INDEX(SampleList[Experiment ID],ROW()-1))</f>
        <v>Not Requested</v>
      </c>
      <c r="B751">
        <f>Sampling!E749</f>
        <v>0</v>
      </c>
      <c r="E751" t="str">
        <f>ICPList[[#This Row],[Experiment ID]]&amp;"_Day"&amp;ICPList[[#This Row],[Duration (Days)]]&amp;"_"&amp;ICPList[[#This Row],[Dilution]]&amp;"x"</f>
        <v>Not Requested_Day0_x</v>
      </c>
      <c r="F751">
        <f>NMRResults[[#This Row],['#]]</f>
        <v>8</v>
      </c>
      <c r="G751" s="1">
        <f>NMRResults[[#This Row],[Date Run]]</f>
        <v>0</v>
      </c>
    </row>
    <row r="752" spans="1:7" hidden="1" x14ac:dyDescent="0.25">
      <c r="A752" t="str" cm="1">
        <f t="array" ref="A752">IF(ISBLANK(INDEX(SampleList[ICP],ROW()-1)),"Not Requested",INDEX(SampleList[Experiment ID],ROW()-1))</f>
        <v>Not Requested</v>
      </c>
      <c r="B752">
        <f>Sampling!E750</f>
        <v>0</v>
      </c>
      <c r="E752" t="str">
        <f>ICPList[[#This Row],[Experiment ID]]&amp;"_Day"&amp;ICPList[[#This Row],[Duration (Days)]]&amp;"_"&amp;ICPList[[#This Row],[Dilution]]&amp;"x"</f>
        <v>Not Requested_Day0_x</v>
      </c>
      <c r="F752">
        <f>NMRResults[[#This Row],['#]]</f>
        <v>9</v>
      </c>
      <c r="G752" s="1">
        <f>NMRResults[[#This Row],[Date Run]]</f>
        <v>0</v>
      </c>
    </row>
    <row r="753" spans="1:7" hidden="1" x14ac:dyDescent="0.25">
      <c r="A753" t="str" cm="1">
        <f t="array" ref="A753">IF(ISBLANK(INDEX(SampleList[ICP],ROW()-1)),"Not Requested",INDEX(SampleList[Experiment ID],ROW()-1))</f>
        <v>Not Requested</v>
      </c>
      <c r="B753">
        <f>Sampling!E751</f>
        <v>0</v>
      </c>
      <c r="E753" t="str">
        <f>ICPList[[#This Row],[Experiment ID]]&amp;"_Day"&amp;ICPList[[#This Row],[Duration (Days)]]&amp;"_"&amp;ICPList[[#This Row],[Dilution]]&amp;"x"</f>
        <v>Not Requested_Day0_x</v>
      </c>
      <c r="F753">
        <f>NMRResults[[#This Row],['#]]</f>
        <v>10</v>
      </c>
      <c r="G753" s="1">
        <f>NMRResults[[#This Row],[Date Run]]</f>
        <v>0</v>
      </c>
    </row>
    <row r="754" spans="1:7" hidden="1" x14ac:dyDescent="0.25">
      <c r="A754" t="str" cm="1">
        <f t="array" ref="A754">IF(ISBLANK(INDEX(SampleList[ICP],ROW()-1)),"Not Requested",INDEX(SampleList[Experiment ID],ROW()-1))</f>
        <v>Not Requested</v>
      </c>
      <c r="B754">
        <f>Sampling!E752</f>
        <v>0</v>
      </c>
      <c r="E754" t="str">
        <f>ICPList[[#This Row],[Experiment ID]]&amp;"_Day"&amp;ICPList[[#This Row],[Duration (Days)]]&amp;"_"&amp;ICPList[[#This Row],[Dilution]]&amp;"x"</f>
        <v>Not Requested_Day0_x</v>
      </c>
      <c r="F754">
        <f>NMRResults[[#This Row],['#]]</f>
        <v>11</v>
      </c>
      <c r="G754" s="1">
        <f>NMRResults[[#This Row],[Date Run]]</f>
        <v>0</v>
      </c>
    </row>
    <row r="755" spans="1:7" hidden="1" x14ac:dyDescent="0.25">
      <c r="A755" t="str" cm="1">
        <f t="array" ref="A755">IF(ISBLANK(INDEX(SampleList[ICP],ROW()-1)),"Not Requested",INDEX(SampleList[Experiment ID],ROW()-1))</f>
        <v>Not Requested</v>
      </c>
      <c r="B755">
        <f>Sampling!E753</f>
        <v>0</v>
      </c>
      <c r="E755" t="str">
        <f>ICPList[[#This Row],[Experiment ID]]&amp;"_Day"&amp;ICPList[[#This Row],[Duration (Days)]]&amp;"_"&amp;ICPList[[#This Row],[Dilution]]&amp;"x"</f>
        <v>Not Requested_Day0_x</v>
      </c>
      <c r="F755">
        <f>NMRResults[[#This Row],['#]]</f>
        <v>12</v>
      </c>
      <c r="G755" s="1">
        <f>NMRResults[[#This Row],[Date Run]]</f>
        <v>0</v>
      </c>
    </row>
    <row r="756" spans="1:7" hidden="1" x14ac:dyDescent="0.25">
      <c r="A756" t="str" cm="1">
        <f t="array" ref="A756">IF(ISBLANK(INDEX(SampleList[ICP],ROW()-1)),"Not Requested",INDEX(SampleList[Experiment ID],ROW()-1))</f>
        <v>Not Requested</v>
      </c>
      <c r="B756">
        <f>Sampling!E754</f>
        <v>0</v>
      </c>
      <c r="E756" t="str">
        <f>ICPList[[#This Row],[Experiment ID]]&amp;"_Day"&amp;ICPList[[#This Row],[Duration (Days)]]&amp;"_"&amp;ICPList[[#This Row],[Dilution]]&amp;"x"</f>
        <v>Not Requested_Day0_x</v>
      </c>
      <c r="F756">
        <f>NMRResults[[#This Row],['#]]</f>
        <v>0</v>
      </c>
      <c r="G756" s="1">
        <f>NMRResults[[#This Row],[Date Run]]</f>
        <v>0</v>
      </c>
    </row>
    <row r="757" spans="1:7" hidden="1" x14ac:dyDescent="0.25">
      <c r="A757" t="str" cm="1">
        <f t="array" ref="A757">IF(ISBLANK(INDEX(SampleList[ICP],ROW()-1)),"Not Requested",INDEX(SampleList[Experiment ID],ROW()-1))</f>
        <v>Not Requested</v>
      </c>
      <c r="B757">
        <f>Sampling!E755</f>
        <v>0</v>
      </c>
      <c r="E757" t="str">
        <f>ICPList[[#This Row],[Experiment ID]]&amp;"_Day"&amp;ICPList[[#This Row],[Duration (Days)]]&amp;"_"&amp;ICPList[[#This Row],[Dilution]]&amp;"x"</f>
        <v>Not Requested_Day0_x</v>
      </c>
      <c r="F757">
        <f>NMRResults[[#This Row],['#]]</f>
        <v>0</v>
      </c>
      <c r="G757" s="1">
        <f>NMRResults[[#This Row],[Date Run]]</f>
        <v>0</v>
      </c>
    </row>
    <row r="758" spans="1:7" hidden="1" x14ac:dyDescent="0.25">
      <c r="A758" t="str" cm="1">
        <f t="array" ref="A758">IF(ISBLANK(INDEX(SampleList[ICP],ROW()-1)),"Not Requested",INDEX(SampleList[Experiment ID],ROW()-1))</f>
        <v>Not Requested</v>
      </c>
      <c r="B758">
        <f>Sampling!E756</f>
        <v>0</v>
      </c>
      <c r="E758" t="str">
        <f>ICPList[[#This Row],[Experiment ID]]&amp;"_Day"&amp;ICPList[[#This Row],[Duration (Days)]]&amp;"_"&amp;ICPList[[#This Row],[Dilution]]&amp;"x"</f>
        <v>Not Requested_Day0_x</v>
      </c>
      <c r="F758">
        <f>NMRResults[[#This Row],['#]]</f>
        <v>0</v>
      </c>
      <c r="G758" s="1">
        <f>NMRResults[[#This Row],[Date Run]]</f>
        <v>0</v>
      </c>
    </row>
    <row r="759" spans="1:7" hidden="1" x14ac:dyDescent="0.25">
      <c r="A759" t="str" cm="1">
        <f t="array" ref="A759">IF(ISBLANK(INDEX(SampleList[ICP],ROW()-1)),"Not Requested",INDEX(SampleList[Experiment ID],ROW()-1))</f>
        <v>Not Requested</v>
      </c>
      <c r="B759">
        <f>Sampling!E757</f>
        <v>0</v>
      </c>
      <c r="E759" t="str">
        <f>ICPList[[#This Row],[Experiment ID]]&amp;"_Day"&amp;ICPList[[#This Row],[Duration (Days)]]&amp;"_"&amp;ICPList[[#This Row],[Dilution]]&amp;"x"</f>
        <v>Not Requested_Day0_x</v>
      </c>
      <c r="F759">
        <f>NMRResults[[#This Row],['#]]</f>
        <v>0</v>
      </c>
      <c r="G759" s="1">
        <f>NMRResults[[#This Row],[Date Run]]</f>
        <v>0</v>
      </c>
    </row>
    <row r="760" spans="1:7" hidden="1" x14ac:dyDescent="0.25">
      <c r="A760" t="str" cm="1">
        <f t="array" ref="A760">IF(ISBLANK(INDEX(SampleList[ICP],ROW()-1)),"Not Requested",INDEX(SampleList[Experiment ID],ROW()-1))</f>
        <v>Not Requested</v>
      </c>
      <c r="B760">
        <f>Sampling!E758</f>
        <v>0</v>
      </c>
      <c r="E760" t="str">
        <f>ICPList[[#This Row],[Experiment ID]]&amp;"_Day"&amp;ICPList[[#This Row],[Duration (Days)]]&amp;"_"&amp;ICPList[[#This Row],[Dilution]]&amp;"x"</f>
        <v>Not Requested_Day0_x</v>
      </c>
      <c r="F760">
        <f>NMRResults[[#This Row],['#]]</f>
        <v>0</v>
      </c>
      <c r="G760" s="1">
        <f>NMRResults[[#This Row],[Date Run]]</f>
        <v>0</v>
      </c>
    </row>
    <row r="761" spans="1:7" hidden="1" x14ac:dyDescent="0.25">
      <c r="A761" t="str" cm="1">
        <f t="array" ref="A761">IF(ISBLANK(INDEX(SampleList[ICP],ROW()-1)),"Not Requested",INDEX(SampleList[Experiment ID],ROW()-1))</f>
        <v>Not Requested</v>
      </c>
      <c r="B761">
        <f>Sampling!E759</f>
        <v>0</v>
      </c>
      <c r="E761" t="str">
        <f>ICPList[[#This Row],[Experiment ID]]&amp;"_Day"&amp;ICPList[[#This Row],[Duration (Days)]]&amp;"_"&amp;ICPList[[#This Row],[Dilution]]&amp;"x"</f>
        <v>Not Requested_Day0_x</v>
      </c>
      <c r="F761">
        <f>NMRResults[[#This Row],['#]]</f>
        <v>0</v>
      </c>
      <c r="G761" s="1">
        <f>NMRResults[[#This Row],[Date Run]]</f>
        <v>0</v>
      </c>
    </row>
    <row r="762" spans="1:7" hidden="1" x14ac:dyDescent="0.25">
      <c r="A762" t="str" cm="1">
        <f t="array" ref="A762">IF(ISBLANK(INDEX(SampleList[ICP],ROW()-1)),"Not Requested",INDEX(SampleList[Experiment ID],ROW()-1))</f>
        <v>Not Requested</v>
      </c>
      <c r="B762">
        <f>Sampling!E760</f>
        <v>0</v>
      </c>
      <c r="E762" t="str">
        <f>ICPList[[#This Row],[Experiment ID]]&amp;"_Day"&amp;ICPList[[#This Row],[Duration (Days)]]&amp;"_"&amp;ICPList[[#This Row],[Dilution]]&amp;"x"</f>
        <v>Not Requested_Day0_x</v>
      </c>
      <c r="F762">
        <f>NMRResults[[#This Row],['#]]</f>
        <v>0</v>
      </c>
      <c r="G762" s="1">
        <f>NMRResults[[#This Row],[Date Run]]</f>
        <v>0</v>
      </c>
    </row>
    <row r="763" spans="1:7" hidden="1" x14ac:dyDescent="0.25">
      <c r="A763" t="str" cm="1">
        <f t="array" ref="A763">IF(ISBLANK(INDEX(SampleList[ICP],ROW()-1)),"Not Requested",INDEX(SampleList[Experiment ID],ROW()-1))</f>
        <v>Not Requested</v>
      </c>
      <c r="B763">
        <f>Sampling!E761</f>
        <v>0</v>
      </c>
      <c r="E763" t="str">
        <f>ICPList[[#This Row],[Experiment ID]]&amp;"_Day"&amp;ICPList[[#This Row],[Duration (Days)]]&amp;"_"&amp;ICPList[[#This Row],[Dilution]]&amp;"x"</f>
        <v>Not Requested_Day0_x</v>
      </c>
      <c r="F763">
        <f>NMRResults[[#This Row],['#]]</f>
        <v>0</v>
      </c>
      <c r="G763" s="1">
        <f>NMRResults[[#This Row],[Date Run]]</f>
        <v>0</v>
      </c>
    </row>
    <row r="764" spans="1:7" hidden="1" x14ac:dyDescent="0.25">
      <c r="A764" t="str" cm="1">
        <f t="array" ref="A764">IF(ISBLANK(INDEX(SampleList[ICP],ROW()-1)),"Not Requested",INDEX(SampleList[Experiment ID],ROW()-1))</f>
        <v>Not Requested</v>
      </c>
      <c r="B764">
        <f>Sampling!E762</f>
        <v>0</v>
      </c>
      <c r="E764" t="str">
        <f>ICPList[[#This Row],[Experiment ID]]&amp;"_Day"&amp;ICPList[[#This Row],[Duration (Days)]]&amp;"_"&amp;ICPList[[#This Row],[Dilution]]&amp;"x"</f>
        <v>Not Requested_Day0_x</v>
      </c>
      <c r="F764">
        <f>NMRResults[[#This Row],['#]]</f>
        <v>0</v>
      </c>
      <c r="G764" s="1">
        <f>NMRResults[[#This Row],[Date Run]]</f>
        <v>0</v>
      </c>
    </row>
    <row r="765" spans="1:7" hidden="1" x14ac:dyDescent="0.25">
      <c r="A765" t="str" cm="1">
        <f t="array" ref="A765">IF(ISBLANK(INDEX(SampleList[ICP],ROW()-1)),"Not Requested",INDEX(SampleList[Experiment ID],ROW()-1))</f>
        <v>Not Requested</v>
      </c>
      <c r="B765">
        <f>Sampling!E763</f>
        <v>0</v>
      </c>
      <c r="E765" t="str">
        <f>ICPList[[#This Row],[Experiment ID]]&amp;"_Day"&amp;ICPList[[#This Row],[Duration (Days)]]&amp;"_"&amp;ICPList[[#This Row],[Dilution]]&amp;"x"</f>
        <v>Not Requested_Day0_x</v>
      </c>
      <c r="F765">
        <f>NMRResults[[#This Row],['#]]</f>
        <v>0</v>
      </c>
      <c r="G765" s="1">
        <f>NMRResults[[#This Row],[Date Run]]</f>
        <v>0</v>
      </c>
    </row>
    <row r="766" spans="1:7" hidden="1" x14ac:dyDescent="0.25">
      <c r="A766" t="str" cm="1">
        <f t="array" ref="A766">IF(ISBLANK(INDEX(SampleList[ICP],ROW()-1)),"Not Requested",INDEX(SampleList[Experiment ID],ROW()-1))</f>
        <v>Not Requested</v>
      </c>
      <c r="B766">
        <f>Sampling!E764</f>
        <v>0</v>
      </c>
      <c r="E766" t="str">
        <f>ICPList[[#This Row],[Experiment ID]]&amp;"_Day"&amp;ICPList[[#This Row],[Duration (Days)]]&amp;"_"&amp;ICPList[[#This Row],[Dilution]]&amp;"x"</f>
        <v>Not Requested_Day0_x</v>
      </c>
      <c r="F766">
        <f>NMRResults[[#This Row],['#]]</f>
        <v>0</v>
      </c>
      <c r="G766" s="1">
        <f>NMRResults[[#This Row],[Date Run]]</f>
        <v>0</v>
      </c>
    </row>
    <row r="767" spans="1:7" hidden="1" x14ac:dyDescent="0.25">
      <c r="A767" t="str" cm="1">
        <f t="array" ref="A767">IF(ISBLANK(INDEX(SampleList[ICP],ROW()-1)),"Not Requested",INDEX(SampleList[Experiment ID],ROW()-1))</f>
        <v>Not Requested</v>
      </c>
      <c r="B767">
        <f>Sampling!E765</f>
        <v>0</v>
      </c>
      <c r="E767" t="str">
        <f>ICPList[[#This Row],[Experiment ID]]&amp;"_Day"&amp;ICPList[[#This Row],[Duration (Days)]]&amp;"_"&amp;ICPList[[#This Row],[Dilution]]&amp;"x"</f>
        <v>Not Requested_Day0_x</v>
      </c>
      <c r="F767">
        <f>NMRResults[[#This Row],['#]]</f>
        <v>0</v>
      </c>
      <c r="G767" s="1">
        <f>NMRResults[[#This Row],[Date Run]]</f>
        <v>0</v>
      </c>
    </row>
    <row r="768" spans="1:7" hidden="1" x14ac:dyDescent="0.25">
      <c r="A768" t="str" cm="1">
        <f t="array" ref="A768">IF(ISBLANK(INDEX(SampleList[ICP],ROW()-1)),"Not Requested",INDEX(SampleList[Experiment ID],ROW()-1))</f>
        <v>Not Requested</v>
      </c>
      <c r="B768">
        <f>Sampling!E766</f>
        <v>0</v>
      </c>
      <c r="E768" t="str">
        <f>ICPList[[#This Row],[Experiment ID]]&amp;"_Day"&amp;ICPList[[#This Row],[Duration (Days)]]&amp;"_"&amp;ICPList[[#This Row],[Dilution]]&amp;"x"</f>
        <v>Not Requested_Day0_x</v>
      </c>
      <c r="F768">
        <f>NMRResults[[#This Row],['#]]</f>
        <v>0</v>
      </c>
      <c r="G768" s="1">
        <f>NMRResults[[#This Row],[Date Run]]</f>
        <v>0</v>
      </c>
    </row>
    <row r="769" spans="1:7" hidden="1" x14ac:dyDescent="0.25">
      <c r="A769" t="str" cm="1">
        <f t="array" ref="A769">IF(ISBLANK(INDEX(SampleList[ICP],ROW()-1)),"Not Requested",INDEX(SampleList[Experiment ID],ROW()-1))</f>
        <v>Not Requested</v>
      </c>
      <c r="B769">
        <f>Sampling!E767</f>
        <v>0</v>
      </c>
      <c r="E769" t="str">
        <f>ICPList[[#This Row],[Experiment ID]]&amp;"_Day"&amp;ICPList[[#This Row],[Duration (Days)]]&amp;"_"&amp;ICPList[[#This Row],[Dilution]]&amp;"x"</f>
        <v>Not Requested_Day0_x</v>
      </c>
      <c r="F769">
        <f>NMRResults[[#This Row],['#]]</f>
        <v>0</v>
      </c>
      <c r="G769" s="1">
        <f>NMRResults[[#This Row],[Date Run]]</f>
        <v>0</v>
      </c>
    </row>
    <row r="770" spans="1:7" hidden="1" x14ac:dyDescent="0.25">
      <c r="A770" t="str" cm="1">
        <f t="array" ref="A770">IF(ISBLANK(INDEX(SampleList[ICP],ROW()-1)),"Not Requested",INDEX(SampleList[Experiment ID],ROW()-1))</f>
        <v>Not Requested</v>
      </c>
      <c r="B770">
        <f>Sampling!E768</f>
        <v>0</v>
      </c>
      <c r="E770" t="str">
        <f>ICPList[[#This Row],[Experiment ID]]&amp;"_Day"&amp;ICPList[[#This Row],[Duration (Days)]]&amp;"_"&amp;ICPList[[#This Row],[Dilution]]&amp;"x"</f>
        <v>Not Requested_Day0_x</v>
      </c>
      <c r="F770">
        <f>NMRResults[[#This Row],['#]]</f>
        <v>0</v>
      </c>
      <c r="G770" s="1">
        <f>NMRResults[[#This Row],[Date Run]]</f>
        <v>0</v>
      </c>
    </row>
    <row r="771" spans="1:7" hidden="1" x14ac:dyDescent="0.25">
      <c r="A771" t="str" cm="1">
        <f t="array" ref="A771">IF(ISBLANK(INDEX(SampleList[ICP],ROW()-1)),"Not Requested",INDEX(SampleList[Experiment ID],ROW()-1))</f>
        <v>Not Requested</v>
      </c>
      <c r="B771">
        <f>Sampling!E769</f>
        <v>0</v>
      </c>
      <c r="E771" t="str">
        <f>ICPList[[#This Row],[Experiment ID]]&amp;"_Day"&amp;ICPList[[#This Row],[Duration (Days)]]&amp;"_"&amp;ICPList[[#This Row],[Dilution]]&amp;"x"</f>
        <v>Not Requested_Day0_x</v>
      </c>
      <c r="F771">
        <f>NMRResults[[#This Row],['#]]</f>
        <v>0</v>
      </c>
      <c r="G771" s="1">
        <f>NMRResults[[#This Row],[Date Run]]</f>
        <v>0</v>
      </c>
    </row>
    <row r="772" spans="1:7" hidden="1" x14ac:dyDescent="0.25">
      <c r="A772" t="str" cm="1">
        <f t="array" ref="A772">IF(ISBLANK(INDEX(SampleList[ICP],ROW()-1)),"Not Requested",INDEX(SampleList[Experiment ID],ROW()-1))</f>
        <v>Not Requested</v>
      </c>
      <c r="B772">
        <f>Sampling!E770</f>
        <v>0</v>
      </c>
      <c r="E772" t="str">
        <f>ICPList[[#This Row],[Experiment ID]]&amp;"_Day"&amp;ICPList[[#This Row],[Duration (Days)]]&amp;"_"&amp;ICPList[[#This Row],[Dilution]]&amp;"x"</f>
        <v>Not Requested_Day0_x</v>
      </c>
      <c r="F772">
        <f>NMRResults[[#This Row],['#]]</f>
        <v>0</v>
      </c>
      <c r="G772" s="1">
        <f>NMRResults[[#This Row],[Date Run]]</f>
        <v>0</v>
      </c>
    </row>
    <row r="773" spans="1:7" hidden="1" x14ac:dyDescent="0.25">
      <c r="A773" t="str" cm="1">
        <f t="array" ref="A773">IF(ISBLANK(INDEX(SampleList[ICP],ROW()-1)),"Not Requested",INDEX(SampleList[Experiment ID],ROW()-1))</f>
        <v>Not Requested</v>
      </c>
      <c r="B773">
        <f>Sampling!E771</f>
        <v>0</v>
      </c>
      <c r="E773" t="str">
        <f>ICPList[[#This Row],[Experiment ID]]&amp;"_Day"&amp;ICPList[[#This Row],[Duration (Days)]]&amp;"_"&amp;ICPList[[#This Row],[Dilution]]&amp;"x"</f>
        <v>Not Requested_Day0_x</v>
      </c>
      <c r="F773">
        <f>NMRResults[[#This Row],['#]]</f>
        <v>0</v>
      </c>
      <c r="G773" s="1">
        <f>NMRResults[[#This Row],[Date Run]]</f>
        <v>0</v>
      </c>
    </row>
    <row r="774" spans="1:7" hidden="1" x14ac:dyDescent="0.25">
      <c r="A774" t="str" cm="1">
        <f t="array" ref="A774">IF(ISBLANK(INDEX(SampleList[ICP],ROW()-1)),"Not Requested",INDEX(SampleList[Experiment ID],ROW()-1))</f>
        <v>Not Requested</v>
      </c>
      <c r="B774">
        <f>Sampling!E772</f>
        <v>0</v>
      </c>
      <c r="E774" t="str">
        <f>ICPList[[#This Row],[Experiment ID]]&amp;"_Day"&amp;ICPList[[#This Row],[Duration (Days)]]&amp;"_"&amp;ICPList[[#This Row],[Dilution]]&amp;"x"</f>
        <v>Not Requested_Day0_x</v>
      </c>
      <c r="F774">
        <f>NMRResults[[#This Row],['#]]</f>
        <v>0</v>
      </c>
      <c r="G774" s="1">
        <f>NMRResults[[#This Row],[Date Run]]</f>
        <v>0</v>
      </c>
    </row>
    <row r="775" spans="1:7" hidden="1" x14ac:dyDescent="0.25">
      <c r="A775" t="str" cm="1">
        <f t="array" ref="A775">IF(ISBLANK(INDEX(SampleList[ICP],ROW()-1)),"Not Requested",INDEX(SampleList[Experiment ID],ROW()-1))</f>
        <v>Not Requested</v>
      </c>
      <c r="B775">
        <f>Sampling!E773</f>
        <v>0</v>
      </c>
      <c r="E775" t="str">
        <f>ICPList[[#This Row],[Experiment ID]]&amp;"_Day"&amp;ICPList[[#This Row],[Duration (Days)]]&amp;"_"&amp;ICPList[[#This Row],[Dilution]]&amp;"x"</f>
        <v>Not Requested_Day0_x</v>
      </c>
      <c r="F775">
        <f>NMRResults[[#This Row],['#]]</f>
        <v>0</v>
      </c>
      <c r="G775" s="1">
        <f>NMRResults[[#This Row],[Date Run]]</f>
        <v>0</v>
      </c>
    </row>
    <row r="776" spans="1:7" hidden="1" x14ac:dyDescent="0.25">
      <c r="A776" t="str" cm="1">
        <f t="array" ref="A776">IF(ISBLANK(INDEX(SampleList[ICP],ROW()-1)),"Not Requested",INDEX(SampleList[Experiment ID],ROW()-1))</f>
        <v>Not Requested</v>
      </c>
      <c r="B776">
        <f>Sampling!E774</f>
        <v>0</v>
      </c>
      <c r="E776" t="str">
        <f>ICPList[[#This Row],[Experiment ID]]&amp;"_Day"&amp;ICPList[[#This Row],[Duration (Days)]]&amp;"_"&amp;ICPList[[#This Row],[Dilution]]&amp;"x"</f>
        <v>Not Requested_Day0_x</v>
      </c>
      <c r="F776">
        <f>NMRResults[[#This Row],['#]]</f>
        <v>0</v>
      </c>
      <c r="G776" s="1">
        <f>NMRResults[[#This Row],[Date Run]]</f>
        <v>0</v>
      </c>
    </row>
    <row r="777" spans="1:7" hidden="1" x14ac:dyDescent="0.25">
      <c r="A777" t="str" cm="1">
        <f t="array" ref="A777">IF(ISBLANK(INDEX(SampleList[ICP],ROW()-1)),"Not Requested",INDEX(SampleList[Experiment ID],ROW()-1))</f>
        <v>Not Requested</v>
      </c>
      <c r="B777">
        <f>Sampling!E775</f>
        <v>0</v>
      </c>
      <c r="E777" t="str">
        <f>ICPList[[#This Row],[Experiment ID]]&amp;"_Day"&amp;ICPList[[#This Row],[Duration (Days)]]&amp;"_"&amp;ICPList[[#This Row],[Dilution]]&amp;"x"</f>
        <v>Not Requested_Day0_x</v>
      </c>
      <c r="F777">
        <f>NMRResults[[#This Row],['#]]</f>
        <v>0</v>
      </c>
      <c r="G777" s="1">
        <f>NMRResults[[#This Row],[Date Run]]</f>
        <v>0</v>
      </c>
    </row>
    <row r="778" spans="1:7" hidden="1" x14ac:dyDescent="0.25">
      <c r="A778" t="str" cm="1">
        <f t="array" ref="A778">IF(ISBLANK(INDEX(SampleList[ICP],ROW()-1)),"Not Requested",INDEX(SampleList[Experiment ID],ROW()-1))</f>
        <v>Not Requested</v>
      </c>
      <c r="B778">
        <f>Sampling!E776</f>
        <v>0</v>
      </c>
      <c r="E778" t="str">
        <f>ICPList[[#This Row],[Experiment ID]]&amp;"_Day"&amp;ICPList[[#This Row],[Duration (Days)]]&amp;"_"&amp;ICPList[[#This Row],[Dilution]]&amp;"x"</f>
        <v>Not Requested_Day0_x</v>
      </c>
      <c r="F778">
        <f>NMRResults[[#This Row],['#]]</f>
        <v>0</v>
      </c>
      <c r="G778" s="1">
        <f>NMRResults[[#This Row],[Date Run]]</f>
        <v>0</v>
      </c>
    </row>
    <row r="779" spans="1:7" hidden="1" x14ac:dyDescent="0.25">
      <c r="A779" t="str" cm="1">
        <f t="array" ref="A779">IF(ISBLANK(INDEX(SampleList[ICP],ROW()-1)),"Not Requested",INDEX(SampleList[Experiment ID],ROW()-1))</f>
        <v>Not Requested</v>
      </c>
      <c r="B779">
        <f>Sampling!E777</f>
        <v>0</v>
      </c>
      <c r="E779" t="str">
        <f>ICPList[[#This Row],[Experiment ID]]&amp;"_Day"&amp;ICPList[[#This Row],[Duration (Days)]]&amp;"_"&amp;ICPList[[#This Row],[Dilution]]&amp;"x"</f>
        <v>Not Requested_Day0_x</v>
      </c>
      <c r="F779">
        <f>NMRResults[[#This Row],['#]]</f>
        <v>0</v>
      </c>
      <c r="G779" s="1">
        <f>NMRResults[[#This Row],[Date Run]]</f>
        <v>0</v>
      </c>
    </row>
    <row r="780" spans="1:7" hidden="1" x14ac:dyDescent="0.25">
      <c r="A780" t="str" cm="1">
        <f t="array" ref="A780">IF(ISBLANK(INDEX(SampleList[ICP],ROW()-1)),"Not Requested",INDEX(SampleList[Experiment ID],ROW()-1))</f>
        <v>Not Requested</v>
      </c>
      <c r="B780">
        <f>Sampling!E778</f>
        <v>0</v>
      </c>
      <c r="E780" t="str">
        <f>ICPList[[#This Row],[Experiment ID]]&amp;"_Day"&amp;ICPList[[#This Row],[Duration (Days)]]&amp;"_"&amp;ICPList[[#This Row],[Dilution]]&amp;"x"</f>
        <v>Not Requested_Day0_x</v>
      </c>
      <c r="F780">
        <f>NMRResults[[#This Row],['#]]</f>
        <v>0</v>
      </c>
      <c r="G780" s="1">
        <f>NMRResults[[#This Row],[Date Run]]</f>
        <v>0</v>
      </c>
    </row>
    <row r="781" spans="1:7" hidden="1" x14ac:dyDescent="0.25">
      <c r="A781" t="str" cm="1">
        <f t="array" ref="A781">IF(ISBLANK(INDEX(SampleList[ICP],ROW()-1)),"Not Requested",INDEX(SampleList[Experiment ID],ROW()-1))</f>
        <v>Not Requested</v>
      </c>
      <c r="B781">
        <f>Sampling!E779</f>
        <v>0</v>
      </c>
      <c r="E781" t="str">
        <f>ICPList[[#This Row],[Experiment ID]]&amp;"_Day"&amp;ICPList[[#This Row],[Duration (Days)]]&amp;"_"&amp;ICPList[[#This Row],[Dilution]]&amp;"x"</f>
        <v>Not Requested_Day0_x</v>
      </c>
      <c r="F781">
        <f>NMRResults[[#This Row],['#]]</f>
        <v>0</v>
      </c>
      <c r="G781" s="1">
        <f>NMRResults[[#This Row],[Date Run]]</f>
        <v>0</v>
      </c>
    </row>
    <row r="782" spans="1:7" hidden="1" x14ac:dyDescent="0.25">
      <c r="A782" t="str" cm="1">
        <f t="array" ref="A782">IF(ISBLANK(INDEX(SampleList[ICP],ROW()-1)),"Not Requested",INDEX(SampleList[Experiment ID],ROW()-1))</f>
        <v>Not Requested</v>
      </c>
      <c r="B782">
        <f>Sampling!E780</f>
        <v>0</v>
      </c>
      <c r="E782" t="str">
        <f>ICPList[[#This Row],[Experiment ID]]&amp;"_Day"&amp;ICPList[[#This Row],[Duration (Days)]]&amp;"_"&amp;ICPList[[#This Row],[Dilution]]&amp;"x"</f>
        <v>Not Requested_Day0_x</v>
      </c>
      <c r="F782">
        <f>NMRResults[[#This Row],['#]]</f>
        <v>0</v>
      </c>
      <c r="G782" s="1">
        <f>NMRResults[[#This Row],[Date Run]]</f>
        <v>0</v>
      </c>
    </row>
    <row r="783" spans="1:7" hidden="1" x14ac:dyDescent="0.25">
      <c r="A783" t="str" cm="1">
        <f t="array" ref="A783">IF(ISBLANK(INDEX(SampleList[ICP],ROW()-1)),"Not Requested",INDEX(SampleList[Experiment ID],ROW()-1))</f>
        <v>Not Requested</v>
      </c>
      <c r="B783">
        <f>Sampling!E781</f>
        <v>0</v>
      </c>
      <c r="E783" t="str">
        <f>ICPList[[#This Row],[Experiment ID]]&amp;"_Day"&amp;ICPList[[#This Row],[Duration (Days)]]&amp;"_"&amp;ICPList[[#This Row],[Dilution]]&amp;"x"</f>
        <v>Not Requested_Day0_x</v>
      </c>
      <c r="F783">
        <f>NMRResults[[#This Row],['#]]</f>
        <v>0</v>
      </c>
      <c r="G783" s="1">
        <f>NMRResults[[#This Row],[Date Run]]</f>
        <v>0</v>
      </c>
    </row>
    <row r="784" spans="1:7" hidden="1" x14ac:dyDescent="0.25">
      <c r="A784" t="str" cm="1">
        <f t="array" ref="A784">IF(ISBLANK(INDEX(SampleList[ICP],ROW()-1)),"Not Requested",INDEX(SampleList[Experiment ID],ROW()-1))</f>
        <v>Not Requested</v>
      </c>
      <c r="B784">
        <f>Sampling!E782</f>
        <v>0</v>
      </c>
      <c r="E784" t="str">
        <f>ICPList[[#This Row],[Experiment ID]]&amp;"_Day"&amp;ICPList[[#This Row],[Duration (Days)]]&amp;"_"&amp;ICPList[[#This Row],[Dilution]]&amp;"x"</f>
        <v>Not Requested_Day0_x</v>
      </c>
      <c r="F784">
        <f>NMRResults[[#This Row],['#]]</f>
        <v>0</v>
      </c>
      <c r="G784" s="1">
        <f>NMRResults[[#This Row],[Date Run]]</f>
        <v>0</v>
      </c>
    </row>
    <row r="785" spans="1:7" hidden="1" x14ac:dyDescent="0.25">
      <c r="A785" t="str" cm="1">
        <f t="array" ref="A785">IF(ISBLANK(INDEX(SampleList[ICP],ROW()-1)),"Not Requested",INDEX(SampleList[Experiment ID],ROW()-1))</f>
        <v>Not Requested</v>
      </c>
      <c r="B785">
        <f>Sampling!E783</f>
        <v>0</v>
      </c>
      <c r="E785" t="str">
        <f>ICPList[[#This Row],[Experiment ID]]&amp;"_Day"&amp;ICPList[[#This Row],[Duration (Days)]]&amp;"_"&amp;ICPList[[#This Row],[Dilution]]&amp;"x"</f>
        <v>Not Requested_Day0_x</v>
      </c>
      <c r="F785">
        <f>NMRResults[[#This Row],['#]]</f>
        <v>0</v>
      </c>
      <c r="G785" s="1">
        <f>NMRResults[[#This Row],[Date Run]]</f>
        <v>0</v>
      </c>
    </row>
    <row r="786" spans="1:7" hidden="1" x14ac:dyDescent="0.25">
      <c r="A786" t="str" cm="1">
        <f t="array" ref="A786">IF(ISBLANK(INDEX(SampleList[ICP],ROW()-1)),"Not Requested",INDEX(SampleList[Experiment ID],ROW()-1))</f>
        <v>Not Requested</v>
      </c>
      <c r="B786">
        <f>Sampling!E784</f>
        <v>0</v>
      </c>
      <c r="E786" t="str">
        <f>ICPList[[#This Row],[Experiment ID]]&amp;"_Day"&amp;ICPList[[#This Row],[Duration (Days)]]&amp;"_"&amp;ICPList[[#This Row],[Dilution]]&amp;"x"</f>
        <v>Not Requested_Day0_x</v>
      </c>
      <c r="F786">
        <f>NMRResults[[#This Row],['#]]</f>
        <v>0</v>
      </c>
      <c r="G786" s="1">
        <f>NMRResults[[#This Row],[Date Run]]</f>
        <v>0</v>
      </c>
    </row>
    <row r="787" spans="1:7" hidden="1" x14ac:dyDescent="0.25">
      <c r="A787" t="str" cm="1">
        <f t="array" ref="A787">IF(ISBLANK(INDEX(SampleList[ICP],ROW()-1)),"Not Requested",INDEX(SampleList[Experiment ID],ROW()-1))</f>
        <v>Not Requested</v>
      </c>
      <c r="B787">
        <f>Sampling!E785</f>
        <v>0</v>
      </c>
      <c r="E787" t="str">
        <f>ICPList[[#This Row],[Experiment ID]]&amp;"_Day"&amp;ICPList[[#This Row],[Duration (Days)]]&amp;"_"&amp;ICPList[[#This Row],[Dilution]]&amp;"x"</f>
        <v>Not Requested_Day0_x</v>
      </c>
      <c r="F787">
        <f>NMRResults[[#This Row],['#]]</f>
        <v>0</v>
      </c>
      <c r="G787" s="1">
        <f>NMRResults[[#This Row],[Date Run]]</f>
        <v>0</v>
      </c>
    </row>
    <row r="788" spans="1:7" hidden="1" x14ac:dyDescent="0.25">
      <c r="A788" t="str" cm="1">
        <f t="array" ref="A788">IF(ISBLANK(INDEX(SampleList[ICP],ROW()-1)),"Not Requested",INDEX(SampleList[Experiment ID],ROW()-1))</f>
        <v>Not Requested</v>
      </c>
      <c r="B788">
        <f>Sampling!E786</f>
        <v>0</v>
      </c>
      <c r="E788" t="str">
        <f>ICPList[[#This Row],[Experiment ID]]&amp;"_Day"&amp;ICPList[[#This Row],[Duration (Days)]]&amp;"_"&amp;ICPList[[#This Row],[Dilution]]&amp;"x"</f>
        <v>Not Requested_Day0_x</v>
      </c>
      <c r="F788">
        <f>NMRResults[[#This Row],['#]]</f>
        <v>0</v>
      </c>
      <c r="G788" s="1">
        <f>NMRResults[[#This Row],[Date Run]]</f>
        <v>0</v>
      </c>
    </row>
    <row r="789" spans="1:7" hidden="1" x14ac:dyDescent="0.25">
      <c r="A789" t="str" cm="1">
        <f t="array" ref="A789">IF(ISBLANK(INDEX(SampleList[ICP],ROW()-1)),"Not Requested",INDEX(SampleList[Experiment ID],ROW()-1))</f>
        <v>Not Requested</v>
      </c>
      <c r="B789">
        <f>Sampling!E787</f>
        <v>0</v>
      </c>
      <c r="E789" t="str">
        <f>ICPList[[#This Row],[Experiment ID]]&amp;"_Day"&amp;ICPList[[#This Row],[Duration (Days)]]&amp;"_"&amp;ICPList[[#This Row],[Dilution]]&amp;"x"</f>
        <v>Not Requested_Day0_x</v>
      </c>
      <c r="F789">
        <f>NMRResults[[#This Row],['#]]</f>
        <v>0</v>
      </c>
      <c r="G789" s="1">
        <f>NMRResults[[#This Row],[Date Run]]</f>
        <v>0</v>
      </c>
    </row>
    <row r="790" spans="1:7" hidden="1" x14ac:dyDescent="0.25">
      <c r="A790" t="str" cm="1">
        <f t="array" ref="A790">IF(ISBLANK(INDEX(SampleList[ICP],ROW()-1)),"Not Requested",INDEX(SampleList[Experiment ID],ROW()-1))</f>
        <v>Not Requested</v>
      </c>
      <c r="B790">
        <f>Sampling!E788</f>
        <v>0</v>
      </c>
      <c r="E790" t="str">
        <f>ICPList[[#This Row],[Experiment ID]]&amp;"_Day"&amp;ICPList[[#This Row],[Duration (Days)]]&amp;"_"&amp;ICPList[[#This Row],[Dilution]]&amp;"x"</f>
        <v>Not Requested_Day0_x</v>
      </c>
      <c r="F790">
        <f>NMRResults[[#This Row],['#]]</f>
        <v>0</v>
      </c>
      <c r="G790" s="1">
        <f>NMRResults[[#This Row],[Date Run]]</f>
        <v>0</v>
      </c>
    </row>
    <row r="791" spans="1:7" hidden="1" x14ac:dyDescent="0.25">
      <c r="A791" t="str" cm="1">
        <f t="array" ref="A791">IF(ISBLANK(INDEX(SampleList[ICP],ROW()-1)),"Not Requested",INDEX(SampleList[Experiment ID],ROW()-1))</f>
        <v>Not Requested</v>
      </c>
      <c r="B791">
        <f>Sampling!E789</f>
        <v>0</v>
      </c>
      <c r="E791" t="str">
        <f>ICPList[[#This Row],[Experiment ID]]&amp;"_Day"&amp;ICPList[[#This Row],[Duration (Days)]]&amp;"_"&amp;ICPList[[#This Row],[Dilution]]&amp;"x"</f>
        <v>Not Requested_Day0_x</v>
      </c>
      <c r="F791">
        <f>NMRResults[[#This Row],['#]]</f>
        <v>0</v>
      </c>
      <c r="G791" s="1">
        <f>NMRResults[[#This Row],[Date Run]]</f>
        <v>0</v>
      </c>
    </row>
    <row r="792" spans="1:7" hidden="1" x14ac:dyDescent="0.25">
      <c r="A792" t="str" cm="1">
        <f t="array" ref="A792">IF(ISBLANK(INDEX(SampleList[ICP],ROW()-1)),"Not Requested",INDEX(SampleList[Experiment ID],ROW()-1))</f>
        <v>Not Requested</v>
      </c>
      <c r="B792">
        <f>Sampling!E790</f>
        <v>0</v>
      </c>
      <c r="E792" t="str">
        <f>ICPList[[#This Row],[Experiment ID]]&amp;"_Day"&amp;ICPList[[#This Row],[Duration (Days)]]&amp;"_"&amp;ICPList[[#This Row],[Dilution]]&amp;"x"</f>
        <v>Not Requested_Day0_x</v>
      </c>
      <c r="F792">
        <f>NMRResults[[#This Row],['#]]</f>
        <v>0</v>
      </c>
      <c r="G792" s="1">
        <f>NMRResults[[#This Row],[Date Run]]</f>
        <v>0</v>
      </c>
    </row>
    <row r="793" spans="1:7" hidden="1" x14ac:dyDescent="0.25">
      <c r="A793" t="str" cm="1">
        <f t="array" ref="A793">IF(ISBLANK(INDEX(SampleList[ICP],ROW()-1)),"Not Requested",INDEX(SampleList[Experiment ID],ROW()-1))</f>
        <v>Not Requested</v>
      </c>
      <c r="B793">
        <f>Sampling!E791</f>
        <v>0</v>
      </c>
      <c r="E793" t="str">
        <f>ICPList[[#This Row],[Experiment ID]]&amp;"_Day"&amp;ICPList[[#This Row],[Duration (Days)]]&amp;"_"&amp;ICPList[[#This Row],[Dilution]]&amp;"x"</f>
        <v>Not Requested_Day0_x</v>
      </c>
      <c r="F793">
        <f>NMRResults[[#This Row],['#]]</f>
        <v>0</v>
      </c>
      <c r="G793" s="1">
        <f>NMRResults[[#This Row],[Date Run]]</f>
        <v>0</v>
      </c>
    </row>
    <row r="794" spans="1:7" hidden="1" x14ac:dyDescent="0.25">
      <c r="A794" t="str" cm="1">
        <f t="array" ref="A794">IF(ISBLANK(INDEX(SampleList[ICP],ROW()-1)),"Not Requested",INDEX(SampleList[Experiment ID],ROW()-1))</f>
        <v>Not Requested</v>
      </c>
      <c r="B794">
        <f>Sampling!E792</f>
        <v>0</v>
      </c>
      <c r="E794" t="str">
        <f>ICPList[[#This Row],[Experiment ID]]&amp;"_Day"&amp;ICPList[[#This Row],[Duration (Days)]]&amp;"_"&amp;ICPList[[#This Row],[Dilution]]&amp;"x"</f>
        <v>Not Requested_Day0_x</v>
      </c>
      <c r="F794">
        <f>NMRResults[[#This Row],['#]]</f>
        <v>0</v>
      </c>
      <c r="G794" s="1">
        <f>NMRResults[[#This Row],[Date Run]]</f>
        <v>0</v>
      </c>
    </row>
    <row r="795" spans="1:7" hidden="1" x14ac:dyDescent="0.25">
      <c r="A795" t="str" cm="1">
        <f t="array" ref="A795">IF(ISBLANK(INDEX(SampleList[ICP],ROW()-1)),"Not Requested",INDEX(SampleList[Experiment ID],ROW()-1))</f>
        <v>Not Requested</v>
      </c>
      <c r="B795">
        <f>Sampling!E793</f>
        <v>0</v>
      </c>
      <c r="E795" t="str">
        <f>ICPList[[#This Row],[Experiment ID]]&amp;"_Day"&amp;ICPList[[#This Row],[Duration (Days)]]&amp;"_"&amp;ICPList[[#This Row],[Dilution]]&amp;"x"</f>
        <v>Not Requested_Day0_x</v>
      </c>
      <c r="F795">
        <f>NMRResults[[#This Row],['#]]</f>
        <v>0</v>
      </c>
      <c r="G795" s="1">
        <f>NMRResults[[#This Row],[Date Run]]</f>
        <v>0</v>
      </c>
    </row>
    <row r="796" spans="1:7" hidden="1" x14ac:dyDescent="0.25">
      <c r="A796" t="str" cm="1">
        <f t="array" ref="A796">IF(ISBLANK(INDEX(SampleList[ICP],ROW()-1)),"Not Requested",INDEX(SampleList[Experiment ID],ROW()-1))</f>
        <v>Not Requested</v>
      </c>
      <c r="B796">
        <f>Sampling!E794</f>
        <v>0</v>
      </c>
      <c r="E796" t="str">
        <f>ICPList[[#This Row],[Experiment ID]]&amp;"_Day"&amp;ICPList[[#This Row],[Duration (Days)]]&amp;"_"&amp;ICPList[[#This Row],[Dilution]]&amp;"x"</f>
        <v>Not Requested_Day0_x</v>
      </c>
      <c r="F796">
        <f>NMRResults[[#This Row],['#]]</f>
        <v>0</v>
      </c>
      <c r="G796" s="1">
        <f>NMRResults[[#This Row],[Date Run]]</f>
        <v>0</v>
      </c>
    </row>
    <row r="797" spans="1:7" hidden="1" x14ac:dyDescent="0.25">
      <c r="A797" t="str" cm="1">
        <f t="array" ref="A797">IF(ISBLANK(INDEX(SampleList[ICP],ROW()-1)),"Not Requested",INDEX(SampleList[Experiment ID],ROW()-1))</f>
        <v>Not Requested</v>
      </c>
      <c r="B797">
        <f>Sampling!E795</f>
        <v>0</v>
      </c>
      <c r="E797" t="str">
        <f>ICPList[[#This Row],[Experiment ID]]&amp;"_Day"&amp;ICPList[[#This Row],[Duration (Days)]]&amp;"_"&amp;ICPList[[#This Row],[Dilution]]&amp;"x"</f>
        <v>Not Requested_Day0_x</v>
      </c>
      <c r="F797">
        <f>NMRResults[[#This Row],['#]]</f>
        <v>0</v>
      </c>
      <c r="G797" s="1">
        <f>NMRResults[[#This Row],[Date Run]]</f>
        <v>0</v>
      </c>
    </row>
    <row r="798" spans="1:7" hidden="1" x14ac:dyDescent="0.25">
      <c r="A798" t="str" cm="1">
        <f t="array" ref="A798">IF(ISBLANK(INDEX(SampleList[ICP],ROW()-1)),"Not Requested",INDEX(SampleList[Experiment ID],ROW()-1))</f>
        <v>Not Requested</v>
      </c>
      <c r="B798">
        <f>Sampling!E796</f>
        <v>0</v>
      </c>
      <c r="E798" t="str">
        <f>ICPList[[#This Row],[Experiment ID]]&amp;"_Day"&amp;ICPList[[#This Row],[Duration (Days)]]&amp;"_"&amp;ICPList[[#This Row],[Dilution]]&amp;"x"</f>
        <v>Not Requested_Day0_x</v>
      </c>
      <c r="F798">
        <f>NMRResults[[#This Row],['#]]</f>
        <v>0</v>
      </c>
      <c r="G798" s="1">
        <f>NMRResults[[#This Row],[Date Run]]</f>
        <v>0</v>
      </c>
    </row>
    <row r="799" spans="1:7" hidden="1" x14ac:dyDescent="0.25">
      <c r="A799" t="str" cm="1">
        <f t="array" ref="A799">IF(ISBLANK(INDEX(SampleList[ICP],ROW()-1)),"Not Requested",INDEX(SampleList[Experiment ID],ROW()-1))</f>
        <v>Not Requested</v>
      </c>
      <c r="B799">
        <f>Sampling!E797</f>
        <v>0</v>
      </c>
      <c r="E799" t="str">
        <f>ICPList[[#This Row],[Experiment ID]]&amp;"_Day"&amp;ICPList[[#This Row],[Duration (Days)]]&amp;"_"&amp;ICPList[[#This Row],[Dilution]]&amp;"x"</f>
        <v>Not Requested_Day0_x</v>
      </c>
      <c r="F799">
        <f>NMRResults[[#This Row],['#]]</f>
        <v>0</v>
      </c>
      <c r="G799" s="1">
        <f>NMRResults[[#This Row],[Date Run]]</f>
        <v>0</v>
      </c>
    </row>
    <row r="800" spans="1:7" hidden="1" x14ac:dyDescent="0.25">
      <c r="A800" t="str" cm="1">
        <f t="array" ref="A800">IF(ISBLANK(INDEX(SampleList[ICP],ROW()-1)),"Not Requested",INDEX(SampleList[Experiment ID],ROW()-1))</f>
        <v>Not Requested</v>
      </c>
      <c r="B800">
        <f>Sampling!E798</f>
        <v>0</v>
      </c>
      <c r="E800" t="str">
        <f>ICPList[[#This Row],[Experiment ID]]&amp;"_Day"&amp;ICPList[[#This Row],[Duration (Days)]]&amp;"_"&amp;ICPList[[#This Row],[Dilution]]&amp;"x"</f>
        <v>Not Requested_Day0_x</v>
      </c>
      <c r="F800">
        <f>NMRResults[[#This Row],['#]]</f>
        <v>0</v>
      </c>
      <c r="G800" s="1">
        <f>NMRResults[[#This Row],[Date Run]]</f>
        <v>0</v>
      </c>
    </row>
    <row r="801" spans="1:7" hidden="1" x14ac:dyDescent="0.25">
      <c r="A801" t="str" cm="1">
        <f t="array" ref="A801">IF(ISBLANK(INDEX(SampleList[ICP],ROW()-1)),"Not Requested",INDEX(SampleList[Experiment ID],ROW()-1))</f>
        <v>Not Requested</v>
      </c>
      <c r="B801">
        <f>Sampling!E799</f>
        <v>0</v>
      </c>
      <c r="E801" t="str">
        <f>ICPList[[#This Row],[Experiment ID]]&amp;"_Day"&amp;ICPList[[#This Row],[Duration (Days)]]&amp;"_"&amp;ICPList[[#This Row],[Dilution]]&amp;"x"</f>
        <v>Not Requested_Day0_x</v>
      </c>
      <c r="F801">
        <f>NMRResults[[#This Row],['#]]</f>
        <v>0</v>
      </c>
      <c r="G801" s="1">
        <f>NMRResults[[#This Row],[Date Run]]</f>
        <v>0</v>
      </c>
    </row>
    <row r="802" spans="1:7" hidden="1" x14ac:dyDescent="0.25">
      <c r="A802" t="str" cm="1">
        <f t="array" ref="A802">IF(ISBLANK(INDEX(SampleList[ICP],ROW()-1)),"Not Requested",INDEX(SampleList[Experiment ID],ROW()-1))</f>
        <v>Not Requested</v>
      </c>
      <c r="B802">
        <f>Sampling!E800</f>
        <v>0</v>
      </c>
      <c r="E802" t="str">
        <f>ICPList[[#This Row],[Experiment ID]]&amp;"_Day"&amp;ICPList[[#This Row],[Duration (Days)]]&amp;"_"&amp;ICPList[[#This Row],[Dilution]]&amp;"x"</f>
        <v>Not Requested_Day0_x</v>
      </c>
      <c r="F802">
        <f>NMRResults[[#This Row],['#]]</f>
        <v>0</v>
      </c>
      <c r="G802" s="1">
        <f>NMRResults[[#This Row],[Date Run]]</f>
        <v>0</v>
      </c>
    </row>
    <row r="803" spans="1:7" hidden="1" x14ac:dyDescent="0.25">
      <c r="A803" t="str" cm="1">
        <f t="array" ref="A803">IF(ISBLANK(INDEX(SampleList[ICP],ROW()-1)),"Not Requested",INDEX(SampleList[Experiment ID],ROW()-1))</f>
        <v>Not Requested</v>
      </c>
      <c r="B803">
        <f>Sampling!E801</f>
        <v>0</v>
      </c>
      <c r="E803" t="str">
        <f>ICPList[[#This Row],[Experiment ID]]&amp;"_Day"&amp;ICPList[[#This Row],[Duration (Days)]]&amp;"_"&amp;ICPList[[#This Row],[Dilution]]&amp;"x"</f>
        <v>Not Requested_Day0_x</v>
      </c>
      <c r="F803">
        <f>NMRResults[[#This Row],['#]]</f>
        <v>0</v>
      </c>
      <c r="G803" s="1">
        <f>NMRResults[[#This Row],[Date Run]]</f>
        <v>0</v>
      </c>
    </row>
    <row r="804" spans="1:7" hidden="1" x14ac:dyDescent="0.25">
      <c r="A804" t="str" cm="1">
        <f t="array" ref="A804">IF(ISBLANK(INDEX(SampleList[ICP],ROW()-1)),"Not Requested",INDEX(SampleList[Experiment ID],ROW()-1))</f>
        <v>Not Requested</v>
      </c>
      <c r="B804">
        <f>Sampling!E802</f>
        <v>0</v>
      </c>
      <c r="E804" t="str">
        <f>ICPList[[#This Row],[Experiment ID]]&amp;"_Day"&amp;ICPList[[#This Row],[Duration (Days)]]&amp;"_"&amp;ICPList[[#This Row],[Dilution]]&amp;"x"</f>
        <v>Not Requested_Day0_x</v>
      </c>
      <c r="F804">
        <f>NMRResults[[#This Row],['#]]</f>
        <v>0</v>
      </c>
      <c r="G804" s="1">
        <f>NMRResults[[#This Row],[Date Run]]</f>
        <v>0</v>
      </c>
    </row>
    <row r="805" spans="1:7" hidden="1" x14ac:dyDescent="0.25">
      <c r="A805" t="str" cm="1">
        <f t="array" ref="A805">IF(ISBLANK(INDEX(SampleList[ICP],ROW()-1)),"Not Requested",INDEX(SampleList[Experiment ID],ROW()-1))</f>
        <v>Not Requested</v>
      </c>
      <c r="B805">
        <f>Sampling!E803</f>
        <v>0</v>
      </c>
      <c r="E805" t="str">
        <f>ICPList[[#This Row],[Experiment ID]]&amp;"_Day"&amp;ICPList[[#This Row],[Duration (Days)]]&amp;"_"&amp;ICPList[[#This Row],[Dilution]]&amp;"x"</f>
        <v>Not Requested_Day0_x</v>
      </c>
      <c r="F805">
        <f>NMRResults[[#This Row],['#]]</f>
        <v>0</v>
      </c>
      <c r="G805" s="1">
        <f>NMRResults[[#This Row],[Date Run]]</f>
        <v>0</v>
      </c>
    </row>
    <row r="806" spans="1:7" hidden="1" x14ac:dyDescent="0.25">
      <c r="A806" t="str" cm="1">
        <f t="array" ref="A806">IF(ISBLANK(INDEX(SampleList[ICP],ROW()-1)),"Not Requested",INDEX(SampleList[Experiment ID],ROW()-1))</f>
        <v>Not Requested</v>
      </c>
      <c r="B806">
        <f>Sampling!E804</f>
        <v>0</v>
      </c>
      <c r="E806" t="str">
        <f>ICPList[[#This Row],[Experiment ID]]&amp;"_Day"&amp;ICPList[[#This Row],[Duration (Days)]]&amp;"_"&amp;ICPList[[#This Row],[Dilution]]&amp;"x"</f>
        <v>Not Requested_Day0_x</v>
      </c>
      <c r="F806">
        <f>NMRResults[[#This Row],['#]]</f>
        <v>0</v>
      </c>
      <c r="G806" s="1">
        <f>NMRResults[[#This Row],[Date Run]]</f>
        <v>0</v>
      </c>
    </row>
    <row r="807" spans="1:7" hidden="1" x14ac:dyDescent="0.25">
      <c r="A807" t="str" cm="1">
        <f t="array" ref="A807">IF(ISBLANK(INDEX(SampleList[ICP],ROW()-1)),"Not Requested",INDEX(SampleList[Experiment ID],ROW()-1))</f>
        <v>Not Requested</v>
      </c>
      <c r="B807">
        <f>Sampling!E805</f>
        <v>0</v>
      </c>
      <c r="E807" t="str">
        <f>ICPList[[#This Row],[Experiment ID]]&amp;"_Day"&amp;ICPList[[#This Row],[Duration (Days)]]&amp;"_"&amp;ICPList[[#This Row],[Dilution]]&amp;"x"</f>
        <v>Not Requested_Day0_x</v>
      </c>
      <c r="F807">
        <f>NMRResults[[#This Row],['#]]</f>
        <v>0</v>
      </c>
      <c r="G807" s="1">
        <f>NMRResults[[#This Row],[Date Run]]</f>
        <v>0</v>
      </c>
    </row>
    <row r="808" spans="1:7" hidden="1" x14ac:dyDescent="0.25">
      <c r="A808" t="str" cm="1">
        <f t="array" ref="A808">IF(ISBLANK(INDEX(SampleList[ICP],ROW()-1)),"Not Requested",INDEX(SampleList[Experiment ID],ROW()-1))</f>
        <v>Not Requested</v>
      </c>
      <c r="B808">
        <f>Sampling!E806</f>
        <v>0</v>
      </c>
      <c r="E808" t="str">
        <f>ICPList[[#This Row],[Experiment ID]]&amp;"_Day"&amp;ICPList[[#This Row],[Duration (Days)]]&amp;"_"&amp;ICPList[[#This Row],[Dilution]]&amp;"x"</f>
        <v>Not Requested_Day0_x</v>
      </c>
      <c r="F808">
        <f>NMRResults[[#This Row],['#]]</f>
        <v>0</v>
      </c>
      <c r="G808" s="1">
        <f>NMRResults[[#This Row],[Date Run]]</f>
        <v>0</v>
      </c>
    </row>
    <row r="809" spans="1:7" hidden="1" x14ac:dyDescent="0.25">
      <c r="A809" t="str" cm="1">
        <f t="array" ref="A809">IF(ISBLANK(INDEX(SampleList[ICP],ROW()-1)),"Not Requested",INDEX(SampleList[Experiment ID],ROW()-1))</f>
        <v>Not Requested</v>
      </c>
      <c r="B809">
        <f>Sampling!E807</f>
        <v>0</v>
      </c>
      <c r="E809" t="str">
        <f>ICPList[[#This Row],[Experiment ID]]&amp;"_Day"&amp;ICPList[[#This Row],[Duration (Days)]]&amp;"_"&amp;ICPList[[#This Row],[Dilution]]&amp;"x"</f>
        <v>Not Requested_Day0_x</v>
      </c>
      <c r="F809">
        <f>NMRResults[[#This Row],['#]]</f>
        <v>0</v>
      </c>
      <c r="G809" s="1">
        <f>NMRResults[[#This Row],[Date Run]]</f>
        <v>0</v>
      </c>
    </row>
    <row r="810" spans="1:7" hidden="1" x14ac:dyDescent="0.25">
      <c r="A810" t="str" cm="1">
        <f t="array" ref="A810">IF(ISBLANK(INDEX(SampleList[ICP],ROW()-1)),"Not Requested",INDEX(SampleList[Experiment ID],ROW()-1))</f>
        <v>Not Requested</v>
      </c>
      <c r="B810">
        <f>Sampling!E808</f>
        <v>0</v>
      </c>
      <c r="E810" t="str">
        <f>ICPList[[#This Row],[Experiment ID]]&amp;"_Day"&amp;ICPList[[#This Row],[Duration (Days)]]&amp;"_"&amp;ICPList[[#This Row],[Dilution]]&amp;"x"</f>
        <v>Not Requested_Day0_x</v>
      </c>
      <c r="F810">
        <f>NMRResults[[#This Row],['#]]</f>
        <v>0</v>
      </c>
      <c r="G810" s="1">
        <f>NMRResults[[#This Row],[Date Run]]</f>
        <v>0</v>
      </c>
    </row>
    <row r="811" spans="1:7" hidden="1" x14ac:dyDescent="0.25">
      <c r="A811" t="str" cm="1">
        <f t="array" ref="A811">IF(ISBLANK(INDEX(SampleList[ICP],ROW()-1)),"Not Requested",INDEX(SampleList[Experiment ID],ROW()-1))</f>
        <v>Not Requested</v>
      </c>
      <c r="B811">
        <f>Sampling!E809</f>
        <v>0</v>
      </c>
      <c r="E811" t="str">
        <f>ICPList[[#This Row],[Experiment ID]]&amp;"_Day"&amp;ICPList[[#This Row],[Duration (Days)]]&amp;"_"&amp;ICPList[[#This Row],[Dilution]]&amp;"x"</f>
        <v>Not Requested_Day0_x</v>
      </c>
      <c r="F811">
        <f>NMRResults[[#This Row],['#]]</f>
        <v>0</v>
      </c>
      <c r="G811" s="1">
        <f>NMRResults[[#This Row],[Date Run]]</f>
        <v>0</v>
      </c>
    </row>
    <row r="812" spans="1:7" hidden="1" x14ac:dyDescent="0.25">
      <c r="A812" t="str" cm="1">
        <f t="array" ref="A812">IF(ISBLANK(INDEX(SampleList[ICP],ROW()-1)),"Not Requested",INDEX(SampleList[Experiment ID],ROW()-1))</f>
        <v>Not Requested</v>
      </c>
      <c r="B812">
        <f>Sampling!E810</f>
        <v>0</v>
      </c>
      <c r="E812" t="str">
        <f>ICPList[[#This Row],[Experiment ID]]&amp;"_Day"&amp;ICPList[[#This Row],[Duration (Days)]]&amp;"_"&amp;ICPList[[#This Row],[Dilution]]&amp;"x"</f>
        <v>Not Requested_Day0_x</v>
      </c>
      <c r="F812">
        <f>NMRResults[[#This Row],['#]]</f>
        <v>0</v>
      </c>
      <c r="G812" s="1">
        <f>NMRResults[[#This Row],[Date Run]]</f>
        <v>0</v>
      </c>
    </row>
    <row r="813" spans="1:7" hidden="1" x14ac:dyDescent="0.25">
      <c r="A813" t="str" cm="1">
        <f t="array" ref="A813">IF(ISBLANK(INDEX(SampleList[ICP],ROW()-1)),"Not Requested",INDEX(SampleList[Experiment ID],ROW()-1))</f>
        <v>Not Requested</v>
      </c>
      <c r="B813">
        <f>Sampling!E811</f>
        <v>0</v>
      </c>
      <c r="E813" t="str">
        <f>ICPList[[#This Row],[Experiment ID]]&amp;"_Day"&amp;ICPList[[#This Row],[Duration (Days)]]&amp;"_"&amp;ICPList[[#This Row],[Dilution]]&amp;"x"</f>
        <v>Not Requested_Day0_x</v>
      </c>
      <c r="F813">
        <f>NMRResults[[#This Row],['#]]</f>
        <v>0</v>
      </c>
      <c r="G813" s="1">
        <f>NMRResults[[#This Row],[Date Run]]</f>
        <v>0</v>
      </c>
    </row>
    <row r="814" spans="1:7" hidden="1" x14ac:dyDescent="0.25">
      <c r="A814" t="str" cm="1">
        <f t="array" ref="A814">IF(ISBLANK(INDEX(SampleList[ICP],ROW()-1)),"Not Requested",INDEX(SampleList[Experiment ID],ROW()-1))</f>
        <v>Not Requested</v>
      </c>
      <c r="B814">
        <f>Sampling!E812</f>
        <v>0</v>
      </c>
      <c r="E814" t="str">
        <f>ICPList[[#This Row],[Experiment ID]]&amp;"_Day"&amp;ICPList[[#This Row],[Duration (Days)]]&amp;"_"&amp;ICPList[[#This Row],[Dilution]]&amp;"x"</f>
        <v>Not Requested_Day0_x</v>
      </c>
      <c r="F814">
        <f>NMRResults[[#This Row],['#]]</f>
        <v>0</v>
      </c>
      <c r="G814" s="1">
        <f>NMRResults[[#This Row],[Date Run]]</f>
        <v>0</v>
      </c>
    </row>
    <row r="815" spans="1:7" hidden="1" x14ac:dyDescent="0.25">
      <c r="A815" t="str" cm="1">
        <f t="array" ref="A815">IF(ISBLANK(INDEX(SampleList[ICP],ROW()-1)),"Not Requested",INDEX(SampleList[Experiment ID],ROW()-1))</f>
        <v>Not Requested</v>
      </c>
      <c r="B815">
        <f>Sampling!E813</f>
        <v>0</v>
      </c>
      <c r="E815" t="str">
        <f>ICPList[[#This Row],[Experiment ID]]&amp;"_Day"&amp;ICPList[[#This Row],[Duration (Days)]]&amp;"_"&amp;ICPList[[#This Row],[Dilution]]&amp;"x"</f>
        <v>Not Requested_Day0_x</v>
      </c>
      <c r="F815">
        <f>NMRResults[[#This Row],['#]]</f>
        <v>0</v>
      </c>
      <c r="G815" s="1">
        <f>NMRResults[[#This Row],[Date Run]]</f>
        <v>0</v>
      </c>
    </row>
    <row r="816" spans="1:7" hidden="1" x14ac:dyDescent="0.25">
      <c r="A816" t="str" cm="1">
        <f t="array" ref="A816">IF(ISBLANK(INDEX(SampleList[ICP],ROW()-1)),"Not Requested",INDEX(SampleList[Experiment ID],ROW()-1))</f>
        <v>Not Requested</v>
      </c>
      <c r="B816">
        <f>Sampling!E814</f>
        <v>0</v>
      </c>
      <c r="E816" t="str">
        <f>ICPList[[#This Row],[Experiment ID]]&amp;"_Day"&amp;ICPList[[#This Row],[Duration (Days)]]&amp;"_"&amp;ICPList[[#This Row],[Dilution]]&amp;"x"</f>
        <v>Not Requested_Day0_x</v>
      </c>
      <c r="F816">
        <f>NMRResults[[#This Row],['#]]</f>
        <v>0</v>
      </c>
      <c r="G816" s="1">
        <f>NMRResults[[#This Row],[Date Run]]</f>
        <v>0</v>
      </c>
    </row>
    <row r="817" spans="1:7" hidden="1" x14ac:dyDescent="0.25">
      <c r="A817" t="str" cm="1">
        <f t="array" ref="A817">IF(ISBLANK(INDEX(SampleList[ICP],ROW()-1)),"Not Requested",INDEX(SampleList[Experiment ID],ROW()-1))</f>
        <v>Not Requested</v>
      </c>
      <c r="B817">
        <f>Sampling!E815</f>
        <v>0</v>
      </c>
      <c r="E817" t="str">
        <f>ICPList[[#This Row],[Experiment ID]]&amp;"_Day"&amp;ICPList[[#This Row],[Duration (Days)]]&amp;"_"&amp;ICPList[[#This Row],[Dilution]]&amp;"x"</f>
        <v>Not Requested_Day0_x</v>
      </c>
      <c r="F817">
        <f>NMRResults[[#This Row],['#]]</f>
        <v>0</v>
      </c>
      <c r="G817" s="1">
        <f>NMRResults[[#This Row],[Date Run]]</f>
        <v>0</v>
      </c>
    </row>
    <row r="818" spans="1:7" hidden="1" x14ac:dyDescent="0.25">
      <c r="A818" t="str" cm="1">
        <f t="array" ref="A818">IF(ISBLANK(INDEX(SampleList[ICP],ROW()-1)),"Not Requested",INDEX(SampleList[Experiment ID],ROW()-1))</f>
        <v>Not Requested</v>
      </c>
      <c r="B818">
        <f>Sampling!E816</f>
        <v>0</v>
      </c>
      <c r="E818" t="str">
        <f>ICPList[[#This Row],[Experiment ID]]&amp;"_Day"&amp;ICPList[[#This Row],[Duration (Days)]]&amp;"_"&amp;ICPList[[#This Row],[Dilution]]&amp;"x"</f>
        <v>Not Requested_Day0_x</v>
      </c>
      <c r="F818">
        <f>NMRResults[[#This Row],['#]]</f>
        <v>0</v>
      </c>
      <c r="G818" s="1">
        <f>NMRResults[[#This Row],[Date Run]]</f>
        <v>0</v>
      </c>
    </row>
    <row r="819" spans="1:7" hidden="1" x14ac:dyDescent="0.25">
      <c r="A819" t="str" cm="1">
        <f t="array" ref="A819">IF(ISBLANK(INDEX(SampleList[ICP],ROW()-1)),"Not Requested",INDEX(SampleList[Experiment ID],ROW()-1))</f>
        <v>Not Requested</v>
      </c>
      <c r="B819">
        <f>Sampling!E817</f>
        <v>0</v>
      </c>
      <c r="E819" t="str">
        <f>ICPList[[#This Row],[Experiment ID]]&amp;"_Day"&amp;ICPList[[#This Row],[Duration (Days)]]&amp;"_"&amp;ICPList[[#This Row],[Dilution]]&amp;"x"</f>
        <v>Not Requested_Day0_x</v>
      </c>
      <c r="F819">
        <f>NMRResults[[#This Row],['#]]</f>
        <v>0</v>
      </c>
      <c r="G819" s="1">
        <f>NMRResults[[#This Row],[Date Run]]</f>
        <v>0</v>
      </c>
    </row>
    <row r="820" spans="1:7" hidden="1" x14ac:dyDescent="0.25">
      <c r="A820" t="str" cm="1">
        <f t="array" ref="A820">IF(ISBLANK(INDEX(SampleList[ICP],ROW()-1)),"Not Requested",INDEX(SampleList[Experiment ID],ROW()-1))</f>
        <v>Not Requested</v>
      </c>
      <c r="B820">
        <f>Sampling!E818</f>
        <v>0</v>
      </c>
      <c r="E820" t="str">
        <f>ICPList[[#This Row],[Experiment ID]]&amp;"_Day"&amp;ICPList[[#This Row],[Duration (Days)]]&amp;"_"&amp;ICPList[[#This Row],[Dilution]]&amp;"x"</f>
        <v>Not Requested_Day0_x</v>
      </c>
      <c r="F820">
        <f>NMRResults[[#This Row],['#]]</f>
        <v>0</v>
      </c>
      <c r="G820" s="1">
        <f>NMRResults[[#This Row],[Date Run]]</f>
        <v>0</v>
      </c>
    </row>
    <row r="821" spans="1:7" hidden="1" x14ac:dyDescent="0.25">
      <c r="A821" t="str" cm="1">
        <f t="array" ref="A821">IF(ISBLANK(INDEX(SampleList[ICP],ROW()-1)),"Not Requested",INDEX(SampleList[Experiment ID],ROW()-1))</f>
        <v>Not Requested</v>
      </c>
      <c r="B821">
        <f>Sampling!E819</f>
        <v>0</v>
      </c>
      <c r="E821" t="str">
        <f>ICPList[[#This Row],[Experiment ID]]&amp;"_Day"&amp;ICPList[[#This Row],[Duration (Days)]]&amp;"_"&amp;ICPList[[#This Row],[Dilution]]&amp;"x"</f>
        <v>Not Requested_Day0_x</v>
      </c>
      <c r="F821">
        <f>NMRResults[[#This Row],['#]]</f>
        <v>0</v>
      </c>
      <c r="G821" s="1">
        <f>NMRResults[[#This Row],[Date Run]]</f>
        <v>0</v>
      </c>
    </row>
    <row r="822" spans="1:7" hidden="1" x14ac:dyDescent="0.25">
      <c r="A822" t="str" cm="1">
        <f t="array" ref="A822">IF(ISBLANK(INDEX(SampleList[ICP],ROW()-1)),"Not Requested",INDEX(SampleList[Experiment ID],ROW()-1))</f>
        <v>Not Requested</v>
      </c>
      <c r="B822">
        <f>Sampling!E820</f>
        <v>0</v>
      </c>
      <c r="E822" t="str">
        <f>ICPList[[#This Row],[Experiment ID]]&amp;"_Day"&amp;ICPList[[#This Row],[Duration (Days)]]&amp;"_"&amp;ICPList[[#This Row],[Dilution]]&amp;"x"</f>
        <v>Not Requested_Day0_x</v>
      </c>
      <c r="F822">
        <f>NMRResults[[#This Row],['#]]</f>
        <v>0</v>
      </c>
      <c r="G822" s="1">
        <f>NMRResults[[#This Row],[Date Run]]</f>
        <v>0</v>
      </c>
    </row>
    <row r="823" spans="1:7" hidden="1" x14ac:dyDescent="0.25">
      <c r="A823" t="str" cm="1">
        <f t="array" ref="A823">IF(ISBLANK(INDEX(SampleList[ICP],ROW()-1)),"Not Requested",INDEX(SampleList[Experiment ID],ROW()-1))</f>
        <v>Not Requested</v>
      </c>
      <c r="B823">
        <f>Sampling!E821</f>
        <v>0</v>
      </c>
      <c r="E823" t="str">
        <f>ICPList[[#This Row],[Experiment ID]]&amp;"_Day"&amp;ICPList[[#This Row],[Duration (Days)]]&amp;"_"&amp;ICPList[[#This Row],[Dilution]]&amp;"x"</f>
        <v>Not Requested_Day0_x</v>
      </c>
      <c r="F823">
        <f>NMRResults[[#This Row],['#]]</f>
        <v>0</v>
      </c>
      <c r="G823" s="1">
        <f>NMRResults[[#This Row],[Date Run]]</f>
        <v>0</v>
      </c>
    </row>
    <row r="824" spans="1:7" hidden="1" x14ac:dyDescent="0.25">
      <c r="A824" t="str" cm="1">
        <f t="array" ref="A824">IF(ISBLANK(INDEX(SampleList[ICP],ROW()-1)),"Not Requested",INDEX(SampleList[Experiment ID],ROW()-1))</f>
        <v>Not Requested</v>
      </c>
      <c r="B824">
        <f>Sampling!E822</f>
        <v>0</v>
      </c>
      <c r="E824" t="str">
        <f>ICPList[[#This Row],[Experiment ID]]&amp;"_Day"&amp;ICPList[[#This Row],[Duration (Days)]]&amp;"_"&amp;ICPList[[#This Row],[Dilution]]&amp;"x"</f>
        <v>Not Requested_Day0_x</v>
      </c>
      <c r="F824">
        <f>NMRResults[[#This Row],['#]]</f>
        <v>0</v>
      </c>
      <c r="G824" s="1">
        <f>NMRResults[[#This Row],[Date Run]]</f>
        <v>0</v>
      </c>
    </row>
    <row r="825" spans="1:7" hidden="1" x14ac:dyDescent="0.25">
      <c r="A825" t="str" cm="1">
        <f t="array" ref="A825">IF(ISBLANK(INDEX(SampleList[ICP],ROW()-1)),"Not Requested",INDEX(SampleList[Experiment ID],ROW()-1))</f>
        <v>Not Requested</v>
      </c>
      <c r="B825">
        <f>Sampling!E823</f>
        <v>0</v>
      </c>
      <c r="E825" t="str">
        <f>ICPList[[#This Row],[Experiment ID]]&amp;"_Day"&amp;ICPList[[#This Row],[Duration (Days)]]&amp;"_"&amp;ICPList[[#This Row],[Dilution]]&amp;"x"</f>
        <v>Not Requested_Day0_x</v>
      </c>
      <c r="F825">
        <f>NMRResults[[#This Row],['#]]</f>
        <v>0</v>
      </c>
      <c r="G825" s="1">
        <f>NMRResults[[#This Row],[Date Run]]</f>
        <v>0</v>
      </c>
    </row>
    <row r="826" spans="1:7" hidden="1" x14ac:dyDescent="0.25">
      <c r="A826" t="str" cm="1">
        <f t="array" ref="A826">IF(ISBLANK(INDEX(SampleList[ICP],ROW()-1)),"Not Requested",INDEX(SampleList[Experiment ID],ROW()-1))</f>
        <v>Not Requested</v>
      </c>
      <c r="B826">
        <f>Sampling!E824</f>
        <v>0</v>
      </c>
      <c r="E826" t="str">
        <f>ICPList[[#This Row],[Experiment ID]]&amp;"_Day"&amp;ICPList[[#This Row],[Duration (Days)]]&amp;"_"&amp;ICPList[[#This Row],[Dilution]]&amp;"x"</f>
        <v>Not Requested_Day0_x</v>
      </c>
      <c r="F826">
        <f>NMRResults[[#This Row],['#]]</f>
        <v>0</v>
      </c>
      <c r="G826" s="1">
        <f>NMRResults[[#This Row],[Date Run]]</f>
        <v>0</v>
      </c>
    </row>
    <row r="827" spans="1:7" hidden="1" x14ac:dyDescent="0.25">
      <c r="A827" t="str" cm="1">
        <f t="array" ref="A827">IF(ISBLANK(INDEX(SampleList[ICP],ROW()-1)),"Not Requested",INDEX(SampleList[Experiment ID],ROW()-1))</f>
        <v>Not Requested</v>
      </c>
      <c r="B827">
        <f>Sampling!E825</f>
        <v>0</v>
      </c>
      <c r="E827" t="str">
        <f>ICPList[[#This Row],[Experiment ID]]&amp;"_Day"&amp;ICPList[[#This Row],[Duration (Days)]]&amp;"_"&amp;ICPList[[#This Row],[Dilution]]&amp;"x"</f>
        <v>Not Requested_Day0_x</v>
      </c>
      <c r="F827">
        <f>NMRResults[[#This Row],['#]]</f>
        <v>0</v>
      </c>
      <c r="G827" s="1">
        <f>NMRResults[[#This Row],[Date Run]]</f>
        <v>0</v>
      </c>
    </row>
    <row r="828" spans="1:7" hidden="1" x14ac:dyDescent="0.25">
      <c r="A828" t="str" cm="1">
        <f t="array" ref="A828">IF(ISBLANK(INDEX(SampleList[ICP],ROW()-1)),"Not Requested",INDEX(SampleList[Experiment ID],ROW()-1))</f>
        <v>Not Requested</v>
      </c>
      <c r="B828">
        <f>Sampling!E826</f>
        <v>0</v>
      </c>
      <c r="E828" t="str">
        <f>ICPList[[#This Row],[Experiment ID]]&amp;"_Day"&amp;ICPList[[#This Row],[Duration (Days)]]&amp;"_"&amp;ICPList[[#This Row],[Dilution]]&amp;"x"</f>
        <v>Not Requested_Day0_x</v>
      </c>
      <c r="F828">
        <f>NMRResults[[#This Row],['#]]</f>
        <v>0</v>
      </c>
      <c r="G828" s="1">
        <f>NMRResults[[#This Row],[Date Run]]</f>
        <v>0</v>
      </c>
    </row>
    <row r="829" spans="1:7" hidden="1" x14ac:dyDescent="0.25">
      <c r="A829" t="str" cm="1">
        <f t="array" ref="A829">IF(ISBLANK(INDEX(SampleList[ICP],ROW()-1)),"Not Requested",INDEX(SampleList[Experiment ID],ROW()-1))</f>
        <v>Not Requested</v>
      </c>
      <c r="B829">
        <f>Sampling!E827</f>
        <v>0</v>
      </c>
      <c r="E829" t="str">
        <f>ICPList[[#This Row],[Experiment ID]]&amp;"_Day"&amp;ICPList[[#This Row],[Duration (Days)]]&amp;"_"&amp;ICPList[[#This Row],[Dilution]]&amp;"x"</f>
        <v>Not Requested_Day0_x</v>
      </c>
      <c r="F829">
        <f>NMRResults[[#This Row],['#]]</f>
        <v>0</v>
      </c>
      <c r="G829" s="1">
        <f>NMRResults[[#This Row],[Date Run]]</f>
        <v>0</v>
      </c>
    </row>
    <row r="830" spans="1:7" hidden="1" x14ac:dyDescent="0.25">
      <c r="A830" t="str" cm="1">
        <f t="array" ref="A830">IF(ISBLANK(INDEX(SampleList[ICP],ROW()-1)),"Not Requested",INDEX(SampleList[Experiment ID],ROW()-1))</f>
        <v>Not Requested</v>
      </c>
      <c r="B830">
        <f>Sampling!E828</f>
        <v>0</v>
      </c>
      <c r="E830" t="str">
        <f>ICPList[[#This Row],[Experiment ID]]&amp;"_Day"&amp;ICPList[[#This Row],[Duration (Days)]]&amp;"_"&amp;ICPList[[#This Row],[Dilution]]&amp;"x"</f>
        <v>Not Requested_Day0_x</v>
      </c>
      <c r="F830">
        <f>NMRResults[[#This Row],['#]]</f>
        <v>0</v>
      </c>
      <c r="G830" s="1">
        <f>NMRResults[[#This Row],[Date Run]]</f>
        <v>0</v>
      </c>
    </row>
    <row r="831" spans="1:7" hidden="1" x14ac:dyDescent="0.25">
      <c r="A831" t="str" cm="1">
        <f t="array" ref="A831">IF(ISBLANK(INDEX(SampleList[ICP],ROW()-1)),"Not Requested",INDEX(SampleList[Experiment ID],ROW()-1))</f>
        <v>Not Requested</v>
      </c>
      <c r="B831">
        <f>Sampling!E829</f>
        <v>0</v>
      </c>
      <c r="E831" t="str">
        <f>ICPList[[#This Row],[Experiment ID]]&amp;"_Day"&amp;ICPList[[#This Row],[Duration (Days)]]&amp;"_"&amp;ICPList[[#This Row],[Dilution]]&amp;"x"</f>
        <v>Not Requested_Day0_x</v>
      </c>
      <c r="F831">
        <f>NMRResults[[#This Row],['#]]</f>
        <v>0</v>
      </c>
      <c r="G831" s="1">
        <f>NMRResults[[#This Row],[Date Run]]</f>
        <v>0</v>
      </c>
    </row>
    <row r="832" spans="1:7" hidden="1" x14ac:dyDescent="0.25">
      <c r="A832" t="str" cm="1">
        <f t="array" ref="A832">IF(ISBLANK(INDEX(SampleList[ICP],ROW()-1)),"Not Requested",INDEX(SampleList[Experiment ID],ROW()-1))</f>
        <v>Not Requested</v>
      </c>
      <c r="B832">
        <f>Sampling!E830</f>
        <v>0</v>
      </c>
      <c r="E832" t="str">
        <f>ICPList[[#This Row],[Experiment ID]]&amp;"_Day"&amp;ICPList[[#This Row],[Duration (Days)]]&amp;"_"&amp;ICPList[[#This Row],[Dilution]]&amp;"x"</f>
        <v>Not Requested_Day0_x</v>
      </c>
      <c r="F832">
        <f>NMRResults[[#This Row],['#]]</f>
        <v>0</v>
      </c>
      <c r="G832" s="1">
        <f>NMRResults[[#This Row],[Date Run]]</f>
        <v>0</v>
      </c>
    </row>
    <row r="833" spans="1:7" hidden="1" x14ac:dyDescent="0.25">
      <c r="A833" t="str" cm="1">
        <f t="array" ref="A833">IF(ISBLANK(INDEX(SampleList[ICP],ROW()-1)),"Not Requested",INDEX(SampleList[Experiment ID],ROW()-1))</f>
        <v>Not Requested</v>
      </c>
      <c r="B833">
        <f>Sampling!E831</f>
        <v>0</v>
      </c>
      <c r="E833" t="str">
        <f>ICPList[[#This Row],[Experiment ID]]&amp;"_Day"&amp;ICPList[[#This Row],[Duration (Days)]]&amp;"_"&amp;ICPList[[#This Row],[Dilution]]&amp;"x"</f>
        <v>Not Requested_Day0_x</v>
      </c>
      <c r="F833">
        <f>NMRResults[[#This Row],['#]]</f>
        <v>0</v>
      </c>
      <c r="G833" s="1">
        <f>NMRResults[[#This Row],[Date Run]]</f>
        <v>0</v>
      </c>
    </row>
    <row r="834" spans="1:7" hidden="1" x14ac:dyDescent="0.25">
      <c r="A834" t="str" cm="1">
        <f t="array" ref="A834">IF(ISBLANK(INDEX(SampleList[ICP],ROW()-1)),"Not Requested",INDEX(SampleList[Experiment ID],ROW()-1))</f>
        <v>Not Requested</v>
      </c>
      <c r="B834">
        <f>Sampling!E832</f>
        <v>0</v>
      </c>
      <c r="E834" t="str">
        <f>ICPList[[#This Row],[Experiment ID]]&amp;"_Day"&amp;ICPList[[#This Row],[Duration (Days)]]&amp;"_"&amp;ICPList[[#This Row],[Dilution]]&amp;"x"</f>
        <v>Not Requested_Day0_x</v>
      </c>
      <c r="F834">
        <f>NMRResults[[#This Row],['#]]</f>
        <v>0</v>
      </c>
      <c r="G834" s="1">
        <f>NMRResults[[#This Row],[Date Run]]</f>
        <v>0</v>
      </c>
    </row>
    <row r="835" spans="1:7" hidden="1" x14ac:dyDescent="0.25">
      <c r="A835" t="str" cm="1">
        <f t="array" ref="A835">IF(ISBLANK(INDEX(SampleList[ICP],ROW()-1)),"Not Requested",INDEX(SampleList[Experiment ID],ROW()-1))</f>
        <v>Not Requested</v>
      </c>
      <c r="B835">
        <f>Sampling!E833</f>
        <v>0</v>
      </c>
      <c r="E835" t="str">
        <f>ICPList[[#This Row],[Experiment ID]]&amp;"_Day"&amp;ICPList[[#This Row],[Duration (Days)]]&amp;"_"&amp;ICPList[[#This Row],[Dilution]]&amp;"x"</f>
        <v>Not Requested_Day0_x</v>
      </c>
      <c r="F835">
        <f>NMRResults[[#This Row],['#]]</f>
        <v>0</v>
      </c>
      <c r="G835" s="1">
        <f>NMRResults[[#This Row],[Date Run]]</f>
        <v>0</v>
      </c>
    </row>
    <row r="836" spans="1:7" hidden="1" x14ac:dyDescent="0.25">
      <c r="A836" t="str" cm="1">
        <f t="array" ref="A836">IF(ISBLANK(INDEX(SampleList[ICP],ROW()-1)),"Not Requested",INDEX(SampleList[Experiment ID],ROW()-1))</f>
        <v>Not Requested</v>
      </c>
      <c r="B836">
        <f>Sampling!E834</f>
        <v>0</v>
      </c>
      <c r="E836" t="str">
        <f>ICPList[[#This Row],[Experiment ID]]&amp;"_Day"&amp;ICPList[[#This Row],[Duration (Days)]]&amp;"_"&amp;ICPList[[#This Row],[Dilution]]&amp;"x"</f>
        <v>Not Requested_Day0_x</v>
      </c>
      <c r="F836">
        <f>NMRResults[[#This Row],['#]]</f>
        <v>0</v>
      </c>
      <c r="G836" s="1">
        <f>NMRResults[[#This Row],[Date Run]]</f>
        <v>0</v>
      </c>
    </row>
    <row r="837" spans="1:7" hidden="1" x14ac:dyDescent="0.25">
      <c r="A837" t="str" cm="1">
        <f t="array" ref="A837">IF(ISBLANK(INDEX(SampleList[ICP],ROW()-1)),"Not Requested",INDEX(SampleList[Experiment ID],ROW()-1))</f>
        <v>Not Requested</v>
      </c>
      <c r="B837">
        <f>Sampling!E835</f>
        <v>0</v>
      </c>
      <c r="E837" t="str">
        <f>ICPList[[#This Row],[Experiment ID]]&amp;"_Day"&amp;ICPList[[#This Row],[Duration (Days)]]&amp;"_"&amp;ICPList[[#This Row],[Dilution]]&amp;"x"</f>
        <v>Not Requested_Day0_x</v>
      </c>
      <c r="F837">
        <f>NMRResults[[#This Row],['#]]</f>
        <v>0</v>
      </c>
      <c r="G837" s="1">
        <f>NMRResults[[#This Row],[Date Run]]</f>
        <v>0</v>
      </c>
    </row>
    <row r="838" spans="1:7" hidden="1" x14ac:dyDescent="0.25">
      <c r="A838" t="str" cm="1">
        <f t="array" ref="A838">IF(ISBLANK(INDEX(SampleList[ICP],ROW()-1)),"Not Requested",INDEX(SampleList[Experiment ID],ROW()-1))</f>
        <v>Not Requested</v>
      </c>
      <c r="B838">
        <f>Sampling!E836</f>
        <v>0</v>
      </c>
      <c r="E838" t="str">
        <f>ICPList[[#This Row],[Experiment ID]]&amp;"_Day"&amp;ICPList[[#This Row],[Duration (Days)]]&amp;"_"&amp;ICPList[[#This Row],[Dilution]]&amp;"x"</f>
        <v>Not Requested_Day0_x</v>
      </c>
      <c r="F838">
        <f>NMRResults[[#This Row],['#]]</f>
        <v>0</v>
      </c>
      <c r="G838" s="1">
        <f>NMRResults[[#This Row],[Date Run]]</f>
        <v>0</v>
      </c>
    </row>
    <row r="839" spans="1:7" hidden="1" x14ac:dyDescent="0.25">
      <c r="A839" t="str" cm="1">
        <f t="array" ref="A839">IF(ISBLANK(INDEX(SampleList[ICP],ROW()-1)),"Not Requested",INDEX(SampleList[Experiment ID],ROW()-1))</f>
        <v>Not Requested</v>
      </c>
      <c r="B839">
        <f>Sampling!E837</f>
        <v>0</v>
      </c>
      <c r="E839" t="str">
        <f>ICPList[[#This Row],[Experiment ID]]&amp;"_Day"&amp;ICPList[[#This Row],[Duration (Days)]]&amp;"_"&amp;ICPList[[#This Row],[Dilution]]&amp;"x"</f>
        <v>Not Requested_Day0_x</v>
      </c>
      <c r="F839">
        <f>NMRResults[[#This Row],['#]]</f>
        <v>0</v>
      </c>
      <c r="G839" s="1">
        <f>NMRResults[[#This Row],[Date Run]]</f>
        <v>0</v>
      </c>
    </row>
    <row r="840" spans="1:7" hidden="1" x14ac:dyDescent="0.25">
      <c r="A840" t="str" cm="1">
        <f t="array" ref="A840">IF(ISBLANK(INDEX(SampleList[ICP],ROW()-1)),"Not Requested",INDEX(SampleList[Experiment ID],ROW()-1))</f>
        <v>Not Requested</v>
      </c>
      <c r="B840">
        <f>Sampling!E838</f>
        <v>0</v>
      </c>
      <c r="E840" t="str">
        <f>ICPList[[#This Row],[Experiment ID]]&amp;"_Day"&amp;ICPList[[#This Row],[Duration (Days)]]&amp;"_"&amp;ICPList[[#This Row],[Dilution]]&amp;"x"</f>
        <v>Not Requested_Day0_x</v>
      </c>
      <c r="F840">
        <f>NMRResults[[#This Row],['#]]</f>
        <v>0</v>
      </c>
      <c r="G840" s="1">
        <f>NMRResults[[#This Row],[Date Run]]</f>
        <v>0</v>
      </c>
    </row>
    <row r="841" spans="1:7" hidden="1" x14ac:dyDescent="0.25">
      <c r="A841" t="str" cm="1">
        <f t="array" ref="A841">IF(ISBLANK(INDEX(SampleList[ICP],ROW()-1)),"Not Requested",INDEX(SampleList[Experiment ID],ROW()-1))</f>
        <v>Not Requested</v>
      </c>
      <c r="B841">
        <f>Sampling!E839</f>
        <v>0</v>
      </c>
      <c r="E841" t="str">
        <f>ICPList[[#This Row],[Experiment ID]]&amp;"_Day"&amp;ICPList[[#This Row],[Duration (Days)]]&amp;"_"&amp;ICPList[[#This Row],[Dilution]]&amp;"x"</f>
        <v>Not Requested_Day0_x</v>
      </c>
      <c r="F841">
        <f>NMRResults[[#This Row],['#]]</f>
        <v>0</v>
      </c>
      <c r="G841" s="1">
        <f>NMRResults[[#This Row],[Date Run]]</f>
        <v>0</v>
      </c>
    </row>
    <row r="842" spans="1:7" hidden="1" x14ac:dyDescent="0.25">
      <c r="A842" t="str" cm="1">
        <f t="array" ref="A842">IF(ISBLANK(INDEX(SampleList[ICP],ROW()-1)),"Not Requested",INDEX(SampleList[Experiment ID],ROW()-1))</f>
        <v>Not Requested</v>
      </c>
      <c r="B842">
        <f>Sampling!E840</f>
        <v>0</v>
      </c>
      <c r="E842" t="str">
        <f>ICPList[[#This Row],[Experiment ID]]&amp;"_Day"&amp;ICPList[[#This Row],[Duration (Days)]]&amp;"_"&amp;ICPList[[#This Row],[Dilution]]&amp;"x"</f>
        <v>Not Requested_Day0_x</v>
      </c>
      <c r="F842">
        <f>NMRResults[[#This Row],['#]]</f>
        <v>0</v>
      </c>
      <c r="G842" s="1">
        <f>NMRResults[[#This Row],[Date Run]]</f>
        <v>0</v>
      </c>
    </row>
    <row r="843" spans="1:7" hidden="1" x14ac:dyDescent="0.25">
      <c r="A843" t="str" cm="1">
        <f t="array" ref="A843">IF(ISBLANK(INDEX(SampleList[ICP],ROW()-1)),"Not Requested",INDEX(SampleList[Experiment ID],ROW()-1))</f>
        <v>Not Requested</v>
      </c>
      <c r="B843">
        <f>Sampling!E841</f>
        <v>0</v>
      </c>
      <c r="E843" t="str">
        <f>ICPList[[#This Row],[Experiment ID]]&amp;"_Day"&amp;ICPList[[#This Row],[Duration (Days)]]&amp;"_"&amp;ICPList[[#This Row],[Dilution]]&amp;"x"</f>
        <v>Not Requested_Day0_x</v>
      </c>
      <c r="F843">
        <f>NMRResults[[#This Row],['#]]</f>
        <v>0</v>
      </c>
      <c r="G843" s="1">
        <f>NMRResults[[#This Row],[Date Run]]</f>
        <v>0</v>
      </c>
    </row>
    <row r="844" spans="1:7" hidden="1" x14ac:dyDescent="0.25">
      <c r="A844" t="str" cm="1">
        <f t="array" ref="A844">IF(ISBLANK(INDEX(SampleList[ICP],ROW()-1)),"Not Requested",INDEX(SampleList[Experiment ID],ROW()-1))</f>
        <v>Not Requested</v>
      </c>
      <c r="B844">
        <f>Sampling!E842</f>
        <v>0</v>
      </c>
      <c r="E844" t="str">
        <f>ICPList[[#This Row],[Experiment ID]]&amp;"_Day"&amp;ICPList[[#This Row],[Duration (Days)]]&amp;"_"&amp;ICPList[[#This Row],[Dilution]]&amp;"x"</f>
        <v>Not Requested_Day0_x</v>
      </c>
      <c r="F844">
        <f>NMRResults[[#This Row],['#]]</f>
        <v>0</v>
      </c>
      <c r="G844" s="1">
        <f>NMRResults[[#This Row],[Date Run]]</f>
        <v>0</v>
      </c>
    </row>
    <row r="845" spans="1:7" hidden="1" x14ac:dyDescent="0.25">
      <c r="A845" t="str" cm="1">
        <f t="array" ref="A845">IF(ISBLANK(INDEX(SampleList[ICP],ROW()-1)),"Not Requested",INDEX(SampleList[Experiment ID],ROW()-1))</f>
        <v>Not Requested</v>
      </c>
      <c r="B845">
        <f>Sampling!E843</f>
        <v>0</v>
      </c>
      <c r="E845" t="str">
        <f>ICPList[[#This Row],[Experiment ID]]&amp;"_Day"&amp;ICPList[[#This Row],[Duration (Days)]]&amp;"_"&amp;ICPList[[#This Row],[Dilution]]&amp;"x"</f>
        <v>Not Requested_Day0_x</v>
      </c>
      <c r="F845">
        <f>NMRResults[[#This Row],['#]]</f>
        <v>0</v>
      </c>
      <c r="G845" s="1">
        <f>NMRResults[[#This Row],[Date Run]]</f>
        <v>0</v>
      </c>
    </row>
    <row r="846" spans="1:7" hidden="1" x14ac:dyDescent="0.25">
      <c r="A846" t="str" cm="1">
        <f t="array" ref="A846">IF(ISBLANK(INDEX(SampleList[ICP],ROW()-1)),"Not Requested",INDEX(SampleList[Experiment ID],ROW()-1))</f>
        <v>Not Requested</v>
      </c>
      <c r="B846">
        <f>Sampling!E844</f>
        <v>0</v>
      </c>
      <c r="E846" t="str">
        <f>ICPList[[#This Row],[Experiment ID]]&amp;"_Day"&amp;ICPList[[#This Row],[Duration (Days)]]&amp;"_"&amp;ICPList[[#This Row],[Dilution]]&amp;"x"</f>
        <v>Not Requested_Day0_x</v>
      </c>
      <c r="F846">
        <f>NMRResults[[#This Row],['#]]</f>
        <v>0</v>
      </c>
      <c r="G846" s="1">
        <f>NMRResults[[#This Row],[Date Run]]</f>
        <v>0</v>
      </c>
    </row>
    <row r="847" spans="1:7" hidden="1" x14ac:dyDescent="0.25">
      <c r="A847" t="str" cm="1">
        <f t="array" ref="A847">IF(ISBLANK(INDEX(SampleList[ICP],ROW()-1)),"Not Requested",INDEX(SampleList[Experiment ID],ROW()-1))</f>
        <v>Not Requested</v>
      </c>
      <c r="B847">
        <f>Sampling!E845</f>
        <v>0</v>
      </c>
      <c r="E847" t="str">
        <f>ICPList[[#This Row],[Experiment ID]]&amp;"_Day"&amp;ICPList[[#This Row],[Duration (Days)]]&amp;"_"&amp;ICPList[[#This Row],[Dilution]]&amp;"x"</f>
        <v>Not Requested_Day0_x</v>
      </c>
      <c r="F847">
        <f>NMRResults[[#This Row],['#]]</f>
        <v>0</v>
      </c>
      <c r="G847" s="1">
        <f>NMRResults[[#This Row],[Date Run]]</f>
        <v>0</v>
      </c>
    </row>
    <row r="848" spans="1:7" hidden="1" x14ac:dyDescent="0.25">
      <c r="A848" t="str" cm="1">
        <f t="array" ref="A848">IF(ISBLANK(INDEX(SampleList[ICP],ROW()-1)),"Not Requested",INDEX(SampleList[Experiment ID],ROW()-1))</f>
        <v>Not Requested</v>
      </c>
      <c r="B848">
        <f>Sampling!E846</f>
        <v>0</v>
      </c>
      <c r="E848" t="str">
        <f>ICPList[[#This Row],[Experiment ID]]&amp;"_Day"&amp;ICPList[[#This Row],[Duration (Days)]]&amp;"_"&amp;ICPList[[#This Row],[Dilution]]&amp;"x"</f>
        <v>Not Requested_Day0_x</v>
      </c>
      <c r="F848">
        <f>NMRResults[[#This Row],['#]]</f>
        <v>0</v>
      </c>
      <c r="G848" s="1">
        <f>NMRResults[[#This Row],[Date Run]]</f>
        <v>0</v>
      </c>
    </row>
    <row r="849" spans="1:7" hidden="1" x14ac:dyDescent="0.25">
      <c r="A849" t="str" cm="1">
        <f t="array" ref="A849">IF(ISBLANK(INDEX(SampleList[ICP],ROW()-1)),"Not Requested",INDEX(SampleList[Experiment ID],ROW()-1))</f>
        <v>Not Requested</v>
      </c>
      <c r="B849">
        <f>Sampling!E847</f>
        <v>0</v>
      </c>
      <c r="E849" t="str">
        <f>ICPList[[#This Row],[Experiment ID]]&amp;"_Day"&amp;ICPList[[#This Row],[Duration (Days)]]&amp;"_"&amp;ICPList[[#This Row],[Dilution]]&amp;"x"</f>
        <v>Not Requested_Day0_x</v>
      </c>
      <c r="F849">
        <f>NMRResults[[#This Row],['#]]</f>
        <v>0</v>
      </c>
      <c r="G849" s="1">
        <f>NMRResults[[#This Row],[Date Run]]</f>
        <v>0</v>
      </c>
    </row>
    <row r="850" spans="1:7" hidden="1" x14ac:dyDescent="0.25">
      <c r="A850" t="str" cm="1">
        <f t="array" ref="A850">IF(ISBLANK(INDEX(SampleList[ICP],ROW()-1)),"Not Requested",INDEX(SampleList[Experiment ID],ROW()-1))</f>
        <v>Not Requested</v>
      </c>
      <c r="B850">
        <f>Sampling!E848</f>
        <v>0</v>
      </c>
      <c r="E850" t="str">
        <f>ICPList[[#This Row],[Experiment ID]]&amp;"_Day"&amp;ICPList[[#This Row],[Duration (Days)]]&amp;"_"&amp;ICPList[[#This Row],[Dilution]]&amp;"x"</f>
        <v>Not Requested_Day0_x</v>
      </c>
      <c r="F850">
        <f>NMRResults[[#This Row],['#]]</f>
        <v>0</v>
      </c>
      <c r="G850" s="1">
        <f>NMRResults[[#This Row],[Date Run]]</f>
        <v>0</v>
      </c>
    </row>
    <row r="851" spans="1:7" hidden="1" x14ac:dyDescent="0.25">
      <c r="A851" t="str" cm="1">
        <f t="array" ref="A851">IF(ISBLANK(INDEX(SampleList[ICP],ROW()-1)),"Not Requested",INDEX(SampleList[Experiment ID],ROW()-1))</f>
        <v>Not Requested</v>
      </c>
      <c r="B851">
        <f>Sampling!E849</f>
        <v>0</v>
      </c>
      <c r="E851" t="str">
        <f>ICPList[[#This Row],[Experiment ID]]&amp;"_Day"&amp;ICPList[[#This Row],[Duration (Days)]]&amp;"_"&amp;ICPList[[#This Row],[Dilution]]&amp;"x"</f>
        <v>Not Requested_Day0_x</v>
      </c>
      <c r="F851">
        <f>NMRResults[[#This Row],['#]]</f>
        <v>0</v>
      </c>
      <c r="G851" s="1">
        <f>NMRResults[[#This Row],[Date Run]]</f>
        <v>0</v>
      </c>
    </row>
    <row r="852" spans="1:7" hidden="1" x14ac:dyDescent="0.25">
      <c r="A852" t="str" cm="1">
        <f t="array" ref="A852">IF(ISBLANK(INDEX(SampleList[ICP],ROW()-1)),"Not Requested",INDEX(SampleList[Experiment ID],ROW()-1))</f>
        <v>Not Requested</v>
      </c>
      <c r="B852">
        <f>Sampling!E850</f>
        <v>0</v>
      </c>
      <c r="E852" t="str">
        <f>ICPList[[#This Row],[Experiment ID]]&amp;"_Day"&amp;ICPList[[#This Row],[Duration (Days)]]&amp;"_"&amp;ICPList[[#This Row],[Dilution]]&amp;"x"</f>
        <v>Not Requested_Day0_x</v>
      </c>
      <c r="F852">
        <f>NMRResults[[#This Row],['#]]</f>
        <v>0</v>
      </c>
      <c r="G852" s="1">
        <f>NMRResults[[#This Row],[Date Run]]</f>
        <v>0</v>
      </c>
    </row>
    <row r="853" spans="1:7" hidden="1" x14ac:dyDescent="0.25">
      <c r="A853" t="str" cm="1">
        <f t="array" ref="A853">IF(ISBLANK(INDEX(SampleList[ICP],ROW()-1)),"Not Requested",INDEX(SampleList[Experiment ID],ROW()-1))</f>
        <v>Not Requested</v>
      </c>
      <c r="B853">
        <f>Sampling!E851</f>
        <v>0</v>
      </c>
      <c r="E853" t="str">
        <f>ICPList[[#This Row],[Experiment ID]]&amp;"_Day"&amp;ICPList[[#This Row],[Duration (Days)]]&amp;"_"&amp;ICPList[[#This Row],[Dilution]]&amp;"x"</f>
        <v>Not Requested_Day0_x</v>
      </c>
      <c r="F853">
        <f>NMRResults[[#This Row],['#]]</f>
        <v>0</v>
      </c>
      <c r="G853" s="1">
        <f>NMRResults[[#This Row],[Date Run]]</f>
        <v>0</v>
      </c>
    </row>
    <row r="854" spans="1:7" hidden="1" x14ac:dyDescent="0.25">
      <c r="A854" t="str" cm="1">
        <f t="array" ref="A854">IF(ISBLANK(INDEX(SampleList[ICP],ROW()-1)),"Not Requested",INDEX(SampleList[Experiment ID],ROW()-1))</f>
        <v>Not Requested</v>
      </c>
      <c r="B854">
        <f>Sampling!E852</f>
        <v>0</v>
      </c>
      <c r="E854" t="str">
        <f>ICPList[[#This Row],[Experiment ID]]&amp;"_Day"&amp;ICPList[[#This Row],[Duration (Days)]]&amp;"_"&amp;ICPList[[#This Row],[Dilution]]&amp;"x"</f>
        <v>Not Requested_Day0_x</v>
      </c>
      <c r="F854">
        <f>NMRResults[[#This Row],['#]]</f>
        <v>0</v>
      </c>
      <c r="G854" s="1">
        <f>NMRResults[[#This Row],[Date Run]]</f>
        <v>0</v>
      </c>
    </row>
    <row r="855" spans="1:7" hidden="1" x14ac:dyDescent="0.25">
      <c r="A855" t="str" cm="1">
        <f t="array" ref="A855">IF(ISBLANK(INDEX(SampleList[ICP],ROW()-1)),"Not Requested",INDEX(SampleList[Experiment ID],ROW()-1))</f>
        <v>Not Requested</v>
      </c>
      <c r="B855">
        <f>Sampling!E853</f>
        <v>0</v>
      </c>
      <c r="E855" t="str">
        <f>ICPList[[#This Row],[Experiment ID]]&amp;"_Day"&amp;ICPList[[#This Row],[Duration (Days)]]&amp;"_"&amp;ICPList[[#This Row],[Dilution]]&amp;"x"</f>
        <v>Not Requested_Day0_x</v>
      </c>
      <c r="F855">
        <f>NMRResults[[#This Row],['#]]</f>
        <v>0</v>
      </c>
      <c r="G855" s="1">
        <f>NMRResults[[#This Row],[Date Run]]</f>
        <v>0</v>
      </c>
    </row>
    <row r="856" spans="1:7" hidden="1" x14ac:dyDescent="0.25">
      <c r="A856" t="str" cm="1">
        <f t="array" ref="A856">IF(ISBLANK(INDEX(SampleList[ICP],ROW()-1)),"Not Requested",INDEX(SampleList[Experiment ID],ROW()-1))</f>
        <v>Not Requested</v>
      </c>
      <c r="B856">
        <f>Sampling!E854</f>
        <v>0</v>
      </c>
      <c r="E856" t="str">
        <f>ICPList[[#This Row],[Experiment ID]]&amp;"_Day"&amp;ICPList[[#This Row],[Duration (Days)]]&amp;"_"&amp;ICPList[[#This Row],[Dilution]]&amp;"x"</f>
        <v>Not Requested_Day0_x</v>
      </c>
      <c r="F856">
        <f>NMRResults[[#This Row],['#]]</f>
        <v>0</v>
      </c>
      <c r="G856" s="1">
        <f>NMRResults[[#This Row],[Date Run]]</f>
        <v>0</v>
      </c>
    </row>
    <row r="857" spans="1:7" hidden="1" x14ac:dyDescent="0.25">
      <c r="A857" t="str" cm="1">
        <f t="array" ref="A857">IF(ISBLANK(INDEX(SampleList[ICP],ROW()-1)),"Not Requested",INDEX(SampleList[Experiment ID],ROW()-1))</f>
        <v>Not Requested</v>
      </c>
      <c r="B857">
        <f>Sampling!E855</f>
        <v>0</v>
      </c>
      <c r="E857" t="str">
        <f>ICPList[[#This Row],[Experiment ID]]&amp;"_Day"&amp;ICPList[[#This Row],[Duration (Days)]]&amp;"_"&amp;ICPList[[#This Row],[Dilution]]&amp;"x"</f>
        <v>Not Requested_Day0_x</v>
      </c>
      <c r="F857">
        <f>NMRResults[[#This Row],['#]]</f>
        <v>0</v>
      </c>
      <c r="G857" s="1">
        <f>NMRResults[[#This Row],[Date Run]]</f>
        <v>0</v>
      </c>
    </row>
    <row r="858" spans="1:7" hidden="1" x14ac:dyDescent="0.25">
      <c r="A858" t="str" cm="1">
        <f t="array" ref="A858">IF(ISBLANK(INDEX(SampleList[ICP],ROW()-1)),"Not Requested",INDEX(SampleList[Experiment ID],ROW()-1))</f>
        <v>Not Requested</v>
      </c>
      <c r="B858">
        <f>Sampling!E856</f>
        <v>0</v>
      </c>
      <c r="E858" t="str">
        <f>ICPList[[#This Row],[Experiment ID]]&amp;"_Day"&amp;ICPList[[#This Row],[Duration (Days)]]&amp;"_"&amp;ICPList[[#This Row],[Dilution]]&amp;"x"</f>
        <v>Not Requested_Day0_x</v>
      </c>
      <c r="F858">
        <f>NMRResults[[#This Row],['#]]</f>
        <v>0</v>
      </c>
      <c r="G858" s="1">
        <f>NMRResults[[#This Row],[Date Run]]</f>
        <v>0</v>
      </c>
    </row>
    <row r="859" spans="1:7" hidden="1" x14ac:dyDescent="0.25">
      <c r="A859" t="str" cm="1">
        <f t="array" ref="A859">IF(ISBLANK(INDEX(SampleList[ICP],ROW()-1)),"Not Requested",INDEX(SampleList[Experiment ID],ROW()-1))</f>
        <v>Not Requested</v>
      </c>
      <c r="B859">
        <f>Sampling!E857</f>
        <v>0</v>
      </c>
      <c r="E859" t="str">
        <f>ICPList[[#This Row],[Experiment ID]]&amp;"_Day"&amp;ICPList[[#This Row],[Duration (Days)]]&amp;"_"&amp;ICPList[[#This Row],[Dilution]]&amp;"x"</f>
        <v>Not Requested_Day0_x</v>
      </c>
      <c r="F859">
        <f>NMRResults[[#This Row],['#]]</f>
        <v>1</v>
      </c>
      <c r="G859" s="1">
        <f>NMRResults[[#This Row],[Date Run]]</f>
        <v>0</v>
      </c>
    </row>
    <row r="860" spans="1:7" hidden="1" x14ac:dyDescent="0.25">
      <c r="A860" t="str" cm="1">
        <f t="array" ref="A860">IF(ISBLANK(INDEX(SampleList[ICP],ROW()-1)),"Not Requested",INDEX(SampleList[Experiment ID],ROW()-1))</f>
        <v>Not Requested</v>
      </c>
      <c r="B860">
        <f>Sampling!E858</f>
        <v>0</v>
      </c>
      <c r="E860" t="str">
        <f>ICPList[[#This Row],[Experiment ID]]&amp;"_Day"&amp;ICPList[[#This Row],[Duration (Days)]]&amp;"_"&amp;ICPList[[#This Row],[Dilution]]&amp;"x"</f>
        <v>Not Requested_Day0_x</v>
      </c>
      <c r="F860">
        <f>NMRResults[[#This Row],['#]]</f>
        <v>2</v>
      </c>
      <c r="G860" s="1">
        <f>NMRResults[[#This Row],[Date Run]]</f>
        <v>0</v>
      </c>
    </row>
    <row r="861" spans="1:7" hidden="1" x14ac:dyDescent="0.25">
      <c r="A861" t="str" cm="1">
        <f t="array" ref="A861">IF(ISBLANK(INDEX(SampleList[ICP],ROW()-1)),"Not Requested",INDEX(SampleList[Experiment ID],ROW()-1))</f>
        <v>Not Requested</v>
      </c>
      <c r="B861">
        <f>Sampling!E859</f>
        <v>0</v>
      </c>
      <c r="E861" t="str">
        <f>ICPList[[#This Row],[Experiment ID]]&amp;"_Day"&amp;ICPList[[#This Row],[Duration (Days)]]&amp;"_"&amp;ICPList[[#This Row],[Dilution]]&amp;"x"</f>
        <v>Not Requested_Day0_x</v>
      </c>
      <c r="F861">
        <f>NMRResults[[#This Row],['#]]</f>
        <v>3</v>
      </c>
      <c r="G861" s="1">
        <f>NMRResults[[#This Row],[Date Run]]</f>
        <v>0</v>
      </c>
    </row>
    <row r="862" spans="1:7" hidden="1" x14ac:dyDescent="0.25">
      <c r="A862" t="str" cm="1">
        <f t="array" ref="A862">IF(ISBLANK(INDEX(SampleList[ICP],ROW()-1)),"Not Requested",INDEX(SampleList[Experiment ID],ROW()-1))</f>
        <v>Not Requested</v>
      </c>
      <c r="B862">
        <f>Sampling!E860</f>
        <v>0</v>
      </c>
      <c r="E862" t="str">
        <f>ICPList[[#This Row],[Experiment ID]]&amp;"_Day"&amp;ICPList[[#This Row],[Duration (Days)]]&amp;"_"&amp;ICPList[[#This Row],[Dilution]]&amp;"x"</f>
        <v>Not Requested_Day0_x</v>
      </c>
      <c r="F862">
        <f>NMRResults[[#This Row],['#]]</f>
        <v>4</v>
      </c>
      <c r="G862" s="1">
        <f>NMRResults[[#This Row],[Date Run]]</f>
        <v>0</v>
      </c>
    </row>
    <row r="863" spans="1:7" hidden="1" x14ac:dyDescent="0.25">
      <c r="A863" t="str" cm="1">
        <f t="array" ref="A863">IF(ISBLANK(INDEX(SampleList[ICP],ROW()-1)),"Not Requested",INDEX(SampleList[Experiment ID],ROW()-1))</f>
        <v>Not Requested</v>
      </c>
      <c r="B863">
        <f>Sampling!E861</f>
        <v>0</v>
      </c>
      <c r="E863" t="str">
        <f>ICPList[[#This Row],[Experiment ID]]&amp;"_Day"&amp;ICPList[[#This Row],[Duration (Days)]]&amp;"_"&amp;ICPList[[#This Row],[Dilution]]&amp;"x"</f>
        <v>Not Requested_Day0_x</v>
      </c>
      <c r="F863">
        <f>NMRResults[[#This Row],['#]]</f>
        <v>6</v>
      </c>
      <c r="G863" s="1">
        <f>NMRResults[[#This Row],[Date Run]]</f>
        <v>0</v>
      </c>
    </row>
    <row r="864" spans="1:7" hidden="1" x14ac:dyDescent="0.25">
      <c r="A864" t="str" cm="1">
        <f t="array" ref="A864">IF(ISBLANK(INDEX(SampleList[ICP],ROW()-1)),"Not Requested",INDEX(SampleList[Experiment ID],ROW()-1))</f>
        <v>Not Requested</v>
      </c>
      <c r="B864">
        <f>Sampling!E862</f>
        <v>0</v>
      </c>
      <c r="E864" t="str">
        <f>ICPList[[#This Row],[Experiment ID]]&amp;"_Day"&amp;ICPList[[#This Row],[Duration (Days)]]&amp;"_"&amp;ICPList[[#This Row],[Dilution]]&amp;"x"</f>
        <v>Not Requested_Day0_x</v>
      </c>
      <c r="F864">
        <f>NMRResults[[#This Row],['#]]</f>
        <v>5</v>
      </c>
      <c r="G864" s="1">
        <f>NMRResults[[#This Row],[Date Run]]</f>
        <v>0</v>
      </c>
    </row>
    <row r="865" spans="1:7" hidden="1" x14ac:dyDescent="0.25">
      <c r="A865" t="str" cm="1">
        <f t="array" ref="A865">IF(ISBLANK(INDEX(SampleList[ICP],ROW()-1)),"Not Requested",INDEX(SampleList[Experiment ID],ROW()-1))</f>
        <v>Not Requested</v>
      </c>
      <c r="B865">
        <f>Sampling!E863</f>
        <v>0</v>
      </c>
      <c r="E865" t="str">
        <f>ICPList[[#This Row],[Experiment ID]]&amp;"_Day"&amp;ICPList[[#This Row],[Duration (Days)]]&amp;"_"&amp;ICPList[[#This Row],[Dilution]]&amp;"x"</f>
        <v>Not Requested_Day0_x</v>
      </c>
      <c r="F865">
        <f>NMRResults[[#This Row],['#]]</f>
        <v>7</v>
      </c>
      <c r="G865" s="1">
        <f>NMRResults[[#This Row],[Date Run]]</f>
        <v>0</v>
      </c>
    </row>
    <row r="866" spans="1:7" hidden="1" x14ac:dyDescent="0.25">
      <c r="A866" t="str" cm="1">
        <f t="array" ref="A866">IF(ISBLANK(INDEX(SampleList[ICP],ROW()-1)),"Not Requested",INDEX(SampleList[Experiment ID],ROW()-1))</f>
        <v>Not Requested</v>
      </c>
      <c r="B866">
        <f>Sampling!E864</f>
        <v>0</v>
      </c>
      <c r="E866" t="str">
        <f>ICPList[[#This Row],[Experiment ID]]&amp;"_Day"&amp;ICPList[[#This Row],[Duration (Days)]]&amp;"_"&amp;ICPList[[#This Row],[Dilution]]&amp;"x"</f>
        <v>Not Requested_Day0_x</v>
      </c>
      <c r="F866">
        <f>NMRResults[[#This Row],['#]]</f>
        <v>8</v>
      </c>
      <c r="G866" s="1">
        <f>NMRResults[[#This Row],[Date Run]]</f>
        <v>0</v>
      </c>
    </row>
    <row r="867" spans="1:7" hidden="1" x14ac:dyDescent="0.25">
      <c r="A867" t="str" cm="1">
        <f t="array" ref="A867">IF(ISBLANK(INDEX(SampleList[ICP],ROW()-1)),"Not Requested",INDEX(SampleList[Experiment ID],ROW()-1))</f>
        <v>Not Requested</v>
      </c>
      <c r="B867">
        <f>Sampling!E865</f>
        <v>0</v>
      </c>
      <c r="E867" t="str">
        <f>ICPList[[#This Row],[Experiment ID]]&amp;"_Day"&amp;ICPList[[#This Row],[Duration (Days)]]&amp;"_"&amp;ICPList[[#This Row],[Dilution]]&amp;"x"</f>
        <v>Not Requested_Day0_x</v>
      </c>
      <c r="F867">
        <f>NMRResults[[#This Row],['#]]</f>
        <v>9</v>
      </c>
      <c r="G867" s="1">
        <f>NMRResults[[#This Row],[Date Run]]</f>
        <v>0</v>
      </c>
    </row>
    <row r="868" spans="1:7" hidden="1" x14ac:dyDescent="0.25">
      <c r="A868" t="str" cm="1">
        <f t="array" ref="A868">IF(ISBLANK(INDEX(SampleList[ICP],ROW()-1)),"Not Requested",INDEX(SampleList[Experiment ID],ROW()-1))</f>
        <v>Not Requested</v>
      </c>
      <c r="B868">
        <f>Sampling!E866</f>
        <v>0</v>
      </c>
      <c r="E868" t="str">
        <f>ICPList[[#This Row],[Experiment ID]]&amp;"_Day"&amp;ICPList[[#This Row],[Duration (Days)]]&amp;"_"&amp;ICPList[[#This Row],[Dilution]]&amp;"x"</f>
        <v>Not Requested_Day0_x</v>
      </c>
      <c r="F868">
        <f>NMRResults[[#This Row],['#]]</f>
        <v>10</v>
      </c>
      <c r="G868" s="1">
        <f>NMRResults[[#This Row],[Date Run]]</f>
        <v>0</v>
      </c>
    </row>
    <row r="869" spans="1:7" hidden="1" x14ac:dyDescent="0.25">
      <c r="A869" t="str" cm="1">
        <f t="array" ref="A869">IF(ISBLANK(INDEX(SampleList[ICP],ROW()-1)),"Not Requested",INDEX(SampleList[Experiment ID],ROW()-1))</f>
        <v>Not Requested</v>
      </c>
      <c r="B869">
        <f>Sampling!E867</f>
        <v>0</v>
      </c>
      <c r="E869" t="str">
        <f>ICPList[[#This Row],[Experiment ID]]&amp;"_Day"&amp;ICPList[[#This Row],[Duration (Days)]]&amp;"_"&amp;ICPList[[#This Row],[Dilution]]&amp;"x"</f>
        <v>Not Requested_Day0_x</v>
      </c>
      <c r="F869">
        <f>NMRResults[[#This Row],['#]]</f>
        <v>11</v>
      </c>
      <c r="G869" s="1">
        <f>NMRResults[[#This Row],[Date Run]]</f>
        <v>0</v>
      </c>
    </row>
    <row r="870" spans="1:7" hidden="1" x14ac:dyDescent="0.25">
      <c r="A870" t="str" cm="1">
        <f t="array" ref="A870">IF(ISBLANK(INDEX(SampleList[ICP],ROW()-1)),"Not Requested",INDEX(SampleList[Experiment ID],ROW()-1))</f>
        <v>Not Requested</v>
      </c>
      <c r="B870">
        <f>Sampling!E868</f>
        <v>0</v>
      </c>
      <c r="E870" t="str">
        <f>ICPList[[#This Row],[Experiment ID]]&amp;"_Day"&amp;ICPList[[#This Row],[Duration (Days)]]&amp;"_"&amp;ICPList[[#This Row],[Dilution]]&amp;"x"</f>
        <v>Not Requested_Day0_x</v>
      </c>
      <c r="F870">
        <f>NMRResults[[#This Row],['#]]</f>
        <v>12</v>
      </c>
      <c r="G870" s="1">
        <f>NMRResults[[#This Row],[Date Run]]</f>
        <v>0</v>
      </c>
    </row>
    <row r="871" spans="1:7" hidden="1" x14ac:dyDescent="0.25">
      <c r="A871" t="str" cm="1">
        <f t="array" ref="A871">IF(ISBLANK(INDEX(SampleList[ICP],ROW()-1)),"Not Requested",INDEX(SampleList[Experiment ID],ROW()-1))</f>
        <v>Not Requested</v>
      </c>
      <c r="B871">
        <f>Sampling!E869</f>
        <v>0</v>
      </c>
      <c r="E871" t="str">
        <f>ICPList[[#This Row],[Experiment ID]]&amp;"_Day"&amp;ICPList[[#This Row],[Duration (Days)]]&amp;"_"&amp;ICPList[[#This Row],[Dilution]]&amp;"x"</f>
        <v>Not Requested_Day0_x</v>
      </c>
      <c r="F871">
        <f>NMRResults[[#This Row],['#]]</f>
        <v>0</v>
      </c>
      <c r="G871" s="1">
        <f>NMRResults[[#This Row],[Date Run]]</f>
        <v>0</v>
      </c>
    </row>
    <row r="872" spans="1:7" hidden="1" x14ac:dyDescent="0.25">
      <c r="A872" t="str" cm="1">
        <f t="array" ref="A872">IF(ISBLANK(INDEX(SampleList[ICP],ROW()-1)),"Not Requested",INDEX(SampleList[Experiment ID],ROW()-1))</f>
        <v>Not Requested</v>
      </c>
      <c r="B872">
        <f>Sampling!E870</f>
        <v>0</v>
      </c>
      <c r="E872" t="str">
        <f>ICPList[[#This Row],[Experiment ID]]&amp;"_Day"&amp;ICPList[[#This Row],[Duration (Days)]]&amp;"_"&amp;ICPList[[#This Row],[Dilution]]&amp;"x"</f>
        <v>Not Requested_Day0_x</v>
      </c>
      <c r="F872">
        <f>NMRResults[[#This Row],['#]]</f>
        <v>0</v>
      </c>
      <c r="G872" s="1">
        <f>NMRResults[[#This Row],[Date Run]]</f>
        <v>0</v>
      </c>
    </row>
    <row r="873" spans="1:7" hidden="1" x14ac:dyDescent="0.25">
      <c r="A873" t="str" cm="1">
        <f t="array" ref="A873">IF(ISBLANK(INDEX(SampleList[ICP],ROW()-1)),"Not Requested",INDEX(SampleList[Experiment ID],ROW()-1))</f>
        <v>Not Requested</v>
      </c>
      <c r="B873">
        <f>Sampling!E871</f>
        <v>0</v>
      </c>
      <c r="E873" t="str">
        <f>ICPList[[#This Row],[Experiment ID]]&amp;"_Day"&amp;ICPList[[#This Row],[Duration (Days)]]&amp;"_"&amp;ICPList[[#This Row],[Dilution]]&amp;"x"</f>
        <v>Not Requested_Day0_x</v>
      </c>
      <c r="F873">
        <f>NMRResults[[#This Row],['#]]</f>
        <v>0</v>
      </c>
      <c r="G873" s="1">
        <f>NMRResults[[#This Row],[Date Run]]</f>
        <v>0</v>
      </c>
    </row>
    <row r="874" spans="1:7" hidden="1" x14ac:dyDescent="0.25">
      <c r="A874" t="str" cm="1">
        <f t="array" ref="A874">IF(ISBLANK(INDEX(SampleList[ICP],ROW()-1)),"Not Requested",INDEX(SampleList[Experiment ID],ROW()-1))</f>
        <v>Not Requested</v>
      </c>
      <c r="B874">
        <f>Sampling!E872</f>
        <v>0</v>
      </c>
      <c r="E874" t="str">
        <f>ICPList[[#This Row],[Experiment ID]]&amp;"_Day"&amp;ICPList[[#This Row],[Duration (Days)]]&amp;"_"&amp;ICPList[[#This Row],[Dilution]]&amp;"x"</f>
        <v>Not Requested_Day0_x</v>
      </c>
      <c r="F874">
        <f>NMRResults[[#This Row],['#]]</f>
        <v>0</v>
      </c>
      <c r="G874" s="1">
        <f>NMRResults[[#This Row],[Date Run]]</f>
        <v>0</v>
      </c>
    </row>
    <row r="875" spans="1:7" hidden="1" x14ac:dyDescent="0.25">
      <c r="A875" t="str" cm="1">
        <f t="array" ref="A875">IF(ISBLANK(INDEX(SampleList[ICP],ROW()-1)),"Not Requested",INDEX(SampleList[Experiment ID],ROW()-1))</f>
        <v>Not Requested</v>
      </c>
      <c r="B875">
        <f>Sampling!E873</f>
        <v>0</v>
      </c>
      <c r="E875" t="str">
        <f>ICPList[[#This Row],[Experiment ID]]&amp;"_Day"&amp;ICPList[[#This Row],[Duration (Days)]]&amp;"_"&amp;ICPList[[#This Row],[Dilution]]&amp;"x"</f>
        <v>Not Requested_Day0_x</v>
      </c>
      <c r="F875">
        <f>NMRResults[[#This Row],['#]]</f>
        <v>0</v>
      </c>
      <c r="G875" s="1">
        <f>NMRResults[[#This Row],[Date Run]]</f>
        <v>0</v>
      </c>
    </row>
    <row r="876" spans="1:7" hidden="1" x14ac:dyDescent="0.25">
      <c r="A876" t="str" cm="1">
        <f t="array" ref="A876">IF(ISBLANK(INDEX(SampleList[ICP],ROW()-1)),"Not Requested",INDEX(SampleList[Experiment ID],ROW()-1))</f>
        <v>Not Requested</v>
      </c>
      <c r="B876">
        <f>Sampling!E874</f>
        <v>0</v>
      </c>
      <c r="E876" t="str">
        <f>ICPList[[#This Row],[Experiment ID]]&amp;"_Day"&amp;ICPList[[#This Row],[Duration (Days)]]&amp;"_"&amp;ICPList[[#This Row],[Dilution]]&amp;"x"</f>
        <v>Not Requested_Day0_x</v>
      </c>
      <c r="F876">
        <f>NMRResults[[#This Row],['#]]</f>
        <v>0</v>
      </c>
      <c r="G876" s="1">
        <f>NMRResults[[#This Row],[Date Run]]</f>
        <v>0</v>
      </c>
    </row>
    <row r="877" spans="1:7" hidden="1" x14ac:dyDescent="0.25">
      <c r="A877" t="str" cm="1">
        <f t="array" ref="A877">IF(ISBLANK(INDEX(SampleList[ICP],ROW()-1)),"Not Requested",INDEX(SampleList[Experiment ID],ROW()-1))</f>
        <v>Not Requested</v>
      </c>
      <c r="B877">
        <f>Sampling!E875</f>
        <v>0</v>
      </c>
      <c r="E877" t="str">
        <f>ICPList[[#This Row],[Experiment ID]]&amp;"_Day"&amp;ICPList[[#This Row],[Duration (Days)]]&amp;"_"&amp;ICPList[[#This Row],[Dilution]]&amp;"x"</f>
        <v>Not Requested_Day0_x</v>
      </c>
      <c r="F877">
        <f>NMRResults[[#This Row],['#]]</f>
        <v>0</v>
      </c>
      <c r="G877" s="1">
        <f>NMRResults[[#This Row],[Date Run]]</f>
        <v>0</v>
      </c>
    </row>
    <row r="878" spans="1:7" hidden="1" x14ac:dyDescent="0.25">
      <c r="A878" t="str" cm="1">
        <f t="array" ref="A878">IF(ISBLANK(INDEX(SampleList[ICP],ROW()-1)),"Not Requested",INDEX(SampleList[Experiment ID],ROW()-1))</f>
        <v>Not Requested</v>
      </c>
      <c r="B878">
        <f>Sampling!E876</f>
        <v>0</v>
      </c>
      <c r="E878" t="str">
        <f>ICPList[[#This Row],[Experiment ID]]&amp;"_Day"&amp;ICPList[[#This Row],[Duration (Days)]]&amp;"_"&amp;ICPList[[#This Row],[Dilution]]&amp;"x"</f>
        <v>Not Requested_Day0_x</v>
      </c>
      <c r="F878">
        <f>NMRResults[[#This Row],['#]]</f>
        <v>0</v>
      </c>
      <c r="G878" s="1">
        <f>NMRResults[[#This Row],[Date Run]]</f>
        <v>0</v>
      </c>
    </row>
    <row r="879" spans="1:7" hidden="1" x14ac:dyDescent="0.25">
      <c r="A879" t="str" cm="1">
        <f t="array" ref="A879">IF(ISBLANK(INDEX(SampleList[ICP],ROW()-1)),"Not Requested",INDEX(SampleList[Experiment ID],ROW()-1))</f>
        <v>Not Requested</v>
      </c>
      <c r="B879">
        <f>Sampling!E877</f>
        <v>0</v>
      </c>
      <c r="E879" t="str">
        <f>ICPList[[#This Row],[Experiment ID]]&amp;"_Day"&amp;ICPList[[#This Row],[Duration (Days)]]&amp;"_"&amp;ICPList[[#This Row],[Dilution]]&amp;"x"</f>
        <v>Not Requested_Day0_x</v>
      </c>
      <c r="F879">
        <f>NMRResults[[#This Row],['#]]</f>
        <v>0</v>
      </c>
      <c r="G879" s="1">
        <f>NMRResults[[#This Row],[Date Run]]</f>
        <v>0</v>
      </c>
    </row>
    <row r="880" spans="1:7" hidden="1" x14ac:dyDescent="0.25">
      <c r="A880" t="str" cm="1">
        <f t="array" ref="A880">IF(ISBLANK(INDEX(SampleList[ICP],ROW()-1)),"Not Requested",INDEX(SampleList[Experiment ID],ROW()-1))</f>
        <v>Not Requested</v>
      </c>
      <c r="B880">
        <f>Sampling!E878</f>
        <v>0</v>
      </c>
      <c r="E880" t="str">
        <f>ICPList[[#This Row],[Experiment ID]]&amp;"_Day"&amp;ICPList[[#This Row],[Duration (Days)]]&amp;"_"&amp;ICPList[[#This Row],[Dilution]]&amp;"x"</f>
        <v>Not Requested_Day0_x</v>
      </c>
      <c r="F880">
        <f>NMRResults[[#This Row],['#]]</f>
        <v>0</v>
      </c>
      <c r="G880" s="1">
        <f>NMRResults[[#This Row],[Date Run]]</f>
        <v>0</v>
      </c>
    </row>
    <row r="881" spans="1:7" hidden="1" x14ac:dyDescent="0.25">
      <c r="A881" t="str" cm="1">
        <f t="array" ref="A881">IF(ISBLANK(INDEX(SampleList[ICP],ROW()-1)),"Not Requested",INDEX(SampleList[Experiment ID],ROW()-1))</f>
        <v>Not Requested</v>
      </c>
      <c r="B881">
        <f>Sampling!E879</f>
        <v>0</v>
      </c>
      <c r="E881" t="str">
        <f>ICPList[[#This Row],[Experiment ID]]&amp;"_Day"&amp;ICPList[[#This Row],[Duration (Days)]]&amp;"_"&amp;ICPList[[#This Row],[Dilution]]&amp;"x"</f>
        <v>Not Requested_Day0_x</v>
      </c>
      <c r="F881">
        <f>NMRResults[[#This Row],['#]]</f>
        <v>0</v>
      </c>
      <c r="G881" s="1">
        <f>NMRResults[[#This Row],[Date Run]]</f>
        <v>0</v>
      </c>
    </row>
    <row r="882" spans="1:7" hidden="1" x14ac:dyDescent="0.25">
      <c r="A882" t="str" cm="1">
        <f t="array" ref="A882">IF(ISBLANK(INDEX(SampleList[ICP],ROW()-1)),"Not Requested",INDEX(SampleList[Experiment ID],ROW()-1))</f>
        <v>Not Requested</v>
      </c>
      <c r="B882">
        <f>Sampling!E880</f>
        <v>0</v>
      </c>
      <c r="E882" t="str">
        <f>ICPList[[#This Row],[Experiment ID]]&amp;"_Day"&amp;ICPList[[#This Row],[Duration (Days)]]&amp;"_"&amp;ICPList[[#This Row],[Dilution]]&amp;"x"</f>
        <v>Not Requested_Day0_x</v>
      </c>
      <c r="F882">
        <f>NMRResults[[#This Row],['#]]</f>
        <v>0</v>
      </c>
      <c r="G882" s="1">
        <f>NMRResults[[#This Row],[Date Run]]</f>
        <v>0</v>
      </c>
    </row>
    <row r="883" spans="1:7" hidden="1" x14ac:dyDescent="0.25">
      <c r="A883" t="str" cm="1">
        <f t="array" ref="A883">IF(ISBLANK(INDEX(SampleList[ICP],ROW()-1)),"Not Requested",INDEX(SampleList[Experiment ID],ROW()-1))</f>
        <v>Not Requested</v>
      </c>
      <c r="B883">
        <f>Sampling!E881</f>
        <v>0</v>
      </c>
      <c r="E883" t="str">
        <f>ICPList[[#This Row],[Experiment ID]]&amp;"_Day"&amp;ICPList[[#This Row],[Duration (Days)]]&amp;"_"&amp;ICPList[[#This Row],[Dilution]]&amp;"x"</f>
        <v>Not Requested_Day0_x</v>
      </c>
      <c r="F883">
        <f>NMRResults[[#This Row],['#]]</f>
        <v>0</v>
      </c>
      <c r="G883" s="1">
        <f>NMRResults[[#This Row],[Date Run]]</f>
        <v>0</v>
      </c>
    </row>
    <row r="884" spans="1:7" hidden="1" x14ac:dyDescent="0.25">
      <c r="A884" t="str" cm="1">
        <f t="array" ref="A884">IF(ISBLANK(INDEX(SampleList[ICP],ROW()-1)),"Not Requested",INDEX(SampleList[Experiment ID],ROW()-1))</f>
        <v>Not Requested</v>
      </c>
      <c r="B884">
        <f>Sampling!E882</f>
        <v>0</v>
      </c>
      <c r="E884" t="str">
        <f>ICPList[[#This Row],[Experiment ID]]&amp;"_Day"&amp;ICPList[[#This Row],[Duration (Days)]]&amp;"_"&amp;ICPList[[#This Row],[Dilution]]&amp;"x"</f>
        <v>Not Requested_Day0_x</v>
      </c>
      <c r="F884">
        <f>NMRResults[[#This Row],['#]]</f>
        <v>0</v>
      </c>
      <c r="G884" s="1">
        <f>NMRResults[[#This Row],[Date Run]]</f>
        <v>0</v>
      </c>
    </row>
    <row r="885" spans="1:7" hidden="1" x14ac:dyDescent="0.25">
      <c r="A885" t="str" cm="1">
        <f t="array" ref="A885">IF(ISBLANK(INDEX(SampleList[ICP],ROW()-1)),"Not Requested",INDEX(SampleList[Experiment ID],ROW()-1))</f>
        <v>Not Requested</v>
      </c>
      <c r="B885">
        <f>Sampling!E883</f>
        <v>0</v>
      </c>
      <c r="E885" t="str">
        <f>ICPList[[#This Row],[Experiment ID]]&amp;"_Day"&amp;ICPList[[#This Row],[Duration (Days)]]&amp;"_"&amp;ICPList[[#This Row],[Dilution]]&amp;"x"</f>
        <v>Not Requested_Day0_x</v>
      </c>
      <c r="F885">
        <f>NMRResults[[#This Row],['#]]</f>
        <v>0</v>
      </c>
      <c r="G885" s="1">
        <f>NMRResults[[#This Row],[Date Run]]</f>
        <v>0</v>
      </c>
    </row>
    <row r="886" spans="1:7" hidden="1" x14ac:dyDescent="0.25">
      <c r="A886" t="str" cm="1">
        <f t="array" ref="A886">IF(ISBLANK(INDEX(SampleList[ICP],ROW()-1)),"Not Requested",INDEX(SampleList[Experiment ID],ROW()-1))</f>
        <v>Not Requested</v>
      </c>
      <c r="B886">
        <f>Sampling!E884</f>
        <v>0</v>
      </c>
      <c r="E886" t="str">
        <f>ICPList[[#This Row],[Experiment ID]]&amp;"_Day"&amp;ICPList[[#This Row],[Duration (Days)]]&amp;"_"&amp;ICPList[[#This Row],[Dilution]]&amp;"x"</f>
        <v>Not Requested_Day0_x</v>
      </c>
      <c r="F886">
        <f>NMRResults[[#This Row],['#]]</f>
        <v>0</v>
      </c>
      <c r="G886" s="1">
        <f>NMRResults[[#This Row],[Date Run]]</f>
        <v>0</v>
      </c>
    </row>
    <row r="887" spans="1:7" hidden="1" x14ac:dyDescent="0.25">
      <c r="A887" t="str" cm="1">
        <f t="array" ref="A887">IF(ISBLANK(INDEX(SampleList[ICP],ROW()-1)),"Not Requested",INDEX(SampleList[Experiment ID],ROW()-1))</f>
        <v>Not Requested</v>
      </c>
      <c r="B887">
        <f>Sampling!E885</f>
        <v>0</v>
      </c>
      <c r="E887" t="str">
        <f>ICPList[[#This Row],[Experiment ID]]&amp;"_Day"&amp;ICPList[[#This Row],[Duration (Days)]]&amp;"_"&amp;ICPList[[#This Row],[Dilution]]&amp;"x"</f>
        <v>Not Requested_Day0_x</v>
      </c>
      <c r="F887">
        <f>NMRResults[[#This Row],['#]]</f>
        <v>0</v>
      </c>
      <c r="G887" s="1">
        <f>NMRResults[[#This Row],[Date Run]]</f>
        <v>0</v>
      </c>
    </row>
    <row r="888" spans="1:7" hidden="1" x14ac:dyDescent="0.25">
      <c r="A888" t="str" cm="1">
        <f t="array" ref="A888">IF(ISBLANK(INDEX(SampleList[ICP],ROW()-1)),"Not Requested",INDEX(SampleList[Experiment ID],ROW()-1))</f>
        <v>Not Requested</v>
      </c>
      <c r="B888">
        <f>Sampling!E886</f>
        <v>0</v>
      </c>
      <c r="E888" t="str">
        <f>ICPList[[#This Row],[Experiment ID]]&amp;"_Day"&amp;ICPList[[#This Row],[Duration (Days)]]&amp;"_"&amp;ICPList[[#This Row],[Dilution]]&amp;"x"</f>
        <v>Not Requested_Day0_x</v>
      </c>
      <c r="F888">
        <f>NMRResults[[#This Row],['#]]</f>
        <v>0</v>
      </c>
      <c r="G888" s="1">
        <f>NMRResults[[#This Row],[Date Run]]</f>
        <v>0</v>
      </c>
    </row>
    <row r="889" spans="1:7" hidden="1" x14ac:dyDescent="0.25">
      <c r="A889" t="str" cm="1">
        <f t="array" ref="A889">IF(ISBLANK(INDEX(SampleList[ICP],ROW()-1)),"Not Requested",INDEX(SampleList[Experiment ID],ROW()-1))</f>
        <v>Not Requested</v>
      </c>
      <c r="B889">
        <f>Sampling!E887</f>
        <v>0</v>
      </c>
      <c r="E889" t="str">
        <f>ICPList[[#This Row],[Experiment ID]]&amp;"_Day"&amp;ICPList[[#This Row],[Duration (Days)]]&amp;"_"&amp;ICPList[[#This Row],[Dilution]]&amp;"x"</f>
        <v>Not Requested_Day0_x</v>
      </c>
      <c r="F889">
        <f>NMRResults[[#This Row],['#]]</f>
        <v>0</v>
      </c>
      <c r="G889" s="1">
        <f>NMRResults[[#This Row],[Date Run]]</f>
        <v>0</v>
      </c>
    </row>
    <row r="890" spans="1:7" hidden="1" x14ac:dyDescent="0.25">
      <c r="A890" t="str" cm="1">
        <f t="array" ref="A890">IF(ISBLANK(INDEX(SampleList[ICP],ROW()-1)),"Not Requested",INDEX(SampleList[Experiment ID],ROW()-1))</f>
        <v>Not Requested</v>
      </c>
      <c r="B890">
        <f>Sampling!E888</f>
        <v>0</v>
      </c>
      <c r="E890" t="str">
        <f>ICPList[[#This Row],[Experiment ID]]&amp;"_Day"&amp;ICPList[[#This Row],[Duration (Days)]]&amp;"_"&amp;ICPList[[#This Row],[Dilution]]&amp;"x"</f>
        <v>Not Requested_Day0_x</v>
      </c>
      <c r="F890">
        <f>NMRResults[[#This Row],['#]]</f>
        <v>0</v>
      </c>
      <c r="G890" s="1">
        <f>NMRResults[[#This Row],[Date Run]]</f>
        <v>0</v>
      </c>
    </row>
    <row r="891" spans="1:7" hidden="1" x14ac:dyDescent="0.25">
      <c r="A891" t="str" cm="1">
        <f t="array" ref="A891">IF(ISBLANK(INDEX(SampleList[ICP],ROW()-1)),"Not Requested",INDEX(SampleList[Experiment ID],ROW()-1))</f>
        <v>Not Requested</v>
      </c>
      <c r="B891">
        <f>Sampling!E889</f>
        <v>0</v>
      </c>
      <c r="E891" t="str">
        <f>ICPList[[#This Row],[Experiment ID]]&amp;"_Day"&amp;ICPList[[#This Row],[Duration (Days)]]&amp;"_"&amp;ICPList[[#This Row],[Dilution]]&amp;"x"</f>
        <v>Not Requested_Day0_x</v>
      </c>
      <c r="F891">
        <f>NMRResults[[#This Row],['#]]</f>
        <v>6</v>
      </c>
      <c r="G891" s="1">
        <f>NMRResults[[#This Row],[Date Run]]</f>
        <v>0</v>
      </c>
    </row>
    <row r="892" spans="1:7" hidden="1" x14ac:dyDescent="0.25">
      <c r="A892" t="str" cm="1">
        <f t="array" ref="A892">IF(ISBLANK(INDEX(SampleList[ICP],ROW()-1)),"Not Requested",INDEX(SampleList[Experiment ID],ROW()-1))</f>
        <v>Not Requested</v>
      </c>
      <c r="B892">
        <f>Sampling!E890</f>
        <v>0</v>
      </c>
      <c r="E892" t="str">
        <f>ICPList[[#This Row],[Experiment ID]]&amp;"_Day"&amp;ICPList[[#This Row],[Duration (Days)]]&amp;"_"&amp;ICPList[[#This Row],[Dilution]]&amp;"x"</f>
        <v>Not Requested_Day0_x</v>
      </c>
      <c r="F892">
        <f>NMRResults[[#This Row],['#]]</f>
        <v>1</v>
      </c>
      <c r="G892" s="1">
        <f>NMRResults[[#This Row],[Date Run]]</f>
        <v>0</v>
      </c>
    </row>
    <row r="893" spans="1:7" hidden="1" x14ac:dyDescent="0.25">
      <c r="A893" t="str" cm="1">
        <f t="array" ref="A893">IF(ISBLANK(INDEX(SampleList[ICP],ROW()-1)),"Not Requested",INDEX(SampleList[Experiment ID],ROW()-1))</f>
        <v>Not Requested</v>
      </c>
      <c r="B893">
        <f>Sampling!E891</f>
        <v>0</v>
      </c>
      <c r="E893" t="str">
        <f>ICPList[[#This Row],[Experiment ID]]&amp;"_Day"&amp;ICPList[[#This Row],[Duration (Days)]]&amp;"_"&amp;ICPList[[#This Row],[Dilution]]&amp;"x"</f>
        <v>Not Requested_Day0_x</v>
      </c>
      <c r="F893">
        <f>NMRResults[[#This Row],['#]]</f>
        <v>2</v>
      </c>
      <c r="G893" s="1">
        <f>NMRResults[[#This Row],[Date Run]]</f>
        <v>0</v>
      </c>
    </row>
    <row r="894" spans="1:7" hidden="1" x14ac:dyDescent="0.25">
      <c r="A894" t="str" cm="1">
        <f t="array" ref="A894">IF(ISBLANK(INDEX(SampleList[ICP],ROW()-1)),"Not Requested",INDEX(SampleList[Experiment ID],ROW()-1))</f>
        <v>Not Requested</v>
      </c>
      <c r="B894">
        <f>Sampling!E892</f>
        <v>0</v>
      </c>
      <c r="E894" t="str">
        <f>ICPList[[#This Row],[Experiment ID]]&amp;"_Day"&amp;ICPList[[#This Row],[Duration (Days)]]&amp;"_"&amp;ICPList[[#This Row],[Dilution]]&amp;"x"</f>
        <v>Not Requested_Day0_x</v>
      </c>
      <c r="F894">
        <f>NMRResults[[#This Row],['#]]</f>
        <v>5</v>
      </c>
      <c r="G894" s="1">
        <f>NMRResults[[#This Row],[Date Run]]</f>
        <v>0</v>
      </c>
    </row>
    <row r="895" spans="1:7" hidden="1" x14ac:dyDescent="0.25">
      <c r="A895" t="str" cm="1">
        <f t="array" ref="A895">IF(ISBLANK(INDEX(SampleList[ICP],ROW()-1)),"Not Requested",INDEX(SampleList[Experiment ID],ROW()-1))</f>
        <v>Not Requested</v>
      </c>
      <c r="B895">
        <f>Sampling!E893</f>
        <v>0</v>
      </c>
      <c r="E895" t="str">
        <f>ICPList[[#This Row],[Experiment ID]]&amp;"_Day"&amp;ICPList[[#This Row],[Duration (Days)]]&amp;"_"&amp;ICPList[[#This Row],[Dilution]]&amp;"x"</f>
        <v>Not Requested_Day0_x</v>
      </c>
      <c r="F895">
        <f>NMRResults[[#This Row],['#]]</f>
        <v>7</v>
      </c>
      <c r="G895" s="1">
        <f>NMRResults[[#This Row],[Date Run]]</f>
        <v>0</v>
      </c>
    </row>
    <row r="896" spans="1:7" hidden="1" x14ac:dyDescent="0.25">
      <c r="A896" t="str" cm="1">
        <f t="array" ref="A896">IF(ISBLANK(INDEX(SampleList[ICP],ROW()-1)),"Not Requested",INDEX(SampleList[Experiment ID],ROW()-1))</f>
        <v>Not Requested</v>
      </c>
      <c r="B896">
        <f>Sampling!E894</f>
        <v>0</v>
      </c>
      <c r="E896" t="str">
        <f>ICPList[[#This Row],[Experiment ID]]&amp;"_Day"&amp;ICPList[[#This Row],[Duration (Days)]]&amp;"_"&amp;ICPList[[#This Row],[Dilution]]&amp;"x"</f>
        <v>Not Requested_Day0_x</v>
      </c>
      <c r="F896">
        <f>NMRResults[[#This Row],['#]]</f>
        <v>0</v>
      </c>
      <c r="G896" s="1">
        <f>NMRResults[[#This Row],[Date Run]]</f>
        <v>0</v>
      </c>
    </row>
    <row r="897" spans="1:7" hidden="1" x14ac:dyDescent="0.25">
      <c r="A897" t="str" cm="1">
        <f t="array" ref="A897">IF(ISBLANK(INDEX(SampleList[ICP],ROW()-1)),"Not Requested",INDEX(SampleList[Experiment ID],ROW()-1))</f>
        <v>Not Requested</v>
      </c>
      <c r="B897">
        <f>Sampling!E895</f>
        <v>0</v>
      </c>
      <c r="E897" t="str">
        <f>ICPList[[#This Row],[Experiment ID]]&amp;"_Day"&amp;ICPList[[#This Row],[Duration (Days)]]&amp;"_"&amp;ICPList[[#This Row],[Dilution]]&amp;"x"</f>
        <v>Not Requested_Day0_x</v>
      </c>
      <c r="F897">
        <f>NMRResults[[#This Row],['#]]</f>
        <v>0</v>
      </c>
      <c r="G897" s="1">
        <f>NMRResults[[#This Row],[Date Run]]</f>
        <v>0</v>
      </c>
    </row>
    <row r="898" spans="1:7" hidden="1" x14ac:dyDescent="0.25">
      <c r="A898" t="str" cm="1">
        <f t="array" ref="A898">IF(ISBLANK(INDEX(SampleList[ICP],ROW()-1)),"Not Requested",INDEX(SampleList[Experiment ID],ROW()-1))</f>
        <v>Not Requested</v>
      </c>
      <c r="B898">
        <f>Sampling!E896</f>
        <v>0</v>
      </c>
      <c r="E898" t="str">
        <f>ICPList[[#This Row],[Experiment ID]]&amp;"_Day"&amp;ICPList[[#This Row],[Duration (Days)]]&amp;"_"&amp;ICPList[[#This Row],[Dilution]]&amp;"x"</f>
        <v>Not Requested_Day0_x</v>
      </c>
      <c r="F898">
        <f>NMRResults[[#This Row],['#]]</f>
        <v>1</v>
      </c>
      <c r="G898" s="1">
        <f>NMRResults[[#This Row],[Date Run]]</f>
        <v>0</v>
      </c>
    </row>
    <row r="899" spans="1:7" hidden="1" x14ac:dyDescent="0.25">
      <c r="A899" t="str" cm="1">
        <f t="array" ref="A899">IF(ISBLANK(INDEX(SampleList[ICP],ROW()-1)),"Not Requested",INDEX(SampleList[Experiment ID],ROW()-1))</f>
        <v>Not Requested</v>
      </c>
      <c r="B899">
        <f>Sampling!E897</f>
        <v>0</v>
      </c>
      <c r="E899" t="str">
        <f>ICPList[[#This Row],[Experiment ID]]&amp;"_Day"&amp;ICPList[[#This Row],[Duration (Days)]]&amp;"_"&amp;ICPList[[#This Row],[Dilution]]&amp;"x"</f>
        <v>Not Requested_Day0_x</v>
      </c>
      <c r="F899">
        <f>NMRResults[[#This Row],['#]]</f>
        <v>2</v>
      </c>
      <c r="G899" s="1">
        <f>NMRResults[[#This Row],[Date Run]]</f>
        <v>0</v>
      </c>
    </row>
    <row r="900" spans="1:7" hidden="1" x14ac:dyDescent="0.25">
      <c r="A900" t="str" cm="1">
        <f t="array" ref="A900">IF(ISBLANK(INDEX(SampleList[ICP],ROW()-1)),"Not Requested",INDEX(SampleList[Experiment ID],ROW()-1))</f>
        <v>Not Requested</v>
      </c>
      <c r="B900">
        <f>Sampling!E898</f>
        <v>0</v>
      </c>
      <c r="E900" t="str">
        <f>ICPList[[#This Row],[Experiment ID]]&amp;"_Day"&amp;ICPList[[#This Row],[Duration (Days)]]&amp;"_"&amp;ICPList[[#This Row],[Dilution]]&amp;"x"</f>
        <v>Not Requested_Day0_x</v>
      </c>
      <c r="F900">
        <f>NMRResults[[#This Row],['#]]</f>
        <v>3</v>
      </c>
      <c r="G900" s="1">
        <f>NMRResults[[#This Row],[Date Run]]</f>
        <v>0</v>
      </c>
    </row>
    <row r="901" spans="1:7" hidden="1" x14ac:dyDescent="0.25">
      <c r="A901" t="str" cm="1">
        <f t="array" ref="A901">IF(ISBLANK(INDEX(SampleList[ICP],ROW()-1)),"Not Requested",INDEX(SampleList[Experiment ID],ROW()-1))</f>
        <v>Not Requested</v>
      </c>
      <c r="B901">
        <f>Sampling!E899</f>
        <v>0</v>
      </c>
      <c r="E901" t="str">
        <f>ICPList[[#This Row],[Experiment ID]]&amp;"_Day"&amp;ICPList[[#This Row],[Duration (Days)]]&amp;"_"&amp;ICPList[[#This Row],[Dilution]]&amp;"x"</f>
        <v>Not Requested_Day0_x</v>
      </c>
      <c r="F901">
        <f>NMRResults[[#This Row],['#]]</f>
        <v>4</v>
      </c>
      <c r="G901" s="1">
        <f>NMRResults[[#This Row],[Date Run]]</f>
        <v>0</v>
      </c>
    </row>
    <row r="902" spans="1:7" hidden="1" x14ac:dyDescent="0.25">
      <c r="A902" t="str" cm="1">
        <f t="array" ref="A902">IF(ISBLANK(INDEX(SampleList[ICP],ROW()-1)),"Not Requested",INDEX(SampleList[Experiment ID],ROW()-1))</f>
        <v>Not Requested</v>
      </c>
      <c r="B902">
        <f>Sampling!E900</f>
        <v>0</v>
      </c>
      <c r="E902" t="str">
        <f>ICPList[[#This Row],[Experiment ID]]&amp;"_Day"&amp;ICPList[[#This Row],[Duration (Days)]]&amp;"_"&amp;ICPList[[#This Row],[Dilution]]&amp;"x"</f>
        <v>Not Requested_Day0_x</v>
      </c>
      <c r="F902">
        <f>NMRResults[[#This Row],['#]]</f>
        <v>6</v>
      </c>
      <c r="G902" s="1">
        <f>NMRResults[[#This Row],[Date Run]]</f>
        <v>0</v>
      </c>
    </row>
    <row r="903" spans="1:7" hidden="1" x14ac:dyDescent="0.25">
      <c r="A903" t="str" cm="1">
        <f t="array" ref="A903">IF(ISBLANK(INDEX(SampleList[ICP],ROW()-1)),"Not Requested",INDEX(SampleList[Experiment ID],ROW()-1))</f>
        <v>Not Requested</v>
      </c>
      <c r="B903">
        <f>Sampling!E901</f>
        <v>0</v>
      </c>
      <c r="E903" t="str">
        <f>ICPList[[#This Row],[Experiment ID]]&amp;"_Day"&amp;ICPList[[#This Row],[Duration (Days)]]&amp;"_"&amp;ICPList[[#This Row],[Dilution]]&amp;"x"</f>
        <v>Not Requested_Day0_x</v>
      </c>
      <c r="F903">
        <f>NMRResults[[#This Row],['#]]</f>
        <v>5</v>
      </c>
      <c r="G903" s="1">
        <f>NMRResults[[#This Row],[Date Run]]</f>
        <v>0</v>
      </c>
    </row>
    <row r="904" spans="1:7" hidden="1" x14ac:dyDescent="0.25">
      <c r="A904" t="str" cm="1">
        <f t="array" ref="A904">IF(ISBLANK(INDEX(SampleList[ICP],ROW()-1)),"Not Requested",INDEX(SampleList[Experiment ID],ROW()-1))</f>
        <v>Not Requested</v>
      </c>
      <c r="B904">
        <f>Sampling!E902</f>
        <v>0</v>
      </c>
      <c r="E904" t="str">
        <f>ICPList[[#This Row],[Experiment ID]]&amp;"_Day"&amp;ICPList[[#This Row],[Duration (Days)]]&amp;"_"&amp;ICPList[[#This Row],[Dilution]]&amp;"x"</f>
        <v>Not Requested_Day0_x</v>
      </c>
      <c r="F904">
        <f>NMRResults[[#This Row],['#]]</f>
        <v>7</v>
      </c>
      <c r="G904" s="1">
        <f>NMRResults[[#This Row],[Date Run]]</f>
        <v>0</v>
      </c>
    </row>
    <row r="905" spans="1:7" hidden="1" x14ac:dyDescent="0.25">
      <c r="A905" t="str" cm="1">
        <f t="array" ref="A905">IF(ISBLANK(INDEX(SampleList[ICP],ROW()-1)),"Not Requested",INDEX(SampleList[Experiment ID],ROW()-1))</f>
        <v>Not Requested</v>
      </c>
      <c r="B905">
        <f>Sampling!E903</f>
        <v>0</v>
      </c>
      <c r="E905" t="str">
        <f>ICPList[[#This Row],[Experiment ID]]&amp;"_Day"&amp;ICPList[[#This Row],[Duration (Days)]]&amp;"_"&amp;ICPList[[#This Row],[Dilution]]&amp;"x"</f>
        <v>Not Requested_Day0_x</v>
      </c>
      <c r="F905">
        <f>NMRResults[[#This Row],['#]]</f>
        <v>8</v>
      </c>
      <c r="G905" s="1">
        <f>NMRResults[[#This Row],[Date Run]]</f>
        <v>0</v>
      </c>
    </row>
    <row r="906" spans="1:7" hidden="1" x14ac:dyDescent="0.25">
      <c r="A906" t="str" cm="1">
        <f t="array" ref="A906">IF(ISBLANK(INDEX(SampleList[ICP],ROW()-1)),"Not Requested",INDEX(SampleList[Experiment ID],ROW()-1))</f>
        <v>Not Requested</v>
      </c>
      <c r="B906">
        <f>Sampling!E904</f>
        <v>0</v>
      </c>
      <c r="E906" t="str">
        <f>ICPList[[#This Row],[Experiment ID]]&amp;"_Day"&amp;ICPList[[#This Row],[Duration (Days)]]&amp;"_"&amp;ICPList[[#This Row],[Dilution]]&amp;"x"</f>
        <v>Not Requested_Day0_x</v>
      </c>
      <c r="F906">
        <f>NMRResults[[#This Row],['#]]</f>
        <v>9</v>
      </c>
      <c r="G906" s="1">
        <f>NMRResults[[#This Row],[Date Run]]</f>
        <v>0</v>
      </c>
    </row>
    <row r="907" spans="1:7" hidden="1" x14ac:dyDescent="0.25">
      <c r="A907" t="str" cm="1">
        <f t="array" ref="A907">IF(ISBLANK(INDEX(SampleList[ICP],ROW()-1)),"Not Requested",INDEX(SampleList[Experiment ID],ROW()-1))</f>
        <v>Not Requested</v>
      </c>
      <c r="B907">
        <f>Sampling!E905</f>
        <v>0</v>
      </c>
      <c r="E907" t="str">
        <f>ICPList[[#This Row],[Experiment ID]]&amp;"_Day"&amp;ICPList[[#This Row],[Duration (Days)]]&amp;"_"&amp;ICPList[[#This Row],[Dilution]]&amp;"x"</f>
        <v>Not Requested_Day0_x</v>
      </c>
      <c r="F907">
        <f>NMRResults[[#This Row],['#]]</f>
        <v>10</v>
      </c>
      <c r="G907" s="1">
        <f>NMRResults[[#This Row],[Date Run]]</f>
        <v>0</v>
      </c>
    </row>
    <row r="908" spans="1:7" hidden="1" x14ac:dyDescent="0.25">
      <c r="A908" t="str" cm="1">
        <f t="array" ref="A908">IF(ISBLANK(INDEX(SampleList[ICP],ROW()-1)),"Not Requested",INDEX(SampleList[Experiment ID],ROW()-1))</f>
        <v>Not Requested</v>
      </c>
      <c r="B908">
        <f>Sampling!E906</f>
        <v>0</v>
      </c>
      <c r="E908" t="str">
        <f>ICPList[[#This Row],[Experiment ID]]&amp;"_Day"&amp;ICPList[[#This Row],[Duration (Days)]]&amp;"_"&amp;ICPList[[#This Row],[Dilution]]&amp;"x"</f>
        <v>Not Requested_Day0_x</v>
      </c>
      <c r="F908">
        <f>NMRResults[[#This Row],['#]]</f>
        <v>11</v>
      </c>
      <c r="G908" s="1">
        <f>NMRResults[[#This Row],[Date Run]]</f>
        <v>0</v>
      </c>
    </row>
    <row r="909" spans="1:7" hidden="1" x14ac:dyDescent="0.25">
      <c r="A909" t="str" cm="1">
        <f t="array" ref="A909">IF(ISBLANK(INDEX(SampleList[ICP],ROW()-1)),"Not Requested",INDEX(SampleList[Experiment ID],ROW()-1))</f>
        <v>Not Requested</v>
      </c>
      <c r="B909">
        <f>Sampling!E907</f>
        <v>0</v>
      </c>
      <c r="E909" t="str">
        <f>ICPList[[#This Row],[Experiment ID]]&amp;"_Day"&amp;ICPList[[#This Row],[Duration (Days)]]&amp;"_"&amp;ICPList[[#This Row],[Dilution]]&amp;"x"</f>
        <v>Not Requested_Day0_x</v>
      </c>
      <c r="F909">
        <f>NMRResults[[#This Row],['#]]</f>
        <v>12</v>
      </c>
      <c r="G909" s="1">
        <f>NMRResults[[#This Row],[Date Run]]</f>
        <v>0</v>
      </c>
    </row>
    <row r="910" spans="1:7" hidden="1" x14ac:dyDescent="0.25">
      <c r="A910" t="str" cm="1">
        <f t="array" ref="A910">IF(ISBLANK(INDEX(SampleList[ICP],ROW()-1)),"Not Requested",INDEX(SampleList[Experiment ID],ROW()-1))</f>
        <v>Not Requested</v>
      </c>
      <c r="B910">
        <f>Sampling!E908</f>
        <v>0</v>
      </c>
      <c r="E910" t="str">
        <f>ICPList[[#This Row],[Experiment ID]]&amp;"_Day"&amp;ICPList[[#This Row],[Duration (Days)]]&amp;"_"&amp;ICPList[[#This Row],[Dilution]]&amp;"x"</f>
        <v>Not Requested_Day0_x</v>
      </c>
      <c r="F910">
        <f>NMRResults[[#This Row],['#]]</f>
        <v>1</v>
      </c>
      <c r="G910" s="1">
        <f>NMRResults[[#This Row],[Date Run]]</f>
        <v>0</v>
      </c>
    </row>
    <row r="911" spans="1:7" hidden="1" x14ac:dyDescent="0.25">
      <c r="A911" t="str" cm="1">
        <f t="array" ref="A911">IF(ISBLANK(INDEX(SampleList[ICP],ROW()-1)),"Not Requested",INDEX(SampleList[Experiment ID],ROW()-1))</f>
        <v>Not Requested</v>
      </c>
      <c r="B911">
        <f>Sampling!E909</f>
        <v>0</v>
      </c>
      <c r="E911" t="str">
        <f>ICPList[[#This Row],[Experiment ID]]&amp;"_Day"&amp;ICPList[[#This Row],[Duration (Days)]]&amp;"_"&amp;ICPList[[#This Row],[Dilution]]&amp;"x"</f>
        <v>Not Requested_Day0_x</v>
      </c>
      <c r="F911">
        <f>NMRResults[[#This Row],['#]]</f>
        <v>5</v>
      </c>
      <c r="G911" s="1">
        <f>NMRResults[[#This Row],[Date Run]]</f>
        <v>0</v>
      </c>
    </row>
    <row r="912" spans="1:7" hidden="1" x14ac:dyDescent="0.25">
      <c r="A912" t="str" cm="1">
        <f t="array" ref="A912">IF(ISBLANK(INDEX(SampleList[ICP],ROW()-1)),"Not Requested",INDEX(SampleList[Experiment ID],ROW()-1))</f>
        <v>Not Requested</v>
      </c>
      <c r="B912">
        <f>Sampling!E910</f>
        <v>0</v>
      </c>
      <c r="E912" t="str">
        <f>ICPList[[#This Row],[Experiment ID]]&amp;"_Day"&amp;ICPList[[#This Row],[Duration (Days)]]&amp;"_"&amp;ICPList[[#This Row],[Dilution]]&amp;"x"</f>
        <v>Not Requested_Day0_x</v>
      </c>
      <c r="F912">
        <f>NMRResults[[#This Row],['#]]</f>
        <v>2</v>
      </c>
      <c r="G912" s="1">
        <f>NMRResults[[#This Row],[Date Run]]</f>
        <v>0</v>
      </c>
    </row>
    <row r="913" spans="1:7" hidden="1" x14ac:dyDescent="0.25">
      <c r="A913" t="str" cm="1">
        <f t="array" ref="A913">IF(ISBLANK(INDEX(SampleList[ICP],ROW()-1)),"Not Requested",INDEX(SampleList[Experiment ID],ROW()-1))</f>
        <v>Not Requested</v>
      </c>
      <c r="B913">
        <f>Sampling!E911</f>
        <v>0</v>
      </c>
      <c r="E913" t="str">
        <f>ICPList[[#This Row],[Experiment ID]]&amp;"_Day"&amp;ICPList[[#This Row],[Duration (Days)]]&amp;"_"&amp;ICPList[[#This Row],[Dilution]]&amp;"x"</f>
        <v>Not Requested_Day0_x</v>
      </c>
      <c r="F913">
        <f>NMRResults[[#This Row],['#]]</f>
        <v>3</v>
      </c>
      <c r="G913" s="1">
        <f>NMRResults[[#This Row],[Date Run]]</f>
        <v>0</v>
      </c>
    </row>
    <row r="914" spans="1:7" hidden="1" x14ac:dyDescent="0.25">
      <c r="A914" t="str" cm="1">
        <f t="array" ref="A914">IF(ISBLANK(INDEX(SampleList[ICP],ROW()-1)),"Not Requested",INDEX(SampleList[Experiment ID],ROW()-1))</f>
        <v>Not Requested</v>
      </c>
      <c r="B914">
        <f>Sampling!E912</f>
        <v>0</v>
      </c>
      <c r="E914" t="str">
        <f>ICPList[[#This Row],[Experiment ID]]&amp;"_Day"&amp;ICPList[[#This Row],[Duration (Days)]]&amp;"_"&amp;ICPList[[#This Row],[Dilution]]&amp;"x"</f>
        <v>Not Requested_Day0_x</v>
      </c>
      <c r="F914">
        <f>NMRResults[[#This Row],['#]]</f>
        <v>4</v>
      </c>
      <c r="G914" s="1">
        <f>NMRResults[[#This Row],[Date Run]]</f>
        <v>0</v>
      </c>
    </row>
    <row r="915" spans="1:7" hidden="1" x14ac:dyDescent="0.25">
      <c r="A915" t="str" cm="1">
        <f t="array" ref="A915">IF(ISBLANK(INDEX(SampleList[ICP],ROW()-1)),"Not Requested",INDEX(SampleList[Experiment ID],ROW()-1))</f>
        <v>Not Requested</v>
      </c>
      <c r="B915">
        <f>Sampling!E913</f>
        <v>0</v>
      </c>
      <c r="E915" t="str">
        <f>ICPList[[#This Row],[Experiment ID]]&amp;"_Day"&amp;ICPList[[#This Row],[Duration (Days)]]&amp;"_"&amp;ICPList[[#This Row],[Dilution]]&amp;"x"</f>
        <v>Not Requested_Day0_x</v>
      </c>
      <c r="F915">
        <f>NMRResults[[#This Row],['#]]</f>
        <v>6</v>
      </c>
      <c r="G915" s="1">
        <f>NMRResults[[#This Row],[Date Run]]</f>
        <v>0</v>
      </c>
    </row>
    <row r="916" spans="1:7" hidden="1" x14ac:dyDescent="0.25">
      <c r="A916" t="str" cm="1">
        <f t="array" ref="A916">IF(ISBLANK(INDEX(SampleList[ICP],ROW()-1)),"Not Requested",INDEX(SampleList[Experiment ID],ROW()-1))</f>
        <v>Not Requested</v>
      </c>
      <c r="B916">
        <f>Sampling!E914</f>
        <v>0</v>
      </c>
      <c r="E916" t="str">
        <f>ICPList[[#This Row],[Experiment ID]]&amp;"_Day"&amp;ICPList[[#This Row],[Duration (Days)]]&amp;"_"&amp;ICPList[[#This Row],[Dilution]]&amp;"x"</f>
        <v>Not Requested_Day0_x</v>
      </c>
      <c r="F916">
        <f>NMRResults[[#This Row],['#]]</f>
        <v>7</v>
      </c>
      <c r="G916" s="1">
        <f>NMRResults[[#This Row],[Date Run]]</f>
        <v>0</v>
      </c>
    </row>
    <row r="917" spans="1:7" hidden="1" x14ac:dyDescent="0.25">
      <c r="A917" t="str" cm="1">
        <f t="array" ref="A917">IF(ISBLANK(INDEX(SampleList[ICP],ROW()-1)),"Not Requested",INDEX(SampleList[Experiment ID],ROW()-1))</f>
        <v>Not Requested</v>
      </c>
      <c r="B917">
        <f>Sampling!E915</f>
        <v>0</v>
      </c>
      <c r="E917" t="str">
        <f>ICPList[[#This Row],[Experiment ID]]&amp;"_Day"&amp;ICPList[[#This Row],[Duration (Days)]]&amp;"_"&amp;ICPList[[#This Row],[Dilution]]&amp;"x"</f>
        <v>Not Requested_Day0_x</v>
      </c>
      <c r="F917">
        <f>NMRResults[[#This Row],['#]]</f>
        <v>0</v>
      </c>
      <c r="G917" s="1">
        <f>NMRResults[[#This Row],[Date Run]]</f>
        <v>0</v>
      </c>
    </row>
    <row r="918" spans="1:7" hidden="1" x14ac:dyDescent="0.25">
      <c r="A918" t="str" cm="1">
        <f t="array" ref="A918">IF(ISBLANK(INDEX(SampleList[ICP],ROW()-1)),"Not Requested",INDEX(SampleList[Experiment ID],ROW()-1))</f>
        <v>Not Requested</v>
      </c>
      <c r="B918">
        <f>Sampling!E916</f>
        <v>0</v>
      </c>
      <c r="E918" t="str">
        <f>ICPList[[#This Row],[Experiment ID]]&amp;"_Day"&amp;ICPList[[#This Row],[Duration (Days)]]&amp;"_"&amp;ICPList[[#This Row],[Dilution]]&amp;"x"</f>
        <v>Not Requested_Day0_x</v>
      </c>
      <c r="F918">
        <f>NMRResults[[#This Row],['#]]</f>
        <v>0</v>
      </c>
      <c r="G918" s="1">
        <f>NMRResults[[#This Row],[Date Run]]</f>
        <v>0</v>
      </c>
    </row>
    <row r="919" spans="1:7" hidden="1" x14ac:dyDescent="0.25">
      <c r="A919" t="str" cm="1">
        <f t="array" ref="A919">IF(ISBLANK(INDEX(SampleList[ICP],ROW()-1)),"Not Requested",INDEX(SampleList[Experiment ID],ROW()-1))</f>
        <v>Not Requested</v>
      </c>
      <c r="B919">
        <f>Sampling!E917</f>
        <v>0</v>
      </c>
      <c r="E919" t="str">
        <f>ICPList[[#This Row],[Experiment ID]]&amp;"_Day"&amp;ICPList[[#This Row],[Duration (Days)]]&amp;"_"&amp;ICPList[[#This Row],[Dilution]]&amp;"x"</f>
        <v>Not Requested_Day0_x</v>
      </c>
      <c r="F919">
        <f>NMRResults[[#This Row],['#]]</f>
        <v>0</v>
      </c>
      <c r="G919" s="1">
        <f>NMRResults[[#This Row],[Date Run]]</f>
        <v>0</v>
      </c>
    </row>
    <row r="920" spans="1:7" hidden="1" x14ac:dyDescent="0.25">
      <c r="A920" t="str" cm="1">
        <f t="array" ref="A920">IF(ISBLANK(INDEX(SampleList[ICP],ROW()-1)),"Not Requested",INDEX(SampleList[Experiment ID],ROW()-1))</f>
        <v>Not Requested</v>
      </c>
      <c r="B920">
        <f>Sampling!E918</f>
        <v>0</v>
      </c>
      <c r="E920" t="str">
        <f>ICPList[[#This Row],[Experiment ID]]&amp;"_Day"&amp;ICPList[[#This Row],[Duration (Days)]]&amp;"_"&amp;ICPList[[#This Row],[Dilution]]&amp;"x"</f>
        <v>Not Requested_Day0_x</v>
      </c>
      <c r="F920">
        <f>NMRResults[[#This Row],['#]]</f>
        <v>0</v>
      </c>
      <c r="G920" s="1">
        <f>NMRResults[[#This Row],[Date Run]]</f>
        <v>0</v>
      </c>
    </row>
    <row r="921" spans="1:7" hidden="1" x14ac:dyDescent="0.25">
      <c r="A921" t="str" cm="1">
        <f t="array" ref="A921">IF(ISBLANK(INDEX(SampleList[ICP],ROW()-1)),"Not Requested",INDEX(SampleList[Experiment ID],ROW()-1))</f>
        <v>Not Requested</v>
      </c>
      <c r="B921">
        <f>Sampling!E919</f>
        <v>0</v>
      </c>
      <c r="E921" t="str">
        <f>ICPList[[#This Row],[Experiment ID]]&amp;"_Day"&amp;ICPList[[#This Row],[Duration (Days)]]&amp;"_"&amp;ICPList[[#This Row],[Dilution]]&amp;"x"</f>
        <v>Not Requested_Day0_x</v>
      </c>
      <c r="F921">
        <f>NMRResults[[#This Row],['#]]</f>
        <v>0</v>
      </c>
      <c r="G921" s="1">
        <f>NMRResults[[#This Row],[Date Run]]</f>
        <v>0</v>
      </c>
    </row>
    <row r="922" spans="1:7" hidden="1" x14ac:dyDescent="0.25">
      <c r="A922" t="str" cm="1">
        <f t="array" ref="A922">IF(ISBLANK(INDEX(SampleList[ICP],ROW()-1)),"Not Requested",INDEX(SampleList[Experiment ID],ROW()-1))</f>
        <v>Not Requested</v>
      </c>
      <c r="B922">
        <f>Sampling!E920</f>
        <v>0</v>
      </c>
      <c r="E922" t="str">
        <f>ICPList[[#This Row],[Experiment ID]]&amp;"_Day"&amp;ICPList[[#This Row],[Duration (Days)]]&amp;"_"&amp;ICPList[[#This Row],[Dilution]]&amp;"x"</f>
        <v>Not Requested_Day0_x</v>
      </c>
      <c r="F922">
        <f>NMRResults[[#This Row],['#]]</f>
        <v>0</v>
      </c>
      <c r="G922" s="1">
        <f>NMRResults[[#This Row],[Date Run]]</f>
        <v>0</v>
      </c>
    </row>
    <row r="923" spans="1:7" hidden="1" x14ac:dyDescent="0.25">
      <c r="A923" t="str" cm="1">
        <f t="array" ref="A923">IF(ISBLANK(INDEX(SampleList[ICP],ROW()-1)),"Not Requested",INDEX(SampleList[Experiment ID],ROW()-1))</f>
        <v>Not Requested</v>
      </c>
      <c r="B923">
        <f>Sampling!E921</f>
        <v>0</v>
      </c>
      <c r="E923" t="str">
        <f>ICPList[[#This Row],[Experiment ID]]&amp;"_Day"&amp;ICPList[[#This Row],[Duration (Days)]]&amp;"_"&amp;ICPList[[#This Row],[Dilution]]&amp;"x"</f>
        <v>Not Requested_Day0_x</v>
      </c>
      <c r="F923">
        <f>NMRResults[[#This Row],['#]]</f>
        <v>0</v>
      </c>
      <c r="G923" s="1">
        <f>NMRResults[[#This Row],[Date Run]]</f>
        <v>0</v>
      </c>
    </row>
    <row r="924" spans="1:7" hidden="1" x14ac:dyDescent="0.25">
      <c r="A924" t="str" cm="1">
        <f t="array" ref="A924">IF(ISBLANK(INDEX(SampleList[ICP],ROW()-1)),"Not Requested",INDEX(SampleList[Experiment ID],ROW()-1))</f>
        <v>Not Requested</v>
      </c>
      <c r="B924">
        <f>Sampling!E922</f>
        <v>0</v>
      </c>
      <c r="E924" t="str">
        <f>ICPList[[#This Row],[Experiment ID]]&amp;"_Day"&amp;ICPList[[#This Row],[Duration (Days)]]&amp;"_"&amp;ICPList[[#This Row],[Dilution]]&amp;"x"</f>
        <v>Not Requested_Day0_x</v>
      </c>
      <c r="F924">
        <f>NMRResults[[#This Row],['#]]</f>
        <v>0</v>
      </c>
      <c r="G924" s="1">
        <f>NMRResults[[#This Row],[Date Run]]</f>
        <v>0</v>
      </c>
    </row>
    <row r="925" spans="1:7" hidden="1" x14ac:dyDescent="0.25">
      <c r="A925" t="str" cm="1">
        <f t="array" ref="A925">IF(ISBLANK(INDEX(SampleList[ICP],ROW()-1)),"Not Requested",INDEX(SampleList[Experiment ID],ROW()-1))</f>
        <v>Not Requested</v>
      </c>
      <c r="B925">
        <f>Sampling!E923</f>
        <v>0</v>
      </c>
      <c r="E925" t="str">
        <f>ICPList[[#This Row],[Experiment ID]]&amp;"_Day"&amp;ICPList[[#This Row],[Duration (Days)]]&amp;"_"&amp;ICPList[[#This Row],[Dilution]]&amp;"x"</f>
        <v>Not Requested_Day0_x</v>
      </c>
      <c r="F925">
        <f>NMRResults[[#This Row],['#]]</f>
        <v>0</v>
      </c>
      <c r="G925" s="1">
        <f>NMRResults[[#This Row],[Date Run]]</f>
        <v>0</v>
      </c>
    </row>
    <row r="926" spans="1:7" hidden="1" x14ac:dyDescent="0.25">
      <c r="A926" t="str" cm="1">
        <f t="array" ref="A926">IF(ISBLANK(INDEX(SampleList[ICP],ROW()-1)),"Not Requested",INDEX(SampleList[Experiment ID],ROW()-1))</f>
        <v>Not Requested</v>
      </c>
      <c r="B926">
        <f>Sampling!E924</f>
        <v>0</v>
      </c>
      <c r="E926" t="str">
        <f>ICPList[[#This Row],[Experiment ID]]&amp;"_Day"&amp;ICPList[[#This Row],[Duration (Days)]]&amp;"_"&amp;ICPList[[#This Row],[Dilution]]&amp;"x"</f>
        <v>Not Requested_Day0_x</v>
      </c>
      <c r="F926">
        <f>NMRResults[[#This Row],['#]]</f>
        <v>0</v>
      </c>
      <c r="G926" s="1">
        <f>NMRResults[[#This Row],[Date Run]]</f>
        <v>0</v>
      </c>
    </row>
    <row r="927" spans="1:7" hidden="1" x14ac:dyDescent="0.25">
      <c r="A927" t="str" cm="1">
        <f t="array" ref="A927">IF(ISBLANK(INDEX(SampleList[ICP],ROW()-1)),"Not Requested",INDEX(SampleList[Experiment ID],ROW()-1))</f>
        <v>Not Requested</v>
      </c>
      <c r="B927">
        <f>Sampling!E925</f>
        <v>0</v>
      </c>
      <c r="E927" t="str">
        <f>ICPList[[#This Row],[Experiment ID]]&amp;"_Day"&amp;ICPList[[#This Row],[Duration (Days)]]&amp;"_"&amp;ICPList[[#This Row],[Dilution]]&amp;"x"</f>
        <v>Not Requested_Day0_x</v>
      </c>
      <c r="F927">
        <f>NMRResults[[#This Row],['#]]</f>
        <v>0</v>
      </c>
      <c r="G927" s="1">
        <f>NMRResults[[#This Row],[Date Run]]</f>
        <v>0</v>
      </c>
    </row>
    <row r="928" spans="1:7" hidden="1" x14ac:dyDescent="0.25">
      <c r="A928" t="str" cm="1">
        <f t="array" ref="A928">IF(ISBLANK(INDEX(SampleList[ICP],ROW()-1)),"Not Requested",INDEX(SampleList[Experiment ID],ROW()-1))</f>
        <v>Not Requested</v>
      </c>
      <c r="B928">
        <f>Sampling!E926</f>
        <v>0</v>
      </c>
      <c r="E928" t="str">
        <f>ICPList[[#This Row],[Experiment ID]]&amp;"_Day"&amp;ICPList[[#This Row],[Duration (Days)]]&amp;"_"&amp;ICPList[[#This Row],[Dilution]]&amp;"x"</f>
        <v>Not Requested_Day0_x</v>
      </c>
      <c r="F928">
        <f>NMRResults[[#This Row],['#]]</f>
        <v>0</v>
      </c>
      <c r="G928" s="1">
        <f>NMRResults[[#This Row],[Date Run]]</f>
        <v>0</v>
      </c>
    </row>
    <row r="929" spans="1:7" hidden="1" x14ac:dyDescent="0.25">
      <c r="A929" t="str" cm="1">
        <f t="array" ref="A929">IF(ISBLANK(INDEX(SampleList[ICP],ROW()-1)),"Not Requested",INDEX(SampleList[Experiment ID],ROW()-1))</f>
        <v>Not Requested</v>
      </c>
      <c r="B929">
        <f>Sampling!E927</f>
        <v>0</v>
      </c>
      <c r="E929" t="str">
        <f>ICPList[[#This Row],[Experiment ID]]&amp;"_Day"&amp;ICPList[[#This Row],[Duration (Days)]]&amp;"_"&amp;ICPList[[#This Row],[Dilution]]&amp;"x"</f>
        <v>Not Requested_Day0_x</v>
      </c>
      <c r="F929">
        <f>NMRResults[[#This Row],['#]]</f>
        <v>0</v>
      </c>
      <c r="G929" s="1">
        <f>NMRResults[[#This Row],[Date Run]]</f>
        <v>0</v>
      </c>
    </row>
    <row r="930" spans="1:7" hidden="1" x14ac:dyDescent="0.25">
      <c r="A930" t="str" cm="1">
        <f t="array" ref="A930">IF(ISBLANK(INDEX(SampleList[ICP],ROW()-1)),"Not Requested",INDEX(SampleList[Experiment ID],ROW()-1))</f>
        <v>Not Requested</v>
      </c>
      <c r="B930">
        <f>Sampling!E928</f>
        <v>0</v>
      </c>
      <c r="E930" t="str">
        <f>ICPList[[#This Row],[Experiment ID]]&amp;"_Day"&amp;ICPList[[#This Row],[Duration (Days)]]&amp;"_"&amp;ICPList[[#This Row],[Dilution]]&amp;"x"</f>
        <v>Not Requested_Day0_x</v>
      </c>
      <c r="F930">
        <f>NMRResults[[#This Row],['#]]</f>
        <v>0</v>
      </c>
      <c r="G930" s="1">
        <f>NMRResults[[#This Row],[Date Run]]</f>
        <v>0</v>
      </c>
    </row>
    <row r="931" spans="1:7" hidden="1" x14ac:dyDescent="0.25">
      <c r="A931" t="str" cm="1">
        <f t="array" ref="A931">IF(ISBLANK(INDEX(SampleList[ICP],ROW()-1)),"Not Requested",INDEX(SampleList[Experiment ID],ROW()-1))</f>
        <v>Not Requested</v>
      </c>
      <c r="B931">
        <f>Sampling!E929</f>
        <v>0</v>
      </c>
      <c r="E931" t="str">
        <f>ICPList[[#This Row],[Experiment ID]]&amp;"_Day"&amp;ICPList[[#This Row],[Duration (Days)]]&amp;"_"&amp;ICPList[[#This Row],[Dilution]]&amp;"x"</f>
        <v>Not Requested_Day0_x</v>
      </c>
      <c r="F931">
        <f>NMRResults[[#This Row],['#]]</f>
        <v>0</v>
      </c>
      <c r="G931" s="1">
        <f>NMRResults[[#This Row],[Date Run]]</f>
        <v>0</v>
      </c>
    </row>
    <row r="932" spans="1:7" hidden="1" x14ac:dyDescent="0.25">
      <c r="A932" t="str" cm="1">
        <f t="array" ref="A932">IF(ISBLANK(INDEX(SampleList[ICP],ROW()-1)),"Not Requested",INDEX(SampleList[Experiment ID],ROW()-1))</f>
        <v>Not Requested</v>
      </c>
      <c r="B932">
        <f>Sampling!E930</f>
        <v>0</v>
      </c>
      <c r="E932" t="str">
        <f>ICPList[[#This Row],[Experiment ID]]&amp;"_Day"&amp;ICPList[[#This Row],[Duration (Days)]]&amp;"_"&amp;ICPList[[#This Row],[Dilution]]&amp;"x"</f>
        <v>Not Requested_Day0_x</v>
      </c>
      <c r="F932">
        <f>NMRResults[[#This Row],['#]]</f>
        <v>0</v>
      </c>
      <c r="G932" s="1">
        <f>NMRResults[[#This Row],[Date Run]]</f>
        <v>0</v>
      </c>
    </row>
    <row r="933" spans="1:7" hidden="1" x14ac:dyDescent="0.25">
      <c r="A933" t="str" cm="1">
        <f t="array" ref="A933">IF(ISBLANK(INDEX(SampleList[ICP],ROW()-1)),"Not Requested",INDEX(SampleList[Experiment ID],ROW()-1))</f>
        <v>Not Requested</v>
      </c>
      <c r="B933">
        <f>Sampling!E931</f>
        <v>0</v>
      </c>
      <c r="E933" t="str">
        <f>ICPList[[#This Row],[Experiment ID]]&amp;"_Day"&amp;ICPList[[#This Row],[Duration (Days)]]&amp;"_"&amp;ICPList[[#This Row],[Dilution]]&amp;"x"</f>
        <v>Not Requested_Day0_x</v>
      </c>
      <c r="F933">
        <f>NMRResults[[#This Row],['#]]</f>
        <v>0</v>
      </c>
      <c r="G933" s="1">
        <f>NMRResults[[#This Row],[Date Run]]</f>
        <v>0</v>
      </c>
    </row>
    <row r="934" spans="1:7" hidden="1" x14ac:dyDescent="0.25">
      <c r="A934" t="str" cm="1">
        <f t="array" ref="A934">IF(ISBLANK(INDEX(SampleList[ICP],ROW()-1)),"Not Requested",INDEX(SampleList[Experiment ID],ROW()-1))</f>
        <v>Not Requested</v>
      </c>
      <c r="B934">
        <f>Sampling!E932</f>
        <v>0</v>
      </c>
      <c r="E934" t="str">
        <f>ICPList[[#This Row],[Experiment ID]]&amp;"_Day"&amp;ICPList[[#This Row],[Duration (Days)]]&amp;"_"&amp;ICPList[[#This Row],[Dilution]]&amp;"x"</f>
        <v>Not Requested_Day0_x</v>
      </c>
      <c r="F934">
        <f>NMRResults[[#This Row],['#]]</f>
        <v>0</v>
      </c>
      <c r="G934" s="1">
        <f>NMRResults[[#This Row],[Date Run]]</f>
        <v>0</v>
      </c>
    </row>
    <row r="935" spans="1:7" hidden="1" x14ac:dyDescent="0.25">
      <c r="A935" t="str" cm="1">
        <f t="array" ref="A935">IF(ISBLANK(INDEX(SampleList[ICP],ROW()-1)),"Not Requested",INDEX(SampleList[Experiment ID],ROW()-1))</f>
        <v>Not Requested</v>
      </c>
      <c r="B935">
        <f>Sampling!E933</f>
        <v>0</v>
      </c>
      <c r="E935" t="str">
        <f>ICPList[[#This Row],[Experiment ID]]&amp;"_Day"&amp;ICPList[[#This Row],[Duration (Days)]]&amp;"_"&amp;ICPList[[#This Row],[Dilution]]&amp;"x"</f>
        <v>Not Requested_Day0_x</v>
      </c>
      <c r="F935">
        <f>NMRResults[[#This Row],['#]]</f>
        <v>0</v>
      </c>
      <c r="G935" s="1">
        <f>NMRResults[[#This Row],[Date Run]]</f>
        <v>0</v>
      </c>
    </row>
    <row r="936" spans="1:7" hidden="1" x14ac:dyDescent="0.25">
      <c r="A936" t="str" cm="1">
        <f t="array" ref="A936">IF(ISBLANK(INDEX(SampleList[ICP],ROW()-1)),"Not Requested",INDEX(SampleList[Experiment ID],ROW()-1))</f>
        <v>Not Requested</v>
      </c>
      <c r="B936">
        <f>Sampling!E934</f>
        <v>0</v>
      </c>
      <c r="E936" t="str">
        <f>ICPList[[#This Row],[Experiment ID]]&amp;"_Day"&amp;ICPList[[#This Row],[Duration (Days)]]&amp;"_"&amp;ICPList[[#This Row],[Dilution]]&amp;"x"</f>
        <v>Not Requested_Day0_x</v>
      </c>
      <c r="F936">
        <f>NMRResults[[#This Row],['#]]</f>
        <v>0</v>
      </c>
      <c r="G936" s="1">
        <f>NMRResults[[#This Row],[Date Run]]</f>
        <v>0</v>
      </c>
    </row>
    <row r="937" spans="1:7" hidden="1" x14ac:dyDescent="0.25">
      <c r="A937" t="str" cm="1">
        <f t="array" ref="A937">IF(ISBLANK(INDEX(SampleList[ICP],ROW()-1)),"Not Requested",INDEX(SampleList[Experiment ID],ROW()-1))</f>
        <v>Not Requested</v>
      </c>
      <c r="B937">
        <f>Sampling!E935</f>
        <v>0</v>
      </c>
      <c r="E937" t="str">
        <f>ICPList[[#This Row],[Experiment ID]]&amp;"_Day"&amp;ICPList[[#This Row],[Duration (Days)]]&amp;"_"&amp;ICPList[[#This Row],[Dilution]]&amp;"x"</f>
        <v>Not Requested_Day0_x</v>
      </c>
      <c r="F937">
        <f>NMRResults[[#This Row],['#]]</f>
        <v>0</v>
      </c>
      <c r="G937" s="1">
        <f>NMRResults[[#This Row],[Date Run]]</f>
        <v>0</v>
      </c>
    </row>
    <row r="938" spans="1:7" hidden="1" x14ac:dyDescent="0.25">
      <c r="A938" t="str" cm="1">
        <f t="array" ref="A938">IF(ISBLANK(INDEX(SampleList[ICP],ROW()-1)),"Not Requested",INDEX(SampleList[Experiment ID],ROW()-1))</f>
        <v>Not Requested</v>
      </c>
      <c r="B938">
        <f>Sampling!E936</f>
        <v>0</v>
      </c>
      <c r="E938" t="str">
        <f>ICPList[[#This Row],[Experiment ID]]&amp;"_Day"&amp;ICPList[[#This Row],[Duration (Days)]]&amp;"_"&amp;ICPList[[#This Row],[Dilution]]&amp;"x"</f>
        <v>Not Requested_Day0_x</v>
      </c>
      <c r="F938">
        <f>NMRResults[[#This Row],['#]]</f>
        <v>0</v>
      </c>
      <c r="G938" s="1">
        <f>NMRResults[[#This Row],[Date Run]]</f>
        <v>0</v>
      </c>
    </row>
    <row r="939" spans="1:7" hidden="1" x14ac:dyDescent="0.25">
      <c r="A939" t="str" cm="1">
        <f t="array" ref="A939">IF(ISBLANK(INDEX(SampleList[ICP],ROW()-1)),"Not Requested",INDEX(SampleList[Experiment ID],ROW()-1))</f>
        <v>Not Requested</v>
      </c>
      <c r="B939">
        <f>Sampling!E937</f>
        <v>0</v>
      </c>
      <c r="E939" t="str">
        <f>ICPList[[#This Row],[Experiment ID]]&amp;"_Day"&amp;ICPList[[#This Row],[Duration (Days)]]&amp;"_"&amp;ICPList[[#This Row],[Dilution]]&amp;"x"</f>
        <v>Not Requested_Day0_x</v>
      </c>
      <c r="F939">
        <f>NMRResults[[#This Row],['#]]</f>
        <v>0</v>
      </c>
      <c r="G939" s="1">
        <f>NMRResults[[#This Row],[Date Run]]</f>
        <v>0</v>
      </c>
    </row>
    <row r="940" spans="1:7" hidden="1" x14ac:dyDescent="0.25">
      <c r="A940" t="str" cm="1">
        <f t="array" ref="A940">IF(ISBLANK(INDEX(SampleList[ICP],ROW()-1)),"Not Requested",INDEX(SampleList[Experiment ID],ROW()-1))</f>
        <v>Not Requested</v>
      </c>
      <c r="B940">
        <f>Sampling!E938</f>
        <v>0</v>
      </c>
      <c r="E940" t="str">
        <f>ICPList[[#This Row],[Experiment ID]]&amp;"_Day"&amp;ICPList[[#This Row],[Duration (Days)]]&amp;"_"&amp;ICPList[[#This Row],[Dilution]]&amp;"x"</f>
        <v>Not Requested_Day0_x</v>
      </c>
      <c r="F940">
        <f>NMRResults[[#This Row],['#]]</f>
        <v>0</v>
      </c>
      <c r="G940" s="1">
        <f>NMRResults[[#This Row],[Date Run]]</f>
        <v>0</v>
      </c>
    </row>
    <row r="941" spans="1:7" hidden="1" x14ac:dyDescent="0.25">
      <c r="A941" t="str" cm="1">
        <f t="array" ref="A941">IF(ISBLANK(INDEX(SampleList[ICP],ROW()-1)),"Not Requested",INDEX(SampleList[Experiment ID],ROW()-1))</f>
        <v>Not Requested</v>
      </c>
      <c r="B941">
        <f>Sampling!E939</f>
        <v>0</v>
      </c>
      <c r="E941" t="str">
        <f>ICPList[[#This Row],[Experiment ID]]&amp;"_Day"&amp;ICPList[[#This Row],[Duration (Days)]]&amp;"_"&amp;ICPList[[#This Row],[Dilution]]&amp;"x"</f>
        <v>Not Requested_Day0_x</v>
      </c>
      <c r="F941">
        <f>NMRResults[[#This Row],['#]]</f>
        <v>0</v>
      </c>
      <c r="G941" s="1">
        <f>NMRResults[[#This Row],[Date Run]]</f>
        <v>0</v>
      </c>
    </row>
    <row r="942" spans="1:7" hidden="1" x14ac:dyDescent="0.25">
      <c r="A942" t="str" cm="1">
        <f t="array" ref="A942">IF(ISBLANK(INDEX(SampleList[ICP],ROW()-1)),"Not Requested",INDEX(SampleList[Experiment ID],ROW()-1))</f>
        <v>Not Requested</v>
      </c>
      <c r="B942">
        <f>Sampling!E940</f>
        <v>0</v>
      </c>
      <c r="E942" t="str">
        <f>ICPList[[#This Row],[Experiment ID]]&amp;"_Day"&amp;ICPList[[#This Row],[Duration (Days)]]&amp;"_"&amp;ICPList[[#This Row],[Dilution]]&amp;"x"</f>
        <v>Not Requested_Day0_x</v>
      </c>
      <c r="F942">
        <f>NMRResults[[#This Row],['#]]</f>
        <v>0</v>
      </c>
      <c r="G942" s="1">
        <f>NMRResults[[#This Row],[Date Run]]</f>
        <v>0</v>
      </c>
    </row>
    <row r="943" spans="1:7" hidden="1" x14ac:dyDescent="0.25">
      <c r="A943" t="str" cm="1">
        <f t="array" ref="A943">IF(ISBLANK(INDEX(SampleList[ICP],ROW()-1)),"Not Requested",INDEX(SampleList[Experiment ID],ROW()-1))</f>
        <v>Not Requested</v>
      </c>
      <c r="B943">
        <f>Sampling!E941</f>
        <v>0</v>
      </c>
      <c r="E943" t="str">
        <f>ICPList[[#This Row],[Experiment ID]]&amp;"_Day"&amp;ICPList[[#This Row],[Duration (Days)]]&amp;"_"&amp;ICPList[[#This Row],[Dilution]]&amp;"x"</f>
        <v>Not Requested_Day0_x</v>
      </c>
      <c r="F943">
        <f>NMRResults[[#This Row],['#]]</f>
        <v>0</v>
      </c>
      <c r="G943" s="1">
        <f>NMRResults[[#This Row],[Date Run]]</f>
        <v>0</v>
      </c>
    </row>
    <row r="944" spans="1:7" hidden="1" x14ac:dyDescent="0.25">
      <c r="A944" t="str" cm="1">
        <f t="array" ref="A944">IF(ISBLANK(INDEX(SampleList[ICP],ROW()-1)),"Not Requested",INDEX(SampleList[Experiment ID],ROW()-1))</f>
        <v>Not Requested</v>
      </c>
      <c r="B944">
        <f>Sampling!E942</f>
        <v>0</v>
      </c>
      <c r="E944" t="str">
        <f>ICPList[[#This Row],[Experiment ID]]&amp;"_Day"&amp;ICPList[[#This Row],[Duration (Days)]]&amp;"_"&amp;ICPList[[#This Row],[Dilution]]&amp;"x"</f>
        <v>Not Requested_Day0_x</v>
      </c>
      <c r="F944">
        <f>NMRResults[[#This Row],['#]]</f>
        <v>0</v>
      </c>
      <c r="G944" s="1">
        <f>NMRResults[[#This Row],[Date Run]]</f>
        <v>0</v>
      </c>
    </row>
    <row r="945" spans="1:7" hidden="1" x14ac:dyDescent="0.25">
      <c r="A945" t="str" cm="1">
        <f t="array" ref="A945">IF(ISBLANK(INDEX(SampleList[ICP],ROW()-1)),"Not Requested",INDEX(SampleList[Experiment ID],ROW()-1))</f>
        <v>Not Requested</v>
      </c>
      <c r="B945">
        <f>Sampling!E943</f>
        <v>0</v>
      </c>
      <c r="E945" t="str">
        <f>ICPList[[#This Row],[Experiment ID]]&amp;"_Day"&amp;ICPList[[#This Row],[Duration (Days)]]&amp;"_"&amp;ICPList[[#This Row],[Dilution]]&amp;"x"</f>
        <v>Not Requested_Day0_x</v>
      </c>
      <c r="F945">
        <f>NMRResults[[#This Row],['#]]</f>
        <v>0</v>
      </c>
      <c r="G945" s="1">
        <f>NMRResults[[#This Row],[Date Run]]</f>
        <v>0</v>
      </c>
    </row>
    <row r="946" spans="1:7" hidden="1" x14ac:dyDescent="0.25">
      <c r="A946" t="str" cm="1">
        <f t="array" ref="A946">IF(ISBLANK(INDEX(SampleList[ICP],ROW()-1)),"Not Requested",INDEX(SampleList[Experiment ID],ROW()-1))</f>
        <v>Not Requested</v>
      </c>
      <c r="B946">
        <f>Sampling!E944</f>
        <v>0</v>
      </c>
      <c r="E946" t="str">
        <f>ICPList[[#This Row],[Experiment ID]]&amp;"_Day"&amp;ICPList[[#This Row],[Duration (Days)]]&amp;"_"&amp;ICPList[[#This Row],[Dilution]]&amp;"x"</f>
        <v>Not Requested_Day0_x</v>
      </c>
      <c r="F946">
        <f>NMRResults[[#This Row],['#]]</f>
        <v>0</v>
      </c>
      <c r="G946" s="1">
        <f>NMRResults[[#This Row],[Date Run]]</f>
        <v>0</v>
      </c>
    </row>
    <row r="947" spans="1:7" hidden="1" x14ac:dyDescent="0.25">
      <c r="A947" t="str" cm="1">
        <f t="array" ref="A947">IF(ISBLANK(INDEX(SampleList[ICP],ROW()-1)),"Not Requested",INDEX(SampleList[Experiment ID],ROW()-1))</f>
        <v>Not Requested</v>
      </c>
      <c r="B947">
        <f>Sampling!E945</f>
        <v>0</v>
      </c>
      <c r="E947" t="str">
        <f>ICPList[[#This Row],[Experiment ID]]&amp;"_Day"&amp;ICPList[[#This Row],[Duration (Days)]]&amp;"_"&amp;ICPList[[#This Row],[Dilution]]&amp;"x"</f>
        <v>Not Requested_Day0_x</v>
      </c>
      <c r="F947">
        <f>NMRResults[[#This Row],['#]]</f>
        <v>0</v>
      </c>
      <c r="G947" s="1">
        <f>NMRResults[[#This Row],[Date Run]]</f>
        <v>0</v>
      </c>
    </row>
    <row r="948" spans="1:7" hidden="1" x14ac:dyDescent="0.25">
      <c r="A948" t="str" cm="1">
        <f t="array" ref="A948">IF(ISBLANK(INDEX(SampleList[ICP],ROW()-1)),"Not Requested",INDEX(SampleList[Experiment ID],ROW()-1))</f>
        <v>Not Requested</v>
      </c>
      <c r="B948">
        <f>Sampling!E946</f>
        <v>0</v>
      </c>
      <c r="E948" t="str">
        <f>ICPList[[#This Row],[Experiment ID]]&amp;"_Day"&amp;ICPList[[#This Row],[Duration (Days)]]&amp;"_"&amp;ICPList[[#This Row],[Dilution]]&amp;"x"</f>
        <v>Not Requested_Day0_x</v>
      </c>
      <c r="F948">
        <f>NMRResults[[#This Row],['#]]</f>
        <v>0</v>
      </c>
      <c r="G948" s="1">
        <f>NMRResults[[#This Row],[Date Run]]</f>
        <v>0</v>
      </c>
    </row>
    <row r="949" spans="1:7" hidden="1" x14ac:dyDescent="0.25">
      <c r="A949" t="str" cm="1">
        <f t="array" ref="A949">IF(ISBLANK(INDEX(SampleList[ICP],ROW()-1)),"Not Requested",INDEX(SampleList[Experiment ID],ROW()-1))</f>
        <v>Not Requested</v>
      </c>
      <c r="B949">
        <f>Sampling!E947</f>
        <v>0</v>
      </c>
      <c r="E949" t="str">
        <f>ICPList[[#This Row],[Experiment ID]]&amp;"_Day"&amp;ICPList[[#This Row],[Duration (Days)]]&amp;"_"&amp;ICPList[[#This Row],[Dilution]]&amp;"x"</f>
        <v>Not Requested_Day0_x</v>
      </c>
      <c r="F949">
        <f>NMRResults[[#This Row],['#]]</f>
        <v>0</v>
      </c>
      <c r="G949" s="1">
        <f>NMRResults[[#This Row],[Date Run]]</f>
        <v>0</v>
      </c>
    </row>
    <row r="950" spans="1:7" hidden="1" x14ac:dyDescent="0.25">
      <c r="A950" t="str" cm="1">
        <f t="array" ref="A950">IF(ISBLANK(INDEX(SampleList[ICP],ROW()-1)),"Not Requested",INDEX(SampleList[Experiment ID],ROW()-1))</f>
        <v>Not Requested</v>
      </c>
      <c r="B950">
        <f>Sampling!E948</f>
        <v>0</v>
      </c>
      <c r="E950" t="str">
        <f>ICPList[[#This Row],[Experiment ID]]&amp;"_Day"&amp;ICPList[[#This Row],[Duration (Days)]]&amp;"_"&amp;ICPList[[#This Row],[Dilution]]&amp;"x"</f>
        <v>Not Requested_Day0_x</v>
      </c>
      <c r="F950">
        <f>NMRResults[[#This Row],['#]]</f>
        <v>0</v>
      </c>
      <c r="G950" s="1">
        <f>NMRResults[[#This Row],[Date Run]]</f>
        <v>0</v>
      </c>
    </row>
    <row r="951" spans="1:7" hidden="1" x14ac:dyDescent="0.25">
      <c r="A951" t="str" cm="1">
        <f t="array" ref="A951">IF(ISBLANK(INDEX(SampleList[ICP],ROW()-1)),"Not Requested",INDEX(SampleList[Experiment ID],ROW()-1))</f>
        <v>Not Requested</v>
      </c>
      <c r="B951">
        <f>Sampling!E949</f>
        <v>0</v>
      </c>
      <c r="E951" t="str">
        <f>ICPList[[#This Row],[Experiment ID]]&amp;"_Day"&amp;ICPList[[#This Row],[Duration (Days)]]&amp;"_"&amp;ICPList[[#This Row],[Dilution]]&amp;"x"</f>
        <v>Not Requested_Day0_x</v>
      </c>
      <c r="F951">
        <f>NMRResults[[#This Row],['#]]</f>
        <v>0</v>
      </c>
      <c r="G951" s="1">
        <f>NMRResults[[#This Row],[Date Run]]</f>
        <v>0</v>
      </c>
    </row>
    <row r="952" spans="1:7" hidden="1" x14ac:dyDescent="0.25">
      <c r="A952" t="str" cm="1">
        <f t="array" ref="A952">IF(ISBLANK(INDEX(SampleList[ICP],ROW()-1)),"Not Requested",INDEX(SampleList[Experiment ID],ROW()-1))</f>
        <v>Not Requested</v>
      </c>
      <c r="B952">
        <f>Sampling!E950</f>
        <v>0</v>
      </c>
      <c r="E952" t="str">
        <f>ICPList[[#This Row],[Experiment ID]]&amp;"_Day"&amp;ICPList[[#This Row],[Duration (Days)]]&amp;"_"&amp;ICPList[[#This Row],[Dilution]]&amp;"x"</f>
        <v>Not Requested_Day0_x</v>
      </c>
      <c r="F952">
        <f>NMRResults[[#This Row],['#]]</f>
        <v>0</v>
      </c>
      <c r="G952" s="1">
        <f>NMRResults[[#This Row],[Date Run]]</f>
        <v>0</v>
      </c>
    </row>
    <row r="953" spans="1:7" hidden="1" x14ac:dyDescent="0.25">
      <c r="A953" t="str" cm="1">
        <f t="array" ref="A953">IF(ISBLANK(INDEX(SampleList[ICP],ROW()-1)),"Not Requested",INDEX(SampleList[Experiment ID],ROW()-1))</f>
        <v>Not Requested</v>
      </c>
      <c r="B953">
        <f>Sampling!E951</f>
        <v>0</v>
      </c>
      <c r="E953" t="str">
        <f>ICPList[[#This Row],[Experiment ID]]&amp;"_Day"&amp;ICPList[[#This Row],[Duration (Days)]]&amp;"_"&amp;ICPList[[#This Row],[Dilution]]&amp;"x"</f>
        <v>Not Requested_Day0_x</v>
      </c>
      <c r="F953">
        <f>NMRResults[[#This Row],['#]]</f>
        <v>0</v>
      </c>
      <c r="G953" s="1">
        <f>NMRResults[[#This Row],[Date Run]]</f>
        <v>0</v>
      </c>
    </row>
    <row r="954" spans="1:7" hidden="1" x14ac:dyDescent="0.25">
      <c r="A954" t="str" cm="1">
        <f t="array" ref="A954">IF(ISBLANK(INDEX(SampleList[ICP],ROW()-1)),"Not Requested",INDEX(SampleList[Experiment ID],ROW()-1))</f>
        <v>Not Requested</v>
      </c>
      <c r="B954">
        <f>Sampling!E952</f>
        <v>0</v>
      </c>
      <c r="E954" t="str">
        <f>ICPList[[#This Row],[Experiment ID]]&amp;"_Day"&amp;ICPList[[#This Row],[Duration (Days)]]&amp;"_"&amp;ICPList[[#This Row],[Dilution]]&amp;"x"</f>
        <v>Not Requested_Day0_x</v>
      </c>
      <c r="F954">
        <f>NMRResults[[#This Row],['#]]</f>
        <v>0</v>
      </c>
      <c r="G954" s="1">
        <f>NMRResults[[#This Row],[Date Run]]</f>
        <v>0</v>
      </c>
    </row>
    <row r="955" spans="1:7" hidden="1" x14ac:dyDescent="0.25">
      <c r="A955" t="str" cm="1">
        <f t="array" ref="A955">IF(ISBLANK(INDEX(SampleList[ICP],ROW()-1)),"Not Requested",INDEX(SampleList[Experiment ID],ROW()-1))</f>
        <v>Not Requested</v>
      </c>
      <c r="B955">
        <f>Sampling!E953</f>
        <v>0</v>
      </c>
      <c r="E955" t="str">
        <f>ICPList[[#This Row],[Experiment ID]]&amp;"_Day"&amp;ICPList[[#This Row],[Duration (Days)]]&amp;"_"&amp;ICPList[[#This Row],[Dilution]]&amp;"x"</f>
        <v>Not Requested_Day0_x</v>
      </c>
      <c r="F955">
        <f>NMRResults[[#This Row],['#]]</f>
        <v>0</v>
      </c>
      <c r="G955" s="1">
        <f>NMRResults[[#This Row],[Date Run]]</f>
        <v>0</v>
      </c>
    </row>
    <row r="956" spans="1:7" hidden="1" x14ac:dyDescent="0.25">
      <c r="A956" t="str" cm="1">
        <f t="array" ref="A956">IF(ISBLANK(INDEX(SampleList[ICP],ROW()-1)),"Not Requested",INDEX(SampleList[Experiment ID],ROW()-1))</f>
        <v>Not Requested</v>
      </c>
      <c r="B956">
        <f>Sampling!E954</f>
        <v>0</v>
      </c>
      <c r="E956" t="str">
        <f>ICPList[[#This Row],[Experiment ID]]&amp;"_Day"&amp;ICPList[[#This Row],[Duration (Days)]]&amp;"_"&amp;ICPList[[#This Row],[Dilution]]&amp;"x"</f>
        <v>Not Requested_Day0_x</v>
      </c>
      <c r="F956">
        <f>NMRResults[[#This Row],['#]]</f>
        <v>0</v>
      </c>
      <c r="G956" s="1">
        <f>NMRResults[[#This Row],[Date Run]]</f>
        <v>0</v>
      </c>
    </row>
    <row r="957" spans="1:7" hidden="1" x14ac:dyDescent="0.25">
      <c r="A957" t="str" cm="1">
        <f t="array" ref="A957">IF(ISBLANK(INDEX(SampleList[ICP],ROW()-1)),"Not Requested",INDEX(SampleList[Experiment ID],ROW()-1))</f>
        <v>Not Requested</v>
      </c>
      <c r="B957">
        <f>Sampling!E955</f>
        <v>0</v>
      </c>
      <c r="E957" t="str">
        <f>ICPList[[#This Row],[Experiment ID]]&amp;"_Day"&amp;ICPList[[#This Row],[Duration (Days)]]&amp;"_"&amp;ICPList[[#This Row],[Dilution]]&amp;"x"</f>
        <v>Not Requested_Day0_x</v>
      </c>
      <c r="F957">
        <f>NMRResults[[#This Row],['#]]</f>
        <v>0</v>
      </c>
      <c r="G957" s="1">
        <f>NMRResults[[#This Row],[Date Run]]</f>
        <v>0</v>
      </c>
    </row>
    <row r="958" spans="1:7" hidden="1" x14ac:dyDescent="0.25">
      <c r="A958" t="str" cm="1">
        <f t="array" ref="A958">IF(ISBLANK(INDEX(SampleList[ICP],ROW()-1)),"Not Requested",INDEX(SampleList[Experiment ID],ROW()-1))</f>
        <v>Not Requested</v>
      </c>
      <c r="B958">
        <f>Sampling!E956</f>
        <v>0</v>
      </c>
      <c r="E958" t="str">
        <f>ICPList[[#This Row],[Experiment ID]]&amp;"_Day"&amp;ICPList[[#This Row],[Duration (Days)]]&amp;"_"&amp;ICPList[[#This Row],[Dilution]]&amp;"x"</f>
        <v>Not Requested_Day0_x</v>
      </c>
      <c r="F958">
        <f>NMRResults[[#This Row],['#]]</f>
        <v>0</v>
      </c>
      <c r="G958" s="1">
        <f>NMRResults[[#This Row],[Date Run]]</f>
        <v>0</v>
      </c>
    </row>
    <row r="959" spans="1:7" hidden="1" x14ac:dyDescent="0.25">
      <c r="A959" t="str" cm="1">
        <f t="array" ref="A959">IF(ISBLANK(INDEX(SampleList[ICP],ROW()-1)),"Not Requested",INDEX(SampleList[Experiment ID],ROW()-1))</f>
        <v>Not Requested</v>
      </c>
      <c r="B959">
        <f>Sampling!E957</f>
        <v>0</v>
      </c>
      <c r="E959" t="str">
        <f>ICPList[[#This Row],[Experiment ID]]&amp;"_Day"&amp;ICPList[[#This Row],[Duration (Days)]]&amp;"_"&amp;ICPList[[#This Row],[Dilution]]&amp;"x"</f>
        <v>Not Requested_Day0_x</v>
      </c>
      <c r="F959">
        <f>NMRResults[[#This Row],['#]]</f>
        <v>0</v>
      </c>
      <c r="G959" s="1">
        <f>NMRResults[[#This Row],[Date Run]]</f>
        <v>0</v>
      </c>
    </row>
    <row r="960" spans="1:7" hidden="1" x14ac:dyDescent="0.25">
      <c r="A960" t="str" cm="1">
        <f t="array" ref="A960">IF(ISBLANK(INDEX(SampleList[ICP],ROW()-1)),"Not Requested",INDEX(SampleList[Experiment ID],ROW()-1))</f>
        <v>Not Requested</v>
      </c>
      <c r="B960">
        <f>Sampling!E958</f>
        <v>0</v>
      </c>
      <c r="E960" t="str">
        <f>ICPList[[#This Row],[Experiment ID]]&amp;"_Day"&amp;ICPList[[#This Row],[Duration (Days)]]&amp;"_"&amp;ICPList[[#This Row],[Dilution]]&amp;"x"</f>
        <v>Not Requested_Day0_x</v>
      </c>
      <c r="F960">
        <f>NMRResults[[#This Row],['#]]</f>
        <v>0</v>
      </c>
      <c r="G960" s="1">
        <f>NMRResults[[#This Row],[Date Run]]</f>
        <v>0</v>
      </c>
    </row>
    <row r="961" spans="1:7" hidden="1" x14ac:dyDescent="0.25">
      <c r="A961" t="str" cm="1">
        <f t="array" ref="A961">IF(ISBLANK(INDEX(SampleList[ICP],ROW()-1)),"Not Requested",INDEX(SampleList[Experiment ID],ROW()-1))</f>
        <v>Not Requested</v>
      </c>
      <c r="B961">
        <f>Sampling!E959</f>
        <v>0</v>
      </c>
      <c r="E961" t="str">
        <f>ICPList[[#This Row],[Experiment ID]]&amp;"_Day"&amp;ICPList[[#This Row],[Duration (Days)]]&amp;"_"&amp;ICPList[[#This Row],[Dilution]]&amp;"x"</f>
        <v>Not Requested_Day0_x</v>
      </c>
      <c r="F961">
        <f>NMRResults[[#This Row],['#]]</f>
        <v>0</v>
      </c>
      <c r="G961" s="1">
        <f>NMRResults[[#This Row],[Date Run]]</f>
        <v>0</v>
      </c>
    </row>
    <row r="962" spans="1:7" hidden="1" x14ac:dyDescent="0.25">
      <c r="A962" t="str" cm="1">
        <f t="array" ref="A962">IF(ISBLANK(INDEX(SampleList[ICP],ROW()-1)),"Not Requested",INDEX(SampleList[Experiment ID],ROW()-1))</f>
        <v>Not Requested</v>
      </c>
      <c r="B962">
        <f>Sampling!E960</f>
        <v>0</v>
      </c>
      <c r="E962" t="str">
        <f>ICPList[[#This Row],[Experiment ID]]&amp;"_Day"&amp;ICPList[[#This Row],[Duration (Days)]]&amp;"_"&amp;ICPList[[#This Row],[Dilution]]&amp;"x"</f>
        <v>Not Requested_Day0_x</v>
      </c>
      <c r="F962">
        <f>NMRResults[[#This Row],['#]]</f>
        <v>0</v>
      </c>
      <c r="G962" s="1">
        <f>NMRResults[[#This Row],[Date Run]]</f>
        <v>0</v>
      </c>
    </row>
    <row r="963" spans="1:7" hidden="1" x14ac:dyDescent="0.25">
      <c r="A963" t="str" cm="1">
        <f t="array" ref="A963">IF(ISBLANK(INDEX(SampleList[ICP],ROW()-1)),"Not Requested",INDEX(SampleList[Experiment ID],ROW()-1))</f>
        <v>Not Requested</v>
      </c>
      <c r="B963">
        <f>Sampling!E961</f>
        <v>0</v>
      </c>
      <c r="E963" t="str">
        <f>ICPList[[#This Row],[Experiment ID]]&amp;"_Day"&amp;ICPList[[#This Row],[Duration (Days)]]&amp;"_"&amp;ICPList[[#This Row],[Dilution]]&amp;"x"</f>
        <v>Not Requested_Day0_x</v>
      </c>
      <c r="F963">
        <f>NMRResults[[#This Row],['#]]</f>
        <v>0</v>
      </c>
      <c r="G963" s="1">
        <f>NMRResults[[#This Row],[Date Run]]</f>
        <v>0</v>
      </c>
    </row>
    <row r="964" spans="1:7" hidden="1" x14ac:dyDescent="0.25">
      <c r="A964" t="str" cm="1">
        <f t="array" ref="A964">IF(ISBLANK(INDEX(SampleList[ICP],ROW()-1)),"Not Requested",INDEX(SampleList[Experiment ID],ROW()-1))</f>
        <v>Not Requested</v>
      </c>
      <c r="B964">
        <f>Sampling!E962</f>
        <v>0</v>
      </c>
      <c r="E964" t="str">
        <f>ICPList[[#This Row],[Experiment ID]]&amp;"_Day"&amp;ICPList[[#This Row],[Duration (Days)]]&amp;"_"&amp;ICPList[[#This Row],[Dilution]]&amp;"x"</f>
        <v>Not Requested_Day0_x</v>
      </c>
      <c r="F964">
        <f>NMRResults[[#This Row],['#]]</f>
        <v>0</v>
      </c>
      <c r="G964" s="1">
        <f>NMRResults[[#This Row],[Date Run]]</f>
        <v>0</v>
      </c>
    </row>
    <row r="965" spans="1:7" hidden="1" x14ac:dyDescent="0.25">
      <c r="A965" t="str" cm="1">
        <f t="array" ref="A965">IF(ISBLANK(INDEX(SampleList[ICP],ROW()-1)),"Not Requested",INDEX(SampleList[Experiment ID],ROW()-1))</f>
        <v>Not Requested</v>
      </c>
      <c r="B965">
        <f>Sampling!E963</f>
        <v>0</v>
      </c>
      <c r="E965" t="str">
        <f>ICPList[[#This Row],[Experiment ID]]&amp;"_Day"&amp;ICPList[[#This Row],[Duration (Days)]]&amp;"_"&amp;ICPList[[#This Row],[Dilution]]&amp;"x"</f>
        <v>Not Requested_Day0_x</v>
      </c>
      <c r="F965">
        <f>NMRResults[[#This Row],['#]]</f>
        <v>0</v>
      </c>
      <c r="G965" s="1">
        <f>NMRResults[[#This Row],[Date Run]]</f>
        <v>0</v>
      </c>
    </row>
    <row r="966" spans="1:7" hidden="1" x14ac:dyDescent="0.25">
      <c r="A966" t="str" cm="1">
        <f t="array" ref="A966">IF(ISBLANK(INDEX(SampleList[ICP],ROW()-1)),"Not Requested",INDEX(SampleList[Experiment ID],ROW()-1))</f>
        <v>Not Requested</v>
      </c>
      <c r="B966">
        <f>Sampling!E964</f>
        <v>0</v>
      </c>
      <c r="E966" t="str">
        <f>ICPList[[#This Row],[Experiment ID]]&amp;"_Day"&amp;ICPList[[#This Row],[Duration (Days)]]&amp;"_"&amp;ICPList[[#This Row],[Dilution]]&amp;"x"</f>
        <v>Not Requested_Day0_x</v>
      </c>
      <c r="F966">
        <f>NMRResults[[#This Row],['#]]</f>
        <v>0</v>
      </c>
      <c r="G966" s="1">
        <f>NMRResults[[#This Row],[Date Run]]</f>
        <v>0</v>
      </c>
    </row>
    <row r="967" spans="1:7" hidden="1" x14ac:dyDescent="0.25">
      <c r="A967" t="str" cm="1">
        <f t="array" ref="A967">IF(ISBLANK(INDEX(SampleList[ICP],ROW()-1)),"Not Requested",INDEX(SampleList[Experiment ID],ROW()-1))</f>
        <v>Not Requested</v>
      </c>
      <c r="B967">
        <f>Sampling!E965</f>
        <v>0</v>
      </c>
      <c r="E967" t="str">
        <f>ICPList[[#This Row],[Experiment ID]]&amp;"_Day"&amp;ICPList[[#This Row],[Duration (Days)]]&amp;"_"&amp;ICPList[[#This Row],[Dilution]]&amp;"x"</f>
        <v>Not Requested_Day0_x</v>
      </c>
      <c r="F967">
        <f>NMRResults[[#This Row],['#]]</f>
        <v>0</v>
      </c>
      <c r="G967" s="1">
        <f>NMRResults[[#This Row],[Date Run]]</f>
        <v>0</v>
      </c>
    </row>
    <row r="968" spans="1:7" hidden="1" x14ac:dyDescent="0.25">
      <c r="A968" t="str" cm="1">
        <f t="array" ref="A968">IF(ISBLANK(INDEX(SampleList[ICP],ROW()-1)),"Not Requested",INDEX(SampleList[Experiment ID],ROW()-1))</f>
        <v>Not Requested</v>
      </c>
      <c r="B968">
        <f>Sampling!E966</f>
        <v>0</v>
      </c>
      <c r="E968" t="str">
        <f>ICPList[[#This Row],[Experiment ID]]&amp;"_Day"&amp;ICPList[[#This Row],[Duration (Days)]]&amp;"_"&amp;ICPList[[#This Row],[Dilution]]&amp;"x"</f>
        <v>Not Requested_Day0_x</v>
      </c>
      <c r="F968">
        <f>NMRResults[[#This Row],['#]]</f>
        <v>0</v>
      </c>
      <c r="G968" s="1">
        <f>NMRResults[[#This Row],[Date Run]]</f>
        <v>0</v>
      </c>
    </row>
    <row r="969" spans="1:7" hidden="1" x14ac:dyDescent="0.25">
      <c r="A969" t="str" cm="1">
        <f t="array" ref="A969">IF(ISBLANK(INDEX(SampleList[ICP],ROW()-1)),"Not Requested",INDEX(SampleList[Experiment ID],ROW()-1))</f>
        <v>Not Requested</v>
      </c>
      <c r="B969">
        <f>Sampling!E967</f>
        <v>0</v>
      </c>
      <c r="E969" t="str">
        <f>ICPList[[#This Row],[Experiment ID]]&amp;"_Day"&amp;ICPList[[#This Row],[Duration (Days)]]&amp;"_"&amp;ICPList[[#This Row],[Dilution]]&amp;"x"</f>
        <v>Not Requested_Day0_x</v>
      </c>
      <c r="F969">
        <f>NMRResults[[#This Row],['#]]</f>
        <v>0</v>
      </c>
      <c r="G969" s="1">
        <f>NMRResults[[#This Row],[Date Run]]</f>
        <v>0</v>
      </c>
    </row>
    <row r="970" spans="1:7" hidden="1" x14ac:dyDescent="0.25">
      <c r="A970" t="str" cm="1">
        <f t="array" ref="A970">IF(ISBLANK(INDEX(SampleList[ICP],ROW()-1)),"Not Requested",INDEX(SampleList[Experiment ID],ROW()-1))</f>
        <v>Not Requested</v>
      </c>
      <c r="B970">
        <f>Sampling!E968</f>
        <v>0</v>
      </c>
      <c r="E970" t="str">
        <f>ICPList[[#This Row],[Experiment ID]]&amp;"_Day"&amp;ICPList[[#This Row],[Duration (Days)]]&amp;"_"&amp;ICPList[[#This Row],[Dilution]]&amp;"x"</f>
        <v>Not Requested_Day0_x</v>
      </c>
      <c r="F970">
        <f>NMRResults[[#This Row],['#]]</f>
        <v>0</v>
      </c>
      <c r="G970" s="1">
        <f>NMRResults[[#This Row],[Date Run]]</f>
        <v>0</v>
      </c>
    </row>
    <row r="971" spans="1:7" hidden="1" x14ac:dyDescent="0.25">
      <c r="A971" t="str" cm="1">
        <f t="array" ref="A971">IF(ISBLANK(INDEX(SampleList[ICP],ROW()-1)),"Not Requested",INDEX(SampleList[Experiment ID],ROW()-1))</f>
        <v>Not Requested</v>
      </c>
      <c r="B971">
        <f>Sampling!E969</f>
        <v>0</v>
      </c>
      <c r="E971" t="str">
        <f>ICPList[[#This Row],[Experiment ID]]&amp;"_Day"&amp;ICPList[[#This Row],[Duration (Days)]]&amp;"_"&amp;ICPList[[#This Row],[Dilution]]&amp;"x"</f>
        <v>Not Requested_Day0_x</v>
      </c>
      <c r="F971">
        <f>NMRResults[[#This Row],['#]]</f>
        <v>0</v>
      </c>
      <c r="G971" s="1">
        <f>NMRResults[[#This Row],[Date Run]]</f>
        <v>0</v>
      </c>
    </row>
    <row r="972" spans="1:7" hidden="1" x14ac:dyDescent="0.25">
      <c r="A972" t="str" cm="1">
        <f t="array" ref="A972">IF(ISBLANK(INDEX(SampleList[ICP],ROW()-1)),"Not Requested",INDEX(SampleList[Experiment ID],ROW()-1))</f>
        <v>Not Requested</v>
      </c>
      <c r="B972">
        <f>Sampling!E970</f>
        <v>0</v>
      </c>
      <c r="E972" t="str">
        <f>ICPList[[#This Row],[Experiment ID]]&amp;"_Day"&amp;ICPList[[#This Row],[Duration (Days)]]&amp;"_"&amp;ICPList[[#This Row],[Dilution]]&amp;"x"</f>
        <v>Not Requested_Day0_x</v>
      </c>
      <c r="F972">
        <f>NMRResults[[#This Row],['#]]</f>
        <v>0</v>
      </c>
      <c r="G972" s="1">
        <f>NMRResults[[#This Row],[Date Run]]</f>
        <v>0</v>
      </c>
    </row>
    <row r="973" spans="1:7" hidden="1" x14ac:dyDescent="0.25">
      <c r="A973" t="str" cm="1">
        <f t="array" ref="A973">IF(ISBLANK(INDEX(SampleList[ICP],ROW()-1)),"Not Requested",INDEX(SampleList[Experiment ID],ROW()-1))</f>
        <v>Not Requested</v>
      </c>
      <c r="B973">
        <f>Sampling!E971</f>
        <v>0</v>
      </c>
      <c r="E973" t="str">
        <f>ICPList[[#This Row],[Experiment ID]]&amp;"_Day"&amp;ICPList[[#This Row],[Duration (Days)]]&amp;"_"&amp;ICPList[[#This Row],[Dilution]]&amp;"x"</f>
        <v>Not Requested_Day0_x</v>
      </c>
      <c r="F973">
        <f>NMRResults[[#This Row],['#]]</f>
        <v>0</v>
      </c>
      <c r="G973" s="1">
        <f>NMRResults[[#This Row],[Date Run]]</f>
        <v>0</v>
      </c>
    </row>
    <row r="974" spans="1:7" hidden="1" x14ac:dyDescent="0.25">
      <c r="A974" t="str" cm="1">
        <f t="array" ref="A974">IF(ISBLANK(INDEX(SampleList[ICP],ROW()-1)),"Not Requested",INDEX(SampleList[Experiment ID],ROW()-1))</f>
        <v>Not Requested</v>
      </c>
      <c r="B974">
        <f>Sampling!E972</f>
        <v>0</v>
      </c>
      <c r="E974" t="str">
        <f>ICPList[[#This Row],[Experiment ID]]&amp;"_Day"&amp;ICPList[[#This Row],[Duration (Days)]]&amp;"_"&amp;ICPList[[#This Row],[Dilution]]&amp;"x"</f>
        <v>Not Requested_Day0_x</v>
      </c>
      <c r="F974">
        <f>NMRResults[[#This Row],['#]]</f>
        <v>0</v>
      </c>
      <c r="G974" s="1">
        <f>NMRResults[[#This Row],[Date Run]]</f>
        <v>0</v>
      </c>
    </row>
    <row r="975" spans="1:7" hidden="1" x14ac:dyDescent="0.25">
      <c r="A975" t="str" cm="1">
        <f t="array" ref="A975">IF(ISBLANK(INDEX(SampleList[ICP],ROW()-1)),"Not Requested",INDEX(SampleList[Experiment ID],ROW()-1))</f>
        <v>Not Requested</v>
      </c>
      <c r="B975">
        <f>Sampling!E973</f>
        <v>0</v>
      </c>
      <c r="E975" t="str">
        <f>ICPList[[#This Row],[Experiment ID]]&amp;"_Day"&amp;ICPList[[#This Row],[Duration (Days)]]&amp;"_"&amp;ICPList[[#This Row],[Dilution]]&amp;"x"</f>
        <v>Not Requested_Day0_x</v>
      </c>
      <c r="F975">
        <f>NMRResults[[#This Row],['#]]</f>
        <v>0</v>
      </c>
      <c r="G975" s="1">
        <f>NMRResults[[#This Row],[Date Run]]</f>
        <v>0</v>
      </c>
    </row>
    <row r="976" spans="1:7" hidden="1" x14ac:dyDescent="0.25">
      <c r="A976" t="str" cm="1">
        <f t="array" ref="A976">IF(ISBLANK(INDEX(SampleList[ICP],ROW()-1)),"Not Requested",INDEX(SampleList[Experiment ID],ROW()-1))</f>
        <v>Not Requested</v>
      </c>
      <c r="B976">
        <f>Sampling!E974</f>
        <v>0</v>
      </c>
      <c r="E976" t="str">
        <f>ICPList[[#This Row],[Experiment ID]]&amp;"_Day"&amp;ICPList[[#This Row],[Duration (Days)]]&amp;"_"&amp;ICPList[[#This Row],[Dilution]]&amp;"x"</f>
        <v>Not Requested_Day0_x</v>
      </c>
      <c r="F976">
        <f>NMRResults[[#This Row],['#]]</f>
        <v>0</v>
      </c>
      <c r="G976" s="1">
        <f>NMRResults[[#This Row],[Date Run]]</f>
        <v>0</v>
      </c>
    </row>
    <row r="977" spans="1:7" hidden="1" x14ac:dyDescent="0.25">
      <c r="A977" t="str" cm="1">
        <f t="array" ref="A977">IF(ISBLANK(INDEX(SampleList[ICP],ROW()-1)),"Not Requested",INDEX(SampleList[Experiment ID],ROW()-1))</f>
        <v>Not Requested</v>
      </c>
      <c r="B977">
        <f>Sampling!E975</f>
        <v>0</v>
      </c>
      <c r="E977" t="str">
        <f>ICPList[[#This Row],[Experiment ID]]&amp;"_Day"&amp;ICPList[[#This Row],[Duration (Days)]]&amp;"_"&amp;ICPList[[#This Row],[Dilution]]&amp;"x"</f>
        <v>Not Requested_Day0_x</v>
      </c>
      <c r="F977">
        <f>NMRResults[[#This Row],['#]]</f>
        <v>0</v>
      </c>
      <c r="G977" s="1">
        <f>NMRResults[[#This Row],[Date Run]]</f>
        <v>0</v>
      </c>
    </row>
    <row r="978" spans="1:7" hidden="1" x14ac:dyDescent="0.25">
      <c r="A978" t="str" cm="1">
        <f t="array" ref="A978">IF(ISBLANK(INDEX(SampleList[ICP],ROW()-1)),"Not Requested",INDEX(SampleList[Experiment ID],ROW()-1))</f>
        <v>Not Requested</v>
      </c>
      <c r="B978">
        <f>Sampling!E976</f>
        <v>0</v>
      </c>
      <c r="E978" t="str">
        <f>ICPList[[#This Row],[Experiment ID]]&amp;"_Day"&amp;ICPList[[#This Row],[Duration (Days)]]&amp;"_"&amp;ICPList[[#This Row],[Dilution]]&amp;"x"</f>
        <v>Not Requested_Day0_x</v>
      </c>
      <c r="F978">
        <f>NMRResults[[#This Row],['#]]</f>
        <v>0</v>
      </c>
      <c r="G978" s="1">
        <f>NMRResults[[#This Row],[Date Run]]</f>
        <v>0</v>
      </c>
    </row>
    <row r="979" spans="1:7" hidden="1" x14ac:dyDescent="0.25">
      <c r="A979" t="str" cm="1">
        <f t="array" ref="A979">IF(ISBLANK(INDEX(SampleList[ICP],ROW()-1)),"Not Requested",INDEX(SampleList[Experiment ID],ROW()-1))</f>
        <v>Not Requested</v>
      </c>
      <c r="B979">
        <f>Sampling!E977</f>
        <v>0</v>
      </c>
      <c r="E979" t="str">
        <f>ICPList[[#This Row],[Experiment ID]]&amp;"_Day"&amp;ICPList[[#This Row],[Duration (Days)]]&amp;"_"&amp;ICPList[[#This Row],[Dilution]]&amp;"x"</f>
        <v>Not Requested_Day0_x</v>
      </c>
      <c r="F979">
        <f>NMRResults[[#This Row],['#]]</f>
        <v>0</v>
      </c>
      <c r="G979" s="1">
        <f>NMRResults[[#This Row],[Date Run]]</f>
        <v>0</v>
      </c>
    </row>
    <row r="980" spans="1:7" hidden="1" x14ac:dyDescent="0.25">
      <c r="A980" t="str" cm="1">
        <f t="array" ref="A980">IF(ISBLANK(INDEX(SampleList[ICP],ROW()-1)),"Not Requested",INDEX(SampleList[Experiment ID],ROW()-1))</f>
        <v>Not Requested</v>
      </c>
      <c r="B980">
        <f>Sampling!E978</f>
        <v>0</v>
      </c>
      <c r="E980" t="str">
        <f>ICPList[[#This Row],[Experiment ID]]&amp;"_Day"&amp;ICPList[[#This Row],[Duration (Days)]]&amp;"_"&amp;ICPList[[#This Row],[Dilution]]&amp;"x"</f>
        <v>Not Requested_Day0_x</v>
      </c>
      <c r="F980">
        <f>NMRResults[[#This Row],['#]]</f>
        <v>0</v>
      </c>
      <c r="G980" s="1">
        <f>NMRResults[[#This Row],[Date Run]]</f>
        <v>0</v>
      </c>
    </row>
    <row r="981" spans="1:7" hidden="1" x14ac:dyDescent="0.25">
      <c r="A981" t="str" cm="1">
        <f t="array" ref="A981">IF(ISBLANK(INDEX(SampleList[ICP],ROW()-1)),"Not Requested",INDEX(SampleList[Experiment ID],ROW()-1))</f>
        <v>Not Requested</v>
      </c>
      <c r="B981">
        <f>Sampling!E979</f>
        <v>0</v>
      </c>
      <c r="E981" t="str">
        <f>ICPList[[#This Row],[Experiment ID]]&amp;"_Day"&amp;ICPList[[#This Row],[Duration (Days)]]&amp;"_"&amp;ICPList[[#This Row],[Dilution]]&amp;"x"</f>
        <v>Not Requested_Day0_x</v>
      </c>
      <c r="F981">
        <f>NMRResults[[#This Row],['#]]</f>
        <v>0</v>
      </c>
      <c r="G981" s="1">
        <f>NMRResults[[#This Row],[Date Run]]</f>
        <v>0</v>
      </c>
    </row>
    <row r="982" spans="1:7" hidden="1" x14ac:dyDescent="0.25">
      <c r="A982" t="str" cm="1">
        <f t="array" ref="A982">IF(ISBLANK(INDEX(SampleList[ICP],ROW()-1)),"Not Requested",INDEX(SampleList[Experiment ID],ROW()-1))</f>
        <v>Not Requested</v>
      </c>
      <c r="B982">
        <f>Sampling!E980</f>
        <v>0</v>
      </c>
      <c r="E982" t="str">
        <f>ICPList[[#This Row],[Experiment ID]]&amp;"_Day"&amp;ICPList[[#This Row],[Duration (Days)]]&amp;"_"&amp;ICPList[[#This Row],[Dilution]]&amp;"x"</f>
        <v>Not Requested_Day0_x</v>
      </c>
      <c r="F982">
        <f>NMRResults[[#This Row],['#]]</f>
        <v>0</v>
      </c>
      <c r="G982" s="1">
        <f>NMRResults[[#This Row],[Date Run]]</f>
        <v>0</v>
      </c>
    </row>
    <row r="983" spans="1:7" hidden="1" x14ac:dyDescent="0.25">
      <c r="A983" t="str" cm="1">
        <f t="array" ref="A983">IF(ISBLANK(INDEX(SampleList[ICP],ROW()-1)),"Not Requested",INDEX(SampleList[Experiment ID],ROW()-1))</f>
        <v>Not Requested</v>
      </c>
      <c r="B983">
        <f>Sampling!E981</f>
        <v>0</v>
      </c>
      <c r="E983" t="str">
        <f>ICPList[[#This Row],[Experiment ID]]&amp;"_Day"&amp;ICPList[[#This Row],[Duration (Days)]]&amp;"_"&amp;ICPList[[#This Row],[Dilution]]&amp;"x"</f>
        <v>Not Requested_Day0_x</v>
      </c>
      <c r="F983">
        <f>NMRResults[[#This Row],['#]]</f>
        <v>0</v>
      </c>
      <c r="G983" s="1">
        <f>NMRResults[[#This Row],[Date Run]]</f>
        <v>0</v>
      </c>
    </row>
    <row r="984" spans="1:7" hidden="1" x14ac:dyDescent="0.25">
      <c r="A984" t="str" cm="1">
        <f t="array" ref="A984">IF(ISBLANK(INDEX(SampleList[ICP],ROW()-1)),"Not Requested",INDEX(SampleList[Experiment ID],ROW()-1))</f>
        <v>Not Requested</v>
      </c>
      <c r="B984">
        <f>Sampling!E982</f>
        <v>0</v>
      </c>
      <c r="E984" t="str">
        <f>ICPList[[#This Row],[Experiment ID]]&amp;"_Day"&amp;ICPList[[#This Row],[Duration (Days)]]&amp;"_"&amp;ICPList[[#This Row],[Dilution]]&amp;"x"</f>
        <v>Not Requested_Day0_x</v>
      </c>
      <c r="F984">
        <f>NMRResults[[#This Row],['#]]</f>
        <v>0</v>
      </c>
      <c r="G984" s="1">
        <f>NMRResults[[#This Row],[Date Run]]</f>
        <v>0</v>
      </c>
    </row>
    <row r="985" spans="1:7" hidden="1" x14ac:dyDescent="0.25">
      <c r="A985" t="str" cm="1">
        <f t="array" ref="A985">IF(ISBLANK(INDEX(SampleList[ICP],ROW()-1)),"Not Requested",INDEX(SampleList[Experiment ID],ROW()-1))</f>
        <v>Not Requested</v>
      </c>
      <c r="B985">
        <f>Sampling!E983</f>
        <v>0</v>
      </c>
      <c r="E985" t="str">
        <f>ICPList[[#This Row],[Experiment ID]]&amp;"_Day"&amp;ICPList[[#This Row],[Duration (Days)]]&amp;"_"&amp;ICPList[[#This Row],[Dilution]]&amp;"x"</f>
        <v>Not Requested_Day0_x</v>
      </c>
      <c r="F985">
        <f>NMRResults[[#This Row],['#]]</f>
        <v>0</v>
      </c>
      <c r="G985" s="1">
        <f>NMRResults[[#This Row],[Date Run]]</f>
        <v>0</v>
      </c>
    </row>
    <row r="986" spans="1:7" hidden="1" x14ac:dyDescent="0.25">
      <c r="A986" t="str" cm="1">
        <f t="array" ref="A986">IF(ISBLANK(INDEX(SampleList[ICP],ROW()-1)),"Not Requested",INDEX(SampleList[Experiment ID],ROW()-1))</f>
        <v>Not Requested</v>
      </c>
      <c r="B986">
        <f>Sampling!E984</f>
        <v>0</v>
      </c>
      <c r="E986" t="str">
        <f>ICPList[[#This Row],[Experiment ID]]&amp;"_Day"&amp;ICPList[[#This Row],[Duration (Days)]]&amp;"_"&amp;ICPList[[#This Row],[Dilution]]&amp;"x"</f>
        <v>Not Requested_Day0_x</v>
      </c>
      <c r="F986">
        <f>NMRResults[[#This Row],['#]]</f>
        <v>0</v>
      </c>
      <c r="G986" s="1">
        <f>NMRResults[[#This Row],[Date Run]]</f>
        <v>0</v>
      </c>
    </row>
    <row r="987" spans="1:7" hidden="1" x14ac:dyDescent="0.25">
      <c r="A987" t="str" cm="1">
        <f t="array" ref="A987">IF(ISBLANK(INDEX(SampleList[ICP],ROW()-1)),"Not Requested",INDEX(SampleList[Experiment ID],ROW()-1))</f>
        <v>Not Requested</v>
      </c>
      <c r="B987">
        <f>Sampling!E985</f>
        <v>0</v>
      </c>
      <c r="E987" t="str">
        <f>ICPList[[#This Row],[Experiment ID]]&amp;"_Day"&amp;ICPList[[#This Row],[Duration (Days)]]&amp;"_"&amp;ICPList[[#This Row],[Dilution]]&amp;"x"</f>
        <v>Not Requested_Day0_x</v>
      </c>
      <c r="F987">
        <f>NMRResults[[#This Row],['#]]</f>
        <v>0</v>
      </c>
      <c r="G987" s="1">
        <f>NMRResults[[#This Row],[Date Run]]</f>
        <v>0</v>
      </c>
    </row>
    <row r="988" spans="1:7" hidden="1" x14ac:dyDescent="0.25">
      <c r="A988" t="str" cm="1">
        <f t="array" ref="A988">IF(ISBLANK(INDEX(SampleList[ICP],ROW()-1)),"Not Requested",INDEX(SampleList[Experiment ID],ROW()-1))</f>
        <v>Not Requested</v>
      </c>
      <c r="B988">
        <f>Sampling!E986</f>
        <v>0</v>
      </c>
      <c r="E988" t="str">
        <f>ICPList[[#This Row],[Experiment ID]]&amp;"_Day"&amp;ICPList[[#This Row],[Duration (Days)]]&amp;"_"&amp;ICPList[[#This Row],[Dilution]]&amp;"x"</f>
        <v>Not Requested_Day0_x</v>
      </c>
      <c r="F988">
        <f>NMRResults[[#This Row],['#]]</f>
        <v>0</v>
      </c>
      <c r="G988" s="1">
        <f>NMRResults[[#This Row],[Date Run]]</f>
        <v>0</v>
      </c>
    </row>
    <row r="989" spans="1:7" hidden="1" x14ac:dyDescent="0.25">
      <c r="A989" t="str" cm="1">
        <f t="array" ref="A989">IF(ISBLANK(INDEX(SampleList[ICP],ROW()-1)),"Not Requested",INDEX(SampleList[Experiment ID],ROW()-1))</f>
        <v>Not Requested</v>
      </c>
      <c r="B989">
        <f>Sampling!E987</f>
        <v>0</v>
      </c>
      <c r="E989" t="str">
        <f>ICPList[[#This Row],[Experiment ID]]&amp;"_Day"&amp;ICPList[[#This Row],[Duration (Days)]]&amp;"_"&amp;ICPList[[#This Row],[Dilution]]&amp;"x"</f>
        <v>Not Requested_Day0_x</v>
      </c>
      <c r="F989">
        <f>NMRResults[[#This Row],['#]]</f>
        <v>0</v>
      </c>
      <c r="G989" s="1">
        <f>NMRResults[[#This Row],[Date Run]]</f>
        <v>0</v>
      </c>
    </row>
    <row r="990" spans="1:7" hidden="1" x14ac:dyDescent="0.25">
      <c r="A990" t="str" cm="1">
        <f t="array" ref="A990">IF(ISBLANK(INDEX(SampleList[ICP],ROW()-1)),"Not Requested",INDEX(SampleList[Experiment ID],ROW()-1))</f>
        <v>Not Requested</v>
      </c>
      <c r="B990">
        <f>Sampling!E988</f>
        <v>0</v>
      </c>
      <c r="E990" t="str">
        <f>ICPList[[#This Row],[Experiment ID]]&amp;"_Day"&amp;ICPList[[#This Row],[Duration (Days)]]&amp;"_"&amp;ICPList[[#This Row],[Dilution]]&amp;"x"</f>
        <v>Not Requested_Day0_x</v>
      </c>
      <c r="F990">
        <f>NMRResults[[#This Row],['#]]</f>
        <v>0</v>
      </c>
      <c r="G990" s="1">
        <f>NMRResults[[#This Row],[Date Run]]</f>
        <v>0</v>
      </c>
    </row>
    <row r="991" spans="1:7" hidden="1" x14ac:dyDescent="0.25">
      <c r="A991" t="str" cm="1">
        <f t="array" ref="A991">IF(ISBLANK(INDEX(SampleList[ICP],ROW()-1)),"Not Requested",INDEX(SampleList[Experiment ID],ROW()-1))</f>
        <v>Not Requested</v>
      </c>
      <c r="B991">
        <f>Sampling!E989</f>
        <v>0</v>
      </c>
      <c r="E991" t="str">
        <f>ICPList[[#This Row],[Experiment ID]]&amp;"_Day"&amp;ICPList[[#This Row],[Duration (Days)]]&amp;"_"&amp;ICPList[[#This Row],[Dilution]]&amp;"x"</f>
        <v>Not Requested_Day0_x</v>
      </c>
      <c r="F991">
        <f>NMRResults[[#This Row],['#]]</f>
        <v>0</v>
      </c>
      <c r="G991" s="1">
        <f>NMRResults[[#This Row],[Date Run]]</f>
        <v>0</v>
      </c>
    </row>
    <row r="992" spans="1:7" hidden="1" x14ac:dyDescent="0.25">
      <c r="A992" t="str" cm="1">
        <f t="array" ref="A992">IF(ISBLANK(INDEX(SampleList[ICP],ROW()-1)),"Not Requested",INDEX(SampleList[Experiment ID],ROW()-1))</f>
        <v>Not Requested</v>
      </c>
      <c r="B992">
        <f>Sampling!E990</f>
        <v>0</v>
      </c>
      <c r="E992" t="str">
        <f>ICPList[[#This Row],[Experiment ID]]&amp;"_Day"&amp;ICPList[[#This Row],[Duration (Days)]]&amp;"_"&amp;ICPList[[#This Row],[Dilution]]&amp;"x"</f>
        <v>Not Requested_Day0_x</v>
      </c>
      <c r="F992">
        <f>NMRResults[[#This Row],['#]]</f>
        <v>0</v>
      </c>
      <c r="G992" s="1">
        <f>NMRResults[[#This Row],[Date Run]]</f>
        <v>0</v>
      </c>
    </row>
    <row r="993" spans="1:7" hidden="1" x14ac:dyDescent="0.25">
      <c r="A993" t="str" cm="1">
        <f t="array" ref="A993">IF(ISBLANK(INDEX(SampleList[ICP],ROW()-1)),"Not Requested",INDEX(SampleList[Experiment ID],ROW()-1))</f>
        <v>Not Requested</v>
      </c>
      <c r="B993">
        <f>Sampling!E991</f>
        <v>0</v>
      </c>
      <c r="E993" t="str">
        <f>ICPList[[#This Row],[Experiment ID]]&amp;"_Day"&amp;ICPList[[#This Row],[Duration (Days)]]&amp;"_"&amp;ICPList[[#This Row],[Dilution]]&amp;"x"</f>
        <v>Not Requested_Day0_x</v>
      </c>
      <c r="F993">
        <f>NMRResults[[#This Row],['#]]</f>
        <v>0</v>
      </c>
      <c r="G993" s="1">
        <f>NMRResults[[#This Row],[Date Run]]</f>
        <v>0</v>
      </c>
    </row>
    <row r="994" spans="1:7" hidden="1" x14ac:dyDescent="0.25">
      <c r="A994" t="str" cm="1">
        <f t="array" ref="A994">IF(ISBLANK(INDEX(SampleList[ICP],ROW()-1)),"Not Requested",INDEX(SampleList[Experiment ID],ROW()-1))</f>
        <v>Not Requested</v>
      </c>
      <c r="B994">
        <f>Sampling!E992</f>
        <v>0</v>
      </c>
      <c r="E994" t="str">
        <f>ICPList[[#This Row],[Experiment ID]]&amp;"_Day"&amp;ICPList[[#This Row],[Duration (Days)]]&amp;"_"&amp;ICPList[[#This Row],[Dilution]]&amp;"x"</f>
        <v>Not Requested_Day0_x</v>
      </c>
      <c r="F994">
        <f>NMRResults[[#This Row],['#]]</f>
        <v>0</v>
      </c>
      <c r="G994" s="1">
        <f>NMRResults[[#This Row],[Date Run]]</f>
        <v>0</v>
      </c>
    </row>
    <row r="995" spans="1:7" hidden="1" x14ac:dyDescent="0.25">
      <c r="A995" t="str" cm="1">
        <f t="array" ref="A995">IF(ISBLANK(INDEX(SampleList[ICP],ROW()-1)),"Not Requested",INDEX(SampleList[Experiment ID],ROW()-1))</f>
        <v>Not Requested</v>
      </c>
      <c r="B995">
        <f>Sampling!E993</f>
        <v>0</v>
      </c>
      <c r="E995" t="str">
        <f>ICPList[[#This Row],[Experiment ID]]&amp;"_Day"&amp;ICPList[[#This Row],[Duration (Days)]]&amp;"_"&amp;ICPList[[#This Row],[Dilution]]&amp;"x"</f>
        <v>Not Requested_Day0_x</v>
      </c>
      <c r="F995">
        <f>NMRResults[[#This Row],['#]]</f>
        <v>0</v>
      </c>
      <c r="G995" s="1">
        <f>NMRResults[[#This Row],[Date Run]]</f>
        <v>0</v>
      </c>
    </row>
    <row r="996" spans="1:7" hidden="1" x14ac:dyDescent="0.25">
      <c r="A996" t="str" cm="1">
        <f t="array" ref="A996">IF(ISBLANK(INDEX(SampleList[ICP],ROW()-1)),"Not Requested",INDEX(SampleList[Experiment ID],ROW()-1))</f>
        <v>Not Requested</v>
      </c>
      <c r="B996">
        <f>Sampling!E994</f>
        <v>0</v>
      </c>
      <c r="E996" t="str">
        <f>ICPList[[#This Row],[Experiment ID]]&amp;"_Day"&amp;ICPList[[#This Row],[Duration (Days)]]&amp;"_"&amp;ICPList[[#This Row],[Dilution]]&amp;"x"</f>
        <v>Not Requested_Day0_x</v>
      </c>
      <c r="F996">
        <f>NMRResults[[#This Row],['#]]</f>
        <v>0</v>
      </c>
      <c r="G996" s="1">
        <f>NMRResults[[#This Row],[Date Run]]</f>
        <v>0</v>
      </c>
    </row>
    <row r="997" spans="1:7" hidden="1" x14ac:dyDescent="0.25">
      <c r="A997" t="str" cm="1">
        <f t="array" ref="A997">IF(ISBLANK(INDEX(SampleList[ICP],ROW()-1)),"Not Requested",INDEX(SampleList[Experiment ID],ROW()-1))</f>
        <v>Not Requested</v>
      </c>
      <c r="B997">
        <f>Sampling!E995</f>
        <v>0</v>
      </c>
      <c r="E997" t="str">
        <f>ICPList[[#This Row],[Experiment ID]]&amp;"_Day"&amp;ICPList[[#This Row],[Duration (Days)]]&amp;"_"&amp;ICPList[[#This Row],[Dilution]]&amp;"x"</f>
        <v>Not Requested_Day0_x</v>
      </c>
      <c r="F997">
        <f>NMRResults[[#This Row],['#]]</f>
        <v>0</v>
      </c>
      <c r="G997" s="1">
        <f>NMRResults[[#This Row],[Date Run]]</f>
        <v>0</v>
      </c>
    </row>
    <row r="998" spans="1:7" hidden="1" x14ac:dyDescent="0.25">
      <c r="A998" t="str" cm="1">
        <f t="array" ref="A998">IF(ISBLANK(INDEX(SampleList[ICP],ROW()-1)),"Not Requested",INDEX(SampleList[Experiment ID],ROW()-1))</f>
        <v>Not Requested</v>
      </c>
      <c r="B998">
        <f>Sampling!E996</f>
        <v>0</v>
      </c>
      <c r="E998" t="str">
        <f>ICPList[[#This Row],[Experiment ID]]&amp;"_Day"&amp;ICPList[[#This Row],[Duration (Days)]]&amp;"_"&amp;ICPList[[#This Row],[Dilution]]&amp;"x"</f>
        <v>Not Requested_Day0_x</v>
      </c>
      <c r="F998">
        <f>NMRResults[[#This Row],['#]]</f>
        <v>0</v>
      </c>
      <c r="G998" s="1">
        <f>NMRResults[[#This Row],[Date Run]]</f>
        <v>0</v>
      </c>
    </row>
    <row r="999" spans="1:7" hidden="1" x14ac:dyDescent="0.25">
      <c r="A999" t="e" cm="1">
        <f t="array" ref="A999">IF(ISBLANK(INDEX(SampleList[ICP],ROW()-1)),"Not Requested",INDEX(SampleList[Experiment ID],ROW()-1))</f>
        <v>#REF!</v>
      </c>
      <c r="B999">
        <f>Sampling!E997</f>
        <v>0</v>
      </c>
      <c r="E999" t="e">
        <f>ICPList[[#This Row],[Experiment ID]]&amp;"_Day"&amp;ICPList[[#This Row],[Duration (Days)]]&amp;"_"&amp;ICPList[[#This Row],[Dilution]]&amp;"x"</f>
        <v>#REF!</v>
      </c>
      <c r="F999">
        <f>NMRResults[[#This Row],['#]]</f>
        <v>0</v>
      </c>
      <c r="G999" s="1">
        <f>NMRResults[[#This Row],[Date Run]]</f>
        <v>0</v>
      </c>
    </row>
    <row r="1000" spans="1:7" hidden="1" x14ac:dyDescent="0.25">
      <c r="A1000" t="e" cm="1">
        <f t="array" ref="A1000">IF(ISBLANK(INDEX(SampleList[ICP],ROW()-1)),"Not Requested",INDEX(SampleList[Experiment ID],ROW()-1))</f>
        <v>#REF!</v>
      </c>
      <c r="B1000">
        <f>Sampling!E998</f>
        <v>0</v>
      </c>
      <c r="E1000" t="e">
        <f>ICPList[[#This Row],[Experiment ID]]&amp;"_Day"&amp;ICPList[[#This Row],[Duration (Days)]]&amp;"_"&amp;ICPList[[#This Row],[Dilution]]&amp;"x"</f>
        <v>#REF!</v>
      </c>
      <c r="F1000">
        <f>NMRResults[[#This Row],['#]]</f>
        <v>0</v>
      </c>
      <c r="G1000" s="1">
        <f>NMRResults[[#This Row],[Date Run]]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497B-43BF-486D-B2C9-7A393864E646}">
  <sheetPr>
    <tabColor rgb="FFC7A1E3"/>
  </sheetPr>
  <dimension ref="A1:H1000"/>
  <sheetViews>
    <sheetView topLeftCell="A3" workbookViewId="0">
      <selection activeCell="D1002" sqref="D1002"/>
    </sheetView>
  </sheetViews>
  <sheetFormatPr defaultRowHeight="15" x14ac:dyDescent="0.25"/>
  <cols>
    <col min="1" max="1" width="14.7109375" customWidth="1"/>
    <col min="2" max="3" width="17.140625" customWidth="1"/>
    <col min="4" max="4" width="12.5703125" customWidth="1"/>
    <col min="5" max="5" width="28.140625" customWidth="1"/>
    <col min="6" max="6" width="70.5703125" customWidth="1"/>
    <col min="7" max="7" width="14" customWidth="1"/>
    <col min="8" max="8" width="17.28515625" customWidth="1"/>
  </cols>
  <sheetData>
    <row r="1" spans="1:8" s="5" customFormat="1" x14ac:dyDescent="0.25">
      <c r="A1" s="3" t="s">
        <v>0</v>
      </c>
      <c r="B1" s="3" t="s">
        <v>3</v>
      </c>
      <c r="C1" s="3" t="s">
        <v>102</v>
      </c>
      <c r="D1" s="5" t="s">
        <v>28</v>
      </c>
      <c r="E1" s="5" t="s">
        <v>41</v>
      </c>
      <c r="F1" s="5" t="s">
        <v>40</v>
      </c>
      <c r="G1" s="5" t="s">
        <v>104</v>
      </c>
      <c r="H1" s="5" t="s">
        <v>105</v>
      </c>
    </row>
    <row r="2" spans="1:8" x14ac:dyDescent="0.25">
      <c r="A2" t="str" cm="1">
        <f t="array" ref="A2">IF(AND(ISBLANK(INDEX(SampleList[pH],ROW()-1)),ISBLANK(INDEX(SampleList[Conductivity],ROW()-1)),ISBLANK(INDEX(SampleList[Modification],ROW()-1))),"Not Requested",INDEX(SampleList[Experiment ID],ROW()-1))</f>
        <v>HPHT_097</v>
      </c>
      <c r="B2">
        <f>SampleList[[#This Row],[Duration (Days)]]</f>
        <v>1</v>
      </c>
      <c r="D2">
        <v>6.44</v>
      </c>
      <c r="E2">
        <v>110.3</v>
      </c>
      <c r="G2">
        <f>NMRResults[[#This Row],['#]]</f>
        <v>0</v>
      </c>
      <c r="H2" s="1">
        <f>NMRResults[[#This Row],[Date Run]]</f>
        <v>46097</v>
      </c>
    </row>
    <row r="3" spans="1:8" x14ac:dyDescent="0.25">
      <c r="A3" t="str" cm="1">
        <f t="array" ref="A3">IF(AND(ISBLANK(INDEX(SampleList[pH],ROW()-1)),ISBLANK(INDEX(SampleList[Conductivity],ROW()-1)),ISBLANK(INDEX(SampleList[Modification],ROW()-1))),"Not Requested",INDEX(SampleList[Experiment ID],ROW()-1))</f>
        <v>HPHT_070</v>
      </c>
      <c r="B3">
        <f>SampleList[[#This Row],[Duration (Days)]]</f>
        <v>60</v>
      </c>
      <c r="D3">
        <v>4.43</v>
      </c>
      <c r="E3">
        <v>92.1</v>
      </c>
      <c r="G3">
        <f>NMRResults[[#This Row],['#]]</f>
        <v>0</v>
      </c>
      <c r="H3" s="1">
        <f>NMRResults[[#This Row],[Date Run]]</f>
        <v>46097</v>
      </c>
    </row>
    <row r="4" spans="1:8" x14ac:dyDescent="0.25">
      <c r="A4" t="str" cm="1">
        <f t="array" ref="A4">IF(AND(ISBLANK(INDEX(SampleList[pH],ROW()-1)),ISBLANK(INDEX(SampleList[Conductivity],ROW()-1)),ISBLANK(INDEX(SampleList[Modification],ROW()-1))),"Not Requested",INDEX(SampleList[Experiment ID],ROW()-1))</f>
        <v>HPHT_089</v>
      </c>
      <c r="B4">
        <f>SampleList[[#This Row],[Duration (Days)]]</f>
        <v>0</v>
      </c>
      <c r="D4">
        <v>6.65</v>
      </c>
      <c r="E4">
        <v>35.200000000000003</v>
      </c>
      <c r="G4">
        <f>NMRResults[[#This Row],['#]]</f>
        <v>0</v>
      </c>
      <c r="H4" s="1">
        <f>NMRResults[[#This Row],[Date Run]]</f>
        <v>46097</v>
      </c>
    </row>
    <row r="5" spans="1:8" hidden="1" x14ac:dyDescent="0.25">
      <c r="A5" t="str" cm="1">
        <f t="array" ref="A5">IF(AND(ISBLANK(INDEX(SampleList[pH],ROW()-1)),ISBLANK(INDEX(SampleList[Conductivity],ROW()-1)),ISBLANK(INDEX(SampleList[Modification],ROW()-1))),"Not Requested",INDEX(SampleList[Experiment ID],ROW()-1))</f>
        <v>Not Requested</v>
      </c>
      <c r="B5">
        <f>SampleList[[#This Row],[Duration (Days)]]</f>
        <v>0</v>
      </c>
      <c r="G5">
        <f>NMRResults[[#This Row],['#]]</f>
        <v>0</v>
      </c>
      <c r="H5" s="1">
        <f>NMRResults[[#This Row],[Date Run]]</f>
        <v>46097</v>
      </c>
    </row>
    <row r="6" spans="1:8" hidden="1" x14ac:dyDescent="0.25">
      <c r="A6" t="str" cm="1">
        <f t="array" ref="A6">IF(AND(ISBLANK(INDEX(SampleList[pH],ROW()-1)),ISBLANK(INDEX(SampleList[Conductivity],ROW()-1)),ISBLANK(INDEX(SampleList[Modification],ROW()-1))),"Not Requested",INDEX(SampleList[Experiment ID],ROW()-1))</f>
        <v>Not Requested</v>
      </c>
      <c r="B6">
        <f>SampleList[[#This Row],[Duration (Days)]]</f>
        <v>3</v>
      </c>
      <c r="G6">
        <f>NMRResults[[#This Row],['#]]</f>
        <v>0</v>
      </c>
      <c r="H6" s="1">
        <f>NMRResults[[#This Row],[Date Run]]</f>
        <v>46097</v>
      </c>
    </row>
    <row r="7" spans="1:8" hidden="1" x14ac:dyDescent="0.25">
      <c r="A7" t="str" cm="1">
        <f t="array" ref="A7">IF(AND(ISBLANK(INDEX(SampleList[pH],ROW()-1)),ISBLANK(INDEX(SampleList[Conductivity],ROW()-1)),ISBLANK(INDEX(SampleList[Modification],ROW()-1))),"Not Requested",INDEX(SampleList[Experiment ID],ROW()-1))</f>
        <v>Not Requested</v>
      </c>
      <c r="B7">
        <f>SampleList[[#This Row],[Duration (Days)]]</f>
        <v>0</v>
      </c>
      <c r="G7">
        <f>NMRResults[[#This Row],['#]]</f>
        <v>0</v>
      </c>
      <c r="H7" s="1">
        <f>NMRResults[[#This Row],[Date Run]]</f>
        <v>46097</v>
      </c>
    </row>
    <row r="8" spans="1:8" x14ac:dyDescent="0.25">
      <c r="A8" t="str" cm="1">
        <f t="array" ref="A8">IF(AND(ISBLANK(INDEX(SampleList[pH],ROW()-1)),ISBLANK(INDEX(SampleList[Conductivity],ROW()-1)),ISBLANK(INDEX(SampleList[Modification],ROW()-1))),"Not Requested",INDEX(SampleList[Experiment ID],ROW()-1))</f>
        <v>HPHT_101</v>
      </c>
      <c r="B8">
        <f>SampleList[[#This Row],[Duration (Days)]]</f>
        <v>3</v>
      </c>
      <c r="D8">
        <v>2.6</v>
      </c>
      <c r="E8">
        <v>3.4</v>
      </c>
      <c r="G8">
        <f>NMRResults[[#This Row],['#]]</f>
        <v>0</v>
      </c>
      <c r="H8" s="1">
        <f>NMRResults[[#This Row],[Date Run]]</f>
        <v>46097</v>
      </c>
    </row>
    <row r="9" spans="1:8" x14ac:dyDescent="0.25">
      <c r="A9" t="str" cm="1">
        <f t="array" ref="A9">IF(AND(ISBLANK(INDEX(SampleList[pH],ROW()-1)),ISBLANK(INDEX(SampleList[Conductivity],ROW()-1)),ISBLANK(INDEX(SampleList[Modification],ROW()-1))),"Not Requested",INDEX(SampleList[Experiment ID],ROW()-1))</f>
        <v>HPHT_102</v>
      </c>
      <c r="B9">
        <f>SampleList[[#This Row],[Duration (Days)]]</f>
        <v>3</v>
      </c>
      <c r="D9">
        <v>2.4500000000000002</v>
      </c>
      <c r="E9">
        <v>3.71</v>
      </c>
      <c r="G9">
        <f>NMRResults[[#This Row],['#]]</f>
        <v>0</v>
      </c>
      <c r="H9" s="1">
        <f>NMRResults[[#This Row],[Date Run]]</f>
        <v>46097</v>
      </c>
    </row>
    <row r="10" spans="1:8" hidden="1" x14ac:dyDescent="0.25">
      <c r="A10" t="str" cm="1">
        <f t="array" ref="A10">IF(AND(ISBLANK(INDEX(SampleList[pH],ROW()-1)),ISBLANK(INDEX(SampleList[Conductivity],ROW()-1)),ISBLANK(INDEX(SampleList[Modification],ROW()-1))),"Not Requested",INDEX(SampleList[Experiment ID],ROW()-1))</f>
        <v>Not Requested</v>
      </c>
      <c r="B10">
        <f>SampleList[[#This Row],[Duration (Days)]]</f>
        <v>3</v>
      </c>
      <c r="G10">
        <f>NMRResults[[#This Row],['#]]</f>
        <v>0</v>
      </c>
      <c r="H10" s="1">
        <f>NMRResults[[#This Row],[Date Run]]</f>
        <v>46097</v>
      </c>
    </row>
    <row r="11" spans="1:8" x14ac:dyDescent="0.25">
      <c r="A11" t="str" cm="1">
        <f t="array" ref="A11">IF(AND(ISBLANK(INDEX(SampleList[pH],ROW()-1)),ISBLANK(INDEX(SampleList[Conductivity],ROW()-1)),ISBLANK(INDEX(SampleList[Modification],ROW()-1))),"Not Requested",INDEX(SampleList[Experiment ID],ROW()-1))</f>
        <v>HPHT_097</v>
      </c>
      <c r="B11">
        <f>SampleList[[#This Row],[Duration (Days)]]</f>
        <v>4</v>
      </c>
      <c r="D11">
        <v>4.45</v>
      </c>
      <c r="E11">
        <v>133.30000000000001</v>
      </c>
      <c r="G11">
        <f>NMRResults[[#This Row],['#]]</f>
        <v>0</v>
      </c>
      <c r="H11" s="1">
        <f>NMRResults[[#This Row],[Date Run]]</f>
        <v>46097</v>
      </c>
    </row>
    <row r="12" spans="1:8" hidden="1" x14ac:dyDescent="0.25">
      <c r="A12" t="str" cm="1">
        <f t="array" ref="A12">IF(AND(ISBLANK(INDEX(SampleList[pH],ROW()-1)),ISBLANK(INDEX(SampleList[Conductivity],ROW()-1)),ISBLANK(INDEX(SampleList[Modification],ROW()-1))),"Not Requested",INDEX(SampleList[Experiment ID],ROW()-1))</f>
        <v>Not Requested</v>
      </c>
      <c r="B12">
        <f>SampleList[[#This Row],[Duration (Days)]]</f>
        <v>0</v>
      </c>
      <c r="G12">
        <f>NMRResults[[#This Row],['#]]</f>
        <v>0</v>
      </c>
      <c r="H12" s="1">
        <f>NMRResults[[#This Row],[Date Run]]</f>
        <v>46097</v>
      </c>
    </row>
    <row r="13" spans="1:8" x14ac:dyDescent="0.25">
      <c r="A13" t="str" cm="1">
        <f t="array" ref="A13">IF(AND(ISBLANK(INDEX(SampleList[pH],ROW()-1)),ISBLANK(INDEX(SampleList[Conductivity],ROW()-1)),ISBLANK(INDEX(SampleList[Modification],ROW()-1))),"Not Requested",INDEX(SampleList[Experiment ID],ROW()-1))</f>
        <v>HPHT_096</v>
      </c>
      <c r="B13">
        <f>SampleList[[#This Row],[Duration (Days)]]</f>
        <v>10</v>
      </c>
      <c r="D13">
        <v>5.52</v>
      </c>
      <c r="E13">
        <v>72.7</v>
      </c>
      <c r="F13" s="6" t="s">
        <v>86</v>
      </c>
      <c r="G13">
        <f>NMRResults[[#This Row],['#]]</f>
        <v>0</v>
      </c>
      <c r="H13" s="1">
        <f>NMRResults[[#This Row],[Date Run]]</f>
        <v>46097</v>
      </c>
    </row>
    <row r="14" spans="1:8" x14ac:dyDescent="0.25">
      <c r="A14" t="str" cm="1">
        <f t="array" ref="A14">IF(AND(ISBLANK(INDEX(SampleList[pH],ROW()-1)),ISBLANK(INDEX(SampleList[Conductivity],ROW()-1)),ISBLANK(INDEX(SampleList[Modification],ROW()-1))),"Not Requested",INDEX(SampleList[Experiment ID],ROW()-1))</f>
        <v>HPHT_079</v>
      </c>
      <c r="B14">
        <f>SampleList[[#This Row],[Duration (Days)]]</f>
        <v>39</v>
      </c>
      <c r="D14">
        <v>12.55</v>
      </c>
      <c r="E14">
        <v>66.099999999999994</v>
      </c>
      <c r="F14" s="6" t="s">
        <v>107</v>
      </c>
      <c r="H14" s="1">
        <f>NMRResults[[#This Row],[Date Run]]</f>
        <v>46099</v>
      </c>
    </row>
    <row r="15" spans="1:8" x14ac:dyDescent="0.25">
      <c r="A15" t="str" cm="1">
        <f t="array" ref="A15">IF(AND(ISBLANK(INDEX(SampleList[pH],ROW()-1)),ISBLANK(INDEX(SampleList[Conductivity],ROW()-1)),ISBLANK(INDEX(SampleList[Modification],ROW()-1))),"Not Requested",INDEX(SampleList[Experiment ID],ROW()-1))</f>
        <v>HPHT_097</v>
      </c>
      <c r="B15">
        <f>SampleList[[#This Row],[Duration (Days)]]</f>
        <v>6</v>
      </c>
      <c r="F15" s="6" t="s">
        <v>120</v>
      </c>
      <c r="G15">
        <f>NMRResults[[#This Row],['#]]</f>
        <v>0</v>
      </c>
      <c r="H15" s="1">
        <f>NMRResults[[#This Row],[Date Run]]</f>
        <v>46099</v>
      </c>
    </row>
    <row r="16" spans="1:8" hidden="1" x14ac:dyDescent="0.25">
      <c r="A16" t="str" cm="1">
        <f t="array" ref="A16">IF(AND(ISBLANK(INDEX(SampleList[pH],ROW()-1)),ISBLANK(INDEX(SampleList[Conductivity],ROW()-1)),ISBLANK(INDEX(SampleList[Modification],ROW()-1))),"Not Requested",INDEX(SampleList[Experiment ID],ROW()-1))</f>
        <v>Not Requested</v>
      </c>
      <c r="B16">
        <f>SampleList[[#This Row],[Duration (Days)]]</f>
        <v>6</v>
      </c>
      <c r="G16">
        <v>1</v>
      </c>
      <c r="H16" s="1">
        <f>NMRResults[[#This Row],[Date Run]]</f>
        <v>0</v>
      </c>
    </row>
    <row r="17" spans="1:8" hidden="1" x14ac:dyDescent="0.25">
      <c r="A17" t="str" cm="1">
        <f t="array" ref="A17">IF(AND(ISBLANK(INDEX(SampleList[pH],ROW()-1)),ISBLANK(INDEX(SampleList[Conductivity],ROW()-1)),ISBLANK(INDEX(SampleList[Modification],ROW()-1))),"Not Requested",INDEX(SampleList[Experiment ID],ROW()-1))</f>
        <v>Not Requested</v>
      </c>
      <c r="B17">
        <f>SampleList[[#This Row],[Duration (Days)]]</f>
        <v>46</v>
      </c>
      <c r="G17">
        <v>2</v>
      </c>
      <c r="H17" s="1">
        <f>NMRResults[[#This Row],[Date Run]]</f>
        <v>0</v>
      </c>
    </row>
    <row r="18" spans="1:8" hidden="1" x14ac:dyDescent="0.25">
      <c r="A18" t="str" cm="1">
        <f t="array" ref="A18">IF(AND(ISBLANK(INDEX(SampleList[pH],ROW()-1)),ISBLANK(INDEX(SampleList[Conductivity],ROW()-1)),ISBLANK(INDEX(SampleList[Modification],ROW()-1))),"Not Requested",INDEX(SampleList[Experiment ID],ROW()-1))</f>
        <v>Not Requested</v>
      </c>
      <c r="B18">
        <f>SampleList[[#This Row],[Duration (Days)]]</f>
        <v>18</v>
      </c>
      <c r="G18">
        <v>3</v>
      </c>
      <c r="H18" s="1">
        <f>NMRResults[[#This Row],[Date Run]]</f>
        <v>0</v>
      </c>
    </row>
    <row r="19" spans="1:8" hidden="1" x14ac:dyDescent="0.25">
      <c r="A19" t="str" cm="1">
        <f t="array" ref="A19">IF(AND(ISBLANK(INDEX(SampleList[pH],ROW()-1)),ISBLANK(INDEX(SampleList[Conductivity],ROW()-1)),ISBLANK(INDEX(SampleList[Modification],ROW()-1))),"Not Requested",INDEX(SampleList[Experiment ID],ROW()-1))</f>
        <v>Not Requested</v>
      </c>
      <c r="B19">
        <f>SampleList[[#This Row],[Duration (Days)]]</f>
        <v>22</v>
      </c>
      <c r="G19">
        <v>4</v>
      </c>
      <c r="H19" s="1">
        <f>NMRResults[[#This Row],[Date Run]]</f>
        <v>0</v>
      </c>
    </row>
    <row r="20" spans="1:8" hidden="1" x14ac:dyDescent="0.25">
      <c r="A20" t="str" cm="1">
        <f t="array" ref="A20">IF(AND(ISBLANK(INDEX(SampleList[pH],ROW()-1)),ISBLANK(INDEX(SampleList[Conductivity],ROW()-1)),ISBLANK(INDEX(SampleList[Modification],ROW()-1))),"Not Requested",INDEX(SampleList[Experiment ID],ROW()-1))</f>
        <v>Not Requested</v>
      </c>
      <c r="B20">
        <f>SampleList[[#This Row],[Duration (Days)]]</f>
        <v>20</v>
      </c>
      <c r="G20">
        <v>1</v>
      </c>
      <c r="H20" s="1">
        <f>NMRResults[[#This Row],[Date Run]]</f>
        <v>0</v>
      </c>
    </row>
    <row r="21" spans="1:8" hidden="1" x14ac:dyDescent="0.25">
      <c r="A21" t="str" cm="1">
        <f t="array" ref="A21">IF(AND(ISBLANK(INDEX(SampleList[pH],ROW()-1)),ISBLANK(INDEX(SampleList[Conductivity],ROW()-1)),ISBLANK(INDEX(SampleList[Modification],ROW()-1))),"Not Requested",INDEX(SampleList[Experiment ID],ROW()-1))</f>
        <v>Not Requested</v>
      </c>
      <c r="B21">
        <f>SampleList[[#This Row],[Duration (Days)]]</f>
        <v>8</v>
      </c>
      <c r="G21">
        <v>2</v>
      </c>
      <c r="H21" s="1">
        <f>NMRResults[[#This Row],[Date Run]]</f>
        <v>0</v>
      </c>
    </row>
    <row r="22" spans="1:8" hidden="1" x14ac:dyDescent="0.25">
      <c r="A22" t="str" cm="1">
        <f t="array" ref="A22">IF(AND(ISBLANK(INDEX(SampleList[pH],ROW()-1)),ISBLANK(INDEX(SampleList[Conductivity],ROW()-1)),ISBLANK(INDEX(SampleList[Modification],ROW()-1))),"Not Requested",INDEX(SampleList[Experiment ID],ROW()-1))</f>
        <v>Not Requested</v>
      </c>
      <c r="B22">
        <f>SampleList[[#This Row],[Duration (Days)]]</f>
        <v>10</v>
      </c>
      <c r="G22">
        <v>3</v>
      </c>
      <c r="H22" s="1">
        <f>NMRResults[[#This Row],[Date Run]]</f>
        <v>0</v>
      </c>
    </row>
    <row r="23" spans="1:8" hidden="1" x14ac:dyDescent="0.25">
      <c r="A23" t="str" cm="1">
        <f t="array" ref="A23">IF(AND(ISBLANK(INDEX(SampleList[pH],ROW()-1)),ISBLANK(INDEX(SampleList[Conductivity],ROW()-1)),ISBLANK(INDEX(SampleList[Modification],ROW()-1))),"Not Requested",INDEX(SampleList[Experiment ID],ROW()-1))</f>
        <v>Not Requested</v>
      </c>
      <c r="B23">
        <f>SampleList[[#This Row],[Duration (Days)]]</f>
        <v>2</v>
      </c>
      <c r="G23">
        <v>4</v>
      </c>
      <c r="H23" s="1">
        <f>NMRResults[[#This Row],[Date Run]]</f>
        <v>0</v>
      </c>
    </row>
    <row r="24" spans="1:8" hidden="1" x14ac:dyDescent="0.25">
      <c r="A24" t="str" cm="1">
        <f t="array" ref="A24">IF(AND(ISBLANK(INDEX(SampleList[pH],ROW()-1)),ISBLANK(INDEX(SampleList[Conductivity],ROW()-1)),ISBLANK(INDEX(SampleList[Modification],ROW()-1))),"Not Requested",INDEX(SampleList[Experiment ID],ROW()-1))</f>
        <v>Not Requested</v>
      </c>
      <c r="B24">
        <f>SampleList[[#This Row],[Duration (Days)]]</f>
        <v>52</v>
      </c>
      <c r="G24">
        <v>1</v>
      </c>
      <c r="H24" s="1">
        <f>NMRResults[[#This Row],[Date Run]]</f>
        <v>0</v>
      </c>
    </row>
    <row r="25" spans="1:8" hidden="1" x14ac:dyDescent="0.25">
      <c r="A25" t="str" cm="1">
        <f t="array" ref="A25">IF(AND(ISBLANK(INDEX(SampleList[pH],ROW()-1)),ISBLANK(INDEX(SampleList[Conductivity],ROW()-1)),ISBLANK(INDEX(SampleList[Modification],ROW()-1))),"Not Requested",INDEX(SampleList[Experiment ID],ROW()-1))</f>
        <v>Not Requested</v>
      </c>
      <c r="B25">
        <f>SampleList[[#This Row],[Duration (Days)]]</f>
        <v>22</v>
      </c>
      <c r="G25">
        <v>2</v>
      </c>
      <c r="H25" s="1">
        <f>NMRResults[[#This Row],[Date Run]]</f>
        <v>0</v>
      </c>
    </row>
    <row r="26" spans="1:8" hidden="1" x14ac:dyDescent="0.25">
      <c r="A26" t="str" cm="1">
        <f t="array" ref="A26">IF(AND(ISBLANK(INDEX(SampleList[pH],ROW()-1)),ISBLANK(INDEX(SampleList[Conductivity],ROW()-1)),ISBLANK(INDEX(SampleList[Modification],ROW()-1))),"Not Requested",INDEX(SampleList[Experiment ID],ROW()-1))</f>
        <v>Not Requested</v>
      </c>
      <c r="B26">
        <f>SampleList[[#This Row],[Duration (Days)]]</f>
        <v>28</v>
      </c>
      <c r="G26">
        <v>3</v>
      </c>
      <c r="H26" s="1">
        <f>NMRResults[[#This Row],[Date Run]]</f>
        <v>0</v>
      </c>
    </row>
    <row r="27" spans="1:8" hidden="1" x14ac:dyDescent="0.25">
      <c r="A27" t="str" cm="1">
        <f t="array" ref="A27">IF(AND(ISBLANK(INDEX(SampleList[pH],ROW()-1)),ISBLANK(INDEX(SampleList[Conductivity],ROW()-1)),ISBLANK(INDEX(SampleList[Modification],ROW()-1))),"Not Requested",INDEX(SampleList[Experiment ID],ROW()-1))</f>
        <v>Not Requested</v>
      </c>
      <c r="B27">
        <f>SampleList[[#This Row],[Duration (Days)]]</f>
        <v>0</v>
      </c>
      <c r="G27">
        <v>4</v>
      </c>
      <c r="H27" s="1">
        <f>NMRResults[[#This Row],[Date Run]]</f>
        <v>0</v>
      </c>
    </row>
    <row r="28" spans="1:8" hidden="1" x14ac:dyDescent="0.25">
      <c r="A28" t="str" cm="1">
        <f t="array" ref="A28">IF(AND(ISBLANK(INDEX(SampleList[pH],ROW()-1)),ISBLANK(INDEX(SampleList[Conductivity],ROW()-1)),ISBLANK(INDEX(SampleList[Modification],ROW()-1))),"Not Requested",INDEX(SampleList[Experiment ID],ROW()-1))</f>
        <v>Not Requested</v>
      </c>
      <c r="B28">
        <f>SampleList[[#This Row],[Duration (Days)]]</f>
        <v>10</v>
      </c>
      <c r="G28">
        <v>5</v>
      </c>
      <c r="H28" s="1">
        <f>NMRResults[[#This Row],[Date Run]]</f>
        <v>0</v>
      </c>
    </row>
    <row r="29" spans="1:8" hidden="1" x14ac:dyDescent="0.25">
      <c r="A29" t="str" cm="1">
        <f t="array" ref="A29">IF(AND(ISBLANK(INDEX(SampleList[pH],ROW()-1)),ISBLANK(INDEX(SampleList[Conductivity],ROW()-1)),ISBLANK(INDEX(SampleList[Modification],ROW()-1))),"Not Requested",INDEX(SampleList[Experiment ID],ROW()-1))</f>
        <v>Not Requested</v>
      </c>
      <c r="B29">
        <f>SampleList[[#This Row],[Duration (Days)]]</f>
        <v>12</v>
      </c>
      <c r="G29">
        <v>6</v>
      </c>
      <c r="H29" s="1">
        <f>NMRResults[[#This Row],[Date Run]]</f>
        <v>0</v>
      </c>
    </row>
    <row r="30" spans="1:8" hidden="1" x14ac:dyDescent="0.25">
      <c r="A30" t="str" cm="1">
        <f t="array" ref="A30">IF(AND(ISBLANK(INDEX(SampleList[pH],ROW()-1)),ISBLANK(INDEX(SampleList[Conductivity],ROW()-1)),ISBLANK(INDEX(SampleList[Modification],ROW()-1))),"Not Requested",INDEX(SampleList[Experiment ID],ROW()-1))</f>
        <v>Not Requested</v>
      </c>
      <c r="B30">
        <f>SampleList[[#This Row],[Duration (Days)]]</f>
        <v>0</v>
      </c>
      <c r="G30">
        <v>7</v>
      </c>
      <c r="H30" s="1">
        <f>NMRResults[[#This Row],[Date Run]]</f>
        <v>0</v>
      </c>
    </row>
    <row r="31" spans="1:8" hidden="1" x14ac:dyDescent="0.25">
      <c r="A31" t="str" cm="1">
        <f t="array" ref="A31">IF(AND(ISBLANK(INDEX(SampleList[pH],ROW()-1)),ISBLANK(INDEX(SampleList[Conductivity],ROW()-1)),ISBLANK(INDEX(SampleList[Modification],ROW()-1))),"Not Requested",INDEX(SampleList[Experiment ID],ROW()-1))</f>
        <v>Not Requested</v>
      </c>
      <c r="B31">
        <f>SampleList[[#This Row],[Duration (Days)]]</f>
        <v>34</v>
      </c>
      <c r="G31">
        <f>NMRResults[[#This Row],['#]]</f>
        <v>0</v>
      </c>
      <c r="H31" s="1">
        <f>NMRResults[[#This Row],[Date Run]]</f>
        <v>0</v>
      </c>
    </row>
    <row r="32" spans="1:8" hidden="1" x14ac:dyDescent="0.25">
      <c r="A32" t="str" cm="1">
        <f t="array" ref="A32">IF(AND(ISBLANK(INDEX(SampleList[pH],ROW()-1)),ISBLANK(INDEX(SampleList[Conductivity],ROW()-1)),ISBLANK(INDEX(SampleList[Modification],ROW()-1))),"Not Requested",INDEX(SampleList[Experiment ID],ROW()-1))</f>
        <v>Not Requested</v>
      </c>
      <c r="B32">
        <f>SampleList[[#This Row],[Duration (Days)]]</f>
        <v>9</v>
      </c>
      <c r="G32">
        <f>NMRResults[[#This Row],['#]]</f>
        <v>0</v>
      </c>
      <c r="H32" s="1">
        <f>NMRResults[[#This Row],[Date Run]]</f>
        <v>0</v>
      </c>
    </row>
    <row r="33" spans="1:8" hidden="1" x14ac:dyDescent="0.25">
      <c r="A33" t="str" cm="1">
        <f t="array" ref="A33">IF(AND(ISBLANK(INDEX(SampleList[pH],ROW()-1)),ISBLANK(INDEX(SampleList[Conductivity],ROW()-1)),ISBLANK(INDEX(SampleList[Modification],ROW()-1))),"Not Requested",INDEX(SampleList[Experiment ID],ROW()-1))</f>
        <v>Not Requested</v>
      </c>
      <c r="B33">
        <f>SampleList[[#This Row],[Duration (Days)]]</f>
        <v>15</v>
      </c>
      <c r="G33">
        <v>4</v>
      </c>
      <c r="H33" s="1">
        <f>NMRResults[[#This Row],[Date Run]]</f>
        <v>0</v>
      </c>
    </row>
    <row r="34" spans="1:8" hidden="1" x14ac:dyDescent="0.25">
      <c r="A34" t="str" cm="1">
        <f t="array" ref="A34">IF(AND(ISBLANK(INDEX(SampleList[pH],ROW()-1)),ISBLANK(INDEX(SampleList[Conductivity],ROW()-1)),ISBLANK(INDEX(SampleList[Modification],ROW()-1))),"Not Requested",INDEX(SampleList[Experiment ID],ROW()-1))</f>
        <v>Not Requested</v>
      </c>
      <c r="B34">
        <f>SampleList[[#This Row],[Duration (Days)]]</f>
        <v>0</v>
      </c>
      <c r="H34" s="1">
        <f>NMRResults[[#This Row],[Date Run]]</f>
        <v>0</v>
      </c>
    </row>
    <row r="35" spans="1:8" hidden="1" x14ac:dyDescent="0.25">
      <c r="A35" t="str" cm="1">
        <f t="array" ref="A35">IF(AND(ISBLANK(INDEX(SampleList[pH],ROW()-1)),ISBLANK(INDEX(SampleList[Conductivity],ROW()-1)),ISBLANK(INDEX(SampleList[Modification],ROW()-1))),"Not Requested",INDEX(SampleList[Experiment ID],ROW()-1))</f>
        <v>Not Requested</v>
      </c>
      <c r="B35">
        <f>SampleList[[#This Row],[Duration (Days)]]</f>
        <v>15</v>
      </c>
      <c r="G35">
        <f>NMRResults[[#This Row],['#]]</f>
        <v>0</v>
      </c>
      <c r="H35" s="1">
        <f>NMRResults[[#This Row],[Date Run]]</f>
        <v>0</v>
      </c>
    </row>
    <row r="36" spans="1:8" hidden="1" x14ac:dyDescent="0.25">
      <c r="A36" t="str" cm="1">
        <f t="array" ref="A36">IF(AND(ISBLANK(INDEX(SampleList[pH],ROW()-1)),ISBLANK(INDEX(SampleList[Conductivity],ROW()-1)),ISBLANK(INDEX(SampleList[Modification],ROW()-1))),"Not Requested",INDEX(SampleList[Experiment ID],ROW()-1))</f>
        <v>Not Requested</v>
      </c>
      <c r="B36">
        <f>SampleList[[#This Row],[Duration (Days)]]</f>
        <v>5</v>
      </c>
      <c r="G36">
        <v>6</v>
      </c>
      <c r="H36" s="1">
        <f>NMRResults[[#This Row],[Date Run]]</f>
        <v>0</v>
      </c>
    </row>
    <row r="37" spans="1:8" hidden="1" x14ac:dyDescent="0.25">
      <c r="A37" t="str" cm="1">
        <f t="array" ref="A37">IF(AND(ISBLANK(INDEX(SampleList[pH],ROW()-1)),ISBLANK(INDEX(SampleList[Conductivity],ROW()-1)),ISBLANK(INDEX(SampleList[Modification],ROW()-1))),"Not Requested",INDEX(SampleList[Experiment ID],ROW()-1))</f>
        <v>Not Requested</v>
      </c>
      <c r="B37">
        <f>SampleList[[#This Row],[Duration (Days)]]</f>
        <v>4</v>
      </c>
      <c r="G37">
        <f>NMRResults[[#This Row],['#]]</f>
        <v>0</v>
      </c>
      <c r="H37" s="1">
        <f>NMRResults[[#This Row],[Date Run]]</f>
        <v>0</v>
      </c>
    </row>
    <row r="38" spans="1:8" x14ac:dyDescent="0.25">
      <c r="A38" t="str" cm="1">
        <f t="array" ref="A38">IF(AND(ISBLANK(INDEX(SampleList[pH],ROW()-1)),ISBLANK(INDEX(SampleList[Conductivity],ROW()-1)),ISBLANK(INDEX(SampleList[Modification],ROW()-1))),"Not Requested",INDEX(SampleList[Experiment ID],ROW()-1))</f>
        <v>HPHT_103</v>
      </c>
      <c r="B38">
        <f>SampleList[[#This Row],[Duration (Days)]]</f>
        <v>0</v>
      </c>
      <c r="G38">
        <f>NMRResults[[#This Row],['#]]</f>
        <v>0</v>
      </c>
      <c r="H38" s="1">
        <f>NMRResults[[#This Row],[Date Run]]</f>
        <v>46099</v>
      </c>
    </row>
    <row r="39" spans="1:8" x14ac:dyDescent="0.25">
      <c r="A39" t="str" cm="1">
        <f t="array" ref="A39">IF(AND(ISBLANK(INDEX(SampleList[pH],ROW()-1)),ISBLANK(INDEX(SampleList[Conductivity],ROW()-1)),ISBLANK(INDEX(SampleList[Modification],ROW()-1))),"Not Requested",INDEX(SampleList[Experiment ID],ROW()-1))</f>
        <v>HPHT_104</v>
      </c>
      <c r="B39">
        <f>SampleList[[#This Row],[Duration (Days)]]</f>
        <v>0</v>
      </c>
      <c r="G39">
        <f>NMRResults[[#This Row],['#]]</f>
        <v>0</v>
      </c>
      <c r="H39" s="1">
        <f>NMRResults[[#This Row],[Date Run]]</f>
        <v>46099</v>
      </c>
    </row>
    <row r="40" spans="1:8" hidden="1" x14ac:dyDescent="0.25">
      <c r="A40" t="str" cm="1">
        <f t="array" ref="A40">IF(AND(ISBLANK(INDEX(SampleList[pH],ROW()-1)),ISBLANK(INDEX(SampleList[Conductivity],ROW()-1)),ISBLANK(INDEX(SampleList[Modification],ROW()-1))),"Not Requested",INDEX(SampleList[Experiment ID],ROW()-1))</f>
        <v>Not Requested</v>
      </c>
      <c r="B40">
        <f>SampleList[[#This Row],[Duration (Days)]]</f>
        <v>10</v>
      </c>
      <c r="G40">
        <f>NMRResults[[#This Row],['#]]</f>
        <v>0</v>
      </c>
      <c r="H40" s="1">
        <f>NMRResults[[#This Row],[Date Run]]</f>
        <v>46099</v>
      </c>
    </row>
    <row r="41" spans="1:8" hidden="1" x14ac:dyDescent="0.25">
      <c r="A41" t="str" cm="1">
        <f t="array" ref="A41">IF(AND(ISBLANK(INDEX(SampleList[pH],ROW()-1)),ISBLANK(INDEX(SampleList[Conductivity],ROW()-1)),ISBLANK(INDEX(SampleList[Modification],ROW()-1))),"Not Requested",INDEX(SampleList[Experiment ID],ROW()-1))</f>
        <v>Not Requested</v>
      </c>
      <c r="B41">
        <f>SampleList[[#This Row],[Duration (Days)]]</f>
        <v>0</v>
      </c>
      <c r="G41">
        <f>NMRResults[[#This Row],['#]]</f>
        <v>0</v>
      </c>
      <c r="H41" s="1">
        <f>NMRResults[[#This Row],[Date Run]]</f>
        <v>46099</v>
      </c>
    </row>
    <row r="42" spans="1:8" hidden="1" x14ac:dyDescent="0.25">
      <c r="A42" t="str" cm="1">
        <f t="array" ref="A42">IF(AND(ISBLANK(INDEX(SampleList[pH],ROW()-1)),ISBLANK(INDEX(SampleList[Conductivity],ROW()-1)),ISBLANK(INDEX(SampleList[Modification],ROW()-1))),"Not Requested",INDEX(SampleList[Experiment ID],ROW()-1))</f>
        <v>Not Requested</v>
      </c>
      <c r="B42">
        <f>SampleList[[#This Row],[Duration (Days)]]</f>
        <v>5</v>
      </c>
      <c r="G42">
        <f>NMRResults[[#This Row],['#]]</f>
        <v>0</v>
      </c>
      <c r="H42" s="1">
        <f>NMRResults[[#This Row],[Date Run]]</f>
        <v>46099</v>
      </c>
    </row>
    <row r="43" spans="1:8" x14ac:dyDescent="0.25">
      <c r="A43" t="str" cm="1">
        <f t="array" ref="A43">IF(AND(ISBLANK(INDEX(SampleList[pH],ROW()-1)),ISBLANK(INDEX(SampleList[Conductivity],ROW()-1)),ISBLANK(INDEX(SampleList[Modification],ROW()-1))),"Not Requested",INDEX(SampleList[Experiment ID],ROW()-1))</f>
        <v>HPHT_089</v>
      </c>
      <c r="B43">
        <f>SampleList[[#This Row],[Duration (Days)]]</f>
        <v>3</v>
      </c>
      <c r="D43">
        <v>10.31</v>
      </c>
      <c r="E43">
        <v>40.36</v>
      </c>
      <c r="F43" s="6" t="s">
        <v>128</v>
      </c>
      <c r="G43">
        <f>NMRResults[[#This Row],['#]]</f>
        <v>1</v>
      </c>
      <c r="H43" s="1">
        <f>NMRResults[[#This Row],[Date Run]]</f>
        <v>46101</v>
      </c>
    </row>
    <row r="44" spans="1:8" x14ac:dyDescent="0.25">
      <c r="A44" t="str" cm="1">
        <f t="array" ref="A44">IF(AND(ISBLANK(INDEX(SampleList[pH],ROW()-1)),ISBLANK(INDEX(SampleList[Conductivity],ROW()-1)),ISBLANK(INDEX(SampleList[Modification],ROW()-1))),"Not Requested",INDEX(SampleList[Experiment ID],ROW()-1))</f>
        <v>HPHT_096</v>
      </c>
      <c r="B44">
        <f>SampleList[[#This Row],[Duration (Days)]]</f>
        <v>13</v>
      </c>
      <c r="D44">
        <v>7.3</v>
      </c>
      <c r="E44">
        <v>9.9</v>
      </c>
      <c r="F44" s="6" t="s">
        <v>129</v>
      </c>
      <c r="G44">
        <f>NMRResults[[#This Row],['#]]</f>
        <v>2</v>
      </c>
      <c r="H44" s="1">
        <f>NMRResults[[#This Row],[Date Run]]</f>
        <v>46101</v>
      </c>
    </row>
    <row r="45" spans="1:8" hidden="1" x14ac:dyDescent="0.25">
      <c r="A45" t="str" cm="1">
        <f t="array" ref="A45">IF(AND(ISBLANK(INDEX(SampleList[pH],ROW()-1)),ISBLANK(INDEX(SampleList[Conductivity],ROW()-1)),ISBLANK(INDEX(SampleList[Modification],ROW()-1))),"Not Requested",INDEX(SampleList[Experiment ID],ROW()-1))</f>
        <v>Not Requested</v>
      </c>
      <c r="B45">
        <f>SampleList[[#This Row],[Duration (Days)]]</f>
        <v>42</v>
      </c>
      <c r="G45">
        <f>NMRResults[[#This Row],['#]]</f>
        <v>0</v>
      </c>
      <c r="H45" s="1">
        <f>NMRResults[[#This Row],[Date Run]]</f>
        <v>0</v>
      </c>
    </row>
    <row r="46" spans="1:8" x14ac:dyDescent="0.25">
      <c r="A46" t="str" cm="1">
        <f t="array" ref="A46">IF(AND(ISBLANK(INDEX(SampleList[pH],ROW()-1)),ISBLANK(INDEX(SampleList[Conductivity],ROW()-1)),ISBLANK(INDEX(SampleList[Modification],ROW()-1))),"Not Requested",INDEX(SampleList[Experiment ID],ROW()-1))</f>
        <v>HPHT_097</v>
      </c>
      <c r="B46">
        <f>SampleList[[#This Row],[Duration (Days)]]</f>
        <v>8</v>
      </c>
      <c r="G46">
        <f>NMRResults[[#This Row],['#]]</f>
        <v>3</v>
      </c>
      <c r="H46" s="1">
        <f>NMRResults[[#This Row],[Date Run]]</f>
        <v>46101</v>
      </c>
    </row>
    <row r="47" spans="1:8" x14ac:dyDescent="0.25">
      <c r="A47" t="str" cm="1">
        <f t="array" ref="A47">IF(AND(ISBLANK(INDEX(SampleList[pH],ROW()-1)),ISBLANK(INDEX(SampleList[Conductivity],ROW()-1)),ISBLANK(INDEX(SampleList[Modification],ROW()-1))),"Not Requested",INDEX(SampleList[Experiment ID],ROW()-1))</f>
        <v>HPHT_105</v>
      </c>
      <c r="B47">
        <f>SampleList[[#This Row],[Duration (Days)]]</f>
        <v>3</v>
      </c>
      <c r="G47">
        <f>NMRResults[[#This Row],['#]]</f>
        <v>4</v>
      </c>
      <c r="H47" s="1">
        <f>NMRResults[[#This Row],[Date Run]]</f>
        <v>46101</v>
      </c>
    </row>
    <row r="48" spans="1:8" hidden="1" x14ac:dyDescent="0.25">
      <c r="A48" t="str" cm="1">
        <f t="array" ref="A48">IF(AND(ISBLANK(INDEX(SampleList[pH],ROW()-1)),ISBLANK(INDEX(SampleList[Conductivity],ROW()-1)),ISBLANK(INDEX(SampleList[Modification],ROW()-1))),"Not Requested",INDEX(SampleList[Experiment ID],ROW()-1))</f>
        <v>150uL NMR Standard</v>
      </c>
      <c r="B48">
        <f>SampleList[[#This Row],[Duration (Days)]]</f>
        <v>0</v>
      </c>
      <c r="G48">
        <f>NMRResults[[#This Row],['#]]</f>
        <v>5</v>
      </c>
      <c r="H48" s="1">
        <f>NMRResults[[#This Row],[Date Run]]</f>
        <v>46101</v>
      </c>
    </row>
    <row r="49" spans="1:8" x14ac:dyDescent="0.25">
      <c r="A49" t="str" cm="1">
        <f t="array" ref="A49">IF(AND(ISBLANK(INDEX(SampleList[pH],ROW()-1)),ISBLANK(INDEX(SampleList[Conductivity],ROW()-1)),ISBLANK(INDEX(SampleList[Modification],ROW()-1))),"Not Requested",INDEX(SampleList[Experiment ID],ROW()-1))</f>
        <v>HPHT_096</v>
      </c>
      <c r="B49">
        <f>SampleList[[#This Row],[Duration (Days)]]</f>
        <v>17</v>
      </c>
      <c r="F49" t="s">
        <v>122</v>
      </c>
      <c r="G49">
        <f>NMRResults[[#This Row],['#]]</f>
        <v>0</v>
      </c>
      <c r="H49" s="1">
        <f>NMRResults[[#This Row],[Date Run]]</f>
        <v>0</v>
      </c>
    </row>
    <row r="50" spans="1:8" x14ac:dyDescent="0.25">
      <c r="A50" t="str" cm="1">
        <f t="array" ref="A50">IF(AND(ISBLANK(INDEX(SampleList[pH],ROW()-1)),ISBLANK(INDEX(SampleList[Conductivity],ROW()-1)),ISBLANK(INDEX(SampleList[Modification],ROW()-1))),"Not Requested",INDEX(SampleList[Experiment ID],ROW()-1))</f>
        <v>HPHT_089</v>
      </c>
      <c r="B50">
        <f>SampleList[[#This Row],[Duration (Days)]]</f>
        <v>7</v>
      </c>
      <c r="F50" t="s">
        <v>124</v>
      </c>
      <c r="G50">
        <f>NMRResults[[#This Row],['#]]</f>
        <v>0</v>
      </c>
      <c r="H50" s="1">
        <f>NMRResults[[#This Row],[Date Run]]</f>
        <v>0</v>
      </c>
    </row>
    <row r="51" spans="1:8" hidden="1" x14ac:dyDescent="0.25">
      <c r="A51" t="str" cm="1">
        <f t="array" ref="A51">IF(AND(ISBLANK(INDEX(SampleList[pH],ROW()-1)),ISBLANK(INDEX(SampleList[Conductivity],ROW()-1)),ISBLANK(INDEX(SampleList[Modification],ROW()-1))),"Not Requested",INDEX(SampleList[Experiment ID],ROW()-1))</f>
        <v>Not Requested</v>
      </c>
      <c r="B51">
        <f>SampleList[[#This Row],[Duration (Days)]]</f>
        <v>46</v>
      </c>
      <c r="G51">
        <f>NMRResults[[#This Row],['#]]</f>
        <v>0</v>
      </c>
      <c r="H51" s="1">
        <f>NMRResults[[#This Row],[Date Run]]</f>
        <v>0</v>
      </c>
    </row>
    <row r="52" spans="1:8" x14ac:dyDescent="0.25">
      <c r="A52" t="str" cm="1">
        <f t="array" ref="A52">IF(AND(ISBLANK(INDEX(SampleList[pH],ROW()-1)),ISBLANK(INDEX(SampleList[Conductivity],ROW()-1)),ISBLANK(INDEX(SampleList[Modification],ROW()-1))),"Not Requested",INDEX(SampleList[Experiment ID],ROW()-1))</f>
        <v>HPHT_097</v>
      </c>
      <c r="B52">
        <f>SampleList[[#This Row],[Duration (Days)]]</f>
        <v>11</v>
      </c>
      <c r="G52">
        <f>NMRResults[[#This Row],['#]]</f>
        <v>0</v>
      </c>
      <c r="H52" s="1">
        <f>NMRResults[[#This Row],[Date Run]]</f>
        <v>0</v>
      </c>
    </row>
    <row r="53" spans="1:8" x14ac:dyDescent="0.25">
      <c r="A53" t="str" cm="1">
        <f t="array" ref="A53">IF(AND(ISBLANK(INDEX(SampleList[pH],ROW()-1)),ISBLANK(INDEX(SampleList[Conductivity],ROW()-1)),ISBLANK(INDEX(SampleList[Modification],ROW()-1))),"Not Requested",INDEX(SampleList[Experiment ID],ROW()-1))</f>
        <v>HPHT_103</v>
      </c>
      <c r="B53">
        <f>SampleList[[#This Row],[Duration (Days)]]</f>
        <v>3</v>
      </c>
      <c r="G53">
        <f>NMRResults[[#This Row],['#]]</f>
        <v>0</v>
      </c>
      <c r="H53" s="1">
        <f>NMRResults[[#This Row],[Date Run]]</f>
        <v>0</v>
      </c>
    </row>
    <row r="54" spans="1:8" x14ac:dyDescent="0.25">
      <c r="A54" t="str" cm="1">
        <f t="array" ref="A54">IF(AND(ISBLANK(INDEX(SampleList[pH],ROW()-1)),ISBLANK(INDEX(SampleList[Conductivity],ROW()-1)),ISBLANK(INDEX(SampleList[Modification],ROW()-1))),"Not Requested",INDEX(SampleList[Experiment ID],ROW()-1))</f>
        <v>HPHT_104</v>
      </c>
      <c r="B54">
        <f>SampleList[[#This Row],[Duration (Days)]]</f>
        <v>3</v>
      </c>
      <c r="G54">
        <f>NMRResults[[#This Row],['#]]</f>
        <v>0</v>
      </c>
      <c r="H54" s="1">
        <f>NMRResults[[#This Row],[Date Run]]</f>
        <v>0</v>
      </c>
    </row>
    <row r="55" spans="1:8" x14ac:dyDescent="0.25">
      <c r="A55" t="str" cm="1">
        <f t="array" ref="A55">IF(AND(ISBLANK(INDEX(SampleList[pH],ROW()-1)),ISBLANK(INDEX(SampleList[Conductivity],ROW()-1)),ISBLANK(INDEX(SampleList[Modification],ROW()-1))),"Not Requested",INDEX(SampleList[Experiment ID],ROW()-1))</f>
        <v>HPHT_107</v>
      </c>
      <c r="B55">
        <f>SampleList[[#This Row],[Duration (Days)]]</f>
        <v>3</v>
      </c>
      <c r="G55">
        <f>NMRResults[[#This Row],['#]]</f>
        <v>0</v>
      </c>
      <c r="H55" s="1">
        <f>NMRResults[[#This Row],[Date Run]]</f>
        <v>0</v>
      </c>
    </row>
    <row r="56" spans="1:8" hidden="1" x14ac:dyDescent="0.25">
      <c r="A56" t="str" cm="1">
        <f t="array" ref="A56">IF(AND(ISBLANK(INDEX(SampleList[pH],ROW()-1)),ISBLANK(INDEX(SampleList[Conductivity],ROW()-1)),ISBLANK(INDEX(SampleList[Modification],ROW()-1))),"Not Requested",INDEX(SampleList[Experiment ID],ROW()-1))</f>
        <v>Not Requested</v>
      </c>
      <c r="B56">
        <f>SampleList[[#This Row],[Duration (Days)]]</f>
        <v>0</v>
      </c>
      <c r="G56">
        <f>NMRResults[[#This Row],['#]]</f>
        <v>0</v>
      </c>
      <c r="H56" s="1">
        <f>NMRResults[[#This Row],[Date Run]]</f>
        <v>0</v>
      </c>
    </row>
    <row r="57" spans="1:8" hidden="1" x14ac:dyDescent="0.25">
      <c r="A57" t="str" cm="1">
        <f t="array" ref="A57">IF(AND(ISBLANK(INDEX(SampleList[pH],ROW()-1)),ISBLANK(INDEX(SampleList[Conductivity],ROW()-1)),ISBLANK(INDEX(SampleList[Modification],ROW()-1))),"Not Requested",INDEX(SampleList[Experiment ID],ROW()-1))</f>
        <v>Not Requested</v>
      </c>
      <c r="B57">
        <f>SampleList[[#This Row],[Duration (Days)]]</f>
        <v>0</v>
      </c>
      <c r="G57">
        <f>NMRResults[[#This Row],['#]]</f>
        <v>0</v>
      </c>
      <c r="H57" s="1">
        <f>NMRResults[[#This Row],[Date Run]]</f>
        <v>0</v>
      </c>
    </row>
    <row r="58" spans="1:8" hidden="1" x14ac:dyDescent="0.25">
      <c r="A58" t="str" cm="1">
        <f t="array" ref="A58">IF(AND(ISBLANK(INDEX(SampleList[pH],ROW()-1)),ISBLANK(INDEX(SampleList[Conductivity],ROW()-1)),ISBLANK(INDEX(SampleList[Modification],ROW()-1))),"Not Requested",INDEX(SampleList[Experiment ID],ROW()-1))</f>
        <v>Not Requested</v>
      </c>
      <c r="B58">
        <f>SampleList[[#This Row],[Duration (Days)]]</f>
        <v>0</v>
      </c>
      <c r="G58">
        <f>NMRResults[[#This Row],['#]]</f>
        <v>0</v>
      </c>
      <c r="H58" s="1">
        <f>NMRResults[[#This Row],[Date Run]]</f>
        <v>0</v>
      </c>
    </row>
    <row r="59" spans="1:8" hidden="1" x14ac:dyDescent="0.25">
      <c r="A59" t="str" cm="1">
        <f t="array" ref="A59">IF(AND(ISBLANK(INDEX(SampleList[pH],ROW()-1)),ISBLANK(INDEX(SampleList[Conductivity],ROW()-1)),ISBLANK(INDEX(SampleList[Modification],ROW()-1))),"Not Requested",INDEX(SampleList[Experiment ID],ROW()-1))</f>
        <v>Not Requested</v>
      </c>
      <c r="B59">
        <f>SampleList[[#This Row],[Duration (Days)]]</f>
        <v>0</v>
      </c>
      <c r="G59">
        <f>NMRResults[[#This Row],['#]]</f>
        <v>0</v>
      </c>
      <c r="H59" s="1">
        <f>NMRResults[[#This Row],[Date Run]]</f>
        <v>0</v>
      </c>
    </row>
    <row r="60" spans="1:8" hidden="1" x14ac:dyDescent="0.25">
      <c r="A60" t="str" cm="1">
        <f t="array" ref="A60">IF(AND(ISBLANK(INDEX(SampleList[pH],ROW()-1)),ISBLANK(INDEX(SampleList[Conductivity],ROW()-1)),ISBLANK(INDEX(SampleList[Modification],ROW()-1))),"Not Requested",INDEX(SampleList[Experiment ID],ROW()-1))</f>
        <v>Not Requested</v>
      </c>
      <c r="B60">
        <f>SampleList[[#This Row],[Duration (Days)]]</f>
        <v>0</v>
      </c>
      <c r="G60">
        <f>NMRResults[[#This Row],['#]]</f>
        <v>0</v>
      </c>
      <c r="H60" s="1">
        <f>NMRResults[[#This Row],[Date Run]]</f>
        <v>0</v>
      </c>
    </row>
    <row r="61" spans="1:8" hidden="1" x14ac:dyDescent="0.25">
      <c r="A61" t="str" cm="1">
        <f t="array" ref="A61">IF(AND(ISBLANK(INDEX(SampleList[pH],ROW()-1)),ISBLANK(INDEX(SampleList[Conductivity],ROW()-1)),ISBLANK(INDEX(SampleList[Modification],ROW()-1))),"Not Requested",INDEX(SampleList[Experiment ID],ROW()-1))</f>
        <v>Not Requested</v>
      </c>
      <c r="B61">
        <f>SampleList[[#This Row],[Duration (Days)]]</f>
        <v>0</v>
      </c>
      <c r="G61">
        <f>NMRResults[[#This Row],['#]]</f>
        <v>0</v>
      </c>
      <c r="H61" s="1">
        <f>NMRResults[[#This Row],[Date Run]]</f>
        <v>0</v>
      </c>
    </row>
    <row r="62" spans="1:8" hidden="1" x14ac:dyDescent="0.25">
      <c r="A62" t="str" cm="1">
        <f t="array" ref="A62">IF(AND(ISBLANK(INDEX(SampleList[pH],ROW()-1)),ISBLANK(INDEX(SampleList[Conductivity],ROW()-1)),ISBLANK(INDEX(SampleList[Modification],ROW()-1))),"Not Requested",INDEX(SampleList[Experiment ID],ROW()-1))</f>
        <v>Not Requested</v>
      </c>
      <c r="B62">
        <f>SampleList[[#This Row],[Duration (Days)]]</f>
        <v>0</v>
      </c>
      <c r="G62">
        <f>NMRResults[[#This Row],['#]]</f>
        <v>0</v>
      </c>
      <c r="H62" s="1">
        <f>NMRResults[[#This Row],[Date Run]]</f>
        <v>0</v>
      </c>
    </row>
    <row r="63" spans="1:8" hidden="1" x14ac:dyDescent="0.25">
      <c r="A63" t="str" cm="1">
        <f t="array" ref="A63">IF(AND(ISBLANK(INDEX(SampleList[pH],ROW()-1)),ISBLANK(INDEX(SampleList[Conductivity],ROW()-1)),ISBLANK(INDEX(SampleList[Modification],ROW()-1))),"Not Requested",INDEX(SampleList[Experiment ID],ROW()-1))</f>
        <v>Not Requested</v>
      </c>
      <c r="B63">
        <f>SampleList[[#This Row],[Duration (Days)]]</f>
        <v>0</v>
      </c>
      <c r="G63">
        <f>NMRResults[[#This Row],['#]]</f>
        <v>0</v>
      </c>
      <c r="H63" s="1">
        <f>NMRResults[[#This Row],[Date Run]]</f>
        <v>0</v>
      </c>
    </row>
    <row r="64" spans="1:8" hidden="1" x14ac:dyDescent="0.25">
      <c r="A64" t="str" cm="1">
        <f t="array" ref="A64">IF(AND(ISBLANK(INDEX(SampleList[pH],ROW()-1)),ISBLANK(INDEX(SampleList[Conductivity],ROW()-1)),ISBLANK(INDEX(SampleList[Modification],ROW()-1))),"Not Requested",INDEX(SampleList[Experiment ID],ROW()-1))</f>
        <v>Not Requested</v>
      </c>
      <c r="B64">
        <f>SampleList[[#This Row],[Duration (Days)]]</f>
        <v>0</v>
      </c>
      <c r="G64">
        <f>NMRResults[[#This Row],['#]]</f>
        <v>0</v>
      </c>
      <c r="H64" s="1">
        <f>NMRResults[[#This Row],[Date Run]]</f>
        <v>0</v>
      </c>
    </row>
    <row r="65" spans="1:8" hidden="1" x14ac:dyDescent="0.25">
      <c r="A65" t="str" cm="1">
        <f t="array" ref="A65">IF(AND(ISBLANK(INDEX(SampleList[pH],ROW()-1)),ISBLANK(INDEX(SampleList[Conductivity],ROW()-1)),ISBLANK(INDEX(SampleList[Modification],ROW()-1))),"Not Requested",INDEX(SampleList[Experiment ID],ROW()-1))</f>
        <v>Not Requested</v>
      </c>
      <c r="B65">
        <f>SampleList[[#This Row],[Duration (Days)]]</f>
        <v>0</v>
      </c>
      <c r="G65">
        <f>NMRResults[[#This Row],['#]]</f>
        <v>0</v>
      </c>
      <c r="H65" s="1">
        <f>NMRResults[[#This Row],[Date Run]]</f>
        <v>0</v>
      </c>
    </row>
    <row r="66" spans="1:8" hidden="1" x14ac:dyDescent="0.25">
      <c r="A66" t="str" cm="1">
        <f t="array" ref="A66">IF(AND(ISBLANK(INDEX(SampleList[pH],ROW()-1)),ISBLANK(INDEX(SampleList[Conductivity],ROW()-1)),ISBLANK(INDEX(SampleList[Modification],ROW()-1))),"Not Requested",INDEX(SampleList[Experiment ID],ROW()-1))</f>
        <v>Not Requested</v>
      </c>
      <c r="B66">
        <f>SampleList[[#This Row],[Duration (Days)]]</f>
        <v>0</v>
      </c>
      <c r="G66">
        <f>NMRResults[[#This Row],['#]]</f>
        <v>0</v>
      </c>
      <c r="H66" s="1">
        <f>NMRResults[[#This Row],[Date Run]]</f>
        <v>0</v>
      </c>
    </row>
    <row r="67" spans="1:8" hidden="1" x14ac:dyDescent="0.25">
      <c r="A67" t="str" cm="1">
        <f t="array" ref="A67">IF(AND(ISBLANK(INDEX(SampleList[pH],ROW()-1)),ISBLANK(INDEX(SampleList[Conductivity],ROW()-1)),ISBLANK(INDEX(SampleList[Modification],ROW()-1))),"Not Requested",INDEX(SampleList[Experiment ID],ROW()-1))</f>
        <v>Not Requested</v>
      </c>
      <c r="B67">
        <f>SampleList[[#This Row],[Duration (Days)]]</f>
        <v>0</v>
      </c>
      <c r="G67">
        <f>NMRResults[[#This Row],['#]]</f>
        <v>0</v>
      </c>
      <c r="H67" s="1">
        <f>NMRResults[[#This Row],[Date Run]]</f>
        <v>0</v>
      </c>
    </row>
    <row r="68" spans="1:8" hidden="1" x14ac:dyDescent="0.25">
      <c r="A68" t="str" cm="1">
        <f t="array" ref="A68">IF(AND(ISBLANK(INDEX(SampleList[pH],ROW()-1)),ISBLANK(INDEX(SampleList[Conductivity],ROW()-1)),ISBLANK(INDEX(SampleList[Modification],ROW()-1))),"Not Requested",INDEX(SampleList[Experiment ID],ROW()-1))</f>
        <v>Not Requested</v>
      </c>
      <c r="B68">
        <f>SampleList[[#This Row],[Duration (Days)]]</f>
        <v>0</v>
      </c>
      <c r="G68">
        <f>NMRResults[[#This Row],['#]]</f>
        <v>0</v>
      </c>
      <c r="H68" s="1">
        <f>NMRResults[[#This Row],[Date Run]]</f>
        <v>0</v>
      </c>
    </row>
    <row r="69" spans="1:8" hidden="1" x14ac:dyDescent="0.25">
      <c r="A69" t="str" cm="1">
        <f t="array" ref="A69">IF(AND(ISBLANK(INDEX(SampleList[pH],ROW()-1)),ISBLANK(INDEX(SampleList[Conductivity],ROW()-1)),ISBLANK(INDEX(SampleList[Modification],ROW()-1))),"Not Requested",INDEX(SampleList[Experiment ID],ROW()-1))</f>
        <v>Not Requested</v>
      </c>
      <c r="B69">
        <f>SampleList[[#This Row],[Duration (Days)]]</f>
        <v>0</v>
      </c>
      <c r="G69">
        <f>NMRResults[[#This Row],['#]]</f>
        <v>0</v>
      </c>
      <c r="H69" s="1">
        <f>NMRResults[[#This Row],[Date Run]]</f>
        <v>0</v>
      </c>
    </row>
    <row r="70" spans="1:8" hidden="1" x14ac:dyDescent="0.25">
      <c r="A70" t="str" cm="1">
        <f t="array" ref="A70">IF(AND(ISBLANK(INDEX(SampleList[pH],ROW()-1)),ISBLANK(INDEX(SampleList[Conductivity],ROW()-1)),ISBLANK(INDEX(SampleList[Modification],ROW()-1))),"Not Requested",INDEX(SampleList[Experiment ID],ROW()-1))</f>
        <v>Not Requested</v>
      </c>
      <c r="B70">
        <f>SampleList[[#This Row],[Duration (Days)]]</f>
        <v>0</v>
      </c>
      <c r="G70">
        <f>NMRResults[[#This Row],['#]]</f>
        <v>0</v>
      </c>
      <c r="H70" s="1">
        <f>NMRResults[[#This Row],[Date Run]]</f>
        <v>0</v>
      </c>
    </row>
    <row r="71" spans="1:8" hidden="1" x14ac:dyDescent="0.25">
      <c r="A71" t="str" cm="1">
        <f t="array" ref="A71">IF(AND(ISBLANK(INDEX(SampleList[pH],ROW()-1)),ISBLANK(INDEX(SampleList[Conductivity],ROW()-1)),ISBLANK(INDEX(SampleList[Modification],ROW()-1))),"Not Requested",INDEX(SampleList[Experiment ID],ROW()-1))</f>
        <v>Not Requested</v>
      </c>
      <c r="B71">
        <f>SampleList[[#This Row],[Duration (Days)]]</f>
        <v>0</v>
      </c>
      <c r="G71">
        <f>NMRResults[[#This Row],['#]]</f>
        <v>0</v>
      </c>
      <c r="H71" s="1">
        <f>NMRResults[[#This Row],[Date Run]]</f>
        <v>0</v>
      </c>
    </row>
    <row r="72" spans="1:8" hidden="1" x14ac:dyDescent="0.25">
      <c r="A72" t="str" cm="1">
        <f t="array" ref="A72">IF(AND(ISBLANK(INDEX(SampleList[pH],ROW()-1)),ISBLANK(INDEX(SampleList[Conductivity],ROW()-1)),ISBLANK(INDEX(SampleList[Modification],ROW()-1))),"Not Requested",INDEX(SampleList[Experiment ID],ROW()-1))</f>
        <v>Not Requested</v>
      </c>
      <c r="B72">
        <f>SampleList[[#This Row],[Duration (Days)]]</f>
        <v>0</v>
      </c>
      <c r="G72">
        <f>NMRResults[[#This Row],['#]]</f>
        <v>0</v>
      </c>
      <c r="H72" s="1">
        <f>NMRResults[[#This Row],[Date Run]]</f>
        <v>0</v>
      </c>
    </row>
    <row r="73" spans="1:8" hidden="1" x14ac:dyDescent="0.25">
      <c r="A73" t="str" cm="1">
        <f t="array" ref="A73">IF(AND(ISBLANK(INDEX(SampleList[pH],ROW()-1)),ISBLANK(INDEX(SampleList[Conductivity],ROW()-1)),ISBLANK(INDEX(SampleList[Modification],ROW()-1))),"Not Requested",INDEX(SampleList[Experiment ID],ROW()-1))</f>
        <v>Not Requested</v>
      </c>
      <c r="B73">
        <f>SampleList[[#This Row],[Duration (Days)]]</f>
        <v>0</v>
      </c>
      <c r="G73">
        <f>NMRResults[[#This Row],['#]]</f>
        <v>0</v>
      </c>
      <c r="H73" s="1">
        <f>NMRResults[[#This Row],[Date Run]]</f>
        <v>0</v>
      </c>
    </row>
    <row r="74" spans="1:8" hidden="1" x14ac:dyDescent="0.25">
      <c r="A74" t="str" cm="1">
        <f t="array" ref="A74">IF(AND(ISBLANK(INDEX(SampleList[pH],ROW()-1)),ISBLANK(INDEX(SampleList[Conductivity],ROW()-1)),ISBLANK(INDEX(SampleList[Modification],ROW()-1))),"Not Requested",INDEX(SampleList[Experiment ID],ROW()-1))</f>
        <v>Not Requested</v>
      </c>
      <c r="B74">
        <f>SampleList[[#This Row],[Duration (Days)]]</f>
        <v>0</v>
      </c>
      <c r="G74">
        <f>NMRResults[[#This Row],['#]]</f>
        <v>0</v>
      </c>
      <c r="H74" s="1">
        <f>NMRResults[[#This Row],[Date Run]]</f>
        <v>0</v>
      </c>
    </row>
    <row r="75" spans="1:8" hidden="1" x14ac:dyDescent="0.25">
      <c r="A75" t="str" cm="1">
        <f t="array" ref="A75">IF(AND(ISBLANK(INDEX(SampleList[pH],ROW()-1)),ISBLANK(INDEX(SampleList[Conductivity],ROW()-1)),ISBLANK(INDEX(SampleList[Modification],ROW()-1))),"Not Requested",INDEX(SampleList[Experiment ID],ROW()-1))</f>
        <v>Not Requested</v>
      </c>
      <c r="B75">
        <f>SampleList[[#This Row],[Duration (Days)]]</f>
        <v>0</v>
      </c>
      <c r="G75">
        <f>NMRResults[[#This Row],['#]]</f>
        <v>0</v>
      </c>
      <c r="H75" s="1">
        <f>NMRResults[[#This Row],[Date Run]]</f>
        <v>0</v>
      </c>
    </row>
    <row r="76" spans="1:8" hidden="1" x14ac:dyDescent="0.25">
      <c r="A76" t="str" cm="1">
        <f t="array" ref="A76">IF(AND(ISBLANK(INDEX(SampleList[pH],ROW()-1)),ISBLANK(INDEX(SampleList[Conductivity],ROW()-1)),ISBLANK(INDEX(SampleList[Modification],ROW()-1))),"Not Requested",INDEX(SampleList[Experiment ID],ROW()-1))</f>
        <v>Not Requested</v>
      </c>
      <c r="B76">
        <f>SampleList[[#This Row],[Duration (Days)]]</f>
        <v>0</v>
      </c>
      <c r="G76">
        <f>NMRResults[[#This Row],['#]]</f>
        <v>0</v>
      </c>
      <c r="H76" s="1">
        <f>NMRResults[[#This Row],[Date Run]]</f>
        <v>0</v>
      </c>
    </row>
    <row r="77" spans="1:8" hidden="1" x14ac:dyDescent="0.25">
      <c r="A77" t="str" cm="1">
        <f t="array" ref="A77">IF(AND(ISBLANK(INDEX(SampleList[pH],ROW()-1)),ISBLANK(INDEX(SampleList[Conductivity],ROW()-1)),ISBLANK(INDEX(SampleList[Modification],ROW()-1))),"Not Requested",INDEX(SampleList[Experiment ID],ROW()-1))</f>
        <v>Not Requested</v>
      </c>
      <c r="B77">
        <f>SampleList[[#This Row],[Duration (Days)]]</f>
        <v>0</v>
      </c>
      <c r="G77">
        <f>NMRResults[[#This Row],['#]]</f>
        <v>0</v>
      </c>
      <c r="H77" s="1">
        <f>NMRResults[[#This Row],[Date Run]]</f>
        <v>0</v>
      </c>
    </row>
    <row r="78" spans="1:8" hidden="1" x14ac:dyDescent="0.25">
      <c r="A78" t="str" cm="1">
        <f t="array" ref="A78">IF(AND(ISBLANK(INDEX(SampleList[pH],ROW()-1)),ISBLANK(INDEX(SampleList[Conductivity],ROW()-1)),ISBLANK(INDEX(SampleList[Modification],ROW()-1))),"Not Requested",INDEX(SampleList[Experiment ID],ROW()-1))</f>
        <v>Not Requested</v>
      </c>
      <c r="B78">
        <f>SampleList[[#This Row],[Duration (Days)]]</f>
        <v>0</v>
      </c>
      <c r="G78">
        <f>NMRResults[[#This Row],['#]]</f>
        <v>0</v>
      </c>
      <c r="H78" s="1">
        <f>NMRResults[[#This Row],[Date Run]]</f>
        <v>0</v>
      </c>
    </row>
    <row r="79" spans="1:8" hidden="1" x14ac:dyDescent="0.25">
      <c r="A79" t="str" cm="1">
        <f t="array" ref="A79">IF(AND(ISBLANK(INDEX(SampleList[pH],ROW()-1)),ISBLANK(INDEX(SampleList[Conductivity],ROW()-1)),ISBLANK(INDEX(SampleList[Modification],ROW()-1))),"Not Requested",INDEX(SampleList[Experiment ID],ROW()-1))</f>
        <v>Not Requested</v>
      </c>
      <c r="B79">
        <f>SampleList[[#This Row],[Duration (Days)]]</f>
        <v>0</v>
      </c>
      <c r="G79">
        <f>NMRResults[[#This Row],['#]]</f>
        <v>0</v>
      </c>
      <c r="H79" s="1">
        <f>NMRResults[[#This Row],[Date Run]]</f>
        <v>0</v>
      </c>
    </row>
    <row r="80" spans="1:8" hidden="1" x14ac:dyDescent="0.25">
      <c r="A80" t="str" cm="1">
        <f t="array" ref="A80">IF(AND(ISBLANK(INDEX(SampleList[pH],ROW()-1)),ISBLANK(INDEX(SampleList[Conductivity],ROW()-1)),ISBLANK(INDEX(SampleList[Modification],ROW()-1))),"Not Requested",INDEX(SampleList[Experiment ID],ROW()-1))</f>
        <v>Not Requested</v>
      </c>
      <c r="B80">
        <f>SampleList[[#This Row],[Duration (Days)]]</f>
        <v>0</v>
      </c>
      <c r="G80">
        <f>NMRResults[[#This Row],['#]]</f>
        <v>0</v>
      </c>
      <c r="H80" s="1">
        <f>NMRResults[[#This Row],[Date Run]]</f>
        <v>0</v>
      </c>
    </row>
    <row r="81" spans="1:8" hidden="1" x14ac:dyDescent="0.25">
      <c r="A81" t="str" cm="1">
        <f t="array" ref="A81">IF(AND(ISBLANK(INDEX(SampleList[pH],ROW()-1)),ISBLANK(INDEX(SampleList[Conductivity],ROW()-1)),ISBLANK(INDEX(SampleList[Modification],ROW()-1))),"Not Requested",INDEX(SampleList[Experiment ID],ROW()-1))</f>
        <v>Not Requested</v>
      </c>
      <c r="B81">
        <f>SampleList[[#This Row],[Duration (Days)]]</f>
        <v>0</v>
      </c>
      <c r="G81">
        <f>NMRResults[[#This Row],['#]]</f>
        <v>0</v>
      </c>
      <c r="H81" s="1">
        <f>NMRResults[[#This Row],[Date Run]]</f>
        <v>0</v>
      </c>
    </row>
    <row r="82" spans="1:8" hidden="1" x14ac:dyDescent="0.25">
      <c r="A82" t="str" cm="1">
        <f t="array" ref="A82">IF(AND(ISBLANK(INDEX(SampleList[pH],ROW()-1)),ISBLANK(INDEX(SampleList[Conductivity],ROW()-1)),ISBLANK(INDEX(SampleList[Modification],ROW()-1))),"Not Requested",INDEX(SampleList[Experiment ID],ROW()-1))</f>
        <v>Not Requested</v>
      </c>
      <c r="B82">
        <f>SampleList[[#This Row],[Duration (Days)]]</f>
        <v>0</v>
      </c>
      <c r="G82">
        <f>NMRResults[[#This Row],['#]]</f>
        <v>0</v>
      </c>
      <c r="H82" s="1">
        <f>NMRResults[[#This Row],[Date Run]]</f>
        <v>0</v>
      </c>
    </row>
    <row r="83" spans="1:8" hidden="1" x14ac:dyDescent="0.25">
      <c r="A83" t="str" cm="1">
        <f t="array" ref="A83">IF(AND(ISBLANK(INDEX(SampleList[pH],ROW()-1)),ISBLANK(INDEX(SampleList[Conductivity],ROW()-1)),ISBLANK(INDEX(SampleList[Modification],ROW()-1))),"Not Requested",INDEX(SampleList[Experiment ID],ROW()-1))</f>
        <v>Not Requested</v>
      </c>
      <c r="B83">
        <f>SampleList[[#This Row],[Duration (Days)]]</f>
        <v>0</v>
      </c>
      <c r="G83">
        <f>NMRResults[[#This Row],['#]]</f>
        <v>0</v>
      </c>
      <c r="H83" s="1">
        <f>NMRResults[[#This Row],[Date Run]]</f>
        <v>0</v>
      </c>
    </row>
    <row r="84" spans="1:8" hidden="1" x14ac:dyDescent="0.25">
      <c r="A84" t="str" cm="1">
        <f t="array" ref="A84">IF(AND(ISBLANK(INDEX(SampleList[pH],ROW()-1)),ISBLANK(INDEX(SampleList[Conductivity],ROW()-1)),ISBLANK(INDEX(SampleList[Modification],ROW()-1))),"Not Requested",INDEX(SampleList[Experiment ID],ROW()-1))</f>
        <v>Not Requested</v>
      </c>
      <c r="B84">
        <f>SampleList[[#This Row],[Duration (Days)]]</f>
        <v>0</v>
      </c>
      <c r="G84">
        <f>NMRResults[[#This Row],['#]]</f>
        <v>0</v>
      </c>
      <c r="H84" s="1">
        <f>NMRResults[[#This Row],[Date Run]]</f>
        <v>0</v>
      </c>
    </row>
    <row r="85" spans="1:8" hidden="1" x14ac:dyDescent="0.25">
      <c r="A85" t="str" cm="1">
        <f t="array" ref="A85">IF(AND(ISBLANK(INDEX(SampleList[pH],ROW()-1)),ISBLANK(INDEX(SampleList[Conductivity],ROW()-1)),ISBLANK(INDEX(SampleList[Modification],ROW()-1))),"Not Requested",INDEX(SampleList[Experiment ID],ROW()-1))</f>
        <v>Not Requested</v>
      </c>
      <c r="B85">
        <f>SampleList[[#This Row],[Duration (Days)]]</f>
        <v>0</v>
      </c>
      <c r="G85">
        <f>NMRResults[[#This Row],['#]]</f>
        <v>0</v>
      </c>
      <c r="H85" s="1">
        <f>NMRResults[[#This Row],[Date Run]]</f>
        <v>0</v>
      </c>
    </row>
    <row r="86" spans="1:8" hidden="1" x14ac:dyDescent="0.25">
      <c r="A86" t="str" cm="1">
        <f t="array" ref="A86">IF(AND(ISBLANK(INDEX(SampleList[pH],ROW()-1)),ISBLANK(INDEX(SampleList[Conductivity],ROW()-1)),ISBLANK(INDEX(SampleList[Modification],ROW()-1))),"Not Requested",INDEX(SampleList[Experiment ID],ROW()-1))</f>
        <v>Not Requested</v>
      </c>
      <c r="B86">
        <f>SampleList[[#This Row],[Duration (Days)]]</f>
        <v>0</v>
      </c>
      <c r="G86">
        <f>NMRResults[[#This Row],['#]]</f>
        <v>0</v>
      </c>
      <c r="H86" s="1">
        <f>NMRResults[[#This Row],[Date Run]]</f>
        <v>0</v>
      </c>
    </row>
    <row r="87" spans="1:8" hidden="1" x14ac:dyDescent="0.25">
      <c r="A87" t="str" cm="1">
        <f t="array" ref="A87">IF(AND(ISBLANK(INDEX(SampleList[pH],ROW()-1)),ISBLANK(INDEX(SampleList[Conductivity],ROW()-1)),ISBLANK(INDEX(SampleList[Modification],ROW()-1))),"Not Requested",INDEX(SampleList[Experiment ID],ROW()-1))</f>
        <v>Not Requested</v>
      </c>
      <c r="B87">
        <f>SampleList[[#This Row],[Duration (Days)]]</f>
        <v>0</v>
      </c>
      <c r="G87">
        <f>NMRResults[[#This Row],['#]]</f>
        <v>0</v>
      </c>
      <c r="H87" s="1">
        <f>NMRResults[[#This Row],[Date Run]]</f>
        <v>0</v>
      </c>
    </row>
    <row r="88" spans="1:8" hidden="1" x14ac:dyDescent="0.25">
      <c r="A88" t="str" cm="1">
        <f t="array" ref="A88">IF(AND(ISBLANK(INDEX(SampleList[pH],ROW()-1)),ISBLANK(INDEX(SampleList[Conductivity],ROW()-1)),ISBLANK(INDEX(SampleList[Modification],ROW()-1))),"Not Requested",INDEX(SampleList[Experiment ID],ROW()-1))</f>
        <v>Not Requested</v>
      </c>
      <c r="B88">
        <f>SampleList[[#This Row],[Duration (Days)]]</f>
        <v>0</v>
      </c>
      <c r="G88">
        <f>NMRResults[[#This Row],['#]]</f>
        <v>0</v>
      </c>
      <c r="H88" s="1">
        <f>NMRResults[[#This Row],[Date Run]]</f>
        <v>0</v>
      </c>
    </row>
    <row r="89" spans="1:8" hidden="1" x14ac:dyDescent="0.25">
      <c r="A89" t="str" cm="1">
        <f t="array" ref="A89">IF(AND(ISBLANK(INDEX(SampleList[pH],ROW()-1)),ISBLANK(INDEX(SampleList[Conductivity],ROW()-1)),ISBLANK(INDEX(SampleList[Modification],ROW()-1))),"Not Requested",INDEX(SampleList[Experiment ID],ROW()-1))</f>
        <v>Not Requested</v>
      </c>
      <c r="B89">
        <f>SampleList[[#This Row],[Duration (Days)]]</f>
        <v>0</v>
      </c>
      <c r="G89">
        <f>NMRResults[[#This Row],['#]]</f>
        <v>0</v>
      </c>
      <c r="H89" s="1">
        <f>NMRResults[[#This Row],[Date Run]]</f>
        <v>0</v>
      </c>
    </row>
    <row r="90" spans="1:8" hidden="1" x14ac:dyDescent="0.25">
      <c r="A90" t="str" cm="1">
        <f t="array" ref="A90">IF(AND(ISBLANK(INDEX(SampleList[pH],ROW()-1)),ISBLANK(INDEX(SampleList[Conductivity],ROW()-1)),ISBLANK(INDEX(SampleList[Modification],ROW()-1))),"Not Requested",INDEX(SampleList[Experiment ID],ROW()-1))</f>
        <v>Not Requested</v>
      </c>
      <c r="B90">
        <f>SampleList[[#This Row],[Duration (Days)]]</f>
        <v>0</v>
      </c>
      <c r="G90">
        <f>NMRResults[[#This Row],['#]]</f>
        <v>0</v>
      </c>
      <c r="H90" s="1">
        <f>NMRResults[[#This Row],[Date Run]]</f>
        <v>0</v>
      </c>
    </row>
    <row r="91" spans="1:8" hidden="1" x14ac:dyDescent="0.25">
      <c r="A91" t="str" cm="1">
        <f t="array" ref="A91">IF(AND(ISBLANK(INDEX(SampleList[pH],ROW()-1)),ISBLANK(INDEX(SampleList[Conductivity],ROW()-1)),ISBLANK(INDEX(SampleList[Modification],ROW()-1))),"Not Requested",INDEX(SampleList[Experiment ID],ROW()-1))</f>
        <v>Not Requested</v>
      </c>
      <c r="B91">
        <f>SampleList[[#This Row],[Duration (Days)]]</f>
        <v>0</v>
      </c>
      <c r="G91">
        <f>NMRResults[[#This Row],['#]]</f>
        <v>0</v>
      </c>
      <c r="H91" s="1">
        <f>NMRResults[[#This Row],[Date Run]]</f>
        <v>0</v>
      </c>
    </row>
    <row r="92" spans="1:8" hidden="1" x14ac:dyDescent="0.25">
      <c r="A92" t="str" cm="1">
        <f t="array" ref="A92">IF(AND(ISBLANK(INDEX(SampleList[pH],ROW()-1)),ISBLANK(INDEX(SampleList[Conductivity],ROW()-1)),ISBLANK(INDEX(SampleList[Modification],ROW()-1))),"Not Requested",INDEX(SampleList[Experiment ID],ROW()-1))</f>
        <v>Not Requested</v>
      </c>
      <c r="B92">
        <f>SampleList[[#This Row],[Duration (Days)]]</f>
        <v>0</v>
      </c>
      <c r="G92">
        <f>NMRResults[[#This Row],['#]]</f>
        <v>0</v>
      </c>
      <c r="H92" s="1">
        <f>NMRResults[[#This Row],[Date Run]]</f>
        <v>0</v>
      </c>
    </row>
    <row r="93" spans="1:8" hidden="1" x14ac:dyDescent="0.25">
      <c r="A93" t="str" cm="1">
        <f t="array" ref="A93">IF(AND(ISBLANK(INDEX(SampleList[pH],ROW()-1)),ISBLANK(INDEX(SampleList[Conductivity],ROW()-1)),ISBLANK(INDEX(SampleList[Modification],ROW()-1))),"Not Requested",INDEX(SampleList[Experiment ID],ROW()-1))</f>
        <v>Not Requested</v>
      </c>
      <c r="B93">
        <f>SampleList[[#This Row],[Duration (Days)]]</f>
        <v>0</v>
      </c>
      <c r="G93">
        <f>NMRResults[[#This Row],['#]]</f>
        <v>0</v>
      </c>
      <c r="H93" s="1">
        <f>NMRResults[[#This Row],[Date Run]]</f>
        <v>0</v>
      </c>
    </row>
    <row r="94" spans="1:8" hidden="1" x14ac:dyDescent="0.25">
      <c r="A94" t="str" cm="1">
        <f t="array" ref="A94">IF(AND(ISBLANK(INDEX(SampleList[pH],ROW()-1)),ISBLANK(INDEX(SampleList[Conductivity],ROW()-1)),ISBLANK(INDEX(SampleList[Modification],ROW()-1))),"Not Requested",INDEX(SampleList[Experiment ID],ROW()-1))</f>
        <v>Not Requested</v>
      </c>
      <c r="B94">
        <f>SampleList[[#This Row],[Duration (Days)]]</f>
        <v>0</v>
      </c>
      <c r="G94">
        <f>NMRResults[[#This Row],['#]]</f>
        <v>0</v>
      </c>
      <c r="H94" s="1">
        <f>NMRResults[[#This Row],[Date Run]]</f>
        <v>0</v>
      </c>
    </row>
    <row r="95" spans="1:8" hidden="1" x14ac:dyDescent="0.25">
      <c r="A95" t="str" cm="1">
        <f t="array" ref="A95">IF(AND(ISBLANK(INDEX(SampleList[pH],ROW()-1)),ISBLANK(INDEX(SampleList[Conductivity],ROW()-1)),ISBLANK(INDEX(SampleList[Modification],ROW()-1))),"Not Requested",INDEX(SampleList[Experiment ID],ROW()-1))</f>
        <v>Not Requested</v>
      </c>
      <c r="B95">
        <f>SampleList[[#This Row],[Duration (Days)]]</f>
        <v>0</v>
      </c>
      <c r="G95">
        <f>NMRResults[[#This Row],['#]]</f>
        <v>0</v>
      </c>
      <c r="H95" s="1">
        <f>NMRResults[[#This Row],[Date Run]]</f>
        <v>0</v>
      </c>
    </row>
    <row r="96" spans="1:8" hidden="1" x14ac:dyDescent="0.25">
      <c r="A96" t="str" cm="1">
        <f t="array" ref="A96">IF(AND(ISBLANK(INDEX(SampleList[pH],ROW()-1)),ISBLANK(INDEX(SampleList[Conductivity],ROW()-1)),ISBLANK(INDEX(SampleList[Modification],ROW()-1))),"Not Requested",INDEX(SampleList[Experiment ID],ROW()-1))</f>
        <v>Not Requested</v>
      </c>
      <c r="B96">
        <f>SampleList[[#This Row],[Duration (Days)]]</f>
        <v>0</v>
      </c>
      <c r="G96">
        <f>NMRResults[[#This Row],['#]]</f>
        <v>0</v>
      </c>
      <c r="H96" s="1">
        <f>NMRResults[[#This Row],[Date Run]]</f>
        <v>0</v>
      </c>
    </row>
    <row r="97" spans="1:8" hidden="1" x14ac:dyDescent="0.25">
      <c r="A97" t="str" cm="1">
        <f t="array" ref="A97">IF(AND(ISBLANK(INDEX(SampleList[pH],ROW()-1)),ISBLANK(INDEX(SampleList[Conductivity],ROW()-1)),ISBLANK(INDEX(SampleList[Modification],ROW()-1))),"Not Requested",INDEX(SampleList[Experiment ID],ROW()-1))</f>
        <v>Not Requested</v>
      </c>
      <c r="B97">
        <f>SampleList[[#This Row],[Duration (Days)]]</f>
        <v>0</v>
      </c>
      <c r="G97">
        <f>NMRResults[[#This Row],['#]]</f>
        <v>0</v>
      </c>
      <c r="H97" s="1">
        <f>NMRResults[[#This Row],[Date Run]]</f>
        <v>0</v>
      </c>
    </row>
    <row r="98" spans="1:8" hidden="1" x14ac:dyDescent="0.25">
      <c r="A98" t="str" cm="1">
        <f t="array" ref="A98">IF(AND(ISBLANK(INDEX(SampleList[pH],ROW()-1)),ISBLANK(INDEX(SampleList[Conductivity],ROW()-1)),ISBLANK(INDEX(SampleList[Modification],ROW()-1))),"Not Requested",INDEX(SampleList[Experiment ID],ROW()-1))</f>
        <v>Not Requested</v>
      </c>
      <c r="B98">
        <f>SampleList[[#This Row],[Duration (Days)]]</f>
        <v>0</v>
      </c>
      <c r="G98">
        <f>NMRResults[[#This Row],['#]]</f>
        <v>0</v>
      </c>
      <c r="H98" s="1">
        <f>NMRResults[[#This Row],[Date Run]]</f>
        <v>0</v>
      </c>
    </row>
    <row r="99" spans="1:8" hidden="1" x14ac:dyDescent="0.25">
      <c r="A99" t="str" cm="1">
        <f t="array" ref="A99">IF(AND(ISBLANK(INDEX(SampleList[pH],ROW()-1)),ISBLANK(INDEX(SampleList[Conductivity],ROW()-1)),ISBLANK(INDEX(SampleList[Modification],ROW()-1))),"Not Requested",INDEX(SampleList[Experiment ID],ROW()-1))</f>
        <v>Not Requested</v>
      </c>
      <c r="B99">
        <f>SampleList[[#This Row],[Duration (Days)]]</f>
        <v>0</v>
      </c>
      <c r="G99">
        <f>NMRResults[[#This Row],['#]]</f>
        <v>0</v>
      </c>
      <c r="H99" s="1">
        <f>NMRResults[[#This Row],[Date Run]]</f>
        <v>0</v>
      </c>
    </row>
    <row r="100" spans="1:8" hidden="1" x14ac:dyDescent="0.25">
      <c r="A100" t="str" cm="1">
        <f t="array" ref="A100">IF(AND(ISBLANK(INDEX(SampleList[pH],ROW()-1)),ISBLANK(INDEX(SampleList[Conductivity],ROW()-1)),ISBLANK(INDEX(SampleList[Modification],ROW()-1))),"Not Requested",INDEX(SampleList[Experiment ID],ROW()-1))</f>
        <v>Not Requested</v>
      </c>
      <c r="B100">
        <f>SampleList[[#This Row],[Duration (Days)]]</f>
        <v>0</v>
      </c>
      <c r="G100">
        <f>NMRResults[[#This Row],['#]]</f>
        <v>0</v>
      </c>
      <c r="H100" s="1">
        <f>NMRResults[[#This Row],[Date Run]]</f>
        <v>0</v>
      </c>
    </row>
    <row r="101" spans="1:8" hidden="1" x14ac:dyDescent="0.25">
      <c r="A101" t="str" cm="1">
        <f t="array" ref="A101">IF(AND(ISBLANK(INDEX(SampleList[pH],ROW()-1)),ISBLANK(INDEX(SampleList[Conductivity],ROW()-1)),ISBLANK(INDEX(SampleList[Modification],ROW()-1))),"Not Requested",INDEX(SampleList[Experiment ID],ROW()-1))</f>
        <v>Not Requested</v>
      </c>
      <c r="B101">
        <f>SampleList[[#This Row],[Duration (Days)]]</f>
        <v>0</v>
      </c>
      <c r="G101">
        <f>NMRResults[[#This Row],['#]]</f>
        <v>0</v>
      </c>
      <c r="H101" s="1">
        <f>NMRResults[[#This Row],[Date Run]]</f>
        <v>0</v>
      </c>
    </row>
    <row r="102" spans="1:8" hidden="1" x14ac:dyDescent="0.25">
      <c r="A102" t="str" cm="1">
        <f t="array" ref="A102">IF(AND(ISBLANK(INDEX(SampleList[pH],ROW()-1)),ISBLANK(INDEX(SampleList[Conductivity],ROW()-1)),ISBLANK(INDEX(SampleList[Modification],ROW()-1))),"Not Requested",INDEX(SampleList[Experiment ID],ROW()-1))</f>
        <v>Not Requested</v>
      </c>
      <c r="B102">
        <f>SampleList[[#This Row],[Duration (Days)]]</f>
        <v>0</v>
      </c>
      <c r="G102">
        <f>NMRResults[[#This Row],['#]]</f>
        <v>0</v>
      </c>
      <c r="H102" s="1">
        <f>NMRResults[[#This Row],[Date Run]]</f>
        <v>0</v>
      </c>
    </row>
    <row r="103" spans="1:8" hidden="1" x14ac:dyDescent="0.25">
      <c r="A103" t="str" cm="1">
        <f t="array" ref="A103">IF(AND(ISBLANK(INDEX(SampleList[pH],ROW()-1)),ISBLANK(INDEX(SampleList[Conductivity],ROW()-1)),ISBLANK(INDEX(SampleList[Modification],ROW()-1))),"Not Requested",INDEX(SampleList[Experiment ID],ROW()-1))</f>
        <v>Not Requested</v>
      </c>
      <c r="B103">
        <f>SampleList[[#This Row],[Duration (Days)]]</f>
        <v>0</v>
      </c>
      <c r="G103">
        <f>NMRResults[[#This Row],['#]]</f>
        <v>0</v>
      </c>
      <c r="H103" s="1">
        <f>NMRResults[[#This Row],[Date Run]]</f>
        <v>0</v>
      </c>
    </row>
    <row r="104" spans="1:8" hidden="1" x14ac:dyDescent="0.25">
      <c r="A104" t="str" cm="1">
        <f t="array" ref="A104">IF(AND(ISBLANK(INDEX(SampleList[pH],ROW()-1)),ISBLANK(INDEX(SampleList[Conductivity],ROW()-1)),ISBLANK(INDEX(SampleList[Modification],ROW()-1))),"Not Requested",INDEX(SampleList[Experiment ID],ROW()-1))</f>
        <v>Not Requested</v>
      </c>
      <c r="B104">
        <f>SampleList[[#This Row],[Duration (Days)]]</f>
        <v>0</v>
      </c>
      <c r="G104">
        <f>NMRResults[[#This Row],['#]]</f>
        <v>0</v>
      </c>
      <c r="H104" s="1">
        <f>NMRResults[[#This Row],[Date Run]]</f>
        <v>0</v>
      </c>
    </row>
    <row r="105" spans="1:8" hidden="1" x14ac:dyDescent="0.25">
      <c r="A105" t="str" cm="1">
        <f t="array" ref="A105">IF(AND(ISBLANK(INDEX(SampleList[pH],ROW()-1)),ISBLANK(INDEX(SampleList[Conductivity],ROW()-1)),ISBLANK(INDEX(SampleList[Modification],ROW()-1))),"Not Requested",INDEX(SampleList[Experiment ID],ROW()-1))</f>
        <v>Not Requested</v>
      </c>
      <c r="B105">
        <f>SampleList[[#This Row],[Duration (Days)]]</f>
        <v>0</v>
      </c>
      <c r="G105">
        <f>NMRResults[[#This Row],['#]]</f>
        <v>0</v>
      </c>
      <c r="H105" s="1">
        <f>NMRResults[[#This Row],[Date Run]]</f>
        <v>0</v>
      </c>
    </row>
    <row r="106" spans="1:8" hidden="1" x14ac:dyDescent="0.25">
      <c r="A106" t="str" cm="1">
        <f t="array" ref="A106">IF(AND(ISBLANK(INDEX(SampleList[pH],ROW()-1)),ISBLANK(INDEX(SampleList[Conductivity],ROW()-1)),ISBLANK(INDEX(SampleList[Modification],ROW()-1))),"Not Requested",INDEX(SampleList[Experiment ID],ROW()-1))</f>
        <v>Not Requested</v>
      </c>
      <c r="B106">
        <f>SampleList[[#This Row],[Duration (Days)]]</f>
        <v>0</v>
      </c>
      <c r="G106">
        <f>NMRResults[[#This Row],['#]]</f>
        <v>0</v>
      </c>
      <c r="H106" s="1">
        <f>NMRResults[[#This Row],[Date Run]]</f>
        <v>0</v>
      </c>
    </row>
    <row r="107" spans="1:8" hidden="1" x14ac:dyDescent="0.25">
      <c r="A107" t="str" cm="1">
        <f t="array" ref="A107">IF(AND(ISBLANK(INDEX(SampleList[pH],ROW()-1)),ISBLANK(INDEX(SampleList[Conductivity],ROW()-1)),ISBLANK(INDEX(SampleList[Modification],ROW()-1))),"Not Requested",INDEX(SampleList[Experiment ID],ROW()-1))</f>
        <v>Not Requested</v>
      </c>
      <c r="B107">
        <f>SampleList[[#This Row],[Duration (Days)]]</f>
        <v>0</v>
      </c>
      <c r="G107">
        <f>NMRResults[[#This Row],['#]]</f>
        <v>0</v>
      </c>
      <c r="H107" s="1">
        <f>NMRResults[[#This Row],[Date Run]]</f>
        <v>0</v>
      </c>
    </row>
    <row r="108" spans="1:8" hidden="1" x14ac:dyDescent="0.25">
      <c r="A108" t="str" cm="1">
        <f t="array" ref="A108">IF(AND(ISBLANK(INDEX(SampleList[pH],ROW()-1)),ISBLANK(INDEX(SampleList[Conductivity],ROW()-1)),ISBLANK(INDEX(SampleList[Modification],ROW()-1))),"Not Requested",INDEX(SampleList[Experiment ID],ROW()-1))</f>
        <v>Not Requested</v>
      </c>
      <c r="B108">
        <f>SampleList[[#This Row],[Duration (Days)]]</f>
        <v>0</v>
      </c>
      <c r="G108">
        <f>NMRResults[[#This Row],['#]]</f>
        <v>0</v>
      </c>
      <c r="H108" s="1">
        <f>NMRResults[[#This Row],[Date Run]]</f>
        <v>0</v>
      </c>
    </row>
    <row r="109" spans="1:8" hidden="1" x14ac:dyDescent="0.25">
      <c r="A109" t="str" cm="1">
        <f t="array" ref="A109">IF(AND(ISBLANK(INDEX(SampleList[pH],ROW()-1)),ISBLANK(INDEX(SampleList[Conductivity],ROW()-1)),ISBLANK(INDEX(SampleList[Modification],ROW()-1))),"Not Requested",INDEX(SampleList[Experiment ID],ROW()-1))</f>
        <v>Not Requested</v>
      </c>
      <c r="B109">
        <f>SampleList[[#This Row],[Duration (Days)]]</f>
        <v>0</v>
      </c>
      <c r="G109">
        <f>NMRResults[[#This Row],['#]]</f>
        <v>0</v>
      </c>
      <c r="H109" s="1">
        <f>NMRResults[[#This Row],[Date Run]]</f>
        <v>0</v>
      </c>
    </row>
    <row r="110" spans="1:8" hidden="1" x14ac:dyDescent="0.25">
      <c r="A110" t="str" cm="1">
        <f t="array" ref="A110">IF(AND(ISBLANK(INDEX(SampleList[pH],ROW()-1)),ISBLANK(INDEX(SampleList[Conductivity],ROW()-1)),ISBLANK(INDEX(SampleList[Modification],ROW()-1))),"Not Requested",INDEX(SampleList[Experiment ID],ROW()-1))</f>
        <v>Not Requested</v>
      </c>
      <c r="B110">
        <f>SampleList[[#This Row],[Duration (Days)]]</f>
        <v>0</v>
      </c>
      <c r="G110">
        <f>NMRResults[[#This Row],['#]]</f>
        <v>0</v>
      </c>
      <c r="H110" s="1">
        <f>NMRResults[[#This Row],[Date Run]]</f>
        <v>0</v>
      </c>
    </row>
    <row r="111" spans="1:8" hidden="1" x14ac:dyDescent="0.25">
      <c r="A111" t="str" cm="1">
        <f t="array" ref="A111">IF(AND(ISBLANK(INDEX(SampleList[pH],ROW()-1)),ISBLANK(INDEX(SampleList[Conductivity],ROW()-1)),ISBLANK(INDEX(SampleList[Modification],ROW()-1))),"Not Requested",INDEX(SampleList[Experiment ID],ROW()-1))</f>
        <v>Not Requested</v>
      </c>
      <c r="B111">
        <f>SampleList[[#This Row],[Duration (Days)]]</f>
        <v>0</v>
      </c>
      <c r="G111">
        <f>NMRResults[[#This Row],['#]]</f>
        <v>0</v>
      </c>
      <c r="H111" s="1">
        <f>NMRResults[[#This Row],[Date Run]]</f>
        <v>0</v>
      </c>
    </row>
    <row r="112" spans="1:8" hidden="1" x14ac:dyDescent="0.25">
      <c r="A112" t="str" cm="1">
        <f t="array" ref="A112">IF(AND(ISBLANK(INDEX(SampleList[pH],ROW()-1)),ISBLANK(INDEX(SampleList[Conductivity],ROW()-1)),ISBLANK(INDEX(SampleList[Modification],ROW()-1))),"Not Requested",INDEX(SampleList[Experiment ID],ROW()-1))</f>
        <v>Not Requested</v>
      </c>
      <c r="B112">
        <f>SampleList[[#This Row],[Duration (Days)]]</f>
        <v>0</v>
      </c>
      <c r="G112">
        <f>NMRResults[[#This Row],['#]]</f>
        <v>0</v>
      </c>
      <c r="H112" s="1">
        <f>NMRResults[[#This Row],[Date Run]]</f>
        <v>0</v>
      </c>
    </row>
    <row r="113" spans="1:8" hidden="1" x14ac:dyDescent="0.25">
      <c r="A113" t="str" cm="1">
        <f t="array" ref="A113">IF(AND(ISBLANK(INDEX(SampleList[pH],ROW()-1)),ISBLANK(INDEX(SampleList[Conductivity],ROW()-1)),ISBLANK(INDEX(SampleList[Modification],ROW()-1))),"Not Requested",INDEX(SampleList[Experiment ID],ROW()-1))</f>
        <v>Not Requested</v>
      </c>
      <c r="B113">
        <f>SampleList[[#This Row],[Duration (Days)]]</f>
        <v>0</v>
      </c>
      <c r="G113">
        <f>NMRResults[[#This Row],['#]]</f>
        <v>0</v>
      </c>
      <c r="H113" s="1">
        <f>NMRResults[[#This Row],[Date Run]]</f>
        <v>0</v>
      </c>
    </row>
    <row r="114" spans="1:8" hidden="1" x14ac:dyDescent="0.25">
      <c r="A114" t="str" cm="1">
        <f t="array" ref="A114">IF(AND(ISBLANK(INDEX(SampleList[pH],ROW()-1)),ISBLANK(INDEX(SampleList[Conductivity],ROW()-1)),ISBLANK(INDEX(SampleList[Modification],ROW()-1))),"Not Requested",INDEX(SampleList[Experiment ID],ROW()-1))</f>
        <v>Not Requested</v>
      </c>
      <c r="B114">
        <f>SampleList[[#This Row],[Duration (Days)]]</f>
        <v>0</v>
      </c>
      <c r="G114">
        <f>NMRResults[[#This Row],['#]]</f>
        <v>0</v>
      </c>
      <c r="H114" s="1">
        <f>NMRResults[[#This Row],[Date Run]]</f>
        <v>0</v>
      </c>
    </row>
    <row r="115" spans="1:8" hidden="1" x14ac:dyDescent="0.25">
      <c r="A115" t="str" cm="1">
        <f t="array" ref="A115">IF(AND(ISBLANK(INDEX(SampleList[pH],ROW()-1)),ISBLANK(INDEX(SampleList[Conductivity],ROW()-1)),ISBLANK(INDEX(SampleList[Modification],ROW()-1))),"Not Requested",INDEX(SampleList[Experiment ID],ROW()-1))</f>
        <v>Not Requested</v>
      </c>
      <c r="B115">
        <f>SampleList[[#This Row],[Duration (Days)]]</f>
        <v>0</v>
      </c>
      <c r="G115">
        <f>NMRResults[[#This Row],['#]]</f>
        <v>0</v>
      </c>
      <c r="H115" s="1">
        <f>NMRResults[[#This Row],[Date Run]]</f>
        <v>0</v>
      </c>
    </row>
    <row r="116" spans="1:8" hidden="1" x14ac:dyDescent="0.25">
      <c r="A116" t="str" cm="1">
        <f t="array" ref="A116">IF(AND(ISBLANK(INDEX(SampleList[pH],ROW()-1)),ISBLANK(INDEX(SampleList[Conductivity],ROW()-1)),ISBLANK(INDEX(SampleList[Modification],ROW()-1))),"Not Requested",INDEX(SampleList[Experiment ID],ROW()-1))</f>
        <v>Not Requested</v>
      </c>
      <c r="B116">
        <f>SampleList[[#This Row],[Duration (Days)]]</f>
        <v>0</v>
      </c>
      <c r="G116">
        <f>NMRResults[[#This Row],['#]]</f>
        <v>0</v>
      </c>
      <c r="H116" s="1">
        <f>NMRResults[[#This Row],[Date Run]]</f>
        <v>0</v>
      </c>
    </row>
    <row r="117" spans="1:8" hidden="1" x14ac:dyDescent="0.25">
      <c r="A117" t="str" cm="1">
        <f t="array" ref="A117">IF(AND(ISBLANK(INDEX(SampleList[pH],ROW()-1)),ISBLANK(INDEX(SampleList[Conductivity],ROW()-1)),ISBLANK(INDEX(SampleList[Modification],ROW()-1))),"Not Requested",INDEX(SampleList[Experiment ID],ROW()-1))</f>
        <v>Not Requested</v>
      </c>
      <c r="B117">
        <f>SampleList[[#This Row],[Duration (Days)]]</f>
        <v>0</v>
      </c>
      <c r="G117">
        <f>NMRResults[[#This Row],['#]]</f>
        <v>0</v>
      </c>
      <c r="H117" s="1">
        <f>NMRResults[[#This Row],[Date Run]]</f>
        <v>0</v>
      </c>
    </row>
    <row r="118" spans="1:8" hidden="1" x14ac:dyDescent="0.25">
      <c r="A118" t="str" cm="1">
        <f t="array" ref="A118">IF(AND(ISBLANK(INDEX(SampleList[pH],ROW()-1)),ISBLANK(INDEX(SampleList[Conductivity],ROW()-1)),ISBLANK(INDEX(SampleList[Modification],ROW()-1))),"Not Requested",INDEX(SampleList[Experiment ID],ROW()-1))</f>
        <v>Not Requested</v>
      </c>
      <c r="B118">
        <f>SampleList[[#This Row],[Duration (Days)]]</f>
        <v>0</v>
      </c>
      <c r="G118">
        <f>NMRResults[[#This Row],['#]]</f>
        <v>0</v>
      </c>
      <c r="H118" s="1">
        <f>NMRResults[[#This Row],[Date Run]]</f>
        <v>0</v>
      </c>
    </row>
    <row r="119" spans="1:8" hidden="1" x14ac:dyDescent="0.25">
      <c r="A119" t="str" cm="1">
        <f t="array" ref="A119">IF(AND(ISBLANK(INDEX(SampleList[pH],ROW()-1)),ISBLANK(INDEX(SampleList[Conductivity],ROW()-1)),ISBLANK(INDEX(SampleList[Modification],ROW()-1))),"Not Requested",INDEX(SampleList[Experiment ID],ROW()-1))</f>
        <v>Not Requested</v>
      </c>
      <c r="B119">
        <f>SampleList[[#This Row],[Duration (Days)]]</f>
        <v>0</v>
      </c>
      <c r="G119">
        <f>NMRResults[[#This Row],['#]]</f>
        <v>0</v>
      </c>
      <c r="H119" s="1">
        <f>NMRResults[[#This Row],[Date Run]]</f>
        <v>0</v>
      </c>
    </row>
    <row r="120" spans="1:8" hidden="1" x14ac:dyDescent="0.25">
      <c r="A120" t="str" cm="1">
        <f t="array" ref="A120">IF(AND(ISBLANK(INDEX(SampleList[pH],ROW()-1)),ISBLANK(INDEX(SampleList[Conductivity],ROW()-1)),ISBLANK(INDEX(SampleList[Modification],ROW()-1))),"Not Requested",INDEX(SampleList[Experiment ID],ROW()-1))</f>
        <v>Not Requested</v>
      </c>
      <c r="B120">
        <f>SampleList[[#This Row],[Duration (Days)]]</f>
        <v>0</v>
      </c>
      <c r="G120">
        <f>NMRResults[[#This Row],['#]]</f>
        <v>0</v>
      </c>
      <c r="H120" s="1">
        <f>NMRResults[[#This Row],[Date Run]]</f>
        <v>0</v>
      </c>
    </row>
    <row r="121" spans="1:8" hidden="1" x14ac:dyDescent="0.25">
      <c r="A121" t="str" cm="1">
        <f t="array" ref="A121">IF(AND(ISBLANK(INDEX(SampleList[pH],ROW()-1)),ISBLANK(INDEX(SampleList[Conductivity],ROW()-1)),ISBLANK(INDEX(SampleList[Modification],ROW()-1))),"Not Requested",INDEX(SampleList[Experiment ID],ROW()-1))</f>
        <v>Not Requested</v>
      </c>
      <c r="B121">
        <f>SampleList[[#This Row],[Duration (Days)]]</f>
        <v>0</v>
      </c>
      <c r="G121">
        <f>NMRResults[[#This Row],['#]]</f>
        <v>0</v>
      </c>
      <c r="H121" s="1">
        <f>NMRResults[[#This Row],[Date Run]]</f>
        <v>0</v>
      </c>
    </row>
    <row r="122" spans="1:8" hidden="1" x14ac:dyDescent="0.25">
      <c r="A122" t="str" cm="1">
        <f t="array" ref="A122">IF(AND(ISBLANK(INDEX(SampleList[pH],ROW()-1)),ISBLANK(INDEX(SampleList[Conductivity],ROW()-1)),ISBLANK(INDEX(SampleList[Modification],ROW()-1))),"Not Requested",INDEX(SampleList[Experiment ID],ROW()-1))</f>
        <v>Not Requested</v>
      </c>
      <c r="B122">
        <f>SampleList[[#This Row],[Duration (Days)]]</f>
        <v>0</v>
      </c>
      <c r="G122">
        <f>NMRResults[[#This Row],['#]]</f>
        <v>0</v>
      </c>
      <c r="H122" s="1">
        <f>NMRResults[[#This Row],[Date Run]]</f>
        <v>0</v>
      </c>
    </row>
    <row r="123" spans="1:8" hidden="1" x14ac:dyDescent="0.25">
      <c r="A123" t="str" cm="1">
        <f t="array" ref="A123">IF(AND(ISBLANK(INDEX(SampleList[pH],ROW()-1)),ISBLANK(INDEX(SampleList[Conductivity],ROW()-1)),ISBLANK(INDEX(SampleList[Modification],ROW()-1))),"Not Requested",INDEX(SampleList[Experiment ID],ROW()-1))</f>
        <v>Not Requested</v>
      </c>
      <c r="B123">
        <f>SampleList[[#This Row],[Duration (Days)]]</f>
        <v>0</v>
      </c>
      <c r="G123">
        <f>NMRResults[[#This Row],['#]]</f>
        <v>0</v>
      </c>
      <c r="H123" s="1">
        <f>NMRResults[[#This Row],[Date Run]]</f>
        <v>0</v>
      </c>
    </row>
    <row r="124" spans="1:8" hidden="1" x14ac:dyDescent="0.25">
      <c r="A124" t="str" cm="1">
        <f t="array" ref="A124">IF(AND(ISBLANK(INDEX(SampleList[pH],ROW()-1)),ISBLANK(INDEX(SampleList[Conductivity],ROW()-1)),ISBLANK(INDEX(SampleList[Modification],ROW()-1))),"Not Requested",INDEX(SampleList[Experiment ID],ROW()-1))</f>
        <v>Not Requested</v>
      </c>
      <c r="B124">
        <f>SampleList[[#This Row],[Duration (Days)]]</f>
        <v>0</v>
      </c>
      <c r="G124">
        <f>NMRResults[[#This Row],['#]]</f>
        <v>0</v>
      </c>
      <c r="H124" s="1">
        <f>NMRResults[[#This Row],[Date Run]]</f>
        <v>0</v>
      </c>
    </row>
    <row r="125" spans="1:8" hidden="1" x14ac:dyDescent="0.25">
      <c r="A125" t="str" cm="1">
        <f t="array" ref="A125">IF(AND(ISBLANK(INDEX(SampleList[pH],ROW()-1)),ISBLANK(INDEX(SampleList[Conductivity],ROW()-1)),ISBLANK(INDEX(SampleList[Modification],ROW()-1))),"Not Requested",INDEX(SampleList[Experiment ID],ROW()-1))</f>
        <v>Not Requested</v>
      </c>
      <c r="B125">
        <f>SampleList[[#This Row],[Duration (Days)]]</f>
        <v>0</v>
      </c>
      <c r="G125">
        <f>NMRResults[[#This Row],['#]]</f>
        <v>0</v>
      </c>
      <c r="H125" s="1">
        <f>NMRResults[[#This Row],[Date Run]]</f>
        <v>0</v>
      </c>
    </row>
    <row r="126" spans="1:8" hidden="1" x14ac:dyDescent="0.25">
      <c r="A126" t="str" cm="1">
        <f t="array" ref="A126">IF(AND(ISBLANK(INDEX(SampleList[pH],ROW()-1)),ISBLANK(INDEX(SampleList[Conductivity],ROW()-1)),ISBLANK(INDEX(SampleList[Modification],ROW()-1))),"Not Requested",INDEX(SampleList[Experiment ID],ROW()-1))</f>
        <v>Not Requested</v>
      </c>
      <c r="B126">
        <f>SampleList[[#This Row],[Duration (Days)]]</f>
        <v>0</v>
      </c>
      <c r="G126">
        <f>NMRResults[[#This Row],['#]]</f>
        <v>0</v>
      </c>
      <c r="H126" s="1">
        <f>NMRResults[[#This Row],[Date Run]]</f>
        <v>0</v>
      </c>
    </row>
    <row r="127" spans="1:8" hidden="1" x14ac:dyDescent="0.25">
      <c r="A127" t="str" cm="1">
        <f t="array" ref="A127">IF(AND(ISBLANK(INDEX(SampleList[pH],ROW()-1)),ISBLANK(INDEX(SampleList[Conductivity],ROW()-1)),ISBLANK(INDEX(SampleList[Modification],ROW()-1))),"Not Requested",INDEX(SampleList[Experiment ID],ROW()-1))</f>
        <v>Not Requested</v>
      </c>
      <c r="B127">
        <f>SampleList[[#This Row],[Duration (Days)]]</f>
        <v>0</v>
      </c>
      <c r="G127">
        <f>NMRResults[[#This Row],['#]]</f>
        <v>0</v>
      </c>
      <c r="H127" s="1">
        <f>NMRResults[[#This Row],[Date Run]]</f>
        <v>0</v>
      </c>
    </row>
    <row r="128" spans="1:8" hidden="1" x14ac:dyDescent="0.25">
      <c r="A128" t="str" cm="1">
        <f t="array" ref="A128">IF(AND(ISBLANK(INDEX(SampleList[pH],ROW()-1)),ISBLANK(INDEX(SampleList[Conductivity],ROW()-1)),ISBLANK(INDEX(SampleList[Modification],ROW()-1))),"Not Requested",INDEX(SampleList[Experiment ID],ROW()-1))</f>
        <v>Not Requested</v>
      </c>
      <c r="B128">
        <f>SampleList[[#This Row],[Duration (Days)]]</f>
        <v>0</v>
      </c>
      <c r="G128">
        <f>NMRResults[[#This Row],['#]]</f>
        <v>0</v>
      </c>
      <c r="H128" s="1">
        <f>NMRResults[[#This Row],[Date Run]]</f>
        <v>0</v>
      </c>
    </row>
    <row r="129" spans="1:8" hidden="1" x14ac:dyDescent="0.25">
      <c r="A129" t="str" cm="1">
        <f t="array" ref="A129">IF(AND(ISBLANK(INDEX(SampleList[pH],ROW()-1)),ISBLANK(INDEX(SampleList[Conductivity],ROW()-1)),ISBLANK(INDEX(SampleList[Modification],ROW()-1))),"Not Requested",INDEX(SampleList[Experiment ID],ROW()-1))</f>
        <v>Not Requested</v>
      </c>
      <c r="B129">
        <f>SampleList[[#This Row],[Duration (Days)]]</f>
        <v>0</v>
      </c>
      <c r="G129">
        <f>NMRResults[[#This Row],['#]]</f>
        <v>0</v>
      </c>
      <c r="H129" s="1">
        <f>NMRResults[[#This Row],[Date Run]]</f>
        <v>0</v>
      </c>
    </row>
    <row r="130" spans="1:8" hidden="1" x14ac:dyDescent="0.25">
      <c r="A130" t="str" cm="1">
        <f t="array" ref="A130">IF(AND(ISBLANK(INDEX(SampleList[pH],ROW()-1)),ISBLANK(INDEX(SampleList[Conductivity],ROW()-1)),ISBLANK(INDEX(SampleList[Modification],ROW()-1))),"Not Requested",INDEX(SampleList[Experiment ID],ROW()-1))</f>
        <v>Not Requested</v>
      </c>
      <c r="B130">
        <f>SampleList[[#This Row],[Duration (Days)]]</f>
        <v>0</v>
      </c>
      <c r="G130">
        <f>NMRResults[[#This Row],['#]]</f>
        <v>0</v>
      </c>
      <c r="H130" s="1">
        <f>NMRResults[[#This Row],[Date Run]]</f>
        <v>0</v>
      </c>
    </row>
    <row r="131" spans="1:8" hidden="1" x14ac:dyDescent="0.25">
      <c r="A131" t="str" cm="1">
        <f t="array" ref="A131">IF(AND(ISBLANK(INDEX(SampleList[pH],ROW()-1)),ISBLANK(INDEX(SampleList[Conductivity],ROW()-1)),ISBLANK(INDEX(SampleList[Modification],ROW()-1))),"Not Requested",INDEX(SampleList[Experiment ID],ROW()-1))</f>
        <v>Not Requested</v>
      </c>
      <c r="B131">
        <f>SampleList[[#This Row],[Duration (Days)]]</f>
        <v>0</v>
      </c>
      <c r="G131">
        <f>NMRResults[[#This Row],['#]]</f>
        <v>0</v>
      </c>
      <c r="H131" s="1">
        <f>NMRResults[[#This Row],[Date Run]]</f>
        <v>0</v>
      </c>
    </row>
    <row r="132" spans="1:8" hidden="1" x14ac:dyDescent="0.25">
      <c r="A132" t="str" cm="1">
        <f t="array" ref="A132">IF(AND(ISBLANK(INDEX(SampleList[pH],ROW()-1)),ISBLANK(INDEX(SampleList[Conductivity],ROW()-1)),ISBLANK(INDEX(SampleList[Modification],ROW()-1))),"Not Requested",INDEX(SampleList[Experiment ID],ROW()-1))</f>
        <v>Not Requested</v>
      </c>
      <c r="B132">
        <f>SampleList[[#This Row],[Duration (Days)]]</f>
        <v>0</v>
      </c>
      <c r="G132">
        <f>NMRResults[[#This Row],['#]]</f>
        <v>0</v>
      </c>
      <c r="H132" s="1">
        <f>NMRResults[[#This Row],[Date Run]]</f>
        <v>0</v>
      </c>
    </row>
    <row r="133" spans="1:8" hidden="1" x14ac:dyDescent="0.25">
      <c r="A133" t="str" cm="1">
        <f t="array" ref="A133">IF(AND(ISBLANK(INDEX(SampleList[pH],ROW()-1)),ISBLANK(INDEX(SampleList[Conductivity],ROW()-1)),ISBLANK(INDEX(SampleList[Modification],ROW()-1))),"Not Requested",INDEX(SampleList[Experiment ID],ROW()-1))</f>
        <v>Not Requested</v>
      </c>
      <c r="B133">
        <f>SampleList[[#This Row],[Duration (Days)]]</f>
        <v>0</v>
      </c>
      <c r="G133">
        <f>NMRResults[[#This Row],['#]]</f>
        <v>0</v>
      </c>
      <c r="H133" s="1">
        <f>NMRResults[[#This Row],[Date Run]]</f>
        <v>0</v>
      </c>
    </row>
    <row r="134" spans="1:8" hidden="1" x14ac:dyDescent="0.25">
      <c r="A134" t="str" cm="1">
        <f t="array" ref="A134">IF(AND(ISBLANK(INDEX(SampleList[pH],ROW()-1)),ISBLANK(INDEX(SampleList[Conductivity],ROW()-1)),ISBLANK(INDEX(SampleList[Modification],ROW()-1))),"Not Requested",INDEX(SampleList[Experiment ID],ROW()-1))</f>
        <v>Not Requested</v>
      </c>
      <c r="B134">
        <f>SampleList[[#This Row],[Duration (Days)]]</f>
        <v>0</v>
      </c>
      <c r="G134">
        <f>NMRResults[[#This Row],['#]]</f>
        <v>0</v>
      </c>
      <c r="H134" s="1">
        <f>NMRResults[[#This Row],[Date Run]]</f>
        <v>0</v>
      </c>
    </row>
    <row r="135" spans="1:8" hidden="1" x14ac:dyDescent="0.25">
      <c r="A135" t="str" cm="1">
        <f t="array" ref="A135">IF(AND(ISBLANK(INDEX(SampleList[pH],ROW()-1)),ISBLANK(INDEX(SampleList[Conductivity],ROW()-1)),ISBLANK(INDEX(SampleList[Modification],ROW()-1))),"Not Requested",INDEX(SampleList[Experiment ID],ROW()-1))</f>
        <v>Not Requested</v>
      </c>
      <c r="B135">
        <f>SampleList[[#This Row],[Duration (Days)]]</f>
        <v>0</v>
      </c>
      <c r="G135">
        <f>NMRResults[[#This Row],['#]]</f>
        <v>0</v>
      </c>
      <c r="H135" s="1">
        <f>NMRResults[[#This Row],[Date Run]]</f>
        <v>0</v>
      </c>
    </row>
    <row r="136" spans="1:8" hidden="1" x14ac:dyDescent="0.25">
      <c r="A136" t="str" cm="1">
        <f t="array" ref="A136">IF(AND(ISBLANK(INDEX(SampleList[pH],ROW()-1)),ISBLANK(INDEX(SampleList[Conductivity],ROW()-1)),ISBLANK(INDEX(SampleList[Modification],ROW()-1))),"Not Requested",INDEX(SampleList[Experiment ID],ROW()-1))</f>
        <v>Not Requested</v>
      </c>
      <c r="B136">
        <f>SampleList[[#This Row],[Duration (Days)]]</f>
        <v>0</v>
      </c>
      <c r="G136">
        <f>NMRResults[[#This Row],['#]]</f>
        <v>0</v>
      </c>
      <c r="H136" s="1">
        <f>NMRResults[[#This Row],[Date Run]]</f>
        <v>0</v>
      </c>
    </row>
    <row r="137" spans="1:8" hidden="1" x14ac:dyDescent="0.25">
      <c r="A137" t="str" cm="1">
        <f t="array" ref="A137">IF(AND(ISBLANK(INDEX(SampleList[pH],ROW()-1)),ISBLANK(INDEX(SampleList[Conductivity],ROW()-1)),ISBLANK(INDEX(SampleList[Modification],ROW()-1))),"Not Requested",INDEX(SampleList[Experiment ID],ROW()-1))</f>
        <v>Not Requested</v>
      </c>
      <c r="B137">
        <f>SampleList[[#This Row],[Duration (Days)]]</f>
        <v>0</v>
      </c>
      <c r="G137">
        <f>NMRResults[[#This Row],['#]]</f>
        <v>0</v>
      </c>
      <c r="H137" s="1">
        <f>NMRResults[[#This Row],[Date Run]]</f>
        <v>0</v>
      </c>
    </row>
    <row r="138" spans="1:8" hidden="1" x14ac:dyDescent="0.25">
      <c r="A138" t="str" cm="1">
        <f t="array" ref="A138">IF(AND(ISBLANK(INDEX(SampleList[pH],ROW()-1)),ISBLANK(INDEX(SampleList[Conductivity],ROW()-1)),ISBLANK(INDEX(SampleList[Modification],ROW()-1))),"Not Requested",INDEX(SampleList[Experiment ID],ROW()-1))</f>
        <v>Not Requested</v>
      </c>
      <c r="B138">
        <f>SampleList[[#This Row],[Duration (Days)]]</f>
        <v>0</v>
      </c>
      <c r="G138">
        <f>NMRResults[[#This Row],['#]]</f>
        <v>0</v>
      </c>
      <c r="H138" s="1">
        <f>NMRResults[[#This Row],[Date Run]]</f>
        <v>0</v>
      </c>
    </row>
    <row r="139" spans="1:8" hidden="1" x14ac:dyDescent="0.25">
      <c r="A139" t="str" cm="1">
        <f t="array" ref="A139">IF(AND(ISBLANK(INDEX(SampleList[pH],ROW()-1)),ISBLANK(INDEX(SampleList[Conductivity],ROW()-1)),ISBLANK(INDEX(SampleList[Modification],ROW()-1))),"Not Requested",INDEX(SampleList[Experiment ID],ROW()-1))</f>
        <v>Not Requested</v>
      </c>
      <c r="B139">
        <f>SampleList[[#This Row],[Duration (Days)]]</f>
        <v>0</v>
      </c>
      <c r="G139">
        <f>NMRResults[[#This Row],['#]]</f>
        <v>0</v>
      </c>
      <c r="H139" s="1">
        <f>NMRResults[[#This Row],[Date Run]]</f>
        <v>0</v>
      </c>
    </row>
    <row r="140" spans="1:8" hidden="1" x14ac:dyDescent="0.25">
      <c r="A140" t="str" cm="1">
        <f t="array" ref="A140">IF(AND(ISBLANK(INDEX(SampleList[pH],ROW()-1)),ISBLANK(INDEX(SampleList[Conductivity],ROW()-1)),ISBLANK(INDEX(SampleList[Modification],ROW()-1))),"Not Requested",INDEX(SampleList[Experiment ID],ROW()-1))</f>
        <v>Not Requested</v>
      </c>
      <c r="B140">
        <f>SampleList[[#This Row],[Duration (Days)]]</f>
        <v>0</v>
      </c>
      <c r="G140">
        <f>NMRResults[[#This Row],['#]]</f>
        <v>0</v>
      </c>
      <c r="H140" s="1">
        <f>NMRResults[[#This Row],[Date Run]]</f>
        <v>0</v>
      </c>
    </row>
    <row r="141" spans="1:8" hidden="1" x14ac:dyDescent="0.25">
      <c r="A141" t="str" cm="1">
        <f t="array" ref="A141">IF(AND(ISBLANK(INDEX(SampleList[pH],ROW()-1)),ISBLANK(INDEX(SampleList[Conductivity],ROW()-1)),ISBLANK(INDEX(SampleList[Modification],ROW()-1))),"Not Requested",INDEX(SampleList[Experiment ID],ROW()-1))</f>
        <v>Not Requested</v>
      </c>
      <c r="B141">
        <f>SampleList[[#This Row],[Duration (Days)]]</f>
        <v>0</v>
      </c>
      <c r="G141">
        <f>NMRResults[[#This Row],['#]]</f>
        <v>0</v>
      </c>
      <c r="H141" s="1">
        <f>NMRResults[[#This Row],[Date Run]]</f>
        <v>0</v>
      </c>
    </row>
    <row r="142" spans="1:8" hidden="1" x14ac:dyDescent="0.25">
      <c r="A142" t="str" cm="1">
        <f t="array" ref="A142">IF(AND(ISBLANK(INDEX(SampleList[pH],ROW()-1)),ISBLANK(INDEX(SampleList[Conductivity],ROW()-1)),ISBLANK(INDEX(SampleList[Modification],ROW()-1))),"Not Requested",INDEX(SampleList[Experiment ID],ROW()-1))</f>
        <v>Not Requested</v>
      </c>
      <c r="B142">
        <f>SampleList[[#This Row],[Duration (Days)]]</f>
        <v>0</v>
      </c>
      <c r="G142">
        <f>NMRResults[[#This Row],['#]]</f>
        <v>0</v>
      </c>
      <c r="H142" s="1">
        <f>NMRResults[[#This Row],[Date Run]]</f>
        <v>0</v>
      </c>
    </row>
    <row r="143" spans="1:8" hidden="1" x14ac:dyDescent="0.25">
      <c r="A143" t="str" cm="1">
        <f t="array" ref="A143">IF(AND(ISBLANK(INDEX(SampleList[pH],ROW()-1)),ISBLANK(INDEX(SampleList[Conductivity],ROW()-1)),ISBLANK(INDEX(SampleList[Modification],ROW()-1))),"Not Requested",INDEX(SampleList[Experiment ID],ROW()-1))</f>
        <v>Not Requested</v>
      </c>
      <c r="B143">
        <f>SampleList[[#This Row],[Duration (Days)]]</f>
        <v>0</v>
      </c>
      <c r="G143">
        <f>NMRResults[[#This Row],['#]]</f>
        <v>0</v>
      </c>
      <c r="H143" s="1">
        <f>NMRResults[[#This Row],[Date Run]]</f>
        <v>0</v>
      </c>
    </row>
    <row r="144" spans="1:8" hidden="1" x14ac:dyDescent="0.25">
      <c r="A144" t="str" cm="1">
        <f t="array" ref="A144">IF(AND(ISBLANK(INDEX(SampleList[pH],ROW()-1)),ISBLANK(INDEX(SampleList[Conductivity],ROW()-1)),ISBLANK(INDEX(SampleList[Modification],ROW()-1))),"Not Requested",INDEX(SampleList[Experiment ID],ROW()-1))</f>
        <v>Not Requested</v>
      </c>
      <c r="B144">
        <f>SampleList[[#This Row],[Duration (Days)]]</f>
        <v>0</v>
      </c>
      <c r="G144">
        <f>NMRResults[[#This Row],['#]]</f>
        <v>0</v>
      </c>
      <c r="H144" s="1">
        <f>NMRResults[[#This Row],[Date Run]]</f>
        <v>0</v>
      </c>
    </row>
    <row r="145" spans="1:8" hidden="1" x14ac:dyDescent="0.25">
      <c r="A145" t="str" cm="1">
        <f t="array" ref="A145">IF(AND(ISBLANK(INDEX(SampleList[pH],ROW()-1)),ISBLANK(INDEX(SampleList[Conductivity],ROW()-1)),ISBLANK(INDEX(SampleList[Modification],ROW()-1))),"Not Requested",INDEX(SampleList[Experiment ID],ROW()-1))</f>
        <v>Not Requested</v>
      </c>
      <c r="B145">
        <f>SampleList[[#This Row],[Duration (Days)]]</f>
        <v>0</v>
      </c>
      <c r="G145">
        <f>NMRResults[[#This Row],['#]]</f>
        <v>0</v>
      </c>
      <c r="H145" s="1">
        <f>NMRResults[[#This Row],[Date Run]]</f>
        <v>0</v>
      </c>
    </row>
    <row r="146" spans="1:8" hidden="1" x14ac:dyDescent="0.25">
      <c r="A146" t="str" cm="1">
        <f t="array" ref="A146">IF(AND(ISBLANK(INDEX(SampleList[pH],ROW()-1)),ISBLANK(INDEX(SampleList[Conductivity],ROW()-1)),ISBLANK(INDEX(SampleList[Modification],ROW()-1))),"Not Requested",INDEX(SampleList[Experiment ID],ROW()-1))</f>
        <v>Not Requested</v>
      </c>
      <c r="B146">
        <f>SampleList[[#This Row],[Duration (Days)]]</f>
        <v>0</v>
      </c>
      <c r="G146">
        <f>NMRResults[[#This Row],['#]]</f>
        <v>0</v>
      </c>
      <c r="H146" s="1">
        <f>NMRResults[[#This Row],[Date Run]]</f>
        <v>0</v>
      </c>
    </row>
    <row r="147" spans="1:8" hidden="1" x14ac:dyDescent="0.25">
      <c r="A147" t="str" cm="1">
        <f t="array" ref="A147">IF(AND(ISBLANK(INDEX(SampleList[pH],ROW()-1)),ISBLANK(INDEX(SampleList[Conductivity],ROW()-1)),ISBLANK(INDEX(SampleList[Modification],ROW()-1))),"Not Requested",INDEX(SampleList[Experiment ID],ROW()-1))</f>
        <v>Not Requested</v>
      </c>
      <c r="B147">
        <f>SampleList[[#This Row],[Duration (Days)]]</f>
        <v>0</v>
      </c>
      <c r="G147">
        <f>NMRResults[[#This Row],['#]]</f>
        <v>0</v>
      </c>
      <c r="H147" s="1">
        <f>NMRResults[[#This Row],[Date Run]]</f>
        <v>0</v>
      </c>
    </row>
    <row r="148" spans="1:8" hidden="1" x14ac:dyDescent="0.25">
      <c r="A148" t="str" cm="1">
        <f t="array" ref="A148">IF(AND(ISBLANK(INDEX(SampleList[pH],ROW()-1)),ISBLANK(INDEX(SampleList[Conductivity],ROW()-1)),ISBLANK(INDEX(SampleList[Modification],ROW()-1))),"Not Requested",INDEX(SampleList[Experiment ID],ROW()-1))</f>
        <v>Not Requested</v>
      </c>
      <c r="B148">
        <f>SampleList[[#This Row],[Duration (Days)]]</f>
        <v>0</v>
      </c>
      <c r="G148">
        <f>NMRResults[[#This Row],['#]]</f>
        <v>0</v>
      </c>
      <c r="H148" s="1">
        <f>NMRResults[[#This Row],[Date Run]]</f>
        <v>0</v>
      </c>
    </row>
    <row r="149" spans="1:8" hidden="1" x14ac:dyDescent="0.25">
      <c r="A149" t="str" cm="1">
        <f t="array" ref="A149">IF(AND(ISBLANK(INDEX(SampleList[pH],ROW()-1)),ISBLANK(INDEX(SampleList[Conductivity],ROW()-1)),ISBLANK(INDEX(SampleList[Modification],ROW()-1))),"Not Requested",INDEX(SampleList[Experiment ID],ROW()-1))</f>
        <v>Not Requested</v>
      </c>
      <c r="B149">
        <f>SampleList[[#This Row],[Duration (Days)]]</f>
        <v>0</v>
      </c>
      <c r="G149">
        <f>NMRResults[[#This Row],['#]]</f>
        <v>0</v>
      </c>
      <c r="H149" s="1">
        <f>NMRResults[[#This Row],[Date Run]]</f>
        <v>0</v>
      </c>
    </row>
    <row r="150" spans="1:8" hidden="1" x14ac:dyDescent="0.25">
      <c r="A150" t="str" cm="1">
        <f t="array" ref="A150">IF(AND(ISBLANK(INDEX(SampleList[pH],ROW()-1)),ISBLANK(INDEX(SampleList[Conductivity],ROW()-1)),ISBLANK(INDEX(SampleList[Modification],ROW()-1))),"Not Requested",INDEX(SampleList[Experiment ID],ROW()-1))</f>
        <v>Not Requested</v>
      </c>
      <c r="B150">
        <f>SampleList[[#This Row],[Duration (Days)]]</f>
        <v>0</v>
      </c>
      <c r="G150">
        <f>NMRResults[[#This Row],['#]]</f>
        <v>0</v>
      </c>
      <c r="H150" s="1">
        <f>NMRResults[[#This Row],[Date Run]]</f>
        <v>0</v>
      </c>
    </row>
    <row r="151" spans="1:8" hidden="1" x14ac:dyDescent="0.25">
      <c r="A151" t="str" cm="1">
        <f t="array" ref="A151">IF(AND(ISBLANK(INDEX(SampleList[pH],ROW()-1)),ISBLANK(INDEX(SampleList[Conductivity],ROW()-1)),ISBLANK(INDEX(SampleList[Modification],ROW()-1))),"Not Requested",INDEX(SampleList[Experiment ID],ROW()-1))</f>
        <v>Not Requested</v>
      </c>
      <c r="B151">
        <f>SampleList[[#This Row],[Duration (Days)]]</f>
        <v>0</v>
      </c>
      <c r="G151">
        <f>NMRResults[[#This Row],['#]]</f>
        <v>0</v>
      </c>
      <c r="H151" s="1">
        <f>NMRResults[[#This Row],[Date Run]]</f>
        <v>0</v>
      </c>
    </row>
    <row r="152" spans="1:8" hidden="1" x14ac:dyDescent="0.25">
      <c r="A152" t="str" cm="1">
        <f t="array" ref="A152">IF(AND(ISBLANK(INDEX(SampleList[pH],ROW()-1)),ISBLANK(INDEX(SampleList[Conductivity],ROW()-1)),ISBLANK(INDEX(SampleList[Modification],ROW()-1))),"Not Requested",INDEX(SampleList[Experiment ID],ROW()-1))</f>
        <v>Not Requested</v>
      </c>
      <c r="B152">
        <f>SampleList[[#This Row],[Duration (Days)]]</f>
        <v>0</v>
      </c>
      <c r="G152">
        <f>NMRResults[[#This Row],['#]]</f>
        <v>0</v>
      </c>
      <c r="H152" s="1">
        <f>NMRResults[[#This Row],[Date Run]]</f>
        <v>0</v>
      </c>
    </row>
    <row r="153" spans="1:8" hidden="1" x14ac:dyDescent="0.25">
      <c r="A153" t="str" cm="1">
        <f t="array" ref="A153">IF(AND(ISBLANK(INDEX(SampleList[pH],ROW()-1)),ISBLANK(INDEX(SampleList[Conductivity],ROW()-1)),ISBLANK(INDEX(SampleList[Modification],ROW()-1))),"Not Requested",INDEX(SampleList[Experiment ID],ROW()-1))</f>
        <v>Not Requested</v>
      </c>
      <c r="B153">
        <f>SampleList[[#This Row],[Duration (Days)]]</f>
        <v>0</v>
      </c>
      <c r="G153">
        <f>NMRResults[[#This Row],['#]]</f>
        <v>0</v>
      </c>
      <c r="H153" s="1">
        <f>NMRResults[[#This Row],[Date Run]]</f>
        <v>0</v>
      </c>
    </row>
    <row r="154" spans="1:8" hidden="1" x14ac:dyDescent="0.25">
      <c r="A154" t="str" cm="1">
        <f t="array" ref="A154">IF(AND(ISBLANK(INDEX(SampleList[pH],ROW()-1)),ISBLANK(INDEX(SampleList[Conductivity],ROW()-1)),ISBLANK(INDEX(SampleList[Modification],ROW()-1))),"Not Requested",INDEX(SampleList[Experiment ID],ROW()-1))</f>
        <v>Not Requested</v>
      </c>
      <c r="B154">
        <f>SampleList[[#This Row],[Duration (Days)]]</f>
        <v>0</v>
      </c>
      <c r="G154">
        <f>NMRResults[[#This Row],['#]]</f>
        <v>0</v>
      </c>
      <c r="H154" s="1">
        <f>NMRResults[[#This Row],[Date Run]]</f>
        <v>0</v>
      </c>
    </row>
    <row r="155" spans="1:8" hidden="1" x14ac:dyDescent="0.25">
      <c r="A155" t="str" cm="1">
        <f t="array" ref="A155">IF(AND(ISBLANK(INDEX(SampleList[pH],ROW()-1)),ISBLANK(INDEX(SampleList[Conductivity],ROW()-1)),ISBLANK(INDEX(SampleList[Modification],ROW()-1))),"Not Requested",INDEX(SampleList[Experiment ID],ROW()-1))</f>
        <v>Not Requested</v>
      </c>
      <c r="B155">
        <f>SampleList[[#This Row],[Duration (Days)]]</f>
        <v>0</v>
      </c>
      <c r="G155">
        <f>NMRResults[[#This Row],['#]]</f>
        <v>0</v>
      </c>
      <c r="H155" s="1">
        <f>NMRResults[[#This Row],[Date Run]]</f>
        <v>0</v>
      </c>
    </row>
    <row r="156" spans="1:8" hidden="1" x14ac:dyDescent="0.25">
      <c r="A156" t="str" cm="1">
        <f t="array" ref="A156">IF(AND(ISBLANK(INDEX(SampleList[pH],ROW()-1)),ISBLANK(INDEX(SampleList[Conductivity],ROW()-1)),ISBLANK(INDEX(SampleList[Modification],ROW()-1))),"Not Requested",INDEX(SampleList[Experiment ID],ROW()-1))</f>
        <v>Not Requested</v>
      </c>
      <c r="B156">
        <f>SampleList[[#This Row],[Duration (Days)]]</f>
        <v>0</v>
      </c>
      <c r="G156">
        <f>NMRResults[[#This Row],['#]]</f>
        <v>0</v>
      </c>
      <c r="H156" s="1">
        <f>NMRResults[[#This Row],[Date Run]]</f>
        <v>0</v>
      </c>
    </row>
    <row r="157" spans="1:8" hidden="1" x14ac:dyDescent="0.25">
      <c r="A157" t="str" cm="1">
        <f t="array" ref="A157">IF(AND(ISBLANK(INDEX(SampleList[pH],ROW()-1)),ISBLANK(INDEX(SampleList[Conductivity],ROW()-1)),ISBLANK(INDEX(SampleList[Modification],ROW()-1))),"Not Requested",INDEX(SampleList[Experiment ID],ROW()-1))</f>
        <v>Not Requested</v>
      </c>
      <c r="B157">
        <f>SampleList[[#This Row],[Duration (Days)]]</f>
        <v>0</v>
      </c>
      <c r="G157">
        <f>NMRResults[[#This Row],['#]]</f>
        <v>0</v>
      </c>
      <c r="H157" s="1">
        <f>NMRResults[[#This Row],[Date Run]]</f>
        <v>0</v>
      </c>
    </row>
    <row r="158" spans="1:8" hidden="1" x14ac:dyDescent="0.25">
      <c r="A158" t="str" cm="1">
        <f t="array" ref="A158">IF(AND(ISBLANK(INDEX(SampleList[pH],ROW()-1)),ISBLANK(INDEX(SampleList[Conductivity],ROW()-1)),ISBLANK(INDEX(SampleList[Modification],ROW()-1))),"Not Requested",INDEX(SampleList[Experiment ID],ROW()-1))</f>
        <v>Not Requested</v>
      </c>
      <c r="B158">
        <f>SampleList[[#This Row],[Duration (Days)]]</f>
        <v>0</v>
      </c>
      <c r="G158">
        <f>NMRResults[[#This Row],['#]]</f>
        <v>0</v>
      </c>
      <c r="H158" s="1">
        <f>NMRResults[[#This Row],[Date Run]]</f>
        <v>0</v>
      </c>
    </row>
    <row r="159" spans="1:8" hidden="1" x14ac:dyDescent="0.25">
      <c r="A159" t="str" cm="1">
        <f t="array" ref="A159">IF(AND(ISBLANK(INDEX(SampleList[pH],ROW()-1)),ISBLANK(INDEX(SampleList[Conductivity],ROW()-1)),ISBLANK(INDEX(SampleList[Modification],ROW()-1))),"Not Requested",INDEX(SampleList[Experiment ID],ROW()-1))</f>
        <v>Not Requested</v>
      </c>
      <c r="B159">
        <f>SampleList[[#This Row],[Duration (Days)]]</f>
        <v>0</v>
      </c>
      <c r="G159">
        <f>NMRResults[[#This Row],['#]]</f>
        <v>0</v>
      </c>
      <c r="H159" s="1">
        <f>NMRResults[[#This Row],[Date Run]]</f>
        <v>0</v>
      </c>
    </row>
    <row r="160" spans="1:8" hidden="1" x14ac:dyDescent="0.25">
      <c r="A160" t="str" cm="1">
        <f t="array" ref="A160">IF(AND(ISBLANK(INDEX(SampleList[pH],ROW()-1)),ISBLANK(INDEX(SampleList[Conductivity],ROW()-1)),ISBLANK(INDEX(SampleList[Modification],ROW()-1))),"Not Requested",INDEX(SampleList[Experiment ID],ROW()-1))</f>
        <v>Not Requested</v>
      </c>
      <c r="B160">
        <f>SampleList[[#This Row],[Duration (Days)]]</f>
        <v>0</v>
      </c>
      <c r="G160">
        <f>NMRResults[[#This Row],['#]]</f>
        <v>0</v>
      </c>
      <c r="H160" s="1">
        <f>NMRResults[[#This Row],[Date Run]]</f>
        <v>0</v>
      </c>
    </row>
    <row r="161" spans="1:8" hidden="1" x14ac:dyDescent="0.25">
      <c r="A161" t="str" cm="1">
        <f t="array" ref="A161">IF(AND(ISBLANK(INDEX(SampleList[pH],ROW()-1)),ISBLANK(INDEX(SampleList[Conductivity],ROW()-1)),ISBLANK(INDEX(SampleList[Modification],ROW()-1))),"Not Requested",INDEX(SampleList[Experiment ID],ROW()-1))</f>
        <v>Not Requested</v>
      </c>
      <c r="B161">
        <f>SampleList[[#This Row],[Duration (Days)]]</f>
        <v>0</v>
      </c>
      <c r="G161">
        <f>NMRResults[[#This Row],['#]]</f>
        <v>0</v>
      </c>
      <c r="H161" s="1">
        <f>NMRResults[[#This Row],[Date Run]]</f>
        <v>0</v>
      </c>
    </row>
    <row r="162" spans="1:8" hidden="1" x14ac:dyDescent="0.25">
      <c r="A162" t="str" cm="1">
        <f t="array" ref="A162">IF(AND(ISBLANK(INDEX(SampleList[pH],ROW()-1)),ISBLANK(INDEX(SampleList[Conductivity],ROW()-1)),ISBLANK(INDEX(SampleList[Modification],ROW()-1))),"Not Requested",INDEX(SampleList[Experiment ID],ROW()-1))</f>
        <v>Not Requested</v>
      </c>
      <c r="B162">
        <f>SampleList[[#This Row],[Duration (Days)]]</f>
        <v>0</v>
      </c>
      <c r="G162">
        <f>NMRResults[[#This Row],['#]]</f>
        <v>0</v>
      </c>
      <c r="H162" s="1">
        <f>NMRResults[[#This Row],[Date Run]]</f>
        <v>0</v>
      </c>
    </row>
    <row r="163" spans="1:8" hidden="1" x14ac:dyDescent="0.25">
      <c r="A163" t="str" cm="1">
        <f t="array" ref="A163">IF(AND(ISBLANK(INDEX(SampleList[pH],ROW()-1)),ISBLANK(INDEX(SampleList[Conductivity],ROW()-1)),ISBLANK(INDEX(SampleList[Modification],ROW()-1))),"Not Requested",INDEX(SampleList[Experiment ID],ROW()-1))</f>
        <v>Not Requested</v>
      </c>
      <c r="B163">
        <f>SampleList[[#This Row],[Duration (Days)]]</f>
        <v>0</v>
      </c>
      <c r="G163">
        <f>NMRResults[[#This Row],['#]]</f>
        <v>0</v>
      </c>
      <c r="H163" s="1">
        <f>NMRResults[[#This Row],[Date Run]]</f>
        <v>0</v>
      </c>
    </row>
    <row r="164" spans="1:8" hidden="1" x14ac:dyDescent="0.25">
      <c r="A164" t="str" cm="1">
        <f t="array" ref="A164">IF(AND(ISBLANK(INDEX(SampleList[pH],ROW()-1)),ISBLANK(INDEX(SampleList[Conductivity],ROW()-1)),ISBLANK(INDEX(SampleList[Modification],ROW()-1))),"Not Requested",INDEX(SampleList[Experiment ID],ROW()-1))</f>
        <v>Not Requested</v>
      </c>
      <c r="B164">
        <f>SampleList[[#This Row],[Duration (Days)]]</f>
        <v>0</v>
      </c>
      <c r="G164">
        <f>NMRResults[[#This Row],['#]]</f>
        <v>0</v>
      </c>
      <c r="H164" s="1">
        <f>NMRResults[[#This Row],[Date Run]]</f>
        <v>0</v>
      </c>
    </row>
    <row r="165" spans="1:8" hidden="1" x14ac:dyDescent="0.25">
      <c r="A165" t="str" cm="1">
        <f t="array" ref="A165">IF(AND(ISBLANK(INDEX(SampleList[pH],ROW()-1)),ISBLANK(INDEX(SampleList[Conductivity],ROW()-1)),ISBLANK(INDEX(SampleList[Modification],ROW()-1))),"Not Requested",INDEX(SampleList[Experiment ID],ROW()-1))</f>
        <v>Not Requested</v>
      </c>
      <c r="B165">
        <f>SampleList[[#This Row],[Duration (Days)]]</f>
        <v>0</v>
      </c>
      <c r="G165">
        <f>NMRResults[[#This Row],['#]]</f>
        <v>0</v>
      </c>
      <c r="H165" s="1">
        <f>NMRResults[[#This Row],[Date Run]]</f>
        <v>0</v>
      </c>
    </row>
    <row r="166" spans="1:8" hidden="1" x14ac:dyDescent="0.25">
      <c r="A166" t="str" cm="1">
        <f t="array" ref="A166">IF(AND(ISBLANK(INDEX(SampleList[pH],ROW()-1)),ISBLANK(INDEX(SampleList[Conductivity],ROW()-1)),ISBLANK(INDEX(SampleList[Modification],ROW()-1))),"Not Requested",INDEX(SampleList[Experiment ID],ROW()-1))</f>
        <v>Not Requested</v>
      </c>
      <c r="B166">
        <f>SampleList[[#This Row],[Duration (Days)]]</f>
        <v>0</v>
      </c>
      <c r="G166">
        <f>NMRResults[[#This Row],['#]]</f>
        <v>0</v>
      </c>
      <c r="H166" s="1">
        <f>NMRResults[[#This Row],[Date Run]]</f>
        <v>0</v>
      </c>
    </row>
    <row r="167" spans="1:8" hidden="1" x14ac:dyDescent="0.25">
      <c r="A167" t="str" cm="1">
        <f t="array" ref="A167">IF(AND(ISBLANK(INDEX(SampleList[pH],ROW()-1)),ISBLANK(INDEX(SampleList[Conductivity],ROW()-1)),ISBLANK(INDEX(SampleList[Modification],ROW()-1))),"Not Requested",INDEX(SampleList[Experiment ID],ROW()-1))</f>
        <v>Not Requested</v>
      </c>
      <c r="B167">
        <f>SampleList[[#This Row],[Duration (Days)]]</f>
        <v>0</v>
      </c>
      <c r="G167">
        <f>NMRResults[[#This Row],['#]]</f>
        <v>0</v>
      </c>
      <c r="H167" s="1">
        <f>NMRResults[[#This Row],[Date Run]]</f>
        <v>0</v>
      </c>
    </row>
    <row r="168" spans="1:8" hidden="1" x14ac:dyDescent="0.25">
      <c r="A168" t="str" cm="1">
        <f t="array" ref="A168">IF(AND(ISBLANK(INDEX(SampleList[pH],ROW()-1)),ISBLANK(INDEX(SampleList[Conductivity],ROW()-1)),ISBLANK(INDEX(SampleList[Modification],ROW()-1))),"Not Requested",INDEX(SampleList[Experiment ID],ROW()-1))</f>
        <v>Not Requested</v>
      </c>
      <c r="B168">
        <f>SampleList[[#This Row],[Duration (Days)]]</f>
        <v>0</v>
      </c>
      <c r="G168">
        <f>NMRResults[[#This Row],['#]]</f>
        <v>0</v>
      </c>
      <c r="H168" s="1">
        <f>NMRResults[[#This Row],[Date Run]]</f>
        <v>0</v>
      </c>
    </row>
    <row r="169" spans="1:8" hidden="1" x14ac:dyDescent="0.25">
      <c r="A169" t="str" cm="1">
        <f t="array" ref="A169">IF(AND(ISBLANK(INDEX(SampleList[pH],ROW()-1)),ISBLANK(INDEX(SampleList[Conductivity],ROW()-1)),ISBLANK(INDEX(SampleList[Modification],ROW()-1))),"Not Requested",INDEX(SampleList[Experiment ID],ROW()-1))</f>
        <v>Not Requested</v>
      </c>
      <c r="B169">
        <f>SampleList[[#This Row],[Duration (Days)]]</f>
        <v>0</v>
      </c>
      <c r="G169">
        <f>NMRResults[[#This Row],['#]]</f>
        <v>0</v>
      </c>
      <c r="H169" s="1">
        <f>NMRResults[[#This Row],[Date Run]]</f>
        <v>0</v>
      </c>
    </row>
    <row r="170" spans="1:8" hidden="1" x14ac:dyDescent="0.25">
      <c r="A170" t="str" cm="1">
        <f t="array" ref="A170">IF(AND(ISBLANK(INDEX(SampleList[pH],ROW()-1)),ISBLANK(INDEX(SampleList[Conductivity],ROW()-1)),ISBLANK(INDEX(SampleList[Modification],ROW()-1))),"Not Requested",INDEX(SampleList[Experiment ID],ROW()-1))</f>
        <v>Not Requested</v>
      </c>
      <c r="B170">
        <f>SampleList[[#This Row],[Duration (Days)]]</f>
        <v>0</v>
      </c>
      <c r="G170">
        <f>NMRResults[[#This Row],['#]]</f>
        <v>0</v>
      </c>
      <c r="H170" s="1">
        <f>NMRResults[[#This Row],[Date Run]]</f>
        <v>0</v>
      </c>
    </row>
    <row r="171" spans="1:8" hidden="1" x14ac:dyDescent="0.25">
      <c r="A171" t="str" cm="1">
        <f t="array" ref="A171">IF(AND(ISBLANK(INDEX(SampleList[pH],ROW()-1)),ISBLANK(INDEX(SampleList[Conductivity],ROW()-1)),ISBLANK(INDEX(SampleList[Modification],ROW()-1))),"Not Requested",INDEX(SampleList[Experiment ID],ROW()-1))</f>
        <v>Not Requested</v>
      </c>
      <c r="B171">
        <f>SampleList[[#This Row],[Duration (Days)]]</f>
        <v>0</v>
      </c>
      <c r="G171">
        <f>NMRResults[[#This Row],['#]]</f>
        <v>0</v>
      </c>
      <c r="H171" s="1">
        <f>NMRResults[[#This Row],[Date Run]]</f>
        <v>0</v>
      </c>
    </row>
    <row r="172" spans="1:8" hidden="1" x14ac:dyDescent="0.25">
      <c r="A172" t="str" cm="1">
        <f t="array" ref="A172">IF(AND(ISBLANK(INDEX(SampleList[pH],ROW()-1)),ISBLANK(INDEX(SampleList[Conductivity],ROW()-1)),ISBLANK(INDEX(SampleList[Modification],ROW()-1))),"Not Requested",INDEX(SampleList[Experiment ID],ROW()-1))</f>
        <v>Not Requested</v>
      </c>
      <c r="B172">
        <f>SampleList[[#This Row],[Duration (Days)]]</f>
        <v>0</v>
      </c>
      <c r="G172">
        <f>NMRResults[[#This Row],['#]]</f>
        <v>0</v>
      </c>
      <c r="H172" s="1">
        <f>NMRResults[[#This Row],[Date Run]]</f>
        <v>0</v>
      </c>
    </row>
    <row r="173" spans="1:8" hidden="1" x14ac:dyDescent="0.25">
      <c r="A173" t="str" cm="1">
        <f t="array" ref="A173">IF(AND(ISBLANK(INDEX(SampleList[pH],ROW()-1)),ISBLANK(INDEX(SampleList[Conductivity],ROW()-1)),ISBLANK(INDEX(SampleList[Modification],ROW()-1))),"Not Requested",INDEX(SampleList[Experiment ID],ROW()-1))</f>
        <v>Not Requested</v>
      </c>
      <c r="B173">
        <f>SampleList[[#This Row],[Duration (Days)]]</f>
        <v>0</v>
      </c>
      <c r="G173">
        <f>NMRResults[[#This Row],['#]]</f>
        <v>0</v>
      </c>
      <c r="H173" s="1">
        <f>NMRResults[[#This Row],[Date Run]]</f>
        <v>0</v>
      </c>
    </row>
    <row r="174" spans="1:8" hidden="1" x14ac:dyDescent="0.25">
      <c r="A174" t="str" cm="1">
        <f t="array" ref="A174">IF(AND(ISBLANK(INDEX(SampleList[pH],ROW()-1)),ISBLANK(INDEX(SampleList[Conductivity],ROW()-1)),ISBLANK(INDEX(SampleList[Modification],ROW()-1))),"Not Requested",INDEX(SampleList[Experiment ID],ROW()-1))</f>
        <v>Not Requested</v>
      </c>
      <c r="B174">
        <f>SampleList[[#This Row],[Duration (Days)]]</f>
        <v>0</v>
      </c>
      <c r="G174">
        <f>NMRResults[[#This Row],['#]]</f>
        <v>0</v>
      </c>
      <c r="H174" s="1">
        <f>NMRResults[[#This Row],[Date Run]]</f>
        <v>0</v>
      </c>
    </row>
    <row r="175" spans="1:8" hidden="1" x14ac:dyDescent="0.25">
      <c r="A175" t="str" cm="1">
        <f t="array" ref="A175">IF(AND(ISBLANK(INDEX(SampleList[pH],ROW()-1)),ISBLANK(INDEX(SampleList[Conductivity],ROW()-1)),ISBLANK(INDEX(SampleList[Modification],ROW()-1))),"Not Requested",INDEX(SampleList[Experiment ID],ROW()-1))</f>
        <v>Not Requested</v>
      </c>
      <c r="B175">
        <f>SampleList[[#This Row],[Duration (Days)]]</f>
        <v>0</v>
      </c>
      <c r="G175">
        <f>NMRResults[[#This Row],['#]]</f>
        <v>0</v>
      </c>
      <c r="H175" s="1">
        <f>NMRResults[[#This Row],[Date Run]]</f>
        <v>0</v>
      </c>
    </row>
    <row r="176" spans="1:8" hidden="1" x14ac:dyDescent="0.25">
      <c r="A176" t="str" cm="1">
        <f t="array" ref="A176">IF(AND(ISBLANK(INDEX(SampleList[pH],ROW()-1)),ISBLANK(INDEX(SampleList[Conductivity],ROW()-1)),ISBLANK(INDEX(SampleList[Modification],ROW()-1))),"Not Requested",INDEX(SampleList[Experiment ID],ROW()-1))</f>
        <v>Not Requested</v>
      </c>
      <c r="B176">
        <f>SampleList[[#This Row],[Duration (Days)]]</f>
        <v>0</v>
      </c>
      <c r="G176">
        <f>NMRResults[[#This Row],['#]]</f>
        <v>0</v>
      </c>
      <c r="H176" s="1">
        <f>NMRResults[[#This Row],[Date Run]]</f>
        <v>0</v>
      </c>
    </row>
    <row r="177" spans="1:8" hidden="1" x14ac:dyDescent="0.25">
      <c r="A177" t="str" cm="1">
        <f t="array" ref="A177">IF(AND(ISBLANK(INDEX(SampleList[pH],ROW()-1)),ISBLANK(INDEX(SampleList[Conductivity],ROW()-1)),ISBLANK(INDEX(SampleList[Modification],ROW()-1))),"Not Requested",INDEX(SampleList[Experiment ID],ROW()-1))</f>
        <v>Not Requested</v>
      </c>
      <c r="B177">
        <f>SampleList[[#This Row],[Duration (Days)]]</f>
        <v>0</v>
      </c>
      <c r="G177">
        <f>NMRResults[[#This Row],['#]]</f>
        <v>0</v>
      </c>
      <c r="H177" s="1">
        <f>NMRResults[[#This Row],[Date Run]]</f>
        <v>0</v>
      </c>
    </row>
    <row r="178" spans="1:8" hidden="1" x14ac:dyDescent="0.25">
      <c r="A178" t="str" cm="1">
        <f t="array" ref="A178">IF(AND(ISBLANK(INDEX(SampleList[pH],ROW()-1)),ISBLANK(INDEX(SampleList[Conductivity],ROW()-1)),ISBLANK(INDEX(SampleList[Modification],ROW()-1))),"Not Requested",INDEX(SampleList[Experiment ID],ROW()-1))</f>
        <v>Not Requested</v>
      </c>
      <c r="B178">
        <f>SampleList[[#This Row],[Duration (Days)]]</f>
        <v>0</v>
      </c>
      <c r="G178">
        <f>NMRResults[[#This Row],['#]]</f>
        <v>0</v>
      </c>
      <c r="H178" s="1">
        <f>NMRResults[[#This Row],[Date Run]]</f>
        <v>0</v>
      </c>
    </row>
    <row r="179" spans="1:8" hidden="1" x14ac:dyDescent="0.25">
      <c r="A179" t="str" cm="1">
        <f t="array" ref="A179">IF(AND(ISBLANK(INDEX(SampleList[pH],ROW()-1)),ISBLANK(INDEX(SampleList[Conductivity],ROW()-1)),ISBLANK(INDEX(SampleList[Modification],ROW()-1))),"Not Requested",INDEX(SampleList[Experiment ID],ROW()-1))</f>
        <v>Not Requested</v>
      </c>
      <c r="B179">
        <f>SampleList[[#This Row],[Duration (Days)]]</f>
        <v>0</v>
      </c>
      <c r="G179">
        <f>NMRResults[[#This Row],['#]]</f>
        <v>0</v>
      </c>
      <c r="H179" s="1">
        <f>NMRResults[[#This Row],[Date Run]]</f>
        <v>0</v>
      </c>
    </row>
    <row r="180" spans="1:8" hidden="1" x14ac:dyDescent="0.25">
      <c r="A180" t="str" cm="1">
        <f t="array" ref="A180">IF(AND(ISBLANK(INDEX(SampleList[pH],ROW()-1)),ISBLANK(INDEX(SampleList[Conductivity],ROW()-1)),ISBLANK(INDEX(SampleList[Modification],ROW()-1))),"Not Requested",INDEX(SampleList[Experiment ID],ROW()-1))</f>
        <v>Not Requested</v>
      </c>
      <c r="B180">
        <f>SampleList[[#This Row],[Duration (Days)]]</f>
        <v>0</v>
      </c>
      <c r="G180">
        <f>NMRResults[[#This Row],['#]]</f>
        <v>0</v>
      </c>
      <c r="H180" s="1">
        <f>NMRResults[[#This Row],[Date Run]]</f>
        <v>0</v>
      </c>
    </row>
    <row r="181" spans="1:8" hidden="1" x14ac:dyDescent="0.25">
      <c r="A181" t="str" cm="1">
        <f t="array" ref="A181">IF(AND(ISBLANK(INDEX(SampleList[pH],ROW()-1)),ISBLANK(INDEX(SampleList[Conductivity],ROW()-1)),ISBLANK(INDEX(SampleList[Modification],ROW()-1))),"Not Requested",INDEX(SampleList[Experiment ID],ROW()-1))</f>
        <v>Not Requested</v>
      </c>
      <c r="B181">
        <f>SampleList[[#This Row],[Duration (Days)]]</f>
        <v>0</v>
      </c>
      <c r="G181">
        <f>NMRResults[[#This Row],['#]]</f>
        <v>0</v>
      </c>
      <c r="H181" s="1">
        <f>NMRResults[[#This Row],[Date Run]]</f>
        <v>0</v>
      </c>
    </row>
    <row r="182" spans="1:8" hidden="1" x14ac:dyDescent="0.25">
      <c r="A182" t="str" cm="1">
        <f t="array" ref="A182">IF(AND(ISBLANK(INDEX(SampleList[pH],ROW()-1)),ISBLANK(INDEX(SampleList[Conductivity],ROW()-1)),ISBLANK(INDEX(SampleList[Modification],ROW()-1))),"Not Requested",INDEX(SampleList[Experiment ID],ROW()-1))</f>
        <v>Not Requested</v>
      </c>
      <c r="B182">
        <f>SampleList[[#This Row],[Duration (Days)]]</f>
        <v>0</v>
      </c>
      <c r="G182">
        <f>NMRResults[[#This Row],['#]]</f>
        <v>0</v>
      </c>
      <c r="H182" s="1">
        <f>NMRResults[[#This Row],[Date Run]]</f>
        <v>0</v>
      </c>
    </row>
    <row r="183" spans="1:8" hidden="1" x14ac:dyDescent="0.25">
      <c r="A183" t="str" cm="1">
        <f t="array" ref="A183">IF(AND(ISBLANK(INDEX(SampleList[pH],ROW()-1)),ISBLANK(INDEX(SampleList[Conductivity],ROW()-1)),ISBLANK(INDEX(SampleList[Modification],ROW()-1))),"Not Requested",INDEX(SampleList[Experiment ID],ROW()-1))</f>
        <v>Not Requested</v>
      </c>
      <c r="B183">
        <f>SampleList[[#This Row],[Duration (Days)]]</f>
        <v>0</v>
      </c>
      <c r="G183">
        <f>NMRResults[[#This Row],['#]]</f>
        <v>0</v>
      </c>
      <c r="H183" s="1">
        <f>NMRResults[[#This Row],[Date Run]]</f>
        <v>0</v>
      </c>
    </row>
    <row r="184" spans="1:8" hidden="1" x14ac:dyDescent="0.25">
      <c r="A184" t="str" cm="1">
        <f t="array" ref="A184">IF(AND(ISBLANK(INDEX(SampleList[pH],ROW()-1)),ISBLANK(INDEX(SampleList[Conductivity],ROW()-1)),ISBLANK(INDEX(SampleList[Modification],ROW()-1))),"Not Requested",INDEX(SampleList[Experiment ID],ROW()-1))</f>
        <v>Not Requested</v>
      </c>
      <c r="B184">
        <f>SampleList[[#This Row],[Duration (Days)]]</f>
        <v>0</v>
      </c>
      <c r="G184">
        <f>NMRResults[[#This Row],['#]]</f>
        <v>0</v>
      </c>
      <c r="H184" s="1">
        <f>NMRResults[[#This Row],[Date Run]]</f>
        <v>0</v>
      </c>
    </row>
    <row r="185" spans="1:8" hidden="1" x14ac:dyDescent="0.25">
      <c r="A185" t="str" cm="1">
        <f t="array" ref="A185">IF(AND(ISBLANK(INDEX(SampleList[pH],ROW()-1)),ISBLANK(INDEX(SampleList[Conductivity],ROW()-1)),ISBLANK(INDEX(SampleList[Modification],ROW()-1))),"Not Requested",INDEX(SampleList[Experiment ID],ROW()-1))</f>
        <v>Not Requested</v>
      </c>
      <c r="B185">
        <f>SampleList[[#This Row],[Duration (Days)]]</f>
        <v>0</v>
      </c>
      <c r="G185">
        <f>NMRResults[[#This Row],['#]]</f>
        <v>0</v>
      </c>
      <c r="H185" s="1">
        <f>NMRResults[[#This Row],[Date Run]]</f>
        <v>0</v>
      </c>
    </row>
    <row r="186" spans="1:8" hidden="1" x14ac:dyDescent="0.25">
      <c r="A186" t="str" cm="1">
        <f t="array" ref="A186">IF(AND(ISBLANK(INDEX(SampleList[pH],ROW()-1)),ISBLANK(INDEX(SampleList[Conductivity],ROW()-1)),ISBLANK(INDEX(SampleList[Modification],ROW()-1))),"Not Requested",INDEX(SampleList[Experiment ID],ROW()-1))</f>
        <v>Not Requested</v>
      </c>
      <c r="B186">
        <f>SampleList[[#This Row],[Duration (Days)]]</f>
        <v>0</v>
      </c>
      <c r="G186">
        <f>NMRResults[[#This Row],['#]]</f>
        <v>0</v>
      </c>
      <c r="H186" s="1">
        <f>NMRResults[[#This Row],[Date Run]]</f>
        <v>0</v>
      </c>
    </row>
    <row r="187" spans="1:8" hidden="1" x14ac:dyDescent="0.25">
      <c r="A187" t="str" cm="1">
        <f t="array" ref="A187">IF(AND(ISBLANK(INDEX(SampleList[pH],ROW()-1)),ISBLANK(INDEX(SampleList[Conductivity],ROW()-1)),ISBLANK(INDEX(SampleList[Modification],ROW()-1))),"Not Requested",INDEX(SampleList[Experiment ID],ROW()-1))</f>
        <v>Not Requested</v>
      </c>
      <c r="B187">
        <f>SampleList[[#This Row],[Duration (Days)]]</f>
        <v>0</v>
      </c>
      <c r="G187">
        <f>NMRResults[[#This Row],['#]]</f>
        <v>0</v>
      </c>
      <c r="H187" s="1">
        <f>NMRResults[[#This Row],[Date Run]]</f>
        <v>0</v>
      </c>
    </row>
    <row r="188" spans="1:8" hidden="1" x14ac:dyDescent="0.25">
      <c r="A188" t="str" cm="1">
        <f t="array" ref="A188">IF(AND(ISBLANK(INDEX(SampleList[pH],ROW()-1)),ISBLANK(INDEX(SampleList[Conductivity],ROW()-1)),ISBLANK(INDEX(SampleList[Modification],ROW()-1))),"Not Requested",INDEX(SampleList[Experiment ID],ROW()-1))</f>
        <v>Not Requested</v>
      </c>
      <c r="B188">
        <f>SampleList[[#This Row],[Duration (Days)]]</f>
        <v>0</v>
      </c>
      <c r="G188">
        <f>NMRResults[[#This Row],['#]]</f>
        <v>0</v>
      </c>
      <c r="H188" s="1">
        <f>NMRResults[[#This Row],[Date Run]]</f>
        <v>0</v>
      </c>
    </row>
    <row r="189" spans="1:8" hidden="1" x14ac:dyDescent="0.25">
      <c r="A189" t="str" cm="1">
        <f t="array" ref="A189">IF(AND(ISBLANK(INDEX(SampleList[pH],ROW()-1)),ISBLANK(INDEX(SampleList[Conductivity],ROW()-1)),ISBLANK(INDEX(SampleList[Modification],ROW()-1))),"Not Requested",INDEX(SampleList[Experiment ID],ROW()-1))</f>
        <v>Not Requested</v>
      </c>
      <c r="B189">
        <f>SampleList[[#This Row],[Duration (Days)]]</f>
        <v>0</v>
      </c>
      <c r="G189">
        <f>NMRResults[[#This Row],['#]]</f>
        <v>0</v>
      </c>
      <c r="H189" s="1">
        <f>NMRResults[[#This Row],[Date Run]]</f>
        <v>0</v>
      </c>
    </row>
    <row r="190" spans="1:8" hidden="1" x14ac:dyDescent="0.25">
      <c r="A190" t="str" cm="1">
        <f t="array" ref="A190">IF(AND(ISBLANK(INDEX(SampleList[pH],ROW()-1)),ISBLANK(INDEX(SampleList[Conductivity],ROW()-1)),ISBLANK(INDEX(SampleList[Modification],ROW()-1))),"Not Requested",INDEX(SampleList[Experiment ID],ROW()-1))</f>
        <v>Not Requested</v>
      </c>
      <c r="B190">
        <f>SampleList[[#This Row],[Duration (Days)]]</f>
        <v>0</v>
      </c>
      <c r="G190">
        <f>NMRResults[[#This Row],['#]]</f>
        <v>0</v>
      </c>
      <c r="H190" s="1">
        <f>NMRResults[[#This Row],[Date Run]]</f>
        <v>0</v>
      </c>
    </row>
    <row r="191" spans="1:8" hidden="1" x14ac:dyDescent="0.25">
      <c r="A191" t="str" cm="1">
        <f t="array" ref="A191">IF(AND(ISBLANK(INDEX(SampleList[pH],ROW()-1)),ISBLANK(INDEX(SampleList[Conductivity],ROW()-1)),ISBLANK(INDEX(SampleList[Modification],ROW()-1))),"Not Requested",INDEX(SampleList[Experiment ID],ROW()-1))</f>
        <v>Not Requested</v>
      </c>
      <c r="B191">
        <f>SampleList[[#This Row],[Duration (Days)]]</f>
        <v>0</v>
      </c>
      <c r="G191">
        <f>NMRResults[[#This Row],['#]]</f>
        <v>0</v>
      </c>
      <c r="H191" s="1">
        <f>NMRResults[[#This Row],[Date Run]]</f>
        <v>0</v>
      </c>
    </row>
    <row r="192" spans="1:8" hidden="1" x14ac:dyDescent="0.25">
      <c r="A192" t="str" cm="1">
        <f t="array" ref="A192">IF(AND(ISBLANK(INDEX(SampleList[pH],ROW()-1)),ISBLANK(INDEX(SampleList[Conductivity],ROW()-1)),ISBLANK(INDEX(SampleList[Modification],ROW()-1))),"Not Requested",INDEX(SampleList[Experiment ID],ROW()-1))</f>
        <v>Not Requested</v>
      </c>
      <c r="B192">
        <f>SampleList[[#This Row],[Duration (Days)]]</f>
        <v>0</v>
      </c>
      <c r="G192">
        <f>NMRResults[[#This Row],['#]]</f>
        <v>0</v>
      </c>
      <c r="H192" s="1">
        <f>NMRResults[[#This Row],[Date Run]]</f>
        <v>0</v>
      </c>
    </row>
    <row r="193" spans="1:8" hidden="1" x14ac:dyDescent="0.25">
      <c r="A193" t="str" cm="1">
        <f t="array" ref="A193">IF(AND(ISBLANK(INDEX(SampleList[pH],ROW()-1)),ISBLANK(INDEX(SampleList[Conductivity],ROW()-1)),ISBLANK(INDEX(SampleList[Modification],ROW()-1))),"Not Requested",INDEX(SampleList[Experiment ID],ROW()-1))</f>
        <v>Not Requested</v>
      </c>
      <c r="B193">
        <f>SampleList[[#This Row],[Duration (Days)]]</f>
        <v>0</v>
      </c>
      <c r="G193">
        <f>NMRResults[[#This Row],['#]]</f>
        <v>0</v>
      </c>
      <c r="H193" s="1">
        <f>NMRResults[[#This Row],[Date Run]]</f>
        <v>0</v>
      </c>
    </row>
    <row r="194" spans="1:8" hidden="1" x14ac:dyDescent="0.25">
      <c r="A194" t="str" cm="1">
        <f t="array" ref="A194">IF(AND(ISBLANK(INDEX(SampleList[pH],ROW()-1)),ISBLANK(INDEX(SampleList[Conductivity],ROW()-1)),ISBLANK(INDEX(SampleList[Modification],ROW()-1))),"Not Requested",INDEX(SampleList[Experiment ID],ROW()-1))</f>
        <v>Not Requested</v>
      </c>
      <c r="B194">
        <f>SampleList[[#This Row],[Duration (Days)]]</f>
        <v>0</v>
      </c>
      <c r="G194">
        <f>NMRResults[[#This Row],['#]]</f>
        <v>0</v>
      </c>
      <c r="H194" s="1">
        <f>NMRResults[[#This Row],[Date Run]]</f>
        <v>0</v>
      </c>
    </row>
    <row r="195" spans="1:8" hidden="1" x14ac:dyDescent="0.25">
      <c r="A195" t="str" cm="1">
        <f t="array" ref="A195">IF(AND(ISBLANK(INDEX(SampleList[pH],ROW()-1)),ISBLANK(INDEX(SampleList[Conductivity],ROW()-1)),ISBLANK(INDEX(SampleList[Modification],ROW()-1))),"Not Requested",INDEX(SampleList[Experiment ID],ROW()-1))</f>
        <v>Not Requested</v>
      </c>
      <c r="B195">
        <f>SampleList[[#This Row],[Duration (Days)]]</f>
        <v>0</v>
      </c>
      <c r="G195">
        <f>NMRResults[[#This Row],['#]]</f>
        <v>0</v>
      </c>
      <c r="H195" s="1">
        <f>NMRResults[[#This Row],[Date Run]]</f>
        <v>0</v>
      </c>
    </row>
    <row r="196" spans="1:8" hidden="1" x14ac:dyDescent="0.25">
      <c r="A196" t="str" cm="1">
        <f t="array" ref="A196">IF(AND(ISBLANK(INDEX(SampleList[pH],ROW()-1)),ISBLANK(INDEX(SampleList[Conductivity],ROW()-1)),ISBLANK(INDEX(SampleList[Modification],ROW()-1))),"Not Requested",INDEX(SampleList[Experiment ID],ROW()-1))</f>
        <v>Not Requested</v>
      </c>
      <c r="B196">
        <f>SampleList[[#This Row],[Duration (Days)]]</f>
        <v>0</v>
      </c>
      <c r="G196">
        <f>NMRResults[[#This Row],['#]]</f>
        <v>0</v>
      </c>
      <c r="H196" s="1">
        <f>NMRResults[[#This Row],[Date Run]]</f>
        <v>0</v>
      </c>
    </row>
    <row r="197" spans="1:8" hidden="1" x14ac:dyDescent="0.25">
      <c r="A197" t="str" cm="1">
        <f t="array" ref="A197">IF(AND(ISBLANK(INDEX(SampleList[pH],ROW()-1)),ISBLANK(INDEX(SampleList[Conductivity],ROW()-1)),ISBLANK(INDEX(SampleList[Modification],ROW()-1))),"Not Requested",INDEX(SampleList[Experiment ID],ROW()-1))</f>
        <v>Not Requested</v>
      </c>
      <c r="B197">
        <f>SampleList[[#This Row],[Duration (Days)]]</f>
        <v>0</v>
      </c>
      <c r="G197">
        <f>NMRResults[[#This Row],['#]]</f>
        <v>0</v>
      </c>
      <c r="H197" s="1">
        <f>NMRResults[[#This Row],[Date Run]]</f>
        <v>0</v>
      </c>
    </row>
    <row r="198" spans="1:8" hidden="1" x14ac:dyDescent="0.25">
      <c r="A198" t="str" cm="1">
        <f t="array" ref="A198">IF(AND(ISBLANK(INDEX(SampleList[pH],ROW()-1)),ISBLANK(INDEX(SampleList[Conductivity],ROW()-1)),ISBLANK(INDEX(SampleList[Modification],ROW()-1))),"Not Requested",INDEX(SampleList[Experiment ID],ROW()-1))</f>
        <v>Not Requested</v>
      </c>
      <c r="B198">
        <f>SampleList[[#This Row],[Duration (Days)]]</f>
        <v>0</v>
      </c>
      <c r="G198">
        <f>NMRResults[[#This Row],['#]]</f>
        <v>0</v>
      </c>
      <c r="H198" s="1">
        <f>NMRResults[[#This Row],[Date Run]]</f>
        <v>0</v>
      </c>
    </row>
    <row r="199" spans="1:8" hidden="1" x14ac:dyDescent="0.25">
      <c r="A199" t="str" cm="1">
        <f t="array" ref="A199">IF(AND(ISBLANK(INDEX(SampleList[pH],ROW()-1)),ISBLANK(INDEX(SampleList[Conductivity],ROW()-1)),ISBLANK(INDEX(SampleList[Modification],ROW()-1))),"Not Requested",INDEX(SampleList[Experiment ID],ROW()-1))</f>
        <v>Not Requested</v>
      </c>
      <c r="B199">
        <f>SampleList[[#This Row],[Duration (Days)]]</f>
        <v>0</v>
      </c>
      <c r="G199">
        <f>NMRResults[[#This Row],['#]]</f>
        <v>0</v>
      </c>
      <c r="H199" s="1">
        <f>NMRResults[[#This Row],[Date Run]]</f>
        <v>0</v>
      </c>
    </row>
    <row r="200" spans="1:8" hidden="1" x14ac:dyDescent="0.25">
      <c r="A200" t="str" cm="1">
        <f t="array" ref="A200">IF(AND(ISBLANK(INDEX(SampleList[pH],ROW()-1)),ISBLANK(INDEX(SampleList[Conductivity],ROW()-1)),ISBLANK(INDEX(SampleList[Modification],ROW()-1))),"Not Requested",INDEX(SampleList[Experiment ID],ROW()-1))</f>
        <v>Not Requested</v>
      </c>
      <c r="B200">
        <f>SampleList[[#This Row],[Duration (Days)]]</f>
        <v>0</v>
      </c>
      <c r="G200">
        <f>NMRResults[[#This Row],['#]]</f>
        <v>0</v>
      </c>
      <c r="H200" s="1">
        <f>NMRResults[[#This Row],[Date Run]]</f>
        <v>0</v>
      </c>
    </row>
    <row r="201" spans="1:8" hidden="1" x14ac:dyDescent="0.25">
      <c r="A201" t="str" cm="1">
        <f t="array" ref="A201">IF(AND(ISBLANK(INDEX(SampleList[pH],ROW()-1)),ISBLANK(INDEX(SampleList[Conductivity],ROW()-1)),ISBLANK(INDEX(SampleList[Modification],ROW()-1))),"Not Requested",INDEX(SampleList[Experiment ID],ROW()-1))</f>
        <v>Not Requested</v>
      </c>
      <c r="B201">
        <f>SampleList[[#This Row],[Duration (Days)]]</f>
        <v>0</v>
      </c>
      <c r="G201">
        <f>NMRResults[[#This Row],['#]]</f>
        <v>0</v>
      </c>
      <c r="H201" s="1">
        <f>NMRResults[[#This Row],[Date Run]]</f>
        <v>0</v>
      </c>
    </row>
    <row r="202" spans="1:8" hidden="1" x14ac:dyDescent="0.25">
      <c r="A202" t="str" cm="1">
        <f t="array" ref="A202">IF(AND(ISBLANK(INDEX(SampleList[pH],ROW()-1)),ISBLANK(INDEX(SampleList[Conductivity],ROW()-1)),ISBLANK(INDEX(SampleList[Modification],ROW()-1))),"Not Requested",INDEX(SampleList[Experiment ID],ROW()-1))</f>
        <v>Not Requested</v>
      </c>
      <c r="B202">
        <f>SampleList[[#This Row],[Duration (Days)]]</f>
        <v>0</v>
      </c>
      <c r="G202">
        <f>NMRResults[[#This Row],['#]]</f>
        <v>0</v>
      </c>
      <c r="H202" s="1">
        <f>NMRResults[[#This Row],[Date Run]]</f>
        <v>0</v>
      </c>
    </row>
    <row r="203" spans="1:8" hidden="1" x14ac:dyDescent="0.25">
      <c r="A203" t="str" cm="1">
        <f t="array" ref="A203">IF(AND(ISBLANK(INDEX(SampleList[pH],ROW()-1)),ISBLANK(INDEX(SampleList[Conductivity],ROW()-1)),ISBLANK(INDEX(SampleList[Modification],ROW()-1))),"Not Requested",INDEX(SampleList[Experiment ID],ROW()-1))</f>
        <v>Not Requested</v>
      </c>
      <c r="B203">
        <f>SampleList[[#This Row],[Duration (Days)]]</f>
        <v>0</v>
      </c>
      <c r="G203">
        <f>NMRResults[[#This Row],['#]]</f>
        <v>0</v>
      </c>
      <c r="H203" s="1">
        <f>NMRResults[[#This Row],[Date Run]]</f>
        <v>0</v>
      </c>
    </row>
    <row r="204" spans="1:8" hidden="1" x14ac:dyDescent="0.25">
      <c r="A204" t="str" cm="1">
        <f t="array" ref="A204">IF(AND(ISBLANK(INDEX(SampleList[pH],ROW()-1)),ISBLANK(INDEX(SampleList[Conductivity],ROW()-1)),ISBLANK(INDEX(SampleList[Modification],ROW()-1))),"Not Requested",INDEX(SampleList[Experiment ID],ROW()-1))</f>
        <v>Not Requested</v>
      </c>
      <c r="B204">
        <f>SampleList[[#This Row],[Duration (Days)]]</f>
        <v>0</v>
      </c>
      <c r="G204">
        <f>NMRResults[[#This Row],['#]]</f>
        <v>0</v>
      </c>
      <c r="H204" s="1">
        <f>NMRResults[[#This Row],[Date Run]]</f>
        <v>0</v>
      </c>
    </row>
    <row r="205" spans="1:8" hidden="1" x14ac:dyDescent="0.25">
      <c r="A205" t="str" cm="1">
        <f t="array" ref="A205">IF(AND(ISBLANK(INDEX(SampleList[pH],ROW()-1)),ISBLANK(INDEX(SampleList[Conductivity],ROW()-1)),ISBLANK(INDEX(SampleList[Modification],ROW()-1))),"Not Requested",INDEX(SampleList[Experiment ID],ROW()-1))</f>
        <v>Not Requested</v>
      </c>
      <c r="B205">
        <f>SampleList[[#This Row],[Duration (Days)]]</f>
        <v>0</v>
      </c>
      <c r="G205">
        <f>NMRResults[[#This Row],['#]]</f>
        <v>0</v>
      </c>
      <c r="H205" s="1">
        <f>NMRResults[[#This Row],[Date Run]]</f>
        <v>0</v>
      </c>
    </row>
    <row r="206" spans="1:8" hidden="1" x14ac:dyDescent="0.25">
      <c r="A206" t="str" cm="1">
        <f t="array" ref="A206">IF(AND(ISBLANK(INDEX(SampleList[pH],ROW()-1)),ISBLANK(INDEX(SampleList[Conductivity],ROW()-1)),ISBLANK(INDEX(SampleList[Modification],ROW()-1))),"Not Requested",INDEX(SampleList[Experiment ID],ROW()-1))</f>
        <v>Not Requested</v>
      </c>
      <c r="B206">
        <f>SampleList[[#This Row],[Duration (Days)]]</f>
        <v>0</v>
      </c>
      <c r="G206">
        <f>NMRResults[[#This Row],['#]]</f>
        <v>0</v>
      </c>
      <c r="H206" s="1">
        <f>NMRResults[[#This Row],[Date Run]]</f>
        <v>0</v>
      </c>
    </row>
    <row r="207" spans="1:8" hidden="1" x14ac:dyDescent="0.25">
      <c r="A207" t="str" cm="1">
        <f t="array" ref="A207">IF(AND(ISBLANK(INDEX(SampleList[pH],ROW()-1)),ISBLANK(INDEX(SampleList[Conductivity],ROW()-1)),ISBLANK(INDEX(SampleList[Modification],ROW()-1))),"Not Requested",INDEX(SampleList[Experiment ID],ROW()-1))</f>
        <v>Not Requested</v>
      </c>
      <c r="B207">
        <f>SampleList[[#This Row],[Duration (Days)]]</f>
        <v>0</v>
      </c>
      <c r="G207">
        <f>NMRResults[[#This Row],['#]]</f>
        <v>0</v>
      </c>
      <c r="H207" s="1">
        <f>NMRResults[[#This Row],[Date Run]]</f>
        <v>0</v>
      </c>
    </row>
    <row r="208" spans="1:8" hidden="1" x14ac:dyDescent="0.25">
      <c r="A208" t="str" cm="1">
        <f t="array" ref="A208">IF(AND(ISBLANK(INDEX(SampleList[pH],ROW()-1)),ISBLANK(INDEX(SampleList[Conductivity],ROW()-1)),ISBLANK(INDEX(SampleList[Modification],ROW()-1))),"Not Requested",INDEX(SampleList[Experiment ID],ROW()-1))</f>
        <v>Not Requested</v>
      </c>
      <c r="B208">
        <f>SampleList[[#This Row],[Duration (Days)]]</f>
        <v>0</v>
      </c>
      <c r="G208">
        <f>NMRResults[[#This Row],['#]]</f>
        <v>0</v>
      </c>
      <c r="H208" s="1">
        <f>NMRResults[[#This Row],[Date Run]]</f>
        <v>0</v>
      </c>
    </row>
    <row r="209" spans="1:8" hidden="1" x14ac:dyDescent="0.25">
      <c r="A209" t="str" cm="1">
        <f t="array" ref="A209">IF(AND(ISBLANK(INDEX(SampleList[pH],ROW()-1)),ISBLANK(INDEX(SampleList[Conductivity],ROW()-1)),ISBLANK(INDEX(SampleList[Modification],ROW()-1))),"Not Requested",INDEX(SampleList[Experiment ID],ROW()-1))</f>
        <v>Not Requested</v>
      </c>
      <c r="B209">
        <f>SampleList[[#This Row],[Duration (Days)]]</f>
        <v>0</v>
      </c>
      <c r="G209">
        <f>NMRResults[[#This Row],['#]]</f>
        <v>0</v>
      </c>
      <c r="H209" s="1">
        <f>NMRResults[[#This Row],[Date Run]]</f>
        <v>0</v>
      </c>
    </row>
    <row r="210" spans="1:8" hidden="1" x14ac:dyDescent="0.25">
      <c r="A210" t="str" cm="1">
        <f t="array" ref="A210">IF(AND(ISBLANK(INDEX(SampleList[pH],ROW()-1)),ISBLANK(INDEX(SampleList[Conductivity],ROW()-1)),ISBLANK(INDEX(SampleList[Modification],ROW()-1))),"Not Requested",INDEX(SampleList[Experiment ID],ROW()-1))</f>
        <v>Not Requested</v>
      </c>
      <c r="B210">
        <f>SampleList[[#This Row],[Duration (Days)]]</f>
        <v>0</v>
      </c>
      <c r="G210">
        <f>NMRResults[[#This Row],['#]]</f>
        <v>0</v>
      </c>
      <c r="H210" s="1">
        <f>NMRResults[[#This Row],[Date Run]]</f>
        <v>0</v>
      </c>
    </row>
    <row r="211" spans="1:8" hidden="1" x14ac:dyDescent="0.25">
      <c r="A211" t="str" cm="1">
        <f t="array" ref="A211">IF(AND(ISBLANK(INDEX(SampleList[pH],ROW()-1)),ISBLANK(INDEX(SampleList[Conductivity],ROW()-1)),ISBLANK(INDEX(SampleList[Modification],ROW()-1))),"Not Requested",INDEX(SampleList[Experiment ID],ROW()-1))</f>
        <v>Not Requested</v>
      </c>
      <c r="B211">
        <f>SampleList[[#This Row],[Duration (Days)]]</f>
        <v>0</v>
      </c>
      <c r="G211">
        <f>NMRResults[[#This Row],['#]]</f>
        <v>0</v>
      </c>
      <c r="H211" s="1">
        <f>NMRResults[[#This Row],[Date Run]]</f>
        <v>0</v>
      </c>
    </row>
    <row r="212" spans="1:8" hidden="1" x14ac:dyDescent="0.25">
      <c r="A212" t="str" cm="1">
        <f t="array" ref="A212">IF(AND(ISBLANK(INDEX(SampleList[pH],ROW()-1)),ISBLANK(INDEX(SampleList[Conductivity],ROW()-1)),ISBLANK(INDEX(SampleList[Modification],ROW()-1))),"Not Requested",INDEX(SampleList[Experiment ID],ROW()-1))</f>
        <v>Not Requested</v>
      </c>
      <c r="B212">
        <f>SampleList[[#This Row],[Duration (Days)]]</f>
        <v>0</v>
      </c>
      <c r="G212">
        <f>NMRResults[[#This Row],['#]]</f>
        <v>0</v>
      </c>
      <c r="H212" s="1">
        <f>NMRResults[[#This Row],[Date Run]]</f>
        <v>0</v>
      </c>
    </row>
    <row r="213" spans="1:8" hidden="1" x14ac:dyDescent="0.25">
      <c r="A213" t="str" cm="1">
        <f t="array" ref="A213">IF(AND(ISBLANK(INDEX(SampleList[pH],ROW()-1)),ISBLANK(INDEX(SampleList[Conductivity],ROW()-1)),ISBLANK(INDEX(SampleList[Modification],ROW()-1))),"Not Requested",INDEX(SampleList[Experiment ID],ROW()-1))</f>
        <v>Not Requested</v>
      </c>
      <c r="B213">
        <f>SampleList[[#This Row],[Duration (Days)]]</f>
        <v>0</v>
      </c>
      <c r="G213">
        <f>NMRResults[[#This Row],['#]]</f>
        <v>0</v>
      </c>
      <c r="H213" s="1">
        <f>NMRResults[[#This Row],[Date Run]]</f>
        <v>0</v>
      </c>
    </row>
    <row r="214" spans="1:8" hidden="1" x14ac:dyDescent="0.25">
      <c r="A214" t="str" cm="1">
        <f t="array" ref="A214">IF(AND(ISBLANK(INDEX(SampleList[pH],ROW()-1)),ISBLANK(INDEX(SampleList[Conductivity],ROW()-1)),ISBLANK(INDEX(SampleList[Modification],ROW()-1))),"Not Requested",INDEX(SampleList[Experiment ID],ROW()-1))</f>
        <v>Not Requested</v>
      </c>
      <c r="B214">
        <f>SampleList[[#This Row],[Duration (Days)]]</f>
        <v>0</v>
      </c>
      <c r="G214">
        <f>NMRResults[[#This Row],['#]]</f>
        <v>0</v>
      </c>
      <c r="H214" s="1">
        <f>NMRResults[[#This Row],[Date Run]]</f>
        <v>0</v>
      </c>
    </row>
    <row r="215" spans="1:8" hidden="1" x14ac:dyDescent="0.25">
      <c r="A215" t="str" cm="1">
        <f t="array" ref="A215">IF(AND(ISBLANK(INDEX(SampleList[pH],ROW()-1)),ISBLANK(INDEX(SampleList[Conductivity],ROW()-1)),ISBLANK(INDEX(SampleList[Modification],ROW()-1))),"Not Requested",INDEX(SampleList[Experiment ID],ROW()-1))</f>
        <v>Not Requested</v>
      </c>
      <c r="B215">
        <f>SampleList[[#This Row],[Duration (Days)]]</f>
        <v>0</v>
      </c>
      <c r="G215">
        <f>NMRResults[[#This Row],['#]]</f>
        <v>0</v>
      </c>
      <c r="H215" s="1">
        <f>NMRResults[[#This Row],[Date Run]]</f>
        <v>0</v>
      </c>
    </row>
    <row r="216" spans="1:8" hidden="1" x14ac:dyDescent="0.25">
      <c r="A216" t="str" cm="1">
        <f t="array" ref="A216">IF(AND(ISBLANK(INDEX(SampleList[pH],ROW()-1)),ISBLANK(INDEX(SampleList[Conductivity],ROW()-1)),ISBLANK(INDEX(SampleList[Modification],ROW()-1))),"Not Requested",INDEX(SampleList[Experiment ID],ROW()-1))</f>
        <v>Not Requested</v>
      </c>
      <c r="B216">
        <f>SampleList[[#This Row],[Duration (Days)]]</f>
        <v>0</v>
      </c>
      <c r="G216">
        <f>NMRResults[[#This Row],['#]]</f>
        <v>0</v>
      </c>
      <c r="H216" s="1">
        <f>NMRResults[[#This Row],[Date Run]]</f>
        <v>0</v>
      </c>
    </row>
    <row r="217" spans="1:8" hidden="1" x14ac:dyDescent="0.25">
      <c r="A217" t="str" cm="1">
        <f t="array" ref="A217">IF(AND(ISBLANK(INDEX(SampleList[pH],ROW()-1)),ISBLANK(INDEX(SampleList[Conductivity],ROW()-1)),ISBLANK(INDEX(SampleList[Modification],ROW()-1))),"Not Requested",INDEX(SampleList[Experiment ID],ROW()-1))</f>
        <v>Not Requested</v>
      </c>
      <c r="B217">
        <f>SampleList[[#This Row],[Duration (Days)]]</f>
        <v>0</v>
      </c>
      <c r="G217">
        <f>NMRResults[[#This Row],['#]]</f>
        <v>0</v>
      </c>
      <c r="H217" s="1">
        <f>NMRResults[[#This Row],[Date Run]]</f>
        <v>0</v>
      </c>
    </row>
    <row r="218" spans="1:8" hidden="1" x14ac:dyDescent="0.25">
      <c r="A218" t="str" cm="1">
        <f t="array" ref="A218">IF(AND(ISBLANK(INDEX(SampleList[pH],ROW()-1)),ISBLANK(INDEX(SampleList[Conductivity],ROW()-1)),ISBLANK(INDEX(SampleList[Modification],ROW()-1))),"Not Requested",INDEX(SampleList[Experiment ID],ROW()-1))</f>
        <v>Not Requested</v>
      </c>
      <c r="B218">
        <f>SampleList[[#This Row],[Duration (Days)]]</f>
        <v>0</v>
      </c>
      <c r="G218">
        <f>NMRResults[[#This Row],['#]]</f>
        <v>0</v>
      </c>
      <c r="H218" s="1">
        <f>NMRResults[[#This Row],[Date Run]]</f>
        <v>0</v>
      </c>
    </row>
    <row r="219" spans="1:8" hidden="1" x14ac:dyDescent="0.25">
      <c r="A219" t="str" cm="1">
        <f t="array" ref="A219">IF(AND(ISBLANK(INDEX(SampleList[pH],ROW()-1)),ISBLANK(INDEX(SampleList[Conductivity],ROW()-1)),ISBLANK(INDEX(SampleList[Modification],ROW()-1))),"Not Requested",INDEX(SampleList[Experiment ID],ROW()-1))</f>
        <v>Not Requested</v>
      </c>
      <c r="B219">
        <f>SampleList[[#This Row],[Duration (Days)]]</f>
        <v>0</v>
      </c>
      <c r="G219">
        <f>NMRResults[[#This Row],['#]]</f>
        <v>0</v>
      </c>
      <c r="H219" s="1">
        <f>NMRResults[[#This Row],[Date Run]]</f>
        <v>0</v>
      </c>
    </row>
    <row r="220" spans="1:8" hidden="1" x14ac:dyDescent="0.25">
      <c r="A220" t="str" cm="1">
        <f t="array" ref="A220">IF(AND(ISBLANK(INDEX(SampleList[pH],ROW()-1)),ISBLANK(INDEX(SampleList[Conductivity],ROW()-1)),ISBLANK(INDEX(SampleList[Modification],ROW()-1))),"Not Requested",INDEX(SampleList[Experiment ID],ROW()-1))</f>
        <v>Not Requested</v>
      </c>
      <c r="B220">
        <f>SampleList[[#This Row],[Duration (Days)]]</f>
        <v>0</v>
      </c>
      <c r="G220">
        <f>NMRResults[[#This Row],['#]]</f>
        <v>0</v>
      </c>
      <c r="H220" s="1">
        <f>NMRResults[[#This Row],[Date Run]]</f>
        <v>0</v>
      </c>
    </row>
    <row r="221" spans="1:8" hidden="1" x14ac:dyDescent="0.25">
      <c r="A221" t="str" cm="1">
        <f t="array" ref="A221">IF(AND(ISBLANK(INDEX(SampleList[pH],ROW()-1)),ISBLANK(INDEX(SampleList[Conductivity],ROW()-1)),ISBLANK(INDEX(SampleList[Modification],ROW()-1))),"Not Requested",INDEX(SampleList[Experiment ID],ROW()-1))</f>
        <v>Not Requested</v>
      </c>
      <c r="B221">
        <f>SampleList[[#This Row],[Duration (Days)]]</f>
        <v>0</v>
      </c>
      <c r="G221">
        <f>NMRResults[[#This Row],['#]]</f>
        <v>0</v>
      </c>
      <c r="H221" s="1">
        <f>NMRResults[[#This Row],[Date Run]]</f>
        <v>0</v>
      </c>
    </row>
    <row r="222" spans="1:8" hidden="1" x14ac:dyDescent="0.25">
      <c r="A222" t="str" cm="1">
        <f t="array" ref="A222">IF(AND(ISBLANK(INDEX(SampleList[pH],ROW()-1)),ISBLANK(INDEX(SampleList[Conductivity],ROW()-1)),ISBLANK(INDEX(SampleList[Modification],ROW()-1))),"Not Requested",INDEX(SampleList[Experiment ID],ROW()-1))</f>
        <v>Not Requested</v>
      </c>
      <c r="B222">
        <f>SampleList[[#This Row],[Duration (Days)]]</f>
        <v>0</v>
      </c>
      <c r="G222">
        <f>NMRResults[[#This Row],['#]]</f>
        <v>0</v>
      </c>
      <c r="H222" s="1">
        <f>NMRResults[[#This Row],[Date Run]]</f>
        <v>0</v>
      </c>
    </row>
    <row r="223" spans="1:8" hidden="1" x14ac:dyDescent="0.25">
      <c r="A223" t="str" cm="1">
        <f t="array" ref="A223">IF(AND(ISBLANK(INDEX(SampleList[pH],ROW()-1)),ISBLANK(INDEX(SampleList[Conductivity],ROW()-1)),ISBLANK(INDEX(SampleList[Modification],ROW()-1))),"Not Requested",INDEX(SampleList[Experiment ID],ROW()-1))</f>
        <v>Not Requested</v>
      </c>
      <c r="B223">
        <f>SampleList[[#This Row],[Duration (Days)]]</f>
        <v>0</v>
      </c>
      <c r="G223">
        <f>NMRResults[[#This Row],['#]]</f>
        <v>0</v>
      </c>
      <c r="H223" s="1">
        <f>NMRResults[[#This Row],[Date Run]]</f>
        <v>0</v>
      </c>
    </row>
    <row r="224" spans="1:8" hidden="1" x14ac:dyDescent="0.25">
      <c r="A224" t="str" cm="1">
        <f t="array" ref="A224">IF(AND(ISBLANK(INDEX(SampleList[pH],ROW()-1)),ISBLANK(INDEX(SampleList[Conductivity],ROW()-1)),ISBLANK(INDEX(SampleList[Modification],ROW()-1))),"Not Requested",INDEX(SampleList[Experiment ID],ROW()-1))</f>
        <v>Not Requested</v>
      </c>
      <c r="B224">
        <f>SampleList[[#This Row],[Duration (Days)]]</f>
        <v>0</v>
      </c>
      <c r="G224">
        <f>NMRResults[[#This Row],['#]]</f>
        <v>0</v>
      </c>
      <c r="H224" s="1">
        <f>NMRResults[[#This Row],[Date Run]]</f>
        <v>0</v>
      </c>
    </row>
    <row r="225" spans="1:8" hidden="1" x14ac:dyDescent="0.25">
      <c r="A225" t="str" cm="1">
        <f t="array" ref="A225">IF(AND(ISBLANK(INDEX(SampleList[pH],ROW()-1)),ISBLANK(INDEX(SampleList[Conductivity],ROW()-1)),ISBLANK(INDEX(SampleList[Modification],ROW()-1))),"Not Requested",INDEX(SampleList[Experiment ID],ROW()-1))</f>
        <v>Not Requested</v>
      </c>
      <c r="B225">
        <f>SampleList[[#This Row],[Duration (Days)]]</f>
        <v>0</v>
      </c>
      <c r="G225">
        <f>NMRResults[[#This Row],['#]]</f>
        <v>0</v>
      </c>
      <c r="H225" s="1">
        <f>NMRResults[[#This Row],[Date Run]]</f>
        <v>0</v>
      </c>
    </row>
    <row r="226" spans="1:8" hidden="1" x14ac:dyDescent="0.25">
      <c r="A226" t="str" cm="1">
        <f t="array" ref="A226">IF(AND(ISBLANK(INDEX(SampleList[pH],ROW()-1)),ISBLANK(INDEX(SampleList[Conductivity],ROW()-1)),ISBLANK(INDEX(SampleList[Modification],ROW()-1))),"Not Requested",INDEX(SampleList[Experiment ID],ROW()-1))</f>
        <v>Not Requested</v>
      </c>
      <c r="B226">
        <f>SampleList[[#This Row],[Duration (Days)]]</f>
        <v>0</v>
      </c>
      <c r="G226">
        <f>NMRResults[[#This Row],['#]]</f>
        <v>0</v>
      </c>
      <c r="H226" s="1">
        <f>NMRResults[[#This Row],[Date Run]]</f>
        <v>0</v>
      </c>
    </row>
    <row r="227" spans="1:8" hidden="1" x14ac:dyDescent="0.25">
      <c r="A227" t="str" cm="1">
        <f t="array" ref="A227">IF(AND(ISBLANK(INDEX(SampleList[pH],ROW()-1)),ISBLANK(INDEX(SampleList[Conductivity],ROW()-1)),ISBLANK(INDEX(SampleList[Modification],ROW()-1))),"Not Requested",INDEX(SampleList[Experiment ID],ROW()-1))</f>
        <v>Not Requested</v>
      </c>
      <c r="B227">
        <f>SampleList[[#This Row],[Duration (Days)]]</f>
        <v>0</v>
      </c>
      <c r="G227">
        <f>NMRResults[[#This Row],['#]]</f>
        <v>0</v>
      </c>
      <c r="H227" s="1">
        <f>NMRResults[[#This Row],[Date Run]]</f>
        <v>0</v>
      </c>
    </row>
    <row r="228" spans="1:8" hidden="1" x14ac:dyDescent="0.25">
      <c r="A228" t="str" cm="1">
        <f t="array" ref="A228">IF(AND(ISBLANK(INDEX(SampleList[pH],ROW()-1)),ISBLANK(INDEX(SampleList[Conductivity],ROW()-1)),ISBLANK(INDEX(SampleList[Modification],ROW()-1))),"Not Requested",INDEX(SampleList[Experiment ID],ROW()-1))</f>
        <v>Not Requested</v>
      </c>
      <c r="B228">
        <f>SampleList[[#This Row],[Duration (Days)]]</f>
        <v>0</v>
      </c>
      <c r="G228">
        <f>NMRResults[[#This Row],['#]]</f>
        <v>0</v>
      </c>
      <c r="H228" s="1">
        <f>NMRResults[[#This Row],[Date Run]]</f>
        <v>0</v>
      </c>
    </row>
    <row r="229" spans="1:8" hidden="1" x14ac:dyDescent="0.25">
      <c r="A229" t="str" cm="1">
        <f t="array" ref="A229">IF(AND(ISBLANK(INDEX(SampleList[pH],ROW()-1)),ISBLANK(INDEX(SampleList[Conductivity],ROW()-1)),ISBLANK(INDEX(SampleList[Modification],ROW()-1))),"Not Requested",INDEX(SampleList[Experiment ID],ROW()-1))</f>
        <v>Not Requested</v>
      </c>
      <c r="B229">
        <f>SampleList[[#This Row],[Duration (Days)]]</f>
        <v>0</v>
      </c>
      <c r="G229">
        <f>NMRResults[[#This Row],['#]]</f>
        <v>0</v>
      </c>
      <c r="H229" s="1">
        <f>NMRResults[[#This Row],[Date Run]]</f>
        <v>0</v>
      </c>
    </row>
    <row r="230" spans="1:8" hidden="1" x14ac:dyDescent="0.25">
      <c r="A230" t="str" cm="1">
        <f t="array" ref="A230">IF(AND(ISBLANK(INDEX(SampleList[pH],ROW()-1)),ISBLANK(INDEX(SampleList[Conductivity],ROW()-1)),ISBLANK(INDEX(SampleList[Modification],ROW()-1))),"Not Requested",INDEX(SampleList[Experiment ID],ROW()-1))</f>
        <v>Not Requested</v>
      </c>
      <c r="B230">
        <f>SampleList[[#This Row],[Duration (Days)]]</f>
        <v>0</v>
      </c>
      <c r="G230">
        <f>NMRResults[[#This Row],['#]]</f>
        <v>0</v>
      </c>
      <c r="H230" s="1">
        <f>NMRResults[[#This Row],[Date Run]]</f>
        <v>0</v>
      </c>
    </row>
    <row r="231" spans="1:8" hidden="1" x14ac:dyDescent="0.25">
      <c r="A231" t="str" cm="1">
        <f t="array" ref="A231">IF(AND(ISBLANK(INDEX(SampleList[pH],ROW()-1)),ISBLANK(INDEX(SampleList[Conductivity],ROW()-1)),ISBLANK(INDEX(SampleList[Modification],ROW()-1))),"Not Requested",INDEX(SampleList[Experiment ID],ROW()-1))</f>
        <v>Not Requested</v>
      </c>
      <c r="B231">
        <f>SampleList[[#This Row],[Duration (Days)]]</f>
        <v>0</v>
      </c>
      <c r="G231">
        <f>NMRResults[[#This Row],['#]]</f>
        <v>0</v>
      </c>
      <c r="H231" s="1">
        <f>NMRResults[[#This Row],[Date Run]]</f>
        <v>0</v>
      </c>
    </row>
    <row r="232" spans="1:8" hidden="1" x14ac:dyDescent="0.25">
      <c r="A232" t="str" cm="1">
        <f t="array" ref="A232">IF(AND(ISBLANK(INDEX(SampleList[pH],ROW()-1)),ISBLANK(INDEX(SampleList[Conductivity],ROW()-1)),ISBLANK(INDEX(SampleList[Modification],ROW()-1))),"Not Requested",INDEX(SampleList[Experiment ID],ROW()-1))</f>
        <v>Not Requested</v>
      </c>
      <c r="B232">
        <f>SampleList[[#This Row],[Duration (Days)]]</f>
        <v>0</v>
      </c>
      <c r="G232">
        <f>NMRResults[[#This Row],['#]]</f>
        <v>0</v>
      </c>
      <c r="H232" s="1">
        <f>NMRResults[[#This Row],[Date Run]]</f>
        <v>0</v>
      </c>
    </row>
    <row r="233" spans="1:8" hidden="1" x14ac:dyDescent="0.25">
      <c r="A233" t="str" cm="1">
        <f t="array" ref="A233">IF(AND(ISBLANK(INDEX(SampleList[pH],ROW()-1)),ISBLANK(INDEX(SampleList[Conductivity],ROW()-1)),ISBLANK(INDEX(SampleList[Modification],ROW()-1))),"Not Requested",INDEX(SampleList[Experiment ID],ROW()-1))</f>
        <v>Not Requested</v>
      </c>
      <c r="B233">
        <f>SampleList[[#This Row],[Duration (Days)]]</f>
        <v>0</v>
      </c>
      <c r="G233">
        <f>NMRResults[[#This Row],['#]]</f>
        <v>0</v>
      </c>
      <c r="H233" s="1">
        <f>NMRResults[[#This Row],[Date Run]]</f>
        <v>0</v>
      </c>
    </row>
    <row r="234" spans="1:8" hidden="1" x14ac:dyDescent="0.25">
      <c r="A234" t="str" cm="1">
        <f t="array" ref="A234">IF(AND(ISBLANK(INDEX(SampleList[pH],ROW()-1)),ISBLANK(INDEX(SampleList[Conductivity],ROW()-1)),ISBLANK(INDEX(SampleList[Modification],ROW()-1))),"Not Requested",INDEX(SampleList[Experiment ID],ROW()-1))</f>
        <v>Not Requested</v>
      </c>
      <c r="B234">
        <f>SampleList[[#This Row],[Duration (Days)]]</f>
        <v>0</v>
      </c>
      <c r="G234">
        <f>NMRResults[[#This Row],['#]]</f>
        <v>0</v>
      </c>
      <c r="H234" s="1">
        <f>NMRResults[[#This Row],[Date Run]]</f>
        <v>0</v>
      </c>
    </row>
    <row r="235" spans="1:8" hidden="1" x14ac:dyDescent="0.25">
      <c r="A235" t="str" cm="1">
        <f t="array" ref="A235">IF(AND(ISBLANK(INDEX(SampleList[pH],ROW()-1)),ISBLANK(INDEX(SampleList[Conductivity],ROW()-1)),ISBLANK(INDEX(SampleList[Modification],ROW()-1))),"Not Requested",INDEX(SampleList[Experiment ID],ROW()-1))</f>
        <v>Not Requested</v>
      </c>
      <c r="B235">
        <f>SampleList[[#This Row],[Duration (Days)]]</f>
        <v>0</v>
      </c>
      <c r="G235">
        <f>NMRResults[[#This Row],['#]]</f>
        <v>0</v>
      </c>
      <c r="H235" s="1">
        <f>NMRResults[[#This Row],[Date Run]]</f>
        <v>0</v>
      </c>
    </row>
    <row r="236" spans="1:8" hidden="1" x14ac:dyDescent="0.25">
      <c r="A236" t="str" cm="1">
        <f t="array" ref="A236">IF(AND(ISBLANK(INDEX(SampleList[pH],ROW()-1)),ISBLANK(INDEX(SampleList[Conductivity],ROW()-1)),ISBLANK(INDEX(SampleList[Modification],ROW()-1))),"Not Requested",INDEX(SampleList[Experiment ID],ROW()-1))</f>
        <v>Not Requested</v>
      </c>
      <c r="B236">
        <f>SampleList[[#This Row],[Duration (Days)]]</f>
        <v>0</v>
      </c>
      <c r="G236">
        <f>NMRResults[[#This Row],['#]]</f>
        <v>0</v>
      </c>
      <c r="H236" s="1">
        <f>NMRResults[[#This Row],[Date Run]]</f>
        <v>0</v>
      </c>
    </row>
    <row r="237" spans="1:8" hidden="1" x14ac:dyDescent="0.25">
      <c r="A237" t="str" cm="1">
        <f t="array" ref="A237">IF(AND(ISBLANK(INDEX(SampleList[pH],ROW()-1)),ISBLANK(INDEX(SampleList[Conductivity],ROW()-1)),ISBLANK(INDEX(SampleList[Modification],ROW()-1))),"Not Requested",INDEX(SampleList[Experiment ID],ROW()-1))</f>
        <v>Not Requested</v>
      </c>
      <c r="B237">
        <f>SampleList[[#This Row],[Duration (Days)]]</f>
        <v>0</v>
      </c>
      <c r="G237">
        <f>NMRResults[[#This Row],['#]]</f>
        <v>0</v>
      </c>
      <c r="H237" s="1">
        <f>NMRResults[[#This Row],[Date Run]]</f>
        <v>0</v>
      </c>
    </row>
    <row r="238" spans="1:8" hidden="1" x14ac:dyDescent="0.25">
      <c r="A238" t="str" cm="1">
        <f t="array" ref="A238">IF(AND(ISBLANK(INDEX(SampleList[pH],ROW()-1)),ISBLANK(INDEX(SampleList[Conductivity],ROW()-1)),ISBLANK(INDEX(SampleList[Modification],ROW()-1))),"Not Requested",INDEX(SampleList[Experiment ID],ROW()-1))</f>
        <v>Not Requested</v>
      </c>
      <c r="B238">
        <f>SampleList[[#This Row],[Duration (Days)]]</f>
        <v>0</v>
      </c>
      <c r="G238">
        <f>NMRResults[[#This Row],['#]]</f>
        <v>0</v>
      </c>
      <c r="H238" s="1">
        <f>NMRResults[[#This Row],[Date Run]]</f>
        <v>0</v>
      </c>
    </row>
    <row r="239" spans="1:8" hidden="1" x14ac:dyDescent="0.25">
      <c r="A239" t="str" cm="1">
        <f t="array" ref="A239">IF(AND(ISBLANK(INDEX(SampleList[pH],ROW()-1)),ISBLANK(INDEX(SampleList[Conductivity],ROW()-1)),ISBLANK(INDEX(SampleList[Modification],ROW()-1))),"Not Requested",INDEX(SampleList[Experiment ID],ROW()-1))</f>
        <v>Not Requested</v>
      </c>
      <c r="B239">
        <f>SampleList[[#This Row],[Duration (Days)]]</f>
        <v>0</v>
      </c>
      <c r="G239">
        <f>NMRResults[[#This Row],['#]]</f>
        <v>0</v>
      </c>
      <c r="H239" s="1">
        <f>NMRResults[[#This Row],[Date Run]]</f>
        <v>0</v>
      </c>
    </row>
    <row r="240" spans="1:8" hidden="1" x14ac:dyDescent="0.25">
      <c r="A240" t="str" cm="1">
        <f t="array" ref="A240">IF(AND(ISBLANK(INDEX(SampleList[pH],ROW()-1)),ISBLANK(INDEX(SampleList[Conductivity],ROW()-1)),ISBLANK(INDEX(SampleList[Modification],ROW()-1))),"Not Requested",INDEX(SampleList[Experiment ID],ROW()-1))</f>
        <v>Not Requested</v>
      </c>
      <c r="B240">
        <f>SampleList[[#This Row],[Duration (Days)]]</f>
        <v>0</v>
      </c>
      <c r="G240">
        <f>NMRResults[[#This Row],['#]]</f>
        <v>0</v>
      </c>
      <c r="H240" s="1">
        <f>NMRResults[[#This Row],[Date Run]]</f>
        <v>0</v>
      </c>
    </row>
    <row r="241" spans="1:8" hidden="1" x14ac:dyDescent="0.25">
      <c r="A241" t="str" cm="1">
        <f t="array" ref="A241">IF(AND(ISBLANK(INDEX(SampleList[pH],ROW()-1)),ISBLANK(INDEX(SampleList[Conductivity],ROW()-1)),ISBLANK(INDEX(SampleList[Modification],ROW()-1))),"Not Requested",INDEX(SampleList[Experiment ID],ROW()-1))</f>
        <v>Not Requested</v>
      </c>
      <c r="B241">
        <f>SampleList[[#This Row],[Duration (Days)]]</f>
        <v>0</v>
      </c>
      <c r="G241">
        <f>NMRResults[[#This Row],['#]]</f>
        <v>0</v>
      </c>
      <c r="H241" s="1">
        <f>NMRResults[[#This Row],[Date Run]]</f>
        <v>0</v>
      </c>
    </row>
    <row r="242" spans="1:8" hidden="1" x14ac:dyDescent="0.25">
      <c r="A242" t="str" cm="1">
        <f t="array" ref="A242">IF(AND(ISBLANK(INDEX(SampleList[pH],ROW()-1)),ISBLANK(INDEX(SampleList[Conductivity],ROW()-1)),ISBLANK(INDEX(SampleList[Modification],ROW()-1))),"Not Requested",INDEX(SampleList[Experiment ID],ROW()-1))</f>
        <v>Not Requested</v>
      </c>
      <c r="B242">
        <f>SampleList[[#This Row],[Duration (Days)]]</f>
        <v>0</v>
      </c>
      <c r="G242">
        <f>NMRResults[[#This Row],['#]]</f>
        <v>0</v>
      </c>
      <c r="H242" s="1">
        <f>NMRResults[[#This Row],[Date Run]]</f>
        <v>0</v>
      </c>
    </row>
    <row r="243" spans="1:8" hidden="1" x14ac:dyDescent="0.25">
      <c r="A243" t="str" cm="1">
        <f t="array" ref="A243">IF(AND(ISBLANK(INDEX(SampleList[pH],ROW()-1)),ISBLANK(INDEX(SampleList[Conductivity],ROW()-1)),ISBLANK(INDEX(SampleList[Modification],ROW()-1))),"Not Requested",INDEX(SampleList[Experiment ID],ROW()-1))</f>
        <v>Not Requested</v>
      </c>
      <c r="B243">
        <f>SampleList[[#This Row],[Duration (Days)]]</f>
        <v>0</v>
      </c>
      <c r="G243">
        <f>NMRResults[[#This Row],['#]]</f>
        <v>0</v>
      </c>
      <c r="H243" s="1">
        <f>NMRResults[[#This Row],[Date Run]]</f>
        <v>0</v>
      </c>
    </row>
    <row r="244" spans="1:8" hidden="1" x14ac:dyDescent="0.25">
      <c r="A244" t="str" cm="1">
        <f t="array" ref="A244">IF(AND(ISBLANK(INDEX(SampleList[pH],ROW()-1)),ISBLANK(INDEX(SampleList[Conductivity],ROW()-1)),ISBLANK(INDEX(SampleList[Modification],ROW()-1))),"Not Requested",INDEX(SampleList[Experiment ID],ROW()-1))</f>
        <v>Not Requested</v>
      </c>
      <c r="B244">
        <f>SampleList[[#This Row],[Duration (Days)]]</f>
        <v>0</v>
      </c>
      <c r="G244">
        <f>NMRResults[[#This Row],['#]]</f>
        <v>0</v>
      </c>
      <c r="H244" s="1">
        <f>NMRResults[[#This Row],[Date Run]]</f>
        <v>0</v>
      </c>
    </row>
    <row r="245" spans="1:8" hidden="1" x14ac:dyDescent="0.25">
      <c r="A245" t="str" cm="1">
        <f t="array" ref="A245">IF(AND(ISBLANK(INDEX(SampleList[pH],ROW()-1)),ISBLANK(INDEX(SampleList[Conductivity],ROW()-1)),ISBLANK(INDEX(SampleList[Modification],ROW()-1))),"Not Requested",INDEX(SampleList[Experiment ID],ROW()-1))</f>
        <v>Not Requested</v>
      </c>
      <c r="B245">
        <f>SampleList[[#This Row],[Duration (Days)]]</f>
        <v>0</v>
      </c>
      <c r="G245">
        <f>NMRResults[[#This Row],['#]]</f>
        <v>0</v>
      </c>
      <c r="H245" s="1">
        <f>NMRResults[[#This Row],[Date Run]]</f>
        <v>0</v>
      </c>
    </row>
    <row r="246" spans="1:8" hidden="1" x14ac:dyDescent="0.25">
      <c r="A246" t="str" cm="1">
        <f t="array" ref="A246">IF(AND(ISBLANK(INDEX(SampleList[pH],ROW()-1)),ISBLANK(INDEX(SampleList[Conductivity],ROW()-1)),ISBLANK(INDEX(SampleList[Modification],ROW()-1))),"Not Requested",INDEX(SampleList[Experiment ID],ROW()-1))</f>
        <v>Not Requested</v>
      </c>
      <c r="B246">
        <f>SampleList[[#This Row],[Duration (Days)]]</f>
        <v>0</v>
      </c>
      <c r="G246">
        <f>NMRResults[[#This Row],['#]]</f>
        <v>0</v>
      </c>
      <c r="H246" s="1">
        <f>NMRResults[[#This Row],[Date Run]]</f>
        <v>0</v>
      </c>
    </row>
    <row r="247" spans="1:8" hidden="1" x14ac:dyDescent="0.25">
      <c r="A247" t="str" cm="1">
        <f t="array" ref="A247">IF(AND(ISBLANK(INDEX(SampleList[pH],ROW()-1)),ISBLANK(INDEX(SampleList[Conductivity],ROW()-1)),ISBLANK(INDEX(SampleList[Modification],ROW()-1))),"Not Requested",INDEX(SampleList[Experiment ID],ROW()-1))</f>
        <v>Not Requested</v>
      </c>
      <c r="B247">
        <f>SampleList[[#This Row],[Duration (Days)]]</f>
        <v>0</v>
      </c>
      <c r="G247">
        <f>NMRResults[[#This Row],['#]]</f>
        <v>0</v>
      </c>
      <c r="H247" s="1">
        <f>NMRResults[[#This Row],[Date Run]]</f>
        <v>0</v>
      </c>
    </row>
    <row r="248" spans="1:8" hidden="1" x14ac:dyDescent="0.25">
      <c r="A248" t="str" cm="1">
        <f t="array" ref="A248">IF(AND(ISBLANK(INDEX(SampleList[pH],ROW()-1)),ISBLANK(INDEX(SampleList[Conductivity],ROW()-1)),ISBLANK(INDEX(SampleList[Modification],ROW()-1))),"Not Requested",INDEX(SampleList[Experiment ID],ROW()-1))</f>
        <v>Not Requested</v>
      </c>
      <c r="B248">
        <f>SampleList[[#This Row],[Duration (Days)]]</f>
        <v>0</v>
      </c>
      <c r="G248">
        <f>NMRResults[[#This Row],['#]]</f>
        <v>0</v>
      </c>
      <c r="H248" s="1">
        <f>NMRResults[[#This Row],[Date Run]]</f>
        <v>0</v>
      </c>
    </row>
    <row r="249" spans="1:8" hidden="1" x14ac:dyDescent="0.25">
      <c r="A249" t="str" cm="1">
        <f t="array" ref="A249">IF(AND(ISBLANK(INDEX(SampleList[pH],ROW()-1)),ISBLANK(INDEX(SampleList[Conductivity],ROW()-1)),ISBLANK(INDEX(SampleList[Modification],ROW()-1))),"Not Requested",INDEX(SampleList[Experiment ID],ROW()-1))</f>
        <v>Not Requested</v>
      </c>
      <c r="B249">
        <f>SampleList[[#This Row],[Duration (Days)]]</f>
        <v>0</v>
      </c>
      <c r="G249">
        <f>NMRResults[[#This Row],['#]]</f>
        <v>0</v>
      </c>
      <c r="H249" s="1">
        <f>NMRResults[[#This Row],[Date Run]]</f>
        <v>0</v>
      </c>
    </row>
    <row r="250" spans="1:8" hidden="1" x14ac:dyDescent="0.25">
      <c r="A250" t="str" cm="1">
        <f t="array" ref="A250">IF(AND(ISBLANK(INDEX(SampleList[pH],ROW()-1)),ISBLANK(INDEX(SampleList[Conductivity],ROW()-1)),ISBLANK(INDEX(SampleList[Modification],ROW()-1))),"Not Requested",INDEX(SampleList[Experiment ID],ROW()-1))</f>
        <v>Not Requested</v>
      </c>
      <c r="B250">
        <f>SampleList[[#This Row],[Duration (Days)]]</f>
        <v>0</v>
      </c>
      <c r="G250">
        <f>NMRResults[[#This Row],['#]]</f>
        <v>0</v>
      </c>
      <c r="H250" s="1">
        <f>NMRResults[[#This Row],[Date Run]]</f>
        <v>0</v>
      </c>
    </row>
    <row r="251" spans="1:8" hidden="1" x14ac:dyDescent="0.25">
      <c r="A251" t="str" cm="1">
        <f t="array" ref="A251">IF(AND(ISBLANK(INDEX(SampleList[pH],ROW()-1)),ISBLANK(INDEX(SampleList[Conductivity],ROW()-1)),ISBLANK(INDEX(SampleList[Modification],ROW()-1))),"Not Requested",INDEX(SampleList[Experiment ID],ROW()-1))</f>
        <v>Not Requested</v>
      </c>
      <c r="B251">
        <f>SampleList[[#This Row],[Duration (Days)]]</f>
        <v>0</v>
      </c>
      <c r="G251">
        <f>NMRResults[[#This Row],['#]]</f>
        <v>0</v>
      </c>
      <c r="H251" s="1">
        <f>NMRResults[[#This Row],[Date Run]]</f>
        <v>0</v>
      </c>
    </row>
    <row r="252" spans="1:8" hidden="1" x14ac:dyDescent="0.25">
      <c r="A252" t="str" cm="1">
        <f t="array" ref="A252">IF(AND(ISBLANK(INDEX(SampleList[pH],ROW()-1)),ISBLANK(INDEX(SampleList[Conductivity],ROW()-1)),ISBLANK(INDEX(SampleList[Modification],ROW()-1))),"Not Requested",INDEX(SampleList[Experiment ID],ROW()-1))</f>
        <v>Not Requested</v>
      </c>
      <c r="B252">
        <f>SampleList[[#This Row],[Duration (Days)]]</f>
        <v>0</v>
      </c>
      <c r="G252">
        <f>NMRResults[[#This Row],['#]]</f>
        <v>0</v>
      </c>
      <c r="H252" s="1">
        <f>NMRResults[[#This Row],[Date Run]]</f>
        <v>0</v>
      </c>
    </row>
    <row r="253" spans="1:8" hidden="1" x14ac:dyDescent="0.25">
      <c r="A253" t="str" cm="1">
        <f t="array" ref="A253">IF(AND(ISBLANK(INDEX(SampleList[pH],ROW()-1)),ISBLANK(INDEX(SampleList[Conductivity],ROW()-1)),ISBLANK(INDEX(SampleList[Modification],ROW()-1))),"Not Requested",INDEX(SampleList[Experiment ID],ROW()-1))</f>
        <v>Not Requested</v>
      </c>
      <c r="B253">
        <f>SampleList[[#This Row],[Duration (Days)]]</f>
        <v>0</v>
      </c>
      <c r="G253">
        <f>NMRResults[[#This Row],['#]]</f>
        <v>0</v>
      </c>
      <c r="H253" s="1">
        <f>NMRResults[[#This Row],[Date Run]]</f>
        <v>0</v>
      </c>
    </row>
    <row r="254" spans="1:8" hidden="1" x14ac:dyDescent="0.25">
      <c r="A254" t="str" cm="1">
        <f t="array" ref="A254">IF(AND(ISBLANK(INDEX(SampleList[pH],ROW()-1)),ISBLANK(INDEX(SampleList[Conductivity],ROW()-1)),ISBLANK(INDEX(SampleList[Modification],ROW()-1))),"Not Requested",INDEX(SampleList[Experiment ID],ROW()-1))</f>
        <v>Not Requested</v>
      </c>
      <c r="B254">
        <f>SampleList[[#This Row],[Duration (Days)]]</f>
        <v>0</v>
      </c>
      <c r="G254">
        <f>NMRResults[[#This Row],['#]]</f>
        <v>0</v>
      </c>
      <c r="H254" s="1">
        <f>NMRResults[[#This Row],[Date Run]]</f>
        <v>0</v>
      </c>
    </row>
    <row r="255" spans="1:8" hidden="1" x14ac:dyDescent="0.25">
      <c r="A255" t="str" cm="1">
        <f t="array" ref="A255">IF(AND(ISBLANK(INDEX(SampleList[pH],ROW()-1)),ISBLANK(INDEX(SampleList[Conductivity],ROW()-1)),ISBLANK(INDEX(SampleList[Modification],ROW()-1))),"Not Requested",INDEX(SampleList[Experiment ID],ROW()-1))</f>
        <v>Not Requested</v>
      </c>
      <c r="B255">
        <f>SampleList[[#This Row],[Duration (Days)]]</f>
        <v>0</v>
      </c>
      <c r="G255">
        <f>NMRResults[[#This Row],['#]]</f>
        <v>0</v>
      </c>
      <c r="H255" s="1">
        <f>NMRResults[[#This Row],[Date Run]]</f>
        <v>0</v>
      </c>
    </row>
    <row r="256" spans="1:8" hidden="1" x14ac:dyDescent="0.25">
      <c r="A256" t="str" cm="1">
        <f t="array" ref="A256">IF(AND(ISBLANK(INDEX(SampleList[pH],ROW()-1)),ISBLANK(INDEX(SampleList[Conductivity],ROW()-1)),ISBLANK(INDEX(SampleList[Modification],ROW()-1))),"Not Requested",INDEX(SampleList[Experiment ID],ROW()-1))</f>
        <v>Not Requested</v>
      </c>
      <c r="B256">
        <f>SampleList[[#This Row],[Duration (Days)]]</f>
        <v>0</v>
      </c>
      <c r="G256">
        <f>NMRResults[[#This Row],['#]]</f>
        <v>0</v>
      </c>
      <c r="H256" s="1">
        <f>NMRResults[[#This Row],[Date Run]]</f>
        <v>0</v>
      </c>
    </row>
    <row r="257" spans="1:8" hidden="1" x14ac:dyDescent="0.25">
      <c r="A257" t="str" cm="1">
        <f t="array" ref="A257">IF(AND(ISBLANK(INDEX(SampleList[pH],ROW()-1)),ISBLANK(INDEX(SampleList[Conductivity],ROW()-1)),ISBLANK(INDEX(SampleList[Modification],ROW()-1))),"Not Requested",INDEX(SampleList[Experiment ID],ROW()-1))</f>
        <v>Not Requested</v>
      </c>
      <c r="B257">
        <f>SampleList[[#This Row],[Duration (Days)]]</f>
        <v>0</v>
      </c>
      <c r="G257">
        <f>NMRResults[[#This Row],['#]]</f>
        <v>0</v>
      </c>
      <c r="H257" s="1">
        <f>NMRResults[[#This Row],[Date Run]]</f>
        <v>0</v>
      </c>
    </row>
    <row r="258" spans="1:8" hidden="1" x14ac:dyDescent="0.25">
      <c r="A258" t="str" cm="1">
        <f t="array" ref="A258">IF(AND(ISBLANK(INDEX(SampleList[pH],ROW()-1)),ISBLANK(INDEX(SampleList[Conductivity],ROW()-1)),ISBLANK(INDEX(SampleList[Modification],ROW()-1))),"Not Requested",INDEX(SampleList[Experiment ID],ROW()-1))</f>
        <v>Not Requested</v>
      </c>
      <c r="B258">
        <f>SampleList[[#This Row],[Duration (Days)]]</f>
        <v>0</v>
      </c>
      <c r="G258">
        <f>NMRResults[[#This Row],['#]]</f>
        <v>0</v>
      </c>
      <c r="H258" s="1">
        <f>NMRResults[[#This Row],[Date Run]]</f>
        <v>0</v>
      </c>
    </row>
    <row r="259" spans="1:8" hidden="1" x14ac:dyDescent="0.25">
      <c r="A259" t="str" cm="1">
        <f t="array" ref="A259">IF(AND(ISBLANK(INDEX(SampleList[pH],ROW()-1)),ISBLANK(INDEX(SampleList[Conductivity],ROW()-1)),ISBLANK(INDEX(SampleList[Modification],ROW()-1))),"Not Requested",INDEX(SampleList[Experiment ID],ROW()-1))</f>
        <v>Not Requested</v>
      </c>
      <c r="B259">
        <f>SampleList[[#This Row],[Duration (Days)]]</f>
        <v>0</v>
      </c>
      <c r="G259">
        <f>NMRResults[[#This Row],['#]]</f>
        <v>0</v>
      </c>
      <c r="H259" s="1">
        <f>NMRResults[[#This Row],[Date Run]]</f>
        <v>0</v>
      </c>
    </row>
    <row r="260" spans="1:8" hidden="1" x14ac:dyDescent="0.25">
      <c r="A260" t="str" cm="1">
        <f t="array" ref="A260">IF(AND(ISBLANK(INDEX(SampleList[pH],ROW()-1)),ISBLANK(INDEX(SampleList[Conductivity],ROW()-1)),ISBLANK(INDEX(SampleList[Modification],ROW()-1))),"Not Requested",INDEX(SampleList[Experiment ID],ROW()-1))</f>
        <v>Not Requested</v>
      </c>
      <c r="B260">
        <f>SampleList[[#This Row],[Duration (Days)]]</f>
        <v>0</v>
      </c>
      <c r="G260">
        <f>NMRResults[[#This Row],['#]]</f>
        <v>0</v>
      </c>
      <c r="H260" s="1">
        <f>NMRResults[[#This Row],[Date Run]]</f>
        <v>0</v>
      </c>
    </row>
    <row r="261" spans="1:8" hidden="1" x14ac:dyDescent="0.25">
      <c r="A261" t="str" cm="1">
        <f t="array" ref="A261">IF(AND(ISBLANK(INDEX(SampleList[pH],ROW()-1)),ISBLANK(INDEX(SampleList[Conductivity],ROW()-1)),ISBLANK(INDEX(SampleList[Modification],ROW()-1))),"Not Requested",INDEX(SampleList[Experiment ID],ROW()-1))</f>
        <v>Not Requested</v>
      </c>
      <c r="B261">
        <f>SampleList[[#This Row],[Duration (Days)]]</f>
        <v>0</v>
      </c>
      <c r="G261">
        <f>NMRResults[[#This Row],['#]]</f>
        <v>0</v>
      </c>
      <c r="H261" s="1">
        <f>NMRResults[[#This Row],[Date Run]]</f>
        <v>0</v>
      </c>
    </row>
    <row r="262" spans="1:8" hidden="1" x14ac:dyDescent="0.25">
      <c r="A262" t="str" cm="1">
        <f t="array" ref="A262">IF(AND(ISBLANK(INDEX(SampleList[pH],ROW()-1)),ISBLANK(INDEX(SampleList[Conductivity],ROW()-1)),ISBLANK(INDEX(SampleList[Modification],ROW()-1))),"Not Requested",INDEX(SampleList[Experiment ID],ROW()-1))</f>
        <v>Not Requested</v>
      </c>
      <c r="B262">
        <f>SampleList[[#This Row],[Duration (Days)]]</f>
        <v>0</v>
      </c>
      <c r="G262">
        <f>NMRResults[[#This Row],['#]]</f>
        <v>0</v>
      </c>
      <c r="H262" s="1">
        <f>NMRResults[[#This Row],[Date Run]]</f>
        <v>0</v>
      </c>
    </row>
    <row r="263" spans="1:8" hidden="1" x14ac:dyDescent="0.25">
      <c r="A263" t="str" cm="1">
        <f t="array" ref="A263">IF(AND(ISBLANK(INDEX(SampleList[pH],ROW()-1)),ISBLANK(INDEX(SampleList[Conductivity],ROW()-1)),ISBLANK(INDEX(SampleList[Modification],ROW()-1))),"Not Requested",INDEX(SampleList[Experiment ID],ROW()-1))</f>
        <v>Not Requested</v>
      </c>
      <c r="B263">
        <f>SampleList[[#This Row],[Duration (Days)]]</f>
        <v>0</v>
      </c>
      <c r="G263">
        <f>NMRResults[[#This Row],['#]]</f>
        <v>0</v>
      </c>
      <c r="H263" s="1">
        <f>NMRResults[[#This Row],[Date Run]]</f>
        <v>0</v>
      </c>
    </row>
    <row r="264" spans="1:8" hidden="1" x14ac:dyDescent="0.25">
      <c r="A264" t="str" cm="1">
        <f t="array" ref="A264">IF(AND(ISBLANK(INDEX(SampleList[pH],ROW()-1)),ISBLANK(INDEX(SampleList[Conductivity],ROW()-1)),ISBLANK(INDEX(SampleList[Modification],ROW()-1))),"Not Requested",INDEX(SampleList[Experiment ID],ROW()-1))</f>
        <v>Not Requested</v>
      </c>
      <c r="B264">
        <f>SampleList[[#This Row],[Duration (Days)]]</f>
        <v>0</v>
      </c>
      <c r="G264">
        <f>NMRResults[[#This Row],['#]]</f>
        <v>0</v>
      </c>
      <c r="H264" s="1">
        <f>NMRResults[[#This Row],[Date Run]]</f>
        <v>0</v>
      </c>
    </row>
    <row r="265" spans="1:8" hidden="1" x14ac:dyDescent="0.25">
      <c r="A265" t="str" cm="1">
        <f t="array" ref="A265">IF(AND(ISBLANK(INDEX(SampleList[pH],ROW()-1)),ISBLANK(INDEX(SampleList[Conductivity],ROW()-1)),ISBLANK(INDEX(SampleList[Modification],ROW()-1))),"Not Requested",INDEX(SampleList[Experiment ID],ROW()-1))</f>
        <v>Not Requested</v>
      </c>
      <c r="B265">
        <f>SampleList[[#This Row],[Duration (Days)]]</f>
        <v>0</v>
      </c>
      <c r="G265">
        <f>NMRResults[[#This Row],['#]]</f>
        <v>0</v>
      </c>
      <c r="H265" s="1">
        <f>NMRResults[[#This Row],[Date Run]]</f>
        <v>0</v>
      </c>
    </row>
    <row r="266" spans="1:8" hidden="1" x14ac:dyDescent="0.25">
      <c r="A266" t="str" cm="1">
        <f t="array" ref="A266">IF(AND(ISBLANK(INDEX(SampleList[pH],ROW()-1)),ISBLANK(INDEX(SampleList[Conductivity],ROW()-1)),ISBLANK(INDEX(SampleList[Modification],ROW()-1))),"Not Requested",INDEX(SampleList[Experiment ID],ROW()-1))</f>
        <v>Not Requested</v>
      </c>
      <c r="B266">
        <f>SampleList[[#This Row],[Duration (Days)]]</f>
        <v>0</v>
      </c>
      <c r="G266">
        <f>NMRResults[[#This Row],['#]]</f>
        <v>0</v>
      </c>
      <c r="H266" s="1">
        <f>NMRResults[[#This Row],[Date Run]]</f>
        <v>0</v>
      </c>
    </row>
    <row r="267" spans="1:8" hidden="1" x14ac:dyDescent="0.25">
      <c r="A267" t="str" cm="1">
        <f t="array" ref="A267">IF(AND(ISBLANK(INDEX(SampleList[pH],ROW()-1)),ISBLANK(INDEX(SampleList[Conductivity],ROW()-1)),ISBLANK(INDEX(SampleList[Modification],ROW()-1))),"Not Requested",INDEX(SampleList[Experiment ID],ROW()-1))</f>
        <v>Not Requested</v>
      </c>
      <c r="B267">
        <f>SampleList[[#This Row],[Duration (Days)]]</f>
        <v>0</v>
      </c>
      <c r="G267">
        <f>NMRResults[[#This Row],['#]]</f>
        <v>0</v>
      </c>
      <c r="H267" s="1">
        <f>NMRResults[[#This Row],[Date Run]]</f>
        <v>0</v>
      </c>
    </row>
    <row r="268" spans="1:8" hidden="1" x14ac:dyDescent="0.25">
      <c r="A268" t="str" cm="1">
        <f t="array" ref="A268">IF(AND(ISBLANK(INDEX(SampleList[pH],ROW()-1)),ISBLANK(INDEX(SampleList[Conductivity],ROW()-1)),ISBLANK(INDEX(SampleList[Modification],ROW()-1))),"Not Requested",INDEX(SampleList[Experiment ID],ROW()-1))</f>
        <v>Not Requested</v>
      </c>
      <c r="B268">
        <f>SampleList[[#This Row],[Duration (Days)]]</f>
        <v>0</v>
      </c>
      <c r="G268">
        <f>NMRResults[[#This Row],['#]]</f>
        <v>0</v>
      </c>
      <c r="H268" s="1">
        <f>NMRResults[[#This Row],[Date Run]]</f>
        <v>0</v>
      </c>
    </row>
    <row r="269" spans="1:8" hidden="1" x14ac:dyDescent="0.25">
      <c r="A269" t="str" cm="1">
        <f t="array" ref="A269">IF(AND(ISBLANK(INDEX(SampleList[pH],ROW()-1)),ISBLANK(INDEX(SampleList[Conductivity],ROW()-1)),ISBLANK(INDEX(SampleList[Modification],ROW()-1))),"Not Requested",INDEX(SampleList[Experiment ID],ROW()-1))</f>
        <v>Not Requested</v>
      </c>
      <c r="B269">
        <f>SampleList[[#This Row],[Duration (Days)]]</f>
        <v>0</v>
      </c>
      <c r="G269">
        <f>NMRResults[[#This Row],['#]]</f>
        <v>0</v>
      </c>
      <c r="H269" s="1">
        <f>NMRResults[[#This Row],[Date Run]]</f>
        <v>0</v>
      </c>
    </row>
    <row r="270" spans="1:8" hidden="1" x14ac:dyDescent="0.25">
      <c r="A270" t="str" cm="1">
        <f t="array" ref="A270">IF(AND(ISBLANK(INDEX(SampleList[pH],ROW()-1)),ISBLANK(INDEX(SampleList[Conductivity],ROW()-1)),ISBLANK(INDEX(SampleList[Modification],ROW()-1))),"Not Requested",INDEX(SampleList[Experiment ID],ROW()-1))</f>
        <v>Not Requested</v>
      </c>
      <c r="B270">
        <f>SampleList[[#This Row],[Duration (Days)]]</f>
        <v>0</v>
      </c>
      <c r="G270">
        <f>NMRResults[[#This Row],['#]]</f>
        <v>0</v>
      </c>
      <c r="H270" s="1">
        <f>NMRResults[[#This Row],[Date Run]]</f>
        <v>0</v>
      </c>
    </row>
    <row r="271" spans="1:8" hidden="1" x14ac:dyDescent="0.25">
      <c r="A271" t="str" cm="1">
        <f t="array" ref="A271">IF(AND(ISBLANK(INDEX(SampleList[pH],ROW()-1)),ISBLANK(INDEX(SampleList[Conductivity],ROW()-1)),ISBLANK(INDEX(SampleList[Modification],ROW()-1))),"Not Requested",INDEX(SampleList[Experiment ID],ROW()-1))</f>
        <v>Not Requested</v>
      </c>
      <c r="B271">
        <f>SampleList[[#This Row],[Duration (Days)]]</f>
        <v>0</v>
      </c>
      <c r="G271">
        <f>NMRResults[[#This Row],['#]]</f>
        <v>0</v>
      </c>
      <c r="H271" s="1">
        <f>NMRResults[[#This Row],[Date Run]]</f>
        <v>0</v>
      </c>
    </row>
    <row r="272" spans="1:8" hidden="1" x14ac:dyDescent="0.25">
      <c r="A272" t="str" cm="1">
        <f t="array" ref="A272">IF(AND(ISBLANK(INDEX(SampleList[pH],ROW()-1)),ISBLANK(INDEX(SampleList[Conductivity],ROW()-1)),ISBLANK(INDEX(SampleList[Modification],ROW()-1))),"Not Requested",INDEX(SampleList[Experiment ID],ROW()-1))</f>
        <v>Not Requested</v>
      </c>
      <c r="B272">
        <f>SampleList[[#This Row],[Duration (Days)]]</f>
        <v>0</v>
      </c>
      <c r="G272">
        <f>NMRResults[[#This Row],['#]]</f>
        <v>0</v>
      </c>
      <c r="H272" s="1">
        <f>NMRResults[[#This Row],[Date Run]]</f>
        <v>0</v>
      </c>
    </row>
    <row r="273" spans="1:8" hidden="1" x14ac:dyDescent="0.25">
      <c r="A273" t="str" cm="1">
        <f t="array" ref="A273">IF(AND(ISBLANK(INDEX(SampleList[pH],ROW()-1)),ISBLANK(INDEX(SampleList[Conductivity],ROW()-1)),ISBLANK(INDEX(SampleList[Modification],ROW()-1))),"Not Requested",INDEX(SampleList[Experiment ID],ROW()-1))</f>
        <v>Not Requested</v>
      </c>
      <c r="B273">
        <f>SampleList[[#This Row],[Duration (Days)]]</f>
        <v>0</v>
      </c>
      <c r="G273">
        <f>NMRResults[[#This Row],['#]]</f>
        <v>0</v>
      </c>
      <c r="H273" s="1">
        <f>NMRResults[[#This Row],[Date Run]]</f>
        <v>0</v>
      </c>
    </row>
    <row r="274" spans="1:8" hidden="1" x14ac:dyDescent="0.25">
      <c r="A274" t="str" cm="1">
        <f t="array" ref="A274">IF(AND(ISBLANK(INDEX(SampleList[pH],ROW()-1)),ISBLANK(INDEX(SampleList[Conductivity],ROW()-1)),ISBLANK(INDEX(SampleList[Modification],ROW()-1))),"Not Requested",INDEX(SampleList[Experiment ID],ROW()-1))</f>
        <v>Not Requested</v>
      </c>
      <c r="B274">
        <f>SampleList[[#This Row],[Duration (Days)]]</f>
        <v>0</v>
      </c>
      <c r="G274">
        <f>NMRResults[[#This Row],['#]]</f>
        <v>0</v>
      </c>
      <c r="H274" s="1">
        <f>NMRResults[[#This Row],[Date Run]]</f>
        <v>0</v>
      </c>
    </row>
    <row r="275" spans="1:8" hidden="1" x14ac:dyDescent="0.25">
      <c r="A275" t="str" cm="1">
        <f t="array" ref="A275">IF(AND(ISBLANK(INDEX(SampleList[pH],ROW()-1)),ISBLANK(INDEX(SampleList[Conductivity],ROW()-1)),ISBLANK(INDEX(SampleList[Modification],ROW()-1))),"Not Requested",INDEX(SampleList[Experiment ID],ROW()-1))</f>
        <v>Not Requested</v>
      </c>
      <c r="B275">
        <f>SampleList[[#This Row],[Duration (Days)]]</f>
        <v>0</v>
      </c>
      <c r="G275">
        <f>NMRResults[[#This Row],['#]]</f>
        <v>0</v>
      </c>
      <c r="H275" s="1">
        <f>NMRResults[[#This Row],[Date Run]]</f>
        <v>0</v>
      </c>
    </row>
    <row r="276" spans="1:8" hidden="1" x14ac:dyDescent="0.25">
      <c r="A276" t="str" cm="1">
        <f t="array" ref="A276">IF(AND(ISBLANK(INDEX(SampleList[pH],ROW()-1)),ISBLANK(INDEX(SampleList[Conductivity],ROW()-1)),ISBLANK(INDEX(SampleList[Modification],ROW()-1))),"Not Requested",INDEX(SampleList[Experiment ID],ROW()-1))</f>
        <v>Not Requested</v>
      </c>
      <c r="B276">
        <f>SampleList[[#This Row],[Duration (Days)]]</f>
        <v>0</v>
      </c>
      <c r="G276">
        <f>NMRResults[[#This Row],['#]]</f>
        <v>0</v>
      </c>
      <c r="H276" s="1">
        <f>NMRResults[[#This Row],[Date Run]]</f>
        <v>0</v>
      </c>
    </row>
    <row r="277" spans="1:8" hidden="1" x14ac:dyDescent="0.25">
      <c r="A277" t="str" cm="1">
        <f t="array" ref="A277">IF(AND(ISBLANK(INDEX(SampleList[pH],ROW()-1)),ISBLANK(INDEX(SampleList[Conductivity],ROW()-1)),ISBLANK(INDEX(SampleList[Modification],ROW()-1))),"Not Requested",INDEX(SampleList[Experiment ID],ROW()-1))</f>
        <v>Not Requested</v>
      </c>
      <c r="B277">
        <f>SampleList[[#This Row],[Duration (Days)]]</f>
        <v>0</v>
      </c>
      <c r="G277">
        <f>NMRResults[[#This Row],['#]]</f>
        <v>0</v>
      </c>
      <c r="H277" s="1">
        <f>NMRResults[[#This Row],[Date Run]]</f>
        <v>0</v>
      </c>
    </row>
    <row r="278" spans="1:8" hidden="1" x14ac:dyDescent="0.25">
      <c r="A278" t="str" cm="1">
        <f t="array" ref="A278">IF(AND(ISBLANK(INDEX(SampleList[pH],ROW()-1)),ISBLANK(INDEX(SampleList[Conductivity],ROW()-1)),ISBLANK(INDEX(SampleList[Modification],ROW()-1))),"Not Requested",INDEX(SampleList[Experiment ID],ROW()-1))</f>
        <v>Not Requested</v>
      </c>
      <c r="B278">
        <f>SampleList[[#This Row],[Duration (Days)]]</f>
        <v>0</v>
      </c>
      <c r="G278">
        <f>NMRResults[[#This Row],['#]]</f>
        <v>0</v>
      </c>
      <c r="H278" s="1">
        <f>NMRResults[[#This Row],[Date Run]]</f>
        <v>0</v>
      </c>
    </row>
    <row r="279" spans="1:8" hidden="1" x14ac:dyDescent="0.25">
      <c r="A279" t="str" cm="1">
        <f t="array" ref="A279">IF(AND(ISBLANK(INDEX(SampleList[pH],ROW()-1)),ISBLANK(INDEX(SampleList[Conductivity],ROW()-1)),ISBLANK(INDEX(SampleList[Modification],ROW()-1))),"Not Requested",INDEX(SampleList[Experiment ID],ROW()-1))</f>
        <v>Not Requested</v>
      </c>
      <c r="B279">
        <f>SampleList[[#This Row],[Duration (Days)]]</f>
        <v>0</v>
      </c>
      <c r="G279">
        <f>NMRResults[[#This Row],['#]]</f>
        <v>0</v>
      </c>
      <c r="H279" s="1">
        <f>NMRResults[[#This Row],[Date Run]]</f>
        <v>0</v>
      </c>
    </row>
    <row r="280" spans="1:8" hidden="1" x14ac:dyDescent="0.25">
      <c r="A280" t="str" cm="1">
        <f t="array" ref="A280">IF(AND(ISBLANK(INDEX(SampleList[pH],ROW()-1)),ISBLANK(INDEX(SampleList[Conductivity],ROW()-1)),ISBLANK(INDEX(SampleList[Modification],ROW()-1))),"Not Requested",INDEX(SampleList[Experiment ID],ROW()-1))</f>
        <v>Not Requested</v>
      </c>
      <c r="B280">
        <f>SampleList[[#This Row],[Duration (Days)]]</f>
        <v>0</v>
      </c>
      <c r="G280">
        <f>NMRResults[[#This Row],['#]]</f>
        <v>0</v>
      </c>
      <c r="H280" s="1">
        <f>NMRResults[[#This Row],[Date Run]]</f>
        <v>0</v>
      </c>
    </row>
    <row r="281" spans="1:8" hidden="1" x14ac:dyDescent="0.25">
      <c r="A281" t="str" cm="1">
        <f t="array" ref="A281">IF(AND(ISBLANK(INDEX(SampleList[pH],ROW()-1)),ISBLANK(INDEX(SampleList[Conductivity],ROW()-1)),ISBLANK(INDEX(SampleList[Modification],ROW()-1))),"Not Requested",INDEX(SampleList[Experiment ID],ROW()-1))</f>
        <v>Not Requested</v>
      </c>
      <c r="B281">
        <f>SampleList[[#This Row],[Duration (Days)]]</f>
        <v>0</v>
      </c>
      <c r="G281">
        <f>NMRResults[[#This Row],['#]]</f>
        <v>0</v>
      </c>
      <c r="H281" s="1">
        <f>NMRResults[[#This Row],[Date Run]]</f>
        <v>0</v>
      </c>
    </row>
    <row r="282" spans="1:8" hidden="1" x14ac:dyDescent="0.25">
      <c r="A282" t="str" cm="1">
        <f t="array" ref="A282">IF(AND(ISBLANK(INDEX(SampleList[pH],ROW()-1)),ISBLANK(INDEX(SampleList[Conductivity],ROW()-1)),ISBLANK(INDEX(SampleList[Modification],ROW()-1))),"Not Requested",INDEX(SampleList[Experiment ID],ROW()-1))</f>
        <v>Not Requested</v>
      </c>
      <c r="B282">
        <f>SampleList[[#This Row],[Duration (Days)]]</f>
        <v>0</v>
      </c>
      <c r="G282">
        <f>NMRResults[[#This Row],['#]]</f>
        <v>0</v>
      </c>
      <c r="H282" s="1">
        <f>NMRResults[[#This Row],[Date Run]]</f>
        <v>0</v>
      </c>
    </row>
    <row r="283" spans="1:8" hidden="1" x14ac:dyDescent="0.25">
      <c r="A283" t="str" cm="1">
        <f t="array" ref="A283">IF(AND(ISBLANK(INDEX(SampleList[pH],ROW()-1)),ISBLANK(INDEX(SampleList[Conductivity],ROW()-1)),ISBLANK(INDEX(SampleList[Modification],ROW()-1))),"Not Requested",INDEX(SampleList[Experiment ID],ROW()-1))</f>
        <v>Not Requested</v>
      </c>
      <c r="B283">
        <f>SampleList[[#This Row],[Duration (Days)]]</f>
        <v>0</v>
      </c>
      <c r="G283">
        <f>NMRResults[[#This Row],['#]]</f>
        <v>0</v>
      </c>
      <c r="H283" s="1">
        <f>NMRResults[[#This Row],[Date Run]]</f>
        <v>0</v>
      </c>
    </row>
    <row r="284" spans="1:8" hidden="1" x14ac:dyDescent="0.25">
      <c r="A284" t="str" cm="1">
        <f t="array" ref="A284">IF(AND(ISBLANK(INDEX(SampleList[pH],ROW()-1)),ISBLANK(INDEX(SampleList[Conductivity],ROW()-1)),ISBLANK(INDEX(SampleList[Modification],ROW()-1))),"Not Requested",INDEX(SampleList[Experiment ID],ROW()-1))</f>
        <v>Not Requested</v>
      </c>
      <c r="B284">
        <f>SampleList[[#This Row],[Duration (Days)]]</f>
        <v>0</v>
      </c>
      <c r="G284">
        <f>NMRResults[[#This Row],['#]]</f>
        <v>0</v>
      </c>
      <c r="H284" s="1">
        <f>NMRResults[[#This Row],[Date Run]]</f>
        <v>0</v>
      </c>
    </row>
    <row r="285" spans="1:8" hidden="1" x14ac:dyDescent="0.25">
      <c r="A285" t="str" cm="1">
        <f t="array" ref="A285">IF(AND(ISBLANK(INDEX(SampleList[pH],ROW()-1)),ISBLANK(INDEX(SampleList[Conductivity],ROW()-1)),ISBLANK(INDEX(SampleList[Modification],ROW()-1))),"Not Requested",INDEX(SampleList[Experiment ID],ROW()-1))</f>
        <v>Not Requested</v>
      </c>
      <c r="B285">
        <f>SampleList[[#This Row],[Duration (Days)]]</f>
        <v>0</v>
      </c>
      <c r="G285">
        <f>NMRResults[[#This Row],['#]]</f>
        <v>0</v>
      </c>
      <c r="H285" s="1">
        <f>NMRResults[[#This Row],[Date Run]]</f>
        <v>0</v>
      </c>
    </row>
    <row r="286" spans="1:8" hidden="1" x14ac:dyDescent="0.25">
      <c r="A286" t="str" cm="1">
        <f t="array" ref="A286">IF(AND(ISBLANK(INDEX(SampleList[pH],ROW()-1)),ISBLANK(INDEX(SampleList[Conductivity],ROW()-1)),ISBLANK(INDEX(SampleList[Modification],ROW()-1))),"Not Requested",INDEX(SampleList[Experiment ID],ROW()-1))</f>
        <v>Not Requested</v>
      </c>
      <c r="B286">
        <f>SampleList[[#This Row],[Duration (Days)]]</f>
        <v>0</v>
      </c>
      <c r="G286">
        <f>NMRResults[[#This Row],['#]]</f>
        <v>0</v>
      </c>
      <c r="H286" s="1">
        <f>NMRResults[[#This Row],[Date Run]]</f>
        <v>0</v>
      </c>
    </row>
    <row r="287" spans="1:8" hidden="1" x14ac:dyDescent="0.25">
      <c r="A287" t="str" cm="1">
        <f t="array" ref="A287">IF(AND(ISBLANK(INDEX(SampleList[pH],ROW()-1)),ISBLANK(INDEX(SampleList[Conductivity],ROW()-1)),ISBLANK(INDEX(SampleList[Modification],ROW()-1))),"Not Requested",INDEX(SampleList[Experiment ID],ROW()-1))</f>
        <v>Not Requested</v>
      </c>
      <c r="B287">
        <f>SampleList[[#This Row],[Duration (Days)]]</f>
        <v>0</v>
      </c>
      <c r="G287">
        <f>NMRResults[[#This Row],['#]]</f>
        <v>0</v>
      </c>
      <c r="H287" s="1">
        <f>NMRResults[[#This Row],[Date Run]]</f>
        <v>0</v>
      </c>
    </row>
    <row r="288" spans="1:8" hidden="1" x14ac:dyDescent="0.25">
      <c r="A288" t="str" cm="1">
        <f t="array" ref="A288">IF(AND(ISBLANK(INDEX(SampleList[pH],ROW()-1)),ISBLANK(INDEX(SampleList[Conductivity],ROW()-1)),ISBLANK(INDEX(SampleList[Modification],ROW()-1))),"Not Requested",INDEX(SampleList[Experiment ID],ROW()-1))</f>
        <v>Not Requested</v>
      </c>
      <c r="B288">
        <f>SampleList[[#This Row],[Duration (Days)]]</f>
        <v>0</v>
      </c>
      <c r="G288">
        <f>NMRResults[[#This Row],['#]]</f>
        <v>0</v>
      </c>
      <c r="H288" s="1">
        <f>NMRResults[[#This Row],[Date Run]]</f>
        <v>0</v>
      </c>
    </row>
    <row r="289" spans="1:8" hidden="1" x14ac:dyDescent="0.25">
      <c r="A289" t="str" cm="1">
        <f t="array" ref="A289">IF(AND(ISBLANK(INDEX(SampleList[pH],ROW()-1)),ISBLANK(INDEX(SampleList[Conductivity],ROW()-1)),ISBLANK(INDEX(SampleList[Modification],ROW()-1))),"Not Requested",INDEX(SampleList[Experiment ID],ROW()-1))</f>
        <v>Not Requested</v>
      </c>
      <c r="B289">
        <f>SampleList[[#This Row],[Duration (Days)]]</f>
        <v>0</v>
      </c>
      <c r="G289">
        <f>NMRResults[[#This Row],['#]]</f>
        <v>0</v>
      </c>
      <c r="H289" s="1">
        <f>NMRResults[[#This Row],[Date Run]]</f>
        <v>0</v>
      </c>
    </row>
    <row r="290" spans="1:8" hidden="1" x14ac:dyDescent="0.25">
      <c r="A290" t="str" cm="1">
        <f t="array" ref="A290">IF(AND(ISBLANK(INDEX(SampleList[pH],ROW()-1)),ISBLANK(INDEX(SampleList[Conductivity],ROW()-1)),ISBLANK(INDEX(SampleList[Modification],ROW()-1))),"Not Requested",INDEX(SampleList[Experiment ID],ROW()-1))</f>
        <v>Not Requested</v>
      </c>
      <c r="B290">
        <f>SampleList[[#This Row],[Duration (Days)]]</f>
        <v>0</v>
      </c>
      <c r="G290">
        <f>NMRResults[[#This Row],['#]]</f>
        <v>0</v>
      </c>
      <c r="H290" s="1">
        <f>NMRResults[[#This Row],[Date Run]]</f>
        <v>0</v>
      </c>
    </row>
    <row r="291" spans="1:8" hidden="1" x14ac:dyDescent="0.25">
      <c r="A291" t="str" cm="1">
        <f t="array" ref="A291">IF(AND(ISBLANK(INDEX(SampleList[pH],ROW()-1)),ISBLANK(INDEX(SampleList[Conductivity],ROW()-1)),ISBLANK(INDEX(SampleList[Modification],ROW()-1))),"Not Requested",INDEX(SampleList[Experiment ID],ROW()-1))</f>
        <v>Not Requested</v>
      </c>
      <c r="B291">
        <f>SampleList[[#This Row],[Duration (Days)]]</f>
        <v>0</v>
      </c>
      <c r="G291">
        <f>NMRResults[[#This Row],['#]]</f>
        <v>0</v>
      </c>
      <c r="H291" s="1">
        <f>NMRResults[[#This Row],[Date Run]]</f>
        <v>0</v>
      </c>
    </row>
    <row r="292" spans="1:8" hidden="1" x14ac:dyDescent="0.25">
      <c r="A292" t="str" cm="1">
        <f t="array" ref="A292">IF(AND(ISBLANK(INDEX(SampleList[pH],ROW()-1)),ISBLANK(INDEX(SampleList[Conductivity],ROW()-1)),ISBLANK(INDEX(SampleList[Modification],ROW()-1))),"Not Requested",INDEX(SampleList[Experiment ID],ROW()-1))</f>
        <v>Not Requested</v>
      </c>
      <c r="B292">
        <f>SampleList[[#This Row],[Duration (Days)]]</f>
        <v>0</v>
      </c>
      <c r="G292">
        <f>NMRResults[[#This Row],['#]]</f>
        <v>0</v>
      </c>
      <c r="H292" s="1">
        <f>NMRResults[[#This Row],[Date Run]]</f>
        <v>0</v>
      </c>
    </row>
    <row r="293" spans="1:8" hidden="1" x14ac:dyDescent="0.25">
      <c r="A293" t="str" cm="1">
        <f t="array" ref="A293">IF(AND(ISBLANK(INDEX(SampleList[pH],ROW()-1)),ISBLANK(INDEX(SampleList[Conductivity],ROW()-1)),ISBLANK(INDEX(SampleList[Modification],ROW()-1))),"Not Requested",INDEX(SampleList[Experiment ID],ROW()-1))</f>
        <v>Not Requested</v>
      </c>
      <c r="B293">
        <f>SampleList[[#This Row],[Duration (Days)]]</f>
        <v>0</v>
      </c>
      <c r="G293">
        <f>NMRResults[[#This Row],['#]]</f>
        <v>0</v>
      </c>
      <c r="H293" s="1">
        <f>NMRResults[[#This Row],[Date Run]]</f>
        <v>0</v>
      </c>
    </row>
    <row r="294" spans="1:8" hidden="1" x14ac:dyDescent="0.25">
      <c r="A294" t="str" cm="1">
        <f t="array" ref="A294">IF(AND(ISBLANK(INDEX(SampleList[pH],ROW()-1)),ISBLANK(INDEX(SampleList[Conductivity],ROW()-1)),ISBLANK(INDEX(SampleList[Modification],ROW()-1))),"Not Requested",INDEX(SampleList[Experiment ID],ROW()-1))</f>
        <v>Not Requested</v>
      </c>
      <c r="B294">
        <f>SampleList[[#This Row],[Duration (Days)]]</f>
        <v>0</v>
      </c>
      <c r="G294">
        <f>NMRResults[[#This Row],['#]]</f>
        <v>0</v>
      </c>
      <c r="H294" s="1">
        <f>NMRResults[[#This Row],[Date Run]]</f>
        <v>0</v>
      </c>
    </row>
    <row r="295" spans="1:8" hidden="1" x14ac:dyDescent="0.25">
      <c r="A295" t="str" cm="1">
        <f t="array" ref="A295">IF(AND(ISBLANK(INDEX(SampleList[pH],ROW()-1)),ISBLANK(INDEX(SampleList[Conductivity],ROW()-1)),ISBLANK(INDEX(SampleList[Modification],ROW()-1))),"Not Requested",INDEX(SampleList[Experiment ID],ROW()-1))</f>
        <v>Not Requested</v>
      </c>
      <c r="B295">
        <f>SampleList[[#This Row],[Duration (Days)]]</f>
        <v>0</v>
      </c>
      <c r="G295">
        <f>NMRResults[[#This Row],['#]]</f>
        <v>0</v>
      </c>
      <c r="H295" s="1">
        <f>NMRResults[[#This Row],[Date Run]]</f>
        <v>0</v>
      </c>
    </row>
    <row r="296" spans="1:8" hidden="1" x14ac:dyDescent="0.25">
      <c r="A296" t="str" cm="1">
        <f t="array" ref="A296">IF(AND(ISBLANK(INDEX(SampleList[pH],ROW()-1)),ISBLANK(INDEX(SampleList[Conductivity],ROW()-1)),ISBLANK(INDEX(SampleList[Modification],ROW()-1))),"Not Requested",INDEX(SampleList[Experiment ID],ROW()-1))</f>
        <v>Not Requested</v>
      </c>
      <c r="B296">
        <f>SampleList[[#This Row],[Duration (Days)]]</f>
        <v>0</v>
      </c>
      <c r="G296">
        <f>NMRResults[[#This Row],['#]]</f>
        <v>0</v>
      </c>
      <c r="H296" s="1">
        <f>NMRResults[[#This Row],[Date Run]]</f>
        <v>0</v>
      </c>
    </row>
    <row r="297" spans="1:8" hidden="1" x14ac:dyDescent="0.25">
      <c r="A297" t="str" cm="1">
        <f t="array" ref="A297">IF(AND(ISBLANK(INDEX(SampleList[pH],ROW()-1)),ISBLANK(INDEX(SampleList[Conductivity],ROW()-1)),ISBLANK(INDEX(SampleList[Modification],ROW()-1))),"Not Requested",INDEX(SampleList[Experiment ID],ROW()-1))</f>
        <v>Not Requested</v>
      </c>
      <c r="B297">
        <f>SampleList[[#This Row],[Duration (Days)]]</f>
        <v>0</v>
      </c>
      <c r="G297">
        <f>NMRResults[[#This Row],['#]]</f>
        <v>0</v>
      </c>
      <c r="H297" s="1">
        <f>NMRResults[[#This Row],[Date Run]]</f>
        <v>0</v>
      </c>
    </row>
    <row r="298" spans="1:8" hidden="1" x14ac:dyDescent="0.25">
      <c r="A298" t="str" cm="1">
        <f t="array" ref="A298">IF(AND(ISBLANK(INDEX(SampleList[pH],ROW()-1)),ISBLANK(INDEX(SampleList[Conductivity],ROW()-1)),ISBLANK(INDEX(SampleList[Modification],ROW()-1))),"Not Requested",INDEX(SampleList[Experiment ID],ROW()-1))</f>
        <v>Not Requested</v>
      </c>
      <c r="B298">
        <f>SampleList[[#This Row],[Duration (Days)]]</f>
        <v>0</v>
      </c>
      <c r="G298">
        <f>NMRResults[[#This Row],['#]]</f>
        <v>0</v>
      </c>
      <c r="H298" s="1">
        <f>NMRResults[[#This Row],[Date Run]]</f>
        <v>0</v>
      </c>
    </row>
    <row r="299" spans="1:8" hidden="1" x14ac:dyDescent="0.25">
      <c r="A299" t="str" cm="1">
        <f t="array" ref="A299">IF(AND(ISBLANK(INDEX(SampleList[pH],ROW()-1)),ISBLANK(INDEX(SampleList[Conductivity],ROW()-1)),ISBLANK(INDEX(SampleList[Modification],ROW()-1))),"Not Requested",INDEX(SampleList[Experiment ID],ROW()-1))</f>
        <v>Not Requested</v>
      </c>
      <c r="B299">
        <f>SampleList[[#This Row],[Duration (Days)]]</f>
        <v>0</v>
      </c>
      <c r="G299">
        <f>NMRResults[[#This Row],['#]]</f>
        <v>0</v>
      </c>
      <c r="H299" s="1">
        <f>NMRResults[[#This Row],[Date Run]]</f>
        <v>0</v>
      </c>
    </row>
    <row r="300" spans="1:8" hidden="1" x14ac:dyDescent="0.25">
      <c r="A300" t="str" cm="1">
        <f t="array" ref="A300">IF(AND(ISBLANK(INDEX(SampleList[pH],ROW()-1)),ISBLANK(INDEX(SampleList[Conductivity],ROW()-1)),ISBLANK(INDEX(SampleList[Modification],ROW()-1))),"Not Requested",INDEX(SampleList[Experiment ID],ROW()-1))</f>
        <v>Not Requested</v>
      </c>
      <c r="B300">
        <f>SampleList[[#This Row],[Duration (Days)]]</f>
        <v>0</v>
      </c>
      <c r="G300">
        <f>NMRResults[[#This Row],['#]]</f>
        <v>0</v>
      </c>
      <c r="H300" s="1">
        <f>NMRResults[[#This Row],[Date Run]]</f>
        <v>0</v>
      </c>
    </row>
    <row r="301" spans="1:8" hidden="1" x14ac:dyDescent="0.25">
      <c r="A301" t="str" cm="1">
        <f t="array" ref="A301">IF(AND(ISBLANK(INDEX(SampleList[pH],ROW()-1)),ISBLANK(INDEX(SampleList[Conductivity],ROW()-1)),ISBLANK(INDEX(SampleList[Modification],ROW()-1))),"Not Requested",INDEX(SampleList[Experiment ID],ROW()-1))</f>
        <v>Not Requested</v>
      </c>
      <c r="B301">
        <f>SampleList[[#This Row],[Duration (Days)]]</f>
        <v>0</v>
      </c>
      <c r="G301">
        <f>NMRResults[[#This Row],['#]]</f>
        <v>0</v>
      </c>
      <c r="H301" s="1">
        <f>NMRResults[[#This Row],[Date Run]]</f>
        <v>0</v>
      </c>
    </row>
    <row r="302" spans="1:8" hidden="1" x14ac:dyDescent="0.25">
      <c r="A302" t="str" cm="1">
        <f t="array" ref="A302">IF(AND(ISBLANK(INDEX(SampleList[pH],ROW()-1)),ISBLANK(INDEX(SampleList[Conductivity],ROW()-1)),ISBLANK(INDEX(SampleList[Modification],ROW()-1))),"Not Requested",INDEX(SampleList[Experiment ID],ROW()-1))</f>
        <v>Not Requested</v>
      </c>
      <c r="B302">
        <f>SampleList[[#This Row],[Duration (Days)]]</f>
        <v>0</v>
      </c>
      <c r="G302">
        <f>NMRResults[[#This Row],['#]]</f>
        <v>0</v>
      </c>
      <c r="H302" s="1">
        <f>NMRResults[[#This Row],[Date Run]]</f>
        <v>0</v>
      </c>
    </row>
    <row r="303" spans="1:8" hidden="1" x14ac:dyDescent="0.25">
      <c r="A303" t="str" cm="1">
        <f t="array" ref="A303">IF(AND(ISBLANK(INDEX(SampleList[pH],ROW()-1)),ISBLANK(INDEX(SampleList[Conductivity],ROW()-1)),ISBLANK(INDEX(SampleList[Modification],ROW()-1))),"Not Requested",INDEX(SampleList[Experiment ID],ROW()-1))</f>
        <v>Not Requested</v>
      </c>
      <c r="B303">
        <f>SampleList[[#This Row],[Duration (Days)]]</f>
        <v>0</v>
      </c>
      <c r="G303">
        <f>NMRResults[[#This Row],['#]]</f>
        <v>0</v>
      </c>
      <c r="H303" s="1">
        <f>NMRResults[[#This Row],[Date Run]]</f>
        <v>0</v>
      </c>
    </row>
    <row r="304" spans="1:8" hidden="1" x14ac:dyDescent="0.25">
      <c r="A304" t="str" cm="1">
        <f t="array" ref="A304">IF(AND(ISBLANK(INDEX(SampleList[pH],ROW()-1)),ISBLANK(INDEX(SampleList[Conductivity],ROW()-1)),ISBLANK(INDEX(SampleList[Modification],ROW()-1))),"Not Requested",INDEX(SampleList[Experiment ID],ROW()-1))</f>
        <v>Not Requested</v>
      </c>
      <c r="B304">
        <f>SampleList[[#This Row],[Duration (Days)]]</f>
        <v>0</v>
      </c>
      <c r="G304">
        <f>NMRResults[[#This Row],['#]]</f>
        <v>0</v>
      </c>
      <c r="H304" s="1">
        <f>NMRResults[[#This Row],[Date Run]]</f>
        <v>0</v>
      </c>
    </row>
    <row r="305" spans="1:8" hidden="1" x14ac:dyDescent="0.25">
      <c r="A305" t="str" cm="1">
        <f t="array" ref="A305">IF(AND(ISBLANK(INDEX(SampleList[pH],ROW()-1)),ISBLANK(INDEX(SampleList[Conductivity],ROW()-1)),ISBLANK(INDEX(SampleList[Modification],ROW()-1))),"Not Requested",INDEX(SampleList[Experiment ID],ROW()-1))</f>
        <v>Not Requested</v>
      </c>
      <c r="B305">
        <f>SampleList[[#This Row],[Duration (Days)]]</f>
        <v>0</v>
      </c>
      <c r="G305">
        <f>NMRResults[[#This Row],['#]]</f>
        <v>0</v>
      </c>
      <c r="H305" s="1">
        <f>NMRResults[[#This Row],[Date Run]]</f>
        <v>0</v>
      </c>
    </row>
    <row r="306" spans="1:8" hidden="1" x14ac:dyDescent="0.25">
      <c r="A306" t="str" cm="1">
        <f t="array" ref="A306">IF(AND(ISBLANK(INDEX(SampleList[pH],ROW()-1)),ISBLANK(INDEX(SampleList[Conductivity],ROW()-1)),ISBLANK(INDEX(SampleList[Modification],ROW()-1))),"Not Requested",INDEX(SampleList[Experiment ID],ROW()-1))</f>
        <v>Not Requested</v>
      </c>
      <c r="B306">
        <f>SampleList[[#This Row],[Duration (Days)]]</f>
        <v>0</v>
      </c>
      <c r="G306">
        <f>NMRResults[[#This Row],['#]]</f>
        <v>0</v>
      </c>
      <c r="H306" s="1">
        <f>NMRResults[[#This Row],[Date Run]]</f>
        <v>0</v>
      </c>
    </row>
    <row r="307" spans="1:8" hidden="1" x14ac:dyDescent="0.25">
      <c r="A307" t="str" cm="1">
        <f t="array" ref="A307">IF(AND(ISBLANK(INDEX(SampleList[pH],ROW()-1)),ISBLANK(INDEX(SampleList[Conductivity],ROW()-1)),ISBLANK(INDEX(SampleList[Modification],ROW()-1))),"Not Requested",INDEX(SampleList[Experiment ID],ROW()-1))</f>
        <v>Not Requested</v>
      </c>
      <c r="B307">
        <f>SampleList[[#This Row],[Duration (Days)]]</f>
        <v>0</v>
      </c>
      <c r="G307">
        <f>NMRResults[[#This Row],['#]]</f>
        <v>0</v>
      </c>
      <c r="H307" s="1">
        <f>NMRResults[[#This Row],[Date Run]]</f>
        <v>0</v>
      </c>
    </row>
    <row r="308" spans="1:8" hidden="1" x14ac:dyDescent="0.25">
      <c r="A308" t="str" cm="1">
        <f t="array" ref="A308">IF(AND(ISBLANK(INDEX(SampleList[pH],ROW()-1)),ISBLANK(INDEX(SampleList[Conductivity],ROW()-1)),ISBLANK(INDEX(SampleList[Modification],ROW()-1))),"Not Requested",INDEX(SampleList[Experiment ID],ROW()-1))</f>
        <v>Not Requested</v>
      </c>
      <c r="B308">
        <f>SampleList[[#This Row],[Duration (Days)]]</f>
        <v>0</v>
      </c>
      <c r="G308">
        <f>NMRResults[[#This Row],['#]]</f>
        <v>0</v>
      </c>
      <c r="H308" s="1">
        <f>NMRResults[[#This Row],[Date Run]]</f>
        <v>0</v>
      </c>
    </row>
    <row r="309" spans="1:8" hidden="1" x14ac:dyDescent="0.25">
      <c r="A309" t="str" cm="1">
        <f t="array" ref="A309">IF(AND(ISBLANK(INDEX(SampleList[pH],ROW()-1)),ISBLANK(INDEX(SampleList[Conductivity],ROW()-1)),ISBLANK(INDEX(SampleList[Modification],ROW()-1))),"Not Requested",INDEX(SampleList[Experiment ID],ROW()-1))</f>
        <v>Not Requested</v>
      </c>
      <c r="B309">
        <f>SampleList[[#This Row],[Duration (Days)]]</f>
        <v>0</v>
      </c>
      <c r="G309">
        <f>NMRResults[[#This Row],['#]]</f>
        <v>0</v>
      </c>
      <c r="H309" s="1">
        <f>NMRResults[[#This Row],[Date Run]]</f>
        <v>0</v>
      </c>
    </row>
    <row r="310" spans="1:8" hidden="1" x14ac:dyDescent="0.25">
      <c r="A310" t="str" cm="1">
        <f t="array" ref="A310">IF(AND(ISBLANK(INDEX(SampleList[pH],ROW()-1)),ISBLANK(INDEX(SampleList[Conductivity],ROW()-1)),ISBLANK(INDEX(SampleList[Modification],ROW()-1))),"Not Requested",INDEX(SampleList[Experiment ID],ROW()-1))</f>
        <v>Not Requested</v>
      </c>
      <c r="B310">
        <f>SampleList[[#This Row],[Duration (Days)]]</f>
        <v>0</v>
      </c>
      <c r="G310">
        <f>NMRResults[[#This Row],['#]]</f>
        <v>0</v>
      </c>
      <c r="H310" s="1">
        <f>NMRResults[[#This Row],[Date Run]]</f>
        <v>0</v>
      </c>
    </row>
    <row r="311" spans="1:8" hidden="1" x14ac:dyDescent="0.25">
      <c r="A311" t="str" cm="1">
        <f t="array" ref="A311">IF(AND(ISBLANK(INDEX(SampleList[pH],ROW()-1)),ISBLANK(INDEX(SampleList[Conductivity],ROW()-1)),ISBLANK(INDEX(SampleList[Modification],ROW()-1))),"Not Requested",INDEX(SampleList[Experiment ID],ROW()-1))</f>
        <v>Not Requested</v>
      </c>
      <c r="B311">
        <f>SampleList[[#This Row],[Duration (Days)]]</f>
        <v>0</v>
      </c>
      <c r="G311">
        <f>NMRResults[[#This Row],['#]]</f>
        <v>0</v>
      </c>
      <c r="H311" s="1">
        <f>NMRResults[[#This Row],[Date Run]]</f>
        <v>0</v>
      </c>
    </row>
    <row r="312" spans="1:8" hidden="1" x14ac:dyDescent="0.25">
      <c r="A312" t="str" cm="1">
        <f t="array" ref="A312">IF(AND(ISBLANK(INDEX(SampleList[pH],ROW()-1)),ISBLANK(INDEX(SampleList[Conductivity],ROW()-1)),ISBLANK(INDEX(SampleList[Modification],ROW()-1))),"Not Requested",INDEX(SampleList[Experiment ID],ROW()-1))</f>
        <v>Not Requested</v>
      </c>
      <c r="B312">
        <f>SampleList[[#This Row],[Duration (Days)]]</f>
        <v>0</v>
      </c>
      <c r="G312">
        <f>NMRResults[[#This Row],['#]]</f>
        <v>0</v>
      </c>
      <c r="H312" s="1">
        <f>NMRResults[[#This Row],[Date Run]]</f>
        <v>0</v>
      </c>
    </row>
    <row r="313" spans="1:8" hidden="1" x14ac:dyDescent="0.25">
      <c r="A313" t="str" cm="1">
        <f t="array" ref="A313">IF(AND(ISBLANK(INDEX(SampleList[pH],ROW()-1)),ISBLANK(INDEX(SampleList[Conductivity],ROW()-1)),ISBLANK(INDEX(SampleList[Modification],ROW()-1))),"Not Requested",INDEX(SampleList[Experiment ID],ROW()-1))</f>
        <v>Not Requested</v>
      </c>
      <c r="B313">
        <f>SampleList[[#This Row],[Duration (Days)]]</f>
        <v>0</v>
      </c>
      <c r="G313">
        <f>NMRResults[[#This Row],['#]]</f>
        <v>0</v>
      </c>
      <c r="H313" s="1">
        <f>NMRResults[[#This Row],[Date Run]]</f>
        <v>0</v>
      </c>
    </row>
    <row r="314" spans="1:8" hidden="1" x14ac:dyDescent="0.25">
      <c r="A314" t="str" cm="1">
        <f t="array" ref="A314">IF(AND(ISBLANK(INDEX(SampleList[pH],ROW()-1)),ISBLANK(INDEX(SampleList[Conductivity],ROW()-1)),ISBLANK(INDEX(SampleList[Modification],ROW()-1))),"Not Requested",INDEX(SampleList[Experiment ID],ROW()-1))</f>
        <v>Not Requested</v>
      </c>
      <c r="B314">
        <f>SampleList[[#This Row],[Duration (Days)]]</f>
        <v>0</v>
      </c>
      <c r="G314">
        <f>NMRResults[[#This Row],['#]]</f>
        <v>0</v>
      </c>
      <c r="H314" s="1">
        <f>NMRResults[[#This Row],[Date Run]]</f>
        <v>0</v>
      </c>
    </row>
    <row r="315" spans="1:8" hidden="1" x14ac:dyDescent="0.25">
      <c r="A315" t="str" cm="1">
        <f t="array" ref="A315">IF(AND(ISBLANK(INDEX(SampleList[pH],ROW()-1)),ISBLANK(INDEX(SampleList[Conductivity],ROW()-1)),ISBLANK(INDEX(SampleList[Modification],ROW()-1))),"Not Requested",INDEX(SampleList[Experiment ID],ROW()-1))</f>
        <v>Not Requested</v>
      </c>
      <c r="B315">
        <f>SampleList[[#This Row],[Duration (Days)]]</f>
        <v>0</v>
      </c>
      <c r="G315">
        <f>NMRResults[[#This Row],['#]]</f>
        <v>0</v>
      </c>
      <c r="H315" s="1">
        <f>NMRResults[[#This Row],[Date Run]]</f>
        <v>0</v>
      </c>
    </row>
    <row r="316" spans="1:8" hidden="1" x14ac:dyDescent="0.25">
      <c r="A316" t="str" cm="1">
        <f t="array" ref="A316">IF(AND(ISBLANK(INDEX(SampleList[pH],ROW()-1)),ISBLANK(INDEX(SampleList[Conductivity],ROW()-1)),ISBLANK(INDEX(SampleList[Modification],ROW()-1))),"Not Requested",INDEX(SampleList[Experiment ID],ROW()-1))</f>
        <v>Not Requested</v>
      </c>
      <c r="B316">
        <f>SampleList[[#This Row],[Duration (Days)]]</f>
        <v>0</v>
      </c>
      <c r="G316">
        <f>NMRResults[[#This Row],['#]]</f>
        <v>0</v>
      </c>
      <c r="H316" s="1">
        <f>NMRResults[[#This Row],[Date Run]]</f>
        <v>0</v>
      </c>
    </row>
    <row r="317" spans="1:8" hidden="1" x14ac:dyDescent="0.25">
      <c r="A317" t="str" cm="1">
        <f t="array" ref="A317">IF(AND(ISBLANK(INDEX(SampleList[pH],ROW()-1)),ISBLANK(INDEX(SampleList[Conductivity],ROW()-1)),ISBLANK(INDEX(SampleList[Modification],ROW()-1))),"Not Requested",INDEX(SampleList[Experiment ID],ROW()-1))</f>
        <v>Not Requested</v>
      </c>
      <c r="B317">
        <f>SampleList[[#This Row],[Duration (Days)]]</f>
        <v>0</v>
      </c>
      <c r="G317">
        <f>NMRResults[[#This Row],['#]]</f>
        <v>0</v>
      </c>
      <c r="H317" s="1">
        <f>NMRResults[[#This Row],[Date Run]]</f>
        <v>0</v>
      </c>
    </row>
    <row r="318" spans="1:8" hidden="1" x14ac:dyDescent="0.25">
      <c r="A318" t="str" cm="1">
        <f t="array" ref="A318">IF(AND(ISBLANK(INDEX(SampleList[pH],ROW()-1)),ISBLANK(INDEX(SampleList[Conductivity],ROW()-1)),ISBLANK(INDEX(SampleList[Modification],ROW()-1))),"Not Requested",INDEX(SampleList[Experiment ID],ROW()-1))</f>
        <v>Not Requested</v>
      </c>
      <c r="B318">
        <f>SampleList[[#This Row],[Duration (Days)]]</f>
        <v>0</v>
      </c>
      <c r="G318">
        <f>NMRResults[[#This Row],['#]]</f>
        <v>0</v>
      </c>
      <c r="H318" s="1">
        <f>NMRResults[[#This Row],[Date Run]]</f>
        <v>0</v>
      </c>
    </row>
    <row r="319" spans="1:8" hidden="1" x14ac:dyDescent="0.25">
      <c r="A319" t="str" cm="1">
        <f t="array" ref="A319">IF(AND(ISBLANK(INDEX(SampleList[pH],ROW()-1)),ISBLANK(INDEX(SampleList[Conductivity],ROW()-1)),ISBLANK(INDEX(SampleList[Modification],ROW()-1))),"Not Requested",INDEX(SampleList[Experiment ID],ROW()-1))</f>
        <v>Not Requested</v>
      </c>
      <c r="B319">
        <f>SampleList[[#This Row],[Duration (Days)]]</f>
        <v>0</v>
      </c>
      <c r="G319">
        <f>NMRResults[[#This Row],['#]]</f>
        <v>0</v>
      </c>
      <c r="H319" s="1">
        <f>NMRResults[[#This Row],[Date Run]]</f>
        <v>0</v>
      </c>
    </row>
    <row r="320" spans="1:8" hidden="1" x14ac:dyDescent="0.25">
      <c r="A320" t="str" cm="1">
        <f t="array" ref="A320">IF(AND(ISBLANK(INDEX(SampleList[pH],ROW()-1)),ISBLANK(INDEX(SampleList[Conductivity],ROW()-1)),ISBLANK(INDEX(SampleList[Modification],ROW()-1))),"Not Requested",INDEX(SampleList[Experiment ID],ROW()-1))</f>
        <v>Not Requested</v>
      </c>
      <c r="B320">
        <f>SampleList[[#This Row],[Duration (Days)]]</f>
        <v>0</v>
      </c>
      <c r="G320">
        <f>NMRResults[[#This Row],['#]]</f>
        <v>0</v>
      </c>
      <c r="H320" s="1">
        <f>NMRResults[[#This Row],[Date Run]]</f>
        <v>0</v>
      </c>
    </row>
    <row r="321" spans="1:8" hidden="1" x14ac:dyDescent="0.25">
      <c r="A321" t="str" cm="1">
        <f t="array" ref="A321">IF(AND(ISBLANK(INDEX(SampleList[pH],ROW()-1)),ISBLANK(INDEX(SampleList[Conductivity],ROW()-1)),ISBLANK(INDEX(SampleList[Modification],ROW()-1))),"Not Requested",INDEX(SampleList[Experiment ID],ROW()-1))</f>
        <v>Not Requested</v>
      </c>
      <c r="B321">
        <f>SampleList[[#This Row],[Duration (Days)]]</f>
        <v>0</v>
      </c>
      <c r="G321">
        <f>NMRResults[[#This Row],['#]]</f>
        <v>0</v>
      </c>
      <c r="H321" s="1">
        <f>NMRResults[[#This Row],[Date Run]]</f>
        <v>0</v>
      </c>
    </row>
    <row r="322" spans="1:8" hidden="1" x14ac:dyDescent="0.25">
      <c r="A322" t="str" cm="1">
        <f t="array" ref="A322">IF(AND(ISBLANK(INDEX(SampleList[pH],ROW()-1)),ISBLANK(INDEX(SampleList[Conductivity],ROW()-1)),ISBLANK(INDEX(SampleList[Modification],ROW()-1))),"Not Requested",INDEX(SampleList[Experiment ID],ROW()-1))</f>
        <v>Not Requested</v>
      </c>
      <c r="B322">
        <f>SampleList[[#This Row],[Duration (Days)]]</f>
        <v>0</v>
      </c>
      <c r="G322">
        <f>NMRResults[[#This Row],['#]]</f>
        <v>0</v>
      </c>
      <c r="H322" s="1">
        <f>NMRResults[[#This Row],[Date Run]]</f>
        <v>0</v>
      </c>
    </row>
    <row r="323" spans="1:8" hidden="1" x14ac:dyDescent="0.25">
      <c r="A323" t="str" cm="1">
        <f t="array" ref="A323">IF(AND(ISBLANK(INDEX(SampleList[pH],ROW()-1)),ISBLANK(INDEX(SampleList[Conductivity],ROW()-1)),ISBLANK(INDEX(SampleList[Modification],ROW()-1))),"Not Requested",INDEX(SampleList[Experiment ID],ROW()-1))</f>
        <v>Not Requested</v>
      </c>
      <c r="B323">
        <f>SampleList[[#This Row],[Duration (Days)]]</f>
        <v>0</v>
      </c>
      <c r="G323">
        <f>NMRResults[[#This Row],['#]]</f>
        <v>0</v>
      </c>
      <c r="H323" s="1">
        <f>NMRResults[[#This Row],[Date Run]]</f>
        <v>0</v>
      </c>
    </row>
    <row r="324" spans="1:8" hidden="1" x14ac:dyDescent="0.25">
      <c r="A324" t="str" cm="1">
        <f t="array" ref="A324">IF(AND(ISBLANK(INDEX(SampleList[pH],ROW()-1)),ISBLANK(INDEX(SampleList[Conductivity],ROW()-1)),ISBLANK(INDEX(SampleList[Modification],ROW()-1))),"Not Requested",INDEX(SampleList[Experiment ID],ROW()-1))</f>
        <v>Not Requested</v>
      </c>
      <c r="B324">
        <f>SampleList[[#This Row],[Duration (Days)]]</f>
        <v>0</v>
      </c>
      <c r="G324">
        <f>NMRResults[[#This Row],['#]]</f>
        <v>0</v>
      </c>
      <c r="H324" s="1">
        <f>NMRResults[[#This Row],[Date Run]]</f>
        <v>0</v>
      </c>
    </row>
    <row r="325" spans="1:8" hidden="1" x14ac:dyDescent="0.25">
      <c r="A325" t="str" cm="1">
        <f t="array" ref="A325">IF(AND(ISBLANK(INDEX(SampleList[pH],ROW()-1)),ISBLANK(INDEX(SampleList[Conductivity],ROW()-1)),ISBLANK(INDEX(SampleList[Modification],ROW()-1))),"Not Requested",INDEX(SampleList[Experiment ID],ROW()-1))</f>
        <v>Not Requested</v>
      </c>
      <c r="B325">
        <f>SampleList[[#This Row],[Duration (Days)]]</f>
        <v>0</v>
      </c>
      <c r="G325">
        <f>NMRResults[[#This Row],['#]]</f>
        <v>0</v>
      </c>
      <c r="H325" s="1">
        <f>NMRResults[[#This Row],[Date Run]]</f>
        <v>0</v>
      </c>
    </row>
    <row r="326" spans="1:8" hidden="1" x14ac:dyDescent="0.25">
      <c r="A326" t="str" cm="1">
        <f t="array" ref="A326">IF(AND(ISBLANK(INDEX(SampleList[pH],ROW()-1)),ISBLANK(INDEX(SampleList[Conductivity],ROW()-1)),ISBLANK(INDEX(SampleList[Modification],ROW()-1))),"Not Requested",INDEX(SampleList[Experiment ID],ROW()-1))</f>
        <v>Not Requested</v>
      </c>
      <c r="B326">
        <f>SampleList[[#This Row],[Duration (Days)]]</f>
        <v>0</v>
      </c>
      <c r="G326">
        <f>NMRResults[[#This Row],['#]]</f>
        <v>0</v>
      </c>
      <c r="H326" s="1">
        <f>NMRResults[[#This Row],[Date Run]]</f>
        <v>0</v>
      </c>
    </row>
    <row r="327" spans="1:8" hidden="1" x14ac:dyDescent="0.25">
      <c r="A327" t="str" cm="1">
        <f t="array" ref="A327">IF(AND(ISBLANK(INDEX(SampleList[pH],ROW()-1)),ISBLANK(INDEX(SampleList[Conductivity],ROW()-1)),ISBLANK(INDEX(SampleList[Modification],ROW()-1))),"Not Requested",INDEX(SampleList[Experiment ID],ROW()-1))</f>
        <v>Not Requested</v>
      </c>
      <c r="B327">
        <f>SampleList[[#This Row],[Duration (Days)]]</f>
        <v>0</v>
      </c>
      <c r="G327">
        <f>NMRResults[[#This Row],['#]]</f>
        <v>0</v>
      </c>
      <c r="H327" s="1">
        <f>NMRResults[[#This Row],[Date Run]]</f>
        <v>0</v>
      </c>
    </row>
    <row r="328" spans="1:8" hidden="1" x14ac:dyDescent="0.25">
      <c r="A328" t="str" cm="1">
        <f t="array" ref="A328">IF(AND(ISBLANK(INDEX(SampleList[pH],ROW()-1)),ISBLANK(INDEX(SampleList[Conductivity],ROW()-1)),ISBLANK(INDEX(SampleList[Modification],ROW()-1))),"Not Requested",INDEX(SampleList[Experiment ID],ROW()-1))</f>
        <v>Not Requested</v>
      </c>
      <c r="B328">
        <f>SampleList[[#This Row],[Duration (Days)]]</f>
        <v>0</v>
      </c>
      <c r="G328">
        <f>NMRResults[[#This Row],['#]]</f>
        <v>0</v>
      </c>
      <c r="H328" s="1">
        <f>NMRResults[[#This Row],[Date Run]]</f>
        <v>0</v>
      </c>
    </row>
    <row r="329" spans="1:8" hidden="1" x14ac:dyDescent="0.25">
      <c r="A329" t="str" cm="1">
        <f t="array" ref="A329">IF(AND(ISBLANK(INDEX(SampleList[pH],ROW()-1)),ISBLANK(INDEX(SampleList[Conductivity],ROW()-1)),ISBLANK(INDEX(SampleList[Modification],ROW()-1))),"Not Requested",INDEX(SampleList[Experiment ID],ROW()-1))</f>
        <v>Not Requested</v>
      </c>
      <c r="B329">
        <f>SampleList[[#This Row],[Duration (Days)]]</f>
        <v>0</v>
      </c>
      <c r="G329">
        <f>NMRResults[[#This Row],['#]]</f>
        <v>0</v>
      </c>
      <c r="H329" s="1">
        <f>NMRResults[[#This Row],[Date Run]]</f>
        <v>0</v>
      </c>
    </row>
    <row r="330" spans="1:8" hidden="1" x14ac:dyDescent="0.25">
      <c r="A330" t="str" cm="1">
        <f t="array" ref="A330">IF(AND(ISBLANK(INDEX(SampleList[pH],ROW()-1)),ISBLANK(INDEX(SampleList[Conductivity],ROW()-1)),ISBLANK(INDEX(SampleList[Modification],ROW()-1))),"Not Requested",INDEX(SampleList[Experiment ID],ROW()-1))</f>
        <v>Not Requested</v>
      </c>
      <c r="B330">
        <f>SampleList[[#This Row],[Duration (Days)]]</f>
        <v>0</v>
      </c>
      <c r="G330">
        <f>NMRResults[[#This Row],['#]]</f>
        <v>0</v>
      </c>
      <c r="H330" s="1">
        <f>NMRResults[[#This Row],[Date Run]]</f>
        <v>0</v>
      </c>
    </row>
    <row r="331" spans="1:8" hidden="1" x14ac:dyDescent="0.25">
      <c r="A331" t="str" cm="1">
        <f t="array" ref="A331">IF(AND(ISBLANK(INDEX(SampleList[pH],ROW()-1)),ISBLANK(INDEX(SampleList[Conductivity],ROW()-1)),ISBLANK(INDEX(SampleList[Modification],ROW()-1))),"Not Requested",INDEX(SampleList[Experiment ID],ROW()-1))</f>
        <v>Not Requested</v>
      </c>
      <c r="B331">
        <f>SampleList[[#This Row],[Duration (Days)]]</f>
        <v>0</v>
      </c>
      <c r="G331">
        <f>NMRResults[[#This Row],['#]]</f>
        <v>0</v>
      </c>
      <c r="H331" s="1">
        <f>NMRResults[[#This Row],[Date Run]]</f>
        <v>0</v>
      </c>
    </row>
    <row r="332" spans="1:8" hidden="1" x14ac:dyDescent="0.25">
      <c r="A332" t="str" cm="1">
        <f t="array" ref="A332">IF(AND(ISBLANK(INDEX(SampleList[pH],ROW()-1)),ISBLANK(INDEX(SampleList[Conductivity],ROW()-1)),ISBLANK(INDEX(SampleList[Modification],ROW()-1))),"Not Requested",INDEX(SampleList[Experiment ID],ROW()-1))</f>
        <v>Not Requested</v>
      </c>
      <c r="B332">
        <f>SampleList[[#This Row],[Duration (Days)]]</f>
        <v>0</v>
      </c>
      <c r="G332">
        <f>NMRResults[[#This Row],['#]]</f>
        <v>0</v>
      </c>
      <c r="H332" s="1">
        <f>NMRResults[[#This Row],[Date Run]]</f>
        <v>0</v>
      </c>
    </row>
    <row r="333" spans="1:8" hidden="1" x14ac:dyDescent="0.25">
      <c r="A333" t="str" cm="1">
        <f t="array" ref="A333">IF(AND(ISBLANK(INDEX(SampleList[pH],ROW()-1)),ISBLANK(INDEX(SampleList[Conductivity],ROW()-1)),ISBLANK(INDEX(SampleList[Modification],ROW()-1))),"Not Requested",INDEX(SampleList[Experiment ID],ROW()-1))</f>
        <v>Not Requested</v>
      </c>
      <c r="B333">
        <f>SampleList[[#This Row],[Duration (Days)]]</f>
        <v>0</v>
      </c>
      <c r="G333">
        <f>NMRResults[[#This Row],['#]]</f>
        <v>0</v>
      </c>
      <c r="H333" s="1">
        <f>NMRResults[[#This Row],[Date Run]]</f>
        <v>0</v>
      </c>
    </row>
    <row r="334" spans="1:8" hidden="1" x14ac:dyDescent="0.25">
      <c r="A334" t="str" cm="1">
        <f t="array" ref="A334">IF(AND(ISBLANK(INDEX(SampleList[pH],ROW()-1)),ISBLANK(INDEX(SampleList[Conductivity],ROW()-1)),ISBLANK(INDEX(SampleList[Modification],ROW()-1))),"Not Requested",INDEX(SampleList[Experiment ID],ROW()-1))</f>
        <v>Not Requested</v>
      </c>
      <c r="B334">
        <f>SampleList[[#This Row],[Duration (Days)]]</f>
        <v>0</v>
      </c>
      <c r="G334">
        <f>NMRResults[[#This Row],['#]]</f>
        <v>0</v>
      </c>
      <c r="H334" s="1">
        <f>NMRResults[[#This Row],[Date Run]]</f>
        <v>0</v>
      </c>
    </row>
    <row r="335" spans="1:8" hidden="1" x14ac:dyDescent="0.25">
      <c r="A335" t="str" cm="1">
        <f t="array" ref="A335">IF(AND(ISBLANK(INDEX(SampleList[pH],ROW()-1)),ISBLANK(INDEX(SampleList[Conductivity],ROW()-1)),ISBLANK(INDEX(SampleList[Modification],ROW()-1))),"Not Requested",INDEX(SampleList[Experiment ID],ROW()-1))</f>
        <v>Not Requested</v>
      </c>
      <c r="B335">
        <f>SampleList[[#This Row],[Duration (Days)]]</f>
        <v>0</v>
      </c>
      <c r="G335">
        <f>NMRResults[[#This Row],['#]]</f>
        <v>0</v>
      </c>
      <c r="H335" s="1">
        <f>NMRResults[[#This Row],[Date Run]]</f>
        <v>0</v>
      </c>
    </row>
    <row r="336" spans="1:8" hidden="1" x14ac:dyDescent="0.25">
      <c r="A336" t="str" cm="1">
        <f t="array" ref="A336">IF(AND(ISBLANK(INDEX(SampleList[pH],ROW()-1)),ISBLANK(INDEX(SampleList[Conductivity],ROW()-1)),ISBLANK(INDEX(SampleList[Modification],ROW()-1))),"Not Requested",INDEX(SampleList[Experiment ID],ROW()-1))</f>
        <v>Not Requested</v>
      </c>
      <c r="B336">
        <f>SampleList[[#This Row],[Duration (Days)]]</f>
        <v>0</v>
      </c>
      <c r="G336">
        <f>NMRResults[[#This Row],['#]]</f>
        <v>0</v>
      </c>
      <c r="H336" s="1">
        <f>NMRResults[[#This Row],[Date Run]]</f>
        <v>0</v>
      </c>
    </row>
    <row r="337" spans="1:8" hidden="1" x14ac:dyDescent="0.25">
      <c r="A337" t="str" cm="1">
        <f t="array" ref="A337">IF(AND(ISBLANK(INDEX(SampleList[pH],ROW()-1)),ISBLANK(INDEX(SampleList[Conductivity],ROW()-1)),ISBLANK(INDEX(SampleList[Modification],ROW()-1))),"Not Requested",INDEX(SampleList[Experiment ID],ROW()-1))</f>
        <v>Not Requested</v>
      </c>
      <c r="B337">
        <f>SampleList[[#This Row],[Duration (Days)]]</f>
        <v>0</v>
      </c>
      <c r="G337">
        <f>NMRResults[[#This Row],['#]]</f>
        <v>0</v>
      </c>
      <c r="H337" s="1">
        <f>NMRResults[[#This Row],[Date Run]]</f>
        <v>0</v>
      </c>
    </row>
    <row r="338" spans="1:8" hidden="1" x14ac:dyDescent="0.25">
      <c r="A338" t="str" cm="1">
        <f t="array" ref="A338">IF(AND(ISBLANK(INDEX(SampleList[pH],ROW()-1)),ISBLANK(INDEX(SampleList[Conductivity],ROW()-1)),ISBLANK(INDEX(SampleList[Modification],ROW()-1))),"Not Requested",INDEX(SampleList[Experiment ID],ROW()-1))</f>
        <v>Not Requested</v>
      </c>
      <c r="B338">
        <f>SampleList[[#This Row],[Duration (Days)]]</f>
        <v>0</v>
      </c>
      <c r="G338">
        <f>NMRResults[[#This Row],['#]]</f>
        <v>0</v>
      </c>
      <c r="H338" s="1">
        <f>NMRResults[[#This Row],[Date Run]]</f>
        <v>0</v>
      </c>
    </row>
    <row r="339" spans="1:8" hidden="1" x14ac:dyDescent="0.25">
      <c r="A339" t="str" cm="1">
        <f t="array" ref="A339">IF(AND(ISBLANK(INDEX(SampleList[pH],ROW()-1)),ISBLANK(INDEX(SampleList[Conductivity],ROW()-1)),ISBLANK(INDEX(SampleList[Modification],ROW()-1))),"Not Requested",INDEX(SampleList[Experiment ID],ROW()-1))</f>
        <v>Not Requested</v>
      </c>
      <c r="B339">
        <f>SampleList[[#This Row],[Duration (Days)]]</f>
        <v>0</v>
      </c>
      <c r="G339">
        <f>NMRResults[[#This Row],['#]]</f>
        <v>0</v>
      </c>
      <c r="H339" s="1">
        <f>NMRResults[[#This Row],[Date Run]]</f>
        <v>0</v>
      </c>
    </row>
    <row r="340" spans="1:8" hidden="1" x14ac:dyDescent="0.25">
      <c r="A340" t="str" cm="1">
        <f t="array" ref="A340">IF(AND(ISBLANK(INDEX(SampleList[pH],ROW()-1)),ISBLANK(INDEX(SampleList[Conductivity],ROW()-1)),ISBLANK(INDEX(SampleList[Modification],ROW()-1))),"Not Requested",INDEX(SampleList[Experiment ID],ROW()-1))</f>
        <v>Not Requested</v>
      </c>
      <c r="B340">
        <f>SampleList[[#This Row],[Duration (Days)]]</f>
        <v>0</v>
      </c>
      <c r="G340">
        <f>NMRResults[[#This Row],['#]]</f>
        <v>0</v>
      </c>
      <c r="H340" s="1">
        <f>NMRResults[[#This Row],[Date Run]]</f>
        <v>0</v>
      </c>
    </row>
    <row r="341" spans="1:8" hidden="1" x14ac:dyDescent="0.25">
      <c r="A341" t="str" cm="1">
        <f t="array" ref="A341">IF(AND(ISBLANK(INDEX(SampleList[pH],ROW()-1)),ISBLANK(INDEX(SampleList[Conductivity],ROW()-1)),ISBLANK(INDEX(SampleList[Modification],ROW()-1))),"Not Requested",INDEX(SampleList[Experiment ID],ROW()-1))</f>
        <v>Not Requested</v>
      </c>
      <c r="B341">
        <f>SampleList[[#This Row],[Duration (Days)]]</f>
        <v>0</v>
      </c>
      <c r="G341">
        <f>NMRResults[[#This Row],['#]]</f>
        <v>0</v>
      </c>
      <c r="H341" s="1">
        <f>NMRResults[[#This Row],[Date Run]]</f>
        <v>0</v>
      </c>
    </row>
    <row r="342" spans="1:8" hidden="1" x14ac:dyDescent="0.25">
      <c r="A342" t="str" cm="1">
        <f t="array" ref="A342">IF(AND(ISBLANK(INDEX(SampleList[pH],ROW()-1)),ISBLANK(INDEX(SampleList[Conductivity],ROW()-1)),ISBLANK(INDEX(SampleList[Modification],ROW()-1))),"Not Requested",INDEX(SampleList[Experiment ID],ROW()-1))</f>
        <v>Not Requested</v>
      </c>
      <c r="B342">
        <f>SampleList[[#This Row],[Duration (Days)]]</f>
        <v>0</v>
      </c>
      <c r="G342">
        <f>NMRResults[[#This Row],['#]]</f>
        <v>0</v>
      </c>
      <c r="H342" s="1">
        <f>NMRResults[[#This Row],[Date Run]]</f>
        <v>0</v>
      </c>
    </row>
    <row r="343" spans="1:8" hidden="1" x14ac:dyDescent="0.25">
      <c r="A343" t="str" cm="1">
        <f t="array" ref="A343">IF(AND(ISBLANK(INDEX(SampleList[pH],ROW()-1)),ISBLANK(INDEX(SampleList[Conductivity],ROW()-1)),ISBLANK(INDEX(SampleList[Modification],ROW()-1))),"Not Requested",INDEX(SampleList[Experiment ID],ROW()-1))</f>
        <v>Not Requested</v>
      </c>
      <c r="B343">
        <f>SampleList[[#This Row],[Duration (Days)]]</f>
        <v>0</v>
      </c>
      <c r="G343">
        <f>NMRResults[[#This Row],['#]]</f>
        <v>0</v>
      </c>
      <c r="H343" s="1">
        <f>NMRResults[[#This Row],[Date Run]]</f>
        <v>0</v>
      </c>
    </row>
    <row r="344" spans="1:8" hidden="1" x14ac:dyDescent="0.25">
      <c r="A344" t="str" cm="1">
        <f t="array" ref="A344">IF(AND(ISBLANK(INDEX(SampleList[pH],ROW()-1)),ISBLANK(INDEX(SampleList[Conductivity],ROW()-1)),ISBLANK(INDEX(SampleList[Modification],ROW()-1))),"Not Requested",INDEX(SampleList[Experiment ID],ROW()-1))</f>
        <v>Not Requested</v>
      </c>
      <c r="B344">
        <f>SampleList[[#This Row],[Duration (Days)]]</f>
        <v>0</v>
      </c>
      <c r="G344">
        <f>NMRResults[[#This Row],['#]]</f>
        <v>0</v>
      </c>
      <c r="H344" s="1">
        <f>NMRResults[[#This Row],[Date Run]]</f>
        <v>0</v>
      </c>
    </row>
    <row r="345" spans="1:8" hidden="1" x14ac:dyDescent="0.25">
      <c r="A345" t="str" cm="1">
        <f t="array" ref="A345">IF(AND(ISBLANK(INDEX(SampleList[pH],ROW()-1)),ISBLANK(INDEX(SampleList[Conductivity],ROW()-1)),ISBLANK(INDEX(SampleList[Modification],ROW()-1))),"Not Requested",INDEX(SampleList[Experiment ID],ROW()-1))</f>
        <v>Not Requested</v>
      </c>
      <c r="B345">
        <f>SampleList[[#This Row],[Duration (Days)]]</f>
        <v>0</v>
      </c>
      <c r="G345">
        <f>NMRResults[[#This Row],['#]]</f>
        <v>0</v>
      </c>
      <c r="H345" s="1">
        <f>NMRResults[[#This Row],[Date Run]]</f>
        <v>0</v>
      </c>
    </row>
    <row r="346" spans="1:8" hidden="1" x14ac:dyDescent="0.25">
      <c r="A346" t="str" cm="1">
        <f t="array" ref="A346">IF(AND(ISBLANK(INDEX(SampleList[pH],ROW()-1)),ISBLANK(INDEX(SampleList[Conductivity],ROW()-1)),ISBLANK(INDEX(SampleList[Modification],ROW()-1))),"Not Requested",INDEX(SampleList[Experiment ID],ROW()-1))</f>
        <v>Not Requested</v>
      </c>
      <c r="B346">
        <f>SampleList[[#This Row],[Duration (Days)]]</f>
        <v>0</v>
      </c>
      <c r="G346">
        <f>NMRResults[[#This Row],['#]]</f>
        <v>0</v>
      </c>
      <c r="H346" s="1">
        <f>NMRResults[[#This Row],[Date Run]]</f>
        <v>0</v>
      </c>
    </row>
    <row r="347" spans="1:8" hidden="1" x14ac:dyDescent="0.25">
      <c r="A347" t="str" cm="1">
        <f t="array" ref="A347">IF(AND(ISBLANK(INDEX(SampleList[pH],ROW()-1)),ISBLANK(INDEX(SampleList[Conductivity],ROW()-1)),ISBLANK(INDEX(SampleList[Modification],ROW()-1))),"Not Requested",INDEX(SampleList[Experiment ID],ROW()-1))</f>
        <v>Not Requested</v>
      </c>
      <c r="B347">
        <f>SampleList[[#This Row],[Duration (Days)]]</f>
        <v>0</v>
      </c>
      <c r="G347">
        <f>NMRResults[[#This Row],['#]]</f>
        <v>0</v>
      </c>
      <c r="H347" s="1">
        <f>NMRResults[[#This Row],[Date Run]]</f>
        <v>0</v>
      </c>
    </row>
    <row r="348" spans="1:8" hidden="1" x14ac:dyDescent="0.25">
      <c r="A348" t="str" cm="1">
        <f t="array" ref="A348">IF(AND(ISBLANK(INDEX(SampleList[pH],ROW()-1)),ISBLANK(INDEX(SampleList[Conductivity],ROW()-1)),ISBLANK(INDEX(SampleList[Modification],ROW()-1))),"Not Requested",INDEX(SampleList[Experiment ID],ROW()-1))</f>
        <v>Not Requested</v>
      </c>
      <c r="B348">
        <f>SampleList[[#This Row],[Duration (Days)]]</f>
        <v>0</v>
      </c>
      <c r="G348">
        <f>NMRResults[[#This Row],['#]]</f>
        <v>0</v>
      </c>
      <c r="H348" s="1">
        <f>NMRResults[[#This Row],[Date Run]]</f>
        <v>0</v>
      </c>
    </row>
    <row r="349" spans="1:8" hidden="1" x14ac:dyDescent="0.25">
      <c r="A349" t="str" cm="1">
        <f t="array" ref="A349">IF(AND(ISBLANK(INDEX(SampleList[pH],ROW()-1)),ISBLANK(INDEX(SampleList[Conductivity],ROW()-1)),ISBLANK(INDEX(SampleList[Modification],ROW()-1))),"Not Requested",INDEX(SampleList[Experiment ID],ROW()-1))</f>
        <v>Not Requested</v>
      </c>
      <c r="B349">
        <f>SampleList[[#This Row],[Duration (Days)]]</f>
        <v>0</v>
      </c>
      <c r="G349">
        <f>NMRResults[[#This Row],['#]]</f>
        <v>0</v>
      </c>
      <c r="H349" s="1">
        <f>NMRResults[[#This Row],[Date Run]]</f>
        <v>0</v>
      </c>
    </row>
    <row r="350" spans="1:8" hidden="1" x14ac:dyDescent="0.25">
      <c r="A350" t="str" cm="1">
        <f t="array" ref="A350">IF(AND(ISBLANK(INDEX(SampleList[pH],ROW()-1)),ISBLANK(INDEX(SampleList[Conductivity],ROW()-1)),ISBLANK(INDEX(SampleList[Modification],ROW()-1))),"Not Requested",INDEX(SampleList[Experiment ID],ROW()-1))</f>
        <v>Not Requested</v>
      </c>
      <c r="B350">
        <f>SampleList[[#This Row],[Duration (Days)]]</f>
        <v>0</v>
      </c>
      <c r="G350">
        <f>NMRResults[[#This Row],['#]]</f>
        <v>0</v>
      </c>
      <c r="H350" s="1">
        <f>NMRResults[[#This Row],[Date Run]]</f>
        <v>0</v>
      </c>
    </row>
    <row r="351" spans="1:8" hidden="1" x14ac:dyDescent="0.25">
      <c r="A351" t="str" cm="1">
        <f t="array" ref="A351">IF(AND(ISBLANK(INDEX(SampleList[pH],ROW()-1)),ISBLANK(INDEX(SampleList[Conductivity],ROW()-1)),ISBLANK(INDEX(SampleList[Modification],ROW()-1))),"Not Requested",INDEX(SampleList[Experiment ID],ROW()-1))</f>
        <v>Not Requested</v>
      </c>
      <c r="B351">
        <f>SampleList[[#This Row],[Duration (Days)]]</f>
        <v>0</v>
      </c>
      <c r="G351">
        <f>NMRResults[[#This Row],['#]]</f>
        <v>0</v>
      </c>
      <c r="H351" s="1">
        <f>NMRResults[[#This Row],[Date Run]]</f>
        <v>0</v>
      </c>
    </row>
    <row r="352" spans="1:8" hidden="1" x14ac:dyDescent="0.25">
      <c r="A352" t="str" cm="1">
        <f t="array" ref="A352">IF(AND(ISBLANK(INDEX(SampleList[pH],ROW()-1)),ISBLANK(INDEX(SampleList[Conductivity],ROW()-1)),ISBLANK(INDEX(SampleList[Modification],ROW()-1))),"Not Requested",INDEX(SampleList[Experiment ID],ROW()-1))</f>
        <v>Not Requested</v>
      </c>
      <c r="B352">
        <f>SampleList[[#This Row],[Duration (Days)]]</f>
        <v>0</v>
      </c>
      <c r="G352">
        <f>NMRResults[[#This Row],['#]]</f>
        <v>0</v>
      </c>
      <c r="H352" s="1">
        <f>NMRResults[[#This Row],[Date Run]]</f>
        <v>0</v>
      </c>
    </row>
    <row r="353" spans="1:8" hidden="1" x14ac:dyDescent="0.25">
      <c r="A353" t="str" cm="1">
        <f t="array" ref="A353">IF(AND(ISBLANK(INDEX(SampleList[pH],ROW()-1)),ISBLANK(INDEX(SampleList[Conductivity],ROW()-1)),ISBLANK(INDEX(SampleList[Modification],ROW()-1))),"Not Requested",INDEX(SampleList[Experiment ID],ROW()-1))</f>
        <v>Not Requested</v>
      </c>
      <c r="B353">
        <f>SampleList[[#This Row],[Duration (Days)]]</f>
        <v>0</v>
      </c>
      <c r="G353">
        <f>NMRResults[[#This Row],['#]]</f>
        <v>0</v>
      </c>
      <c r="H353" s="1">
        <f>NMRResults[[#This Row],[Date Run]]</f>
        <v>0</v>
      </c>
    </row>
    <row r="354" spans="1:8" hidden="1" x14ac:dyDescent="0.25">
      <c r="A354" t="str" cm="1">
        <f t="array" ref="A354">IF(AND(ISBLANK(INDEX(SampleList[pH],ROW()-1)),ISBLANK(INDEX(SampleList[Conductivity],ROW()-1)),ISBLANK(INDEX(SampleList[Modification],ROW()-1))),"Not Requested",INDEX(SampleList[Experiment ID],ROW()-1))</f>
        <v>Not Requested</v>
      </c>
      <c r="B354">
        <f>SampleList[[#This Row],[Duration (Days)]]</f>
        <v>0</v>
      </c>
      <c r="G354">
        <f>NMRResults[[#This Row],['#]]</f>
        <v>0</v>
      </c>
      <c r="H354" s="1">
        <f>NMRResults[[#This Row],[Date Run]]</f>
        <v>0</v>
      </c>
    </row>
    <row r="355" spans="1:8" hidden="1" x14ac:dyDescent="0.25">
      <c r="A355" t="str" cm="1">
        <f t="array" ref="A355">IF(AND(ISBLANK(INDEX(SampleList[pH],ROW()-1)),ISBLANK(INDEX(SampleList[Conductivity],ROW()-1)),ISBLANK(INDEX(SampleList[Modification],ROW()-1))),"Not Requested",INDEX(SampleList[Experiment ID],ROW()-1))</f>
        <v>Not Requested</v>
      </c>
      <c r="B355">
        <f>SampleList[[#This Row],[Duration (Days)]]</f>
        <v>0</v>
      </c>
      <c r="G355">
        <f>NMRResults[[#This Row],['#]]</f>
        <v>0</v>
      </c>
      <c r="H355" s="1">
        <f>NMRResults[[#This Row],[Date Run]]</f>
        <v>0</v>
      </c>
    </row>
    <row r="356" spans="1:8" hidden="1" x14ac:dyDescent="0.25">
      <c r="A356" t="str" cm="1">
        <f t="array" ref="A356">IF(AND(ISBLANK(INDEX(SampleList[pH],ROW()-1)),ISBLANK(INDEX(SampleList[Conductivity],ROW()-1)),ISBLANK(INDEX(SampleList[Modification],ROW()-1))),"Not Requested",INDEX(SampleList[Experiment ID],ROW()-1))</f>
        <v>Not Requested</v>
      </c>
      <c r="B356">
        <f>SampleList[[#This Row],[Duration (Days)]]</f>
        <v>0</v>
      </c>
      <c r="G356">
        <f>NMRResults[[#This Row],['#]]</f>
        <v>0</v>
      </c>
      <c r="H356" s="1">
        <f>NMRResults[[#This Row],[Date Run]]</f>
        <v>0</v>
      </c>
    </row>
    <row r="357" spans="1:8" hidden="1" x14ac:dyDescent="0.25">
      <c r="A357" t="str" cm="1">
        <f t="array" ref="A357">IF(AND(ISBLANK(INDEX(SampleList[pH],ROW()-1)),ISBLANK(INDEX(SampleList[Conductivity],ROW()-1)),ISBLANK(INDEX(SampleList[Modification],ROW()-1))),"Not Requested",INDEX(SampleList[Experiment ID],ROW()-1))</f>
        <v>Not Requested</v>
      </c>
      <c r="B357">
        <f>SampleList[[#This Row],[Duration (Days)]]</f>
        <v>0</v>
      </c>
      <c r="G357">
        <f>NMRResults[[#This Row],['#]]</f>
        <v>0</v>
      </c>
      <c r="H357" s="1">
        <f>NMRResults[[#This Row],[Date Run]]</f>
        <v>0</v>
      </c>
    </row>
    <row r="358" spans="1:8" hidden="1" x14ac:dyDescent="0.25">
      <c r="A358" t="str" cm="1">
        <f t="array" ref="A358">IF(AND(ISBLANK(INDEX(SampleList[pH],ROW()-1)),ISBLANK(INDEX(SampleList[Conductivity],ROW()-1)),ISBLANK(INDEX(SampleList[Modification],ROW()-1))),"Not Requested",INDEX(SampleList[Experiment ID],ROW()-1))</f>
        <v>Not Requested</v>
      </c>
      <c r="B358">
        <f>SampleList[[#This Row],[Duration (Days)]]</f>
        <v>0</v>
      </c>
      <c r="G358">
        <f>NMRResults[[#This Row],['#]]</f>
        <v>0</v>
      </c>
      <c r="H358" s="1">
        <f>NMRResults[[#This Row],[Date Run]]</f>
        <v>0</v>
      </c>
    </row>
    <row r="359" spans="1:8" hidden="1" x14ac:dyDescent="0.25">
      <c r="A359" t="str" cm="1">
        <f t="array" ref="A359">IF(AND(ISBLANK(INDEX(SampleList[pH],ROW()-1)),ISBLANK(INDEX(SampleList[Conductivity],ROW()-1)),ISBLANK(INDEX(SampleList[Modification],ROW()-1))),"Not Requested",INDEX(SampleList[Experiment ID],ROW()-1))</f>
        <v>Not Requested</v>
      </c>
      <c r="B359">
        <f>SampleList[[#This Row],[Duration (Days)]]</f>
        <v>0</v>
      </c>
      <c r="G359">
        <f>NMRResults[[#This Row],['#]]</f>
        <v>0</v>
      </c>
      <c r="H359" s="1">
        <f>NMRResults[[#This Row],[Date Run]]</f>
        <v>0</v>
      </c>
    </row>
    <row r="360" spans="1:8" hidden="1" x14ac:dyDescent="0.25">
      <c r="A360" t="str" cm="1">
        <f t="array" ref="A360">IF(AND(ISBLANK(INDEX(SampleList[pH],ROW()-1)),ISBLANK(INDEX(SampleList[Conductivity],ROW()-1)),ISBLANK(INDEX(SampleList[Modification],ROW()-1))),"Not Requested",INDEX(SampleList[Experiment ID],ROW()-1))</f>
        <v>Not Requested</v>
      </c>
      <c r="B360">
        <f>SampleList[[#This Row],[Duration (Days)]]</f>
        <v>0</v>
      </c>
      <c r="G360">
        <f>NMRResults[[#This Row],['#]]</f>
        <v>0</v>
      </c>
      <c r="H360" s="1">
        <f>NMRResults[[#This Row],[Date Run]]</f>
        <v>0</v>
      </c>
    </row>
    <row r="361" spans="1:8" hidden="1" x14ac:dyDescent="0.25">
      <c r="A361" t="str" cm="1">
        <f t="array" ref="A361">IF(AND(ISBLANK(INDEX(SampleList[pH],ROW()-1)),ISBLANK(INDEX(SampleList[Conductivity],ROW()-1)),ISBLANK(INDEX(SampleList[Modification],ROW()-1))),"Not Requested",INDEX(SampleList[Experiment ID],ROW()-1))</f>
        <v>Not Requested</v>
      </c>
      <c r="B361">
        <f>SampleList[[#This Row],[Duration (Days)]]</f>
        <v>0</v>
      </c>
      <c r="G361">
        <f>NMRResults[[#This Row],['#]]</f>
        <v>0</v>
      </c>
      <c r="H361" s="1">
        <f>NMRResults[[#This Row],[Date Run]]</f>
        <v>0</v>
      </c>
    </row>
    <row r="362" spans="1:8" hidden="1" x14ac:dyDescent="0.25">
      <c r="A362" t="str" cm="1">
        <f t="array" ref="A362">IF(AND(ISBLANK(INDEX(SampleList[pH],ROW()-1)),ISBLANK(INDEX(SampleList[Conductivity],ROW()-1)),ISBLANK(INDEX(SampleList[Modification],ROW()-1))),"Not Requested",INDEX(SampleList[Experiment ID],ROW()-1))</f>
        <v>Not Requested</v>
      </c>
      <c r="B362">
        <f>SampleList[[#This Row],[Duration (Days)]]</f>
        <v>0</v>
      </c>
      <c r="G362">
        <f>NMRResults[[#This Row],['#]]</f>
        <v>0</v>
      </c>
      <c r="H362" s="1">
        <f>NMRResults[[#This Row],[Date Run]]</f>
        <v>0</v>
      </c>
    </row>
    <row r="363" spans="1:8" hidden="1" x14ac:dyDescent="0.25">
      <c r="A363" t="str" cm="1">
        <f t="array" ref="A363">IF(AND(ISBLANK(INDEX(SampleList[pH],ROW()-1)),ISBLANK(INDEX(SampleList[Conductivity],ROW()-1)),ISBLANK(INDEX(SampleList[Modification],ROW()-1))),"Not Requested",INDEX(SampleList[Experiment ID],ROW()-1))</f>
        <v>Not Requested</v>
      </c>
      <c r="B363">
        <f>SampleList[[#This Row],[Duration (Days)]]</f>
        <v>0</v>
      </c>
      <c r="G363">
        <f>NMRResults[[#This Row],['#]]</f>
        <v>0</v>
      </c>
      <c r="H363" s="1">
        <f>NMRResults[[#This Row],[Date Run]]</f>
        <v>0</v>
      </c>
    </row>
    <row r="364" spans="1:8" hidden="1" x14ac:dyDescent="0.25">
      <c r="A364" t="str" cm="1">
        <f t="array" ref="A364">IF(AND(ISBLANK(INDEX(SampleList[pH],ROW()-1)),ISBLANK(INDEX(SampleList[Conductivity],ROW()-1)),ISBLANK(INDEX(SampleList[Modification],ROW()-1))),"Not Requested",INDEX(SampleList[Experiment ID],ROW()-1))</f>
        <v>Not Requested</v>
      </c>
      <c r="B364">
        <f>SampleList[[#This Row],[Duration (Days)]]</f>
        <v>0</v>
      </c>
      <c r="G364">
        <f>NMRResults[[#This Row],['#]]</f>
        <v>0</v>
      </c>
      <c r="H364" s="1">
        <f>NMRResults[[#This Row],[Date Run]]</f>
        <v>0</v>
      </c>
    </row>
    <row r="365" spans="1:8" hidden="1" x14ac:dyDescent="0.25">
      <c r="A365" t="str" cm="1">
        <f t="array" ref="A365">IF(AND(ISBLANK(INDEX(SampleList[pH],ROW()-1)),ISBLANK(INDEX(SampleList[Conductivity],ROW()-1)),ISBLANK(INDEX(SampleList[Modification],ROW()-1))),"Not Requested",INDEX(SampleList[Experiment ID],ROW()-1))</f>
        <v>Not Requested</v>
      </c>
      <c r="B365">
        <f>SampleList[[#This Row],[Duration (Days)]]</f>
        <v>0</v>
      </c>
      <c r="G365">
        <f>NMRResults[[#This Row],['#]]</f>
        <v>0</v>
      </c>
      <c r="H365" s="1">
        <f>NMRResults[[#This Row],[Date Run]]</f>
        <v>0</v>
      </c>
    </row>
    <row r="366" spans="1:8" hidden="1" x14ac:dyDescent="0.25">
      <c r="A366" t="str" cm="1">
        <f t="array" ref="A366">IF(AND(ISBLANK(INDEX(SampleList[pH],ROW()-1)),ISBLANK(INDEX(SampleList[Conductivity],ROW()-1)),ISBLANK(INDEX(SampleList[Modification],ROW()-1))),"Not Requested",INDEX(SampleList[Experiment ID],ROW()-1))</f>
        <v>Not Requested</v>
      </c>
      <c r="B366">
        <f>SampleList[[#This Row],[Duration (Days)]]</f>
        <v>0</v>
      </c>
      <c r="G366">
        <f>NMRResults[[#This Row],['#]]</f>
        <v>0</v>
      </c>
      <c r="H366" s="1">
        <f>NMRResults[[#This Row],[Date Run]]</f>
        <v>0</v>
      </c>
    </row>
    <row r="367" spans="1:8" hidden="1" x14ac:dyDescent="0.25">
      <c r="A367" t="str" cm="1">
        <f t="array" ref="A367">IF(AND(ISBLANK(INDEX(SampleList[pH],ROW()-1)),ISBLANK(INDEX(SampleList[Conductivity],ROW()-1)),ISBLANK(INDEX(SampleList[Modification],ROW()-1))),"Not Requested",INDEX(SampleList[Experiment ID],ROW()-1))</f>
        <v>Not Requested</v>
      </c>
      <c r="B367">
        <f>SampleList[[#This Row],[Duration (Days)]]</f>
        <v>0</v>
      </c>
      <c r="G367">
        <f>NMRResults[[#This Row],['#]]</f>
        <v>0</v>
      </c>
      <c r="H367" s="1">
        <f>NMRResults[[#This Row],[Date Run]]</f>
        <v>0</v>
      </c>
    </row>
    <row r="368" spans="1:8" hidden="1" x14ac:dyDescent="0.25">
      <c r="A368" t="str" cm="1">
        <f t="array" ref="A368">IF(AND(ISBLANK(INDEX(SampleList[pH],ROW()-1)),ISBLANK(INDEX(SampleList[Conductivity],ROW()-1)),ISBLANK(INDEX(SampleList[Modification],ROW()-1))),"Not Requested",INDEX(SampleList[Experiment ID],ROW()-1))</f>
        <v>Not Requested</v>
      </c>
      <c r="B368">
        <f>SampleList[[#This Row],[Duration (Days)]]</f>
        <v>0</v>
      </c>
      <c r="G368">
        <f>NMRResults[[#This Row],['#]]</f>
        <v>0</v>
      </c>
      <c r="H368" s="1">
        <f>NMRResults[[#This Row],[Date Run]]</f>
        <v>0</v>
      </c>
    </row>
    <row r="369" spans="1:8" hidden="1" x14ac:dyDescent="0.25">
      <c r="A369" t="str" cm="1">
        <f t="array" ref="A369">IF(AND(ISBLANK(INDEX(SampleList[pH],ROW()-1)),ISBLANK(INDEX(SampleList[Conductivity],ROW()-1)),ISBLANK(INDEX(SampleList[Modification],ROW()-1))),"Not Requested",INDEX(SampleList[Experiment ID],ROW()-1))</f>
        <v>Not Requested</v>
      </c>
      <c r="B369">
        <f>SampleList[[#This Row],[Duration (Days)]]</f>
        <v>0</v>
      </c>
      <c r="G369">
        <f>NMRResults[[#This Row],['#]]</f>
        <v>0</v>
      </c>
      <c r="H369" s="1">
        <f>NMRResults[[#This Row],[Date Run]]</f>
        <v>0</v>
      </c>
    </row>
    <row r="370" spans="1:8" hidden="1" x14ac:dyDescent="0.25">
      <c r="A370" t="str" cm="1">
        <f t="array" ref="A370">IF(AND(ISBLANK(INDEX(SampleList[pH],ROW()-1)),ISBLANK(INDEX(SampleList[Conductivity],ROW()-1)),ISBLANK(INDEX(SampleList[Modification],ROW()-1))),"Not Requested",INDEX(SampleList[Experiment ID],ROW()-1))</f>
        <v>Not Requested</v>
      </c>
      <c r="B370">
        <f>SampleList[[#This Row],[Duration (Days)]]</f>
        <v>0</v>
      </c>
      <c r="G370">
        <f>NMRResults[[#This Row],['#]]</f>
        <v>0</v>
      </c>
      <c r="H370" s="1">
        <f>NMRResults[[#This Row],[Date Run]]</f>
        <v>0</v>
      </c>
    </row>
    <row r="371" spans="1:8" hidden="1" x14ac:dyDescent="0.25">
      <c r="A371" t="str" cm="1">
        <f t="array" ref="A371">IF(AND(ISBLANK(INDEX(SampleList[pH],ROW()-1)),ISBLANK(INDEX(SampleList[Conductivity],ROW()-1)),ISBLANK(INDEX(SampleList[Modification],ROW()-1))),"Not Requested",INDEX(SampleList[Experiment ID],ROW()-1))</f>
        <v>Not Requested</v>
      </c>
      <c r="B371">
        <f>SampleList[[#This Row],[Duration (Days)]]</f>
        <v>0</v>
      </c>
      <c r="G371">
        <f>NMRResults[[#This Row],['#]]</f>
        <v>0</v>
      </c>
      <c r="H371" s="1">
        <f>NMRResults[[#This Row],[Date Run]]</f>
        <v>0</v>
      </c>
    </row>
    <row r="372" spans="1:8" hidden="1" x14ac:dyDescent="0.25">
      <c r="A372" t="str" cm="1">
        <f t="array" ref="A372">IF(AND(ISBLANK(INDEX(SampleList[pH],ROW()-1)),ISBLANK(INDEX(SampleList[Conductivity],ROW()-1)),ISBLANK(INDEX(SampleList[Modification],ROW()-1))),"Not Requested",INDEX(SampleList[Experiment ID],ROW()-1))</f>
        <v>Not Requested</v>
      </c>
      <c r="B372">
        <f>SampleList[[#This Row],[Duration (Days)]]</f>
        <v>0</v>
      </c>
      <c r="G372">
        <f>NMRResults[[#This Row],['#]]</f>
        <v>0</v>
      </c>
      <c r="H372" s="1">
        <f>NMRResults[[#This Row],[Date Run]]</f>
        <v>0</v>
      </c>
    </row>
    <row r="373" spans="1:8" hidden="1" x14ac:dyDescent="0.25">
      <c r="A373" t="str" cm="1">
        <f t="array" ref="A373">IF(AND(ISBLANK(INDEX(SampleList[pH],ROW()-1)),ISBLANK(INDEX(SampleList[Conductivity],ROW()-1)),ISBLANK(INDEX(SampleList[Modification],ROW()-1))),"Not Requested",INDEX(SampleList[Experiment ID],ROW()-1))</f>
        <v>Not Requested</v>
      </c>
      <c r="B373">
        <f>SampleList[[#This Row],[Duration (Days)]]</f>
        <v>0</v>
      </c>
      <c r="G373">
        <f>NMRResults[[#This Row],['#]]</f>
        <v>0</v>
      </c>
      <c r="H373" s="1">
        <f>NMRResults[[#This Row],[Date Run]]</f>
        <v>0</v>
      </c>
    </row>
    <row r="374" spans="1:8" hidden="1" x14ac:dyDescent="0.25">
      <c r="A374" t="str" cm="1">
        <f t="array" ref="A374">IF(AND(ISBLANK(INDEX(SampleList[pH],ROW()-1)),ISBLANK(INDEX(SampleList[Conductivity],ROW()-1)),ISBLANK(INDEX(SampleList[Modification],ROW()-1))),"Not Requested",INDEX(SampleList[Experiment ID],ROW()-1))</f>
        <v>Not Requested</v>
      </c>
      <c r="B374">
        <f>SampleList[[#This Row],[Duration (Days)]]</f>
        <v>0</v>
      </c>
      <c r="G374">
        <f>NMRResults[[#This Row],['#]]</f>
        <v>0</v>
      </c>
      <c r="H374" s="1">
        <f>NMRResults[[#This Row],[Date Run]]</f>
        <v>0</v>
      </c>
    </row>
    <row r="375" spans="1:8" hidden="1" x14ac:dyDescent="0.25">
      <c r="A375" t="str" cm="1">
        <f t="array" ref="A375">IF(AND(ISBLANK(INDEX(SampleList[pH],ROW()-1)),ISBLANK(INDEX(SampleList[Conductivity],ROW()-1)),ISBLANK(INDEX(SampleList[Modification],ROW()-1))),"Not Requested",INDEX(SampleList[Experiment ID],ROW()-1))</f>
        <v>Not Requested</v>
      </c>
      <c r="B375">
        <f>SampleList[[#This Row],[Duration (Days)]]</f>
        <v>0</v>
      </c>
      <c r="G375">
        <f>NMRResults[[#This Row],['#]]</f>
        <v>0</v>
      </c>
      <c r="H375" s="1">
        <f>NMRResults[[#This Row],[Date Run]]</f>
        <v>0</v>
      </c>
    </row>
    <row r="376" spans="1:8" hidden="1" x14ac:dyDescent="0.25">
      <c r="A376" t="str" cm="1">
        <f t="array" ref="A376">IF(AND(ISBLANK(INDEX(SampleList[pH],ROW()-1)),ISBLANK(INDEX(SampleList[Conductivity],ROW()-1)),ISBLANK(INDEX(SampleList[Modification],ROW()-1))),"Not Requested",INDEX(SampleList[Experiment ID],ROW()-1))</f>
        <v>Not Requested</v>
      </c>
      <c r="B376">
        <f>SampleList[[#This Row],[Duration (Days)]]</f>
        <v>0</v>
      </c>
      <c r="G376">
        <f>NMRResults[[#This Row],['#]]</f>
        <v>0</v>
      </c>
      <c r="H376" s="1">
        <f>NMRResults[[#This Row],[Date Run]]</f>
        <v>0</v>
      </c>
    </row>
    <row r="377" spans="1:8" hidden="1" x14ac:dyDescent="0.25">
      <c r="A377" t="str" cm="1">
        <f t="array" ref="A377">IF(AND(ISBLANK(INDEX(SampleList[pH],ROW()-1)),ISBLANK(INDEX(SampleList[Conductivity],ROW()-1)),ISBLANK(INDEX(SampleList[Modification],ROW()-1))),"Not Requested",INDEX(SampleList[Experiment ID],ROW()-1))</f>
        <v>Not Requested</v>
      </c>
      <c r="B377">
        <f>SampleList[[#This Row],[Duration (Days)]]</f>
        <v>0</v>
      </c>
      <c r="G377">
        <f>NMRResults[[#This Row],['#]]</f>
        <v>0</v>
      </c>
      <c r="H377" s="1">
        <f>NMRResults[[#This Row],[Date Run]]</f>
        <v>0</v>
      </c>
    </row>
    <row r="378" spans="1:8" hidden="1" x14ac:dyDescent="0.25">
      <c r="A378" t="str" cm="1">
        <f t="array" ref="A378">IF(AND(ISBLANK(INDEX(SampleList[pH],ROW()-1)),ISBLANK(INDEX(SampleList[Conductivity],ROW()-1)),ISBLANK(INDEX(SampleList[Modification],ROW()-1))),"Not Requested",INDEX(SampleList[Experiment ID],ROW()-1))</f>
        <v>Not Requested</v>
      </c>
      <c r="B378">
        <f>SampleList[[#This Row],[Duration (Days)]]</f>
        <v>0</v>
      </c>
      <c r="G378">
        <f>NMRResults[[#This Row],['#]]</f>
        <v>0</v>
      </c>
      <c r="H378" s="1">
        <f>NMRResults[[#This Row],[Date Run]]</f>
        <v>0</v>
      </c>
    </row>
    <row r="379" spans="1:8" hidden="1" x14ac:dyDescent="0.25">
      <c r="A379" t="str" cm="1">
        <f t="array" ref="A379">IF(AND(ISBLANK(INDEX(SampleList[pH],ROW()-1)),ISBLANK(INDEX(SampleList[Conductivity],ROW()-1)),ISBLANK(INDEX(SampleList[Modification],ROW()-1))),"Not Requested",INDEX(SampleList[Experiment ID],ROW()-1))</f>
        <v>Not Requested</v>
      </c>
      <c r="B379">
        <f>SampleList[[#This Row],[Duration (Days)]]</f>
        <v>0</v>
      </c>
      <c r="G379">
        <f>NMRResults[[#This Row],['#]]</f>
        <v>0</v>
      </c>
      <c r="H379" s="1">
        <f>NMRResults[[#This Row],[Date Run]]</f>
        <v>0</v>
      </c>
    </row>
    <row r="380" spans="1:8" hidden="1" x14ac:dyDescent="0.25">
      <c r="A380" t="str" cm="1">
        <f t="array" ref="A380">IF(AND(ISBLANK(INDEX(SampleList[pH],ROW()-1)),ISBLANK(INDEX(SampleList[Conductivity],ROW()-1)),ISBLANK(INDEX(SampleList[Modification],ROW()-1))),"Not Requested",INDEX(SampleList[Experiment ID],ROW()-1))</f>
        <v>Not Requested</v>
      </c>
      <c r="B380">
        <f>SampleList[[#This Row],[Duration (Days)]]</f>
        <v>0</v>
      </c>
      <c r="G380">
        <f>NMRResults[[#This Row],['#]]</f>
        <v>0</v>
      </c>
      <c r="H380" s="1">
        <f>NMRResults[[#This Row],[Date Run]]</f>
        <v>0</v>
      </c>
    </row>
    <row r="381" spans="1:8" hidden="1" x14ac:dyDescent="0.25">
      <c r="A381" t="str" cm="1">
        <f t="array" ref="A381">IF(AND(ISBLANK(INDEX(SampleList[pH],ROW()-1)),ISBLANK(INDEX(SampleList[Conductivity],ROW()-1)),ISBLANK(INDEX(SampleList[Modification],ROW()-1))),"Not Requested",INDEX(SampleList[Experiment ID],ROW()-1))</f>
        <v>Not Requested</v>
      </c>
      <c r="B381">
        <f>SampleList[[#This Row],[Duration (Days)]]</f>
        <v>0</v>
      </c>
      <c r="G381">
        <f>NMRResults[[#This Row],['#]]</f>
        <v>0</v>
      </c>
      <c r="H381" s="1">
        <f>NMRResults[[#This Row],[Date Run]]</f>
        <v>0</v>
      </c>
    </row>
    <row r="382" spans="1:8" hidden="1" x14ac:dyDescent="0.25">
      <c r="A382" t="str" cm="1">
        <f t="array" ref="A382">IF(AND(ISBLANK(INDEX(SampleList[pH],ROW()-1)),ISBLANK(INDEX(SampleList[Conductivity],ROW()-1)),ISBLANK(INDEX(SampleList[Modification],ROW()-1))),"Not Requested",INDEX(SampleList[Experiment ID],ROW()-1))</f>
        <v>Not Requested</v>
      </c>
      <c r="B382">
        <f>SampleList[[#This Row],[Duration (Days)]]</f>
        <v>0</v>
      </c>
      <c r="G382">
        <f>NMRResults[[#This Row],['#]]</f>
        <v>0</v>
      </c>
      <c r="H382" s="1">
        <f>NMRResults[[#This Row],[Date Run]]</f>
        <v>0</v>
      </c>
    </row>
    <row r="383" spans="1:8" hidden="1" x14ac:dyDescent="0.25">
      <c r="A383" t="str" cm="1">
        <f t="array" ref="A383">IF(AND(ISBLANK(INDEX(SampleList[pH],ROW()-1)),ISBLANK(INDEX(SampleList[Conductivity],ROW()-1)),ISBLANK(INDEX(SampleList[Modification],ROW()-1))),"Not Requested",INDEX(SampleList[Experiment ID],ROW()-1))</f>
        <v>Not Requested</v>
      </c>
      <c r="B383">
        <f>SampleList[[#This Row],[Duration (Days)]]</f>
        <v>0</v>
      </c>
      <c r="G383">
        <f>NMRResults[[#This Row],['#]]</f>
        <v>0</v>
      </c>
      <c r="H383" s="1">
        <f>NMRResults[[#This Row],[Date Run]]</f>
        <v>0</v>
      </c>
    </row>
    <row r="384" spans="1:8" hidden="1" x14ac:dyDescent="0.25">
      <c r="A384" t="str" cm="1">
        <f t="array" ref="A384">IF(AND(ISBLANK(INDEX(SampleList[pH],ROW()-1)),ISBLANK(INDEX(SampleList[Conductivity],ROW()-1)),ISBLANK(INDEX(SampleList[Modification],ROW()-1))),"Not Requested",INDEX(SampleList[Experiment ID],ROW()-1))</f>
        <v>Not Requested</v>
      </c>
      <c r="B384">
        <f>SampleList[[#This Row],[Duration (Days)]]</f>
        <v>0</v>
      </c>
      <c r="G384">
        <f>NMRResults[[#This Row],['#]]</f>
        <v>0</v>
      </c>
      <c r="H384" s="1">
        <f>NMRResults[[#This Row],[Date Run]]</f>
        <v>0</v>
      </c>
    </row>
    <row r="385" spans="1:8" hidden="1" x14ac:dyDescent="0.25">
      <c r="A385" t="str" cm="1">
        <f t="array" ref="A385">IF(AND(ISBLANK(INDEX(SampleList[pH],ROW()-1)),ISBLANK(INDEX(SampleList[Conductivity],ROW()-1)),ISBLANK(INDEX(SampleList[Modification],ROW()-1))),"Not Requested",INDEX(SampleList[Experiment ID],ROW()-1))</f>
        <v>Not Requested</v>
      </c>
      <c r="B385">
        <f>SampleList[[#This Row],[Duration (Days)]]</f>
        <v>0</v>
      </c>
      <c r="G385">
        <f>NMRResults[[#This Row],['#]]</f>
        <v>0</v>
      </c>
      <c r="H385" s="1">
        <f>NMRResults[[#This Row],[Date Run]]</f>
        <v>0</v>
      </c>
    </row>
    <row r="386" spans="1:8" hidden="1" x14ac:dyDescent="0.25">
      <c r="A386" t="str" cm="1">
        <f t="array" ref="A386">IF(AND(ISBLANK(INDEX(SampleList[pH],ROW()-1)),ISBLANK(INDEX(SampleList[Conductivity],ROW()-1)),ISBLANK(INDEX(SampleList[Modification],ROW()-1))),"Not Requested",INDEX(SampleList[Experiment ID],ROW()-1))</f>
        <v>Not Requested</v>
      </c>
      <c r="B386">
        <f>SampleList[[#This Row],[Duration (Days)]]</f>
        <v>0</v>
      </c>
      <c r="G386">
        <f>NMRResults[[#This Row],['#]]</f>
        <v>0</v>
      </c>
      <c r="H386" s="1">
        <f>NMRResults[[#This Row],[Date Run]]</f>
        <v>0</v>
      </c>
    </row>
    <row r="387" spans="1:8" hidden="1" x14ac:dyDescent="0.25">
      <c r="A387" t="str" cm="1">
        <f t="array" ref="A387">IF(AND(ISBLANK(INDEX(SampleList[pH],ROW()-1)),ISBLANK(INDEX(SampleList[Conductivity],ROW()-1)),ISBLANK(INDEX(SampleList[Modification],ROW()-1))),"Not Requested",INDEX(SampleList[Experiment ID],ROW()-1))</f>
        <v>Not Requested</v>
      </c>
      <c r="B387">
        <f>SampleList[[#This Row],[Duration (Days)]]</f>
        <v>0</v>
      </c>
      <c r="G387">
        <f>NMRResults[[#This Row],['#]]</f>
        <v>0</v>
      </c>
      <c r="H387" s="1">
        <f>NMRResults[[#This Row],[Date Run]]</f>
        <v>0</v>
      </c>
    </row>
    <row r="388" spans="1:8" hidden="1" x14ac:dyDescent="0.25">
      <c r="A388" t="str" cm="1">
        <f t="array" ref="A388">IF(AND(ISBLANK(INDEX(SampleList[pH],ROW()-1)),ISBLANK(INDEX(SampleList[Conductivity],ROW()-1)),ISBLANK(INDEX(SampleList[Modification],ROW()-1))),"Not Requested",INDEX(SampleList[Experiment ID],ROW()-1))</f>
        <v>Not Requested</v>
      </c>
      <c r="B388">
        <f>SampleList[[#This Row],[Duration (Days)]]</f>
        <v>0</v>
      </c>
      <c r="G388">
        <f>NMRResults[[#This Row],['#]]</f>
        <v>0</v>
      </c>
      <c r="H388" s="1">
        <f>NMRResults[[#This Row],[Date Run]]</f>
        <v>0</v>
      </c>
    </row>
    <row r="389" spans="1:8" hidden="1" x14ac:dyDescent="0.25">
      <c r="A389" t="str" cm="1">
        <f t="array" ref="A389">IF(AND(ISBLANK(INDEX(SampleList[pH],ROW()-1)),ISBLANK(INDEX(SampleList[Conductivity],ROW()-1)),ISBLANK(INDEX(SampleList[Modification],ROW()-1))),"Not Requested",INDEX(SampleList[Experiment ID],ROW()-1))</f>
        <v>Not Requested</v>
      </c>
      <c r="B389">
        <f>SampleList[[#This Row],[Duration (Days)]]</f>
        <v>0</v>
      </c>
      <c r="G389">
        <f>NMRResults[[#This Row],['#]]</f>
        <v>0</v>
      </c>
      <c r="H389" s="1">
        <f>NMRResults[[#This Row],[Date Run]]</f>
        <v>0</v>
      </c>
    </row>
    <row r="390" spans="1:8" hidden="1" x14ac:dyDescent="0.25">
      <c r="A390" t="str" cm="1">
        <f t="array" ref="A390">IF(AND(ISBLANK(INDEX(SampleList[pH],ROW()-1)),ISBLANK(INDEX(SampleList[Conductivity],ROW()-1)),ISBLANK(INDEX(SampleList[Modification],ROW()-1))),"Not Requested",INDEX(SampleList[Experiment ID],ROW()-1))</f>
        <v>Not Requested</v>
      </c>
      <c r="B390">
        <f>SampleList[[#This Row],[Duration (Days)]]</f>
        <v>0</v>
      </c>
      <c r="G390">
        <f>NMRResults[[#This Row],['#]]</f>
        <v>0</v>
      </c>
      <c r="H390" s="1">
        <f>NMRResults[[#This Row],[Date Run]]</f>
        <v>0</v>
      </c>
    </row>
    <row r="391" spans="1:8" hidden="1" x14ac:dyDescent="0.25">
      <c r="A391" t="str" cm="1">
        <f t="array" ref="A391">IF(AND(ISBLANK(INDEX(SampleList[pH],ROW()-1)),ISBLANK(INDEX(SampleList[Conductivity],ROW()-1)),ISBLANK(INDEX(SampleList[Modification],ROW()-1))),"Not Requested",INDEX(SampleList[Experiment ID],ROW()-1))</f>
        <v>Not Requested</v>
      </c>
      <c r="B391">
        <f>SampleList[[#This Row],[Duration (Days)]]</f>
        <v>0</v>
      </c>
      <c r="G391">
        <f>NMRResults[[#This Row],['#]]</f>
        <v>0</v>
      </c>
      <c r="H391" s="1">
        <f>NMRResults[[#This Row],[Date Run]]</f>
        <v>0</v>
      </c>
    </row>
    <row r="392" spans="1:8" hidden="1" x14ac:dyDescent="0.25">
      <c r="A392" t="str" cm="1">
        <f t="array" ref="A392">IF(AND(ISBLANK(INDEX(SampleList[pH],ROW()-1)),ISBLANK(INDEX(SampleList[Conductivity],ROW()-1)),ISBLANK(INDEX(SampleList[Modification],ROW()-1))),"Not Requested",INDEX(SampleList[Experiment ID],ROW()-1))</f>
        <v>Not Requested</v>
      </c>
      <c r="B392">
        <f>SampleList[[#This Row],[Duration (Days)]]</f>
        <v>0</v>
      </c>
      <c r="G392">
        <f>NMRResults[[#This Row],['#]]</f>
        <v>0</v>
      </c>
      <c r="H392" s="1">
        <f>NMRResults[[#This Row],[Date Run]]</f>
        <v>0</v>
      </c>
    </row>
    <row r="393" spans="1:8" hidden="1" x14ac:dyDescent="0.25">
      <c r="A393" t="str" cm="1">
        <f t="array" ref="A393">IF(AND(ISBLANK(INDEX(SampleList[pH],ROW()-1)),ISBLANK(INDEX(SampleList[Conductivity],ROW()-1)),ISBLANK(INDEX(SampleList[Modification],ROW()-1))),"Not Requested",INDEX(SampleList[Experiment ID],ROW()-1))</f>
        <v>Not Requested</v>
      </c>
      <c r="B393">
        <f>SampleList[[#This Row],[Duration (Days)]]</f>
        <v>0</v>
      </c>
      <c r="G393">
        <f>NMRResults[[#This Row],['#]]</f>
        <v>0</v>
      </c>
      <c r="H393" s="1">
        <f>NMRResults[[#This Row],[Date Run]]</f>
        <v>0</v>
      </c>
    </row>
    <row r="394" spans="1:8" hidden="1" x14ac:dyDescent="0.25">
      <c r="A394" t="str" cm="1">
        <f t="array" ref="A394">IF(AND(ISBLANK(INDEX(SampleList[pH],ROW()-1)),ISBLANK(INDEX(SampleList[Conductivity],ROW()-1)),ISBLANK(INDEX(SampleList[Modification],ROW()-1))),"Not Requested",INDEX(SampleList[Experiment ID],ROW()-1))</f>
        <v>Not Requested</v>
      </c>
      <c r="B394">
        <f>SampleList[[#This Row],[Duration (Days)]]</f>
        <v>0</v>
      </c>
      <c r="G394">
        <f>NMRResults[[#This Row],['#]]</f>
        <v>0</v>
      </c>
      <c r="H394" s="1">
        <f>NMRResults[[#This Row],[Date Run]]</f>
        <v>0</v>
      </c>
    </row>
    <row r="395" spans="1:8" hidden="1" x14ac:dyDescent="0.25">
      <c r="A395" t="str" cm="1">
        <f t="array" ref="A395">IF(AND(ISBLANK(INDEX(SampleList[pH],ROW()-1)),ISBLANK(INDEX(SampleList[Conductivity],ROW()-1)),ISBLANK(INDEX(SampleList[Modification],ROW()-1))),"Not Requested",INDEX(SampleList[Experiment ID],ROW()-1))</f>
        <v>Not Requested</v>
      </c>
      <c r="B395">
        <f>SampleList[[#This Row],[Duration (Days)]]</f>
        <v>0</v>
      </c>
      <c r="G395">
        <f>NMRResults[[#This Row],['#]]</f>
        <v>0</v>
      </c>
      <c r="H395" s="1">
        <f>NMRResults[[#This Row],[Date Run]]</f>
        <v>0</v>
      </c>
    </row>
    <row r="396" spans="1:8" hidden="1" x14ac:dyDescent="0.25">
      <c r="A396" t="str" cm="1">
        <f t="array" ref="A396">IF(AND(ISBLANK(INDEX(SampleList[pH],ROW()-1)),ISBLANK(INDEX(SampleList[Conductivity],ROW()-1)),ISBLANK(INDEX(SampleList[Modification],ROW()-1))),"Not Requested",INDEX(SampleList[Experiment ID],ROW()-1))</f>
        <v>Not Requested</v>
      </c>
      <c r="B396">
        <f>SampleList[[#This Row],[Duration (Days)]]</f>
        <v>0</v>
      </c>
      <c r="G396">
        <f>NMRResults[[#This Row],['#]]</f>
        <v>0</v>
      </c>
      <c r="H396" s="1">
        <f>NMRResults[[#This Row],[Date Run]]</f>
        <v>0</v>
      </c>
    </row>
    <row r="397" spans="1:8" hidden="1" x14ac:dyDescent="0.25">
      <c r="A397" t="str" cm="1">
        <f t="array" ref="A397">IF(AND(ISBLANK(INDEX(SampleList[pH],ROW()-1)),ISBLANK(INDEX(SampleList[Conductivity],ROW()-1)),ISBLANK(INDEX(SampleList[Modification],ROW()-1))),"Not Requested",INDEX(SampleList[Experiment ID],ROW()-1))</f>
        <v>Not Requested</v>
      </c>
      <c r="B397">
        <f>SampleList[[#This Row],[Duration (Days)]]</f>
        <v>0</v>
      </c>
      <c r="G397">
        <f>NMRResults[[#This Row],['#]]</f>
        <v>0</v>
      </c>
      <c r="H397" s="1">
        <f>NMRResults[[#This Row],[Date Run]]</f>
        <v>0</v>
      </c>
    </row>
    <row r="398" spans="1:8" hidden="1" x14ac:dyDescent="0.25">
      <c r="A398" t="str" cm="1">
        <f t="array" ref="A398">IF(AND(ISBLANK(INDEX(SampleList[pH],ROW()-1)),ISBLANK(INDEX(SampleList[Conductivity],ROW()-1)),ISBLANK(INDEX(SampleList[Modification],ROW()-1))),"Not Requested",INDEX(SampleList[Experiment ID],ROW()-1))</f>
        <v>Not Requested</v>
      </c>
      <c r="B398">
        <f>SampleList[[#This Row],[Duration (Days)]]</f>
        <v>0</v>
      </c>
      <c r="G398">
        <f>NMRResults[[#This Row],['#]]</f>
        <v>0</v>
      </c>
      <c r="H398" s="1">
        <f>NMRResults[[#This Row],[Date Run]]</f>
        <v>0</v>
      </c>
    </row>
    <row r="399" spans="1:8" hidden="1" x14ac:dyDescent="0.25">
      <c r="A399" t="str" cm="1">
        <f t="array" ref="A399">IF(AND(ISBLANK(INDEX(SampleList[pH],ROW()-1)),ISBLANK(INDEX(SampleList[Conductivity],ROW()-1)),ISBLANK(INDEX(SampleList[Modification],ROW()-1))),"Not Requested",INDEX(SampleList[Experiment ID],ROW()-1))</f>
        <v>Not Requested</v>
      </c>
      <c r="B399">
        <f>SampleList[[#This Row],[Duration (Days)]]</f>
        <v>0</v>
      </c>
      <c r="G399">
        <f>NMRResults[[#This Row],['#]]</f>
        <v>0</v>
      </c>
      <c r="H399" s="1">
        <f>NMRResults[[#This Row],[Date Run]]</f>
        <v>0</v>
      </c>
    </row>
    <row r="400" spans="1:8" hidden="1" x14ac:dyDescent="0.25">
      <c r="A400" t="str" cm="1">
        <f t="array" ref="A400">IF(AND(ISBLANK(INDEX(SampleList[pH],ROW()-1)),ISBLANK(INDEX(SampleList[Conductivity],ROW()-1)),ISBLANK(INDEX(SampleList[Modification],ROW()-1))),"Not Requested",INDEX(SampleList[Experiment ID],ROW()-1))</f>
        <v>Not Requested</v>
      </c>
      <c r="B400">
        <f>SampleList[[#This Row],[Duration (Days)]]</f>
        <v>0</v>
      </c>
      <c r="G400">
        <f>NMRResults[[#This Row],['#]]</f>
        <v>0</v>
      </c>
      <c r="H400" s="1">
        <f>NMRResults[[#This Row],[Date Run]]</f>
        <v>0</v>
      </c>
    </row>
    <row r="401" spans="1:8" hidden="1" x14ac:dyDescent="0.25">
      <c r="A401" t="str" cm="1">
        <f t="array" ref="A401">IF(AND(ISBLANK(INDEX(SampleList[pH],ROW()-1)),ISBLANK(INDEX(SampleList[Conductivity],ROW()-1)),ISBLANK(INDEX(SampleList[Modification],ROW()-1))),"Not Requested",INDEX(SampleList[Experiment ID],ROW()-1))</f>
        <v>Not Requested</v>
      </c>
      <c r="B401">
        <f>SampleList[[#This Row],[Duration (Days)]]</f>
        <v>0</v>
      </c>
      <c r="G401">
        <f>NMRResults[[#This Row],['#]]</f>
        <v>0</v>
      </c>
      <c r="H401" s="1">
        <f>NMRResults[[#This Row],[Date Run]]</f>
        <v>0</v>
      </c>
    </row>
    <row r="402" spans="1:8" hidden="1" x14ac:dyDescent="0.25">
      <c r="A402" t="str" cm="1">
        <f t="array" ref="A402">IF(AND(ISBLANK(INDEX(SampleList[pH],ROW()-1)),ISBLANK(INDEX(SampleList[Conductivity],ROW()-1)),ISBLANK(INDEX(SampleList[Modification],ROW()-1))),"Not Requested",INDEX(SampleList[Experiment ID],ROW()-1))</f>
        <v>Not Requested</v>
      </c>
      <c r="B402">
        <f>SampleList[[#This Row],[Duration (Days)]]</f>
        <v>0</v>
      </c>
      <c r="G402">
        <f>NMRResults[[#This Row],['#]]</f>
        <v>0</v>
      </c>
      <c r="H402" s="1">
        <f>NMRResults[[#This Row],[Date Run]]</f>
        <v>0</v>
      </c>
    </row>
    <row r="403" spans="1:8" hidden="1" x14ac:dyDescent="0.25">
      <c r="A403" t="str" cm="1">
        <f t="array" ref="A403">IF(AND(ISBLANK(INDEX(SampleList[pH],ROW()-1)),ISBLANK(INDEX(SampleList[Conductivity],ROW()-1)),ISBLANK(INDEX(SampleList[Modification],ROW()-1))),"Not Requested",INDEX(SampleList[Experiment ID],ROW()-1))</f>
        <v>Not Requested</v>
      </c>
      <c r="B403">
        <f>SampleList[[#This Row],[Duration (Days)]]</f>
        <v>0</v>
      </c>
      <c r="G403">
        <f>NMRResults[[#This Row],['#]]</f>
        <v>0</v>
      </c>
      <c r="H403" s="1">
        <f>NMRResults[[#This Row],[Date Run]]</f>
        <v>0</v>
      </c>
    </row>
    <row r="404" spans="1:8" hidden="1" x14ac:dyDescent="0.25">
      <c r="A404" t="str" cm="1">
        <f t="array" ref="A404">IF(AND(ISBLANK(INDEX(SampleList[pH],ROW()-1)),ISBLANK(INDEX(SampleList[Conductivity],ROW()-1)),ISBLANK(INDEX(SampleList[Modification],ROW()-1))),"Not Requested",INDEX(SampleList[Experiment ID],ROW()-1))</f>
        <v>Not Requested</v>
      </c>
      <c r="B404">
        <f>SampleList[[#This Row],[Duration (Days)]]</f>
        <v>0</v>
      </c>
      <c r="G404">
        <f>NMRResults[[#This Row],['#]]</f>
        <v>0</v>
      </c>
      <c r="H404" s="1">
        <f>NMRResults[[#This Row],[Date Run]]</f>
        <v>0</v>
      </c>
    </row>
    <row r="405" spans="1:8" hidden="1" x14ac:dyDescent="0.25">
      <c r="A405" t="str" cm="1">
        <f t="array" ref="A405">IF(AND(ISBLANK(INDEX(SampleList[pH],ROW()-1)),ISBLANK(INDEX(SampleList[Conductivity],ROW()-1)),ISBLANK(INDEX(SampleList[Modification],ROW()-1))),"Not Requested",INDEX(SampleList[Experiment ID],ROW()-1))</f>
        <v>Not Requested</v>
      </c>
      <c r="B405">
        <f>SampleList[[#This Row],[Duration (Days)]]</f>
        <v>0</v>
      </c>
      <c r="G405">
        <f>NMRResults[[#This Row],['#]]</f>
        <v>0</v>
      </c>
      <c r="H405" s="1">
        <f>NMRResults[[#This Row],[Date Run]]</f>
        <v>0</v>
      </c>
    </row>
    <row r="406" spans="1:8" hidden="1" x14ac:dyDescent="0.25">
      <c r="A406" t="str" cm="1">
        <f t="array" ref="A406">IF(AND(ISBLANK(INDEX(SampleList[pH],ROW()-1)),ISBLANK(INDEX(SampleList[Conductivity],ROW()-1)),ISBLANK(INDEX(SampleList[Modification],ROW()-1))),"Not Requested",INDEX(SampleList[Experiment ID],ROW()-1))</f>
        <v>Not Requested</v>
      </c>
      <c r="B406">
        <f>SampleList[[#This Row],[Duration (Days)]]</f>
        <v>0</v>
      </c>
      <c r="G406">
        <f>NMRResults[[#This Row],['#]]</f>
        <v>0</v>
      </c>
      <c r="H406" s="1">
        <f>NMRResults[[#This Row],[Date Run]]</f>
        <v>0</v>
      </c>
    </row>
    <row r="407" spans="1:8" hidden="1" x14ac:dyDescent="0.25">
      <c r="A407" t="str" cm="1">
        <f t="array" ref="A407">IF(AND(ISBLANK(INDEX(SampleList[pH],ROW()-1)),ISBLANK(INDEX(SampleList[Conductivity],ROW()-1)),ISBLANK(INDEX(SampleList[Modification],ROW()-1))),"Not Requested",INDEX(SampleList[Experiment ID],ROW()-1))</f>
        <v>Not Requested</v>
      </c>
      <c r="B407">
        <f>SampleList[[#This Row],[Duration (Days)]]</f>
        <v>0</v>
      </c>
      <c r="G407">
        <f>NMRResults[[#This Row],['#]]</f>
        <v>0</v>
      </c>
      <c r="H407" s="1">
        <f>NMRResults[[#This Row],[Date Run]]</f>
        <v>0</v>
      </c>
    </row>
    <row r="408" spans="1:8" hidden="1" x14ac:dyDescent="0.25">
      <c r="A408" t="str" cm="1">
        <f t="array" ref="A408">IF(AND(ISBLANK(INDEX(SampleList[pH],ROW()-1)),ISBLANK(INDEX(SampleList[Conductivity],ROW()-1)),ISBLANK(INDEX(SampleList[Modification],ROW()-1))),"Not Requested",INDEX(SampleList[Experiment ID],ROW()-1))</f>
        <v>Not Requested</v>
      </c>
      <c r="B408">
        <f>SampleList[[#This Row],[Duration (Days)]]</f>
        <v>0</v>
      </c>
      <c r="G408">
        <f>NMRResults[[#This Row],['#]]</f>
        <v>0</v>
      </c>
      <c r="H408" s="1">
        <f>NMRResults[[#This Row],[Date Run]]</f>
        <v>0</v>
      </c>
    </row>
    <row r="409" spans="1:8" hidden="1" x14ac:dyDescent="0.25">
      <c r="A409" t="str" cm="1">
        <f t="array" ref="A409">IF(AND(ISBLANK(INDEX(SampleList[pH],ROW()-1)),ISBLANK(INDEX(SampleList[Conductivity],ROW()-1)),ISBLANK(INDEX(SampleList[Modification],ROW()-1))),"Not Requested",INDEX(SampleList[Experiment ID],ROW()-1))</f>
        <v>Not Requested</v>
      </c>
      <c r="B409">
        <f>SampleList[[#This Row],[Duration (Days)]]</f>
        <v>0</v>
      </c>
      <c r="G409">
        <f>NMRResults[[#This Row],['#]]</f>
        <v>0</v>
      </c>
      <c r="H409" s="1">
        <f>NMRResults[[#This Row],[Date Run]]</f>
        <v>0</v>
      </c>
    </row>
    <row r="410" spans="1:8" hidden="1" x14ac:dyDescent="0.25">
      <c r="A410" t="str" cm="1">
        <f t="array" ref="A410">IF(AND(ISBLANK(INDEX(SampleList[pH],ROW()-1)),ISBLANK(INDEX(SampleList[Conductivity],ROW()-1)),ISBLANK(INDEX(SampleList[Modification],ROW()-1))),"Not Requested",INDEX(SampleList[Experiment ID],ROW()-1))</f>
        <v>Not Requested</v>
      </c>
      <c r="B410">
        <f>SampleList[[#This Row],[Duration (Days)]]</f>
        <v>0</v>
      </c>
      <c r="G410">
        <f>NMRResults[[#This Row],['#]]</f>
        <v>0</v>
      </c>
      <c r="H410" s="1">
        <f>NMRResults[[#This Row],[Date Run]]</f>
        <v>0</v>
      </c>
    </row>
    <row r="411" spans="1:8" hidden="1" x14ac:dyDescent="0.25">
      <c r="A411" t="str" cm="1">
        <f t="array" ref="A411">IF(AND(ISBLANK(INDEX(SampleList[pH],ROW()-1)),ISBLANK(INDEX(SampleList[Conductivity],ROW()-1)),ISBLANK(INDEX(SampleList[Modification],ROW()-1))),"Not Requested",INDEX(SampleList[Experiment ID],ROW()-1))</f>
        <v>Not Requested</v>
      </c>
      <c r="B411">
        <f>SampleList[[#This Row],[Duration (Days)]]</f>
        <v>0</v>
      </c>
      <c r="G411">
        <f>NMRResults[[#This Row],['#]]</f>
        <v>0</v>
      </c>
      <c r="H411" s="1">
        <f>NMRResults[[#This Row],[Date Run]]</f>
        <v>0</v>
      </c>
    </row>
    <row r="412" spans="1:8" hidden="1" x14ac:dyDescent="0.25">
      <c r="A412" t="str" cm="1">
        <f t="array" ref="A412">IF(AND(ISBLANK(INDEX(SampleList[pH],ROW()-1)),ISBLANK(INDEX(SampleList[Conductivity],ROW()-1)),ISBLANK(INDEX(SampleList[Modification],ROW()-1))),"Not Requested",INDEX(SampleList[Experiment ID],ROW()-1))</f>
        <v>Not Requested</v>
      </c>
      <c r="B412">
        <f>SampleList[[#This Row],[Duration (Days)]]</f>
        <v>0</v>
      </c>
      <c r="G412">
        <f>NMRResults[[#This Row],['#]]</f>
        <v>0</v>
      </c>
      <c r="H412" s="1">
        <f>NMRResults[[#This Row],[Date Run]]</f>
        <v>0</v>
      </c>
    </row>
    <row r="413" spans="1:8" hidden="1" x14ac:dyDescent="0.25">
      <c r="A413" t="str" cm="1">
        <f t="array" ref="A413">IF(AND(ISBLANK(INDEX(SampleList[pH],ROW()-1)),ISBLANK(INDEX(SampleList[Conductivity],ROW()-1)),ISBLANK(INDEX(SampleList[Modification],ROW()-1))),"Not Requested",INDEX(SampleList[Experiment ID],ROW()-1))</f>
        <v>Not Requested</v>
      </c>
      <c r="B413">
        <f>SampleList[[#This Row],[Duration (Days)]]</f>
        <v>0</v>
      </c>
      <c r="G413">
        <f>NMRResults[[#This Row],['#]]</f>
        <v>0</v>
      </c>
      <c r="H413" s="1">
        <f>NMRResults[[#This Row],[Date Run]]</f>
        <v>0</v>
      </c>
    </row>
    <row r="414" spans="1:8" hidden="1" x14ac:dyDescent="0.25">
      <c r="A414" t="str" cm="1">
        <f t="array" ref="A414">IF(AND(ISBLANK(INDEX(SampleList[pH],ROW()-1)),ISBLANK(INDEX(SampleList[Conductivity],ROW()-1)),ISBLANK(INDEX(SampleList[Modification],ROW()-1))),"Not Requested",INDEX(SampleList[Experiment ID],ROW()-1))</f>
        <v>Not Requested</v>
      </c>
      <c r="B414">
        <f>SampleList[[#This Row],[Duration (Days)]]</f>
        <v>0</v>
      </c>
      <c r="G414">
        <f>NMRResults[[#This Row],['#]]</f>
        <v>0</v>
      </c>
      <c r="H414" s="1">
        <f>NMRResults[[#This Row],[Date Run]]</f>
        <v>0</v>
      </c>
    </row>
    <row r="415" spans="1:8" hidden="1" x14ac:dyDescent="0.25">
      <c r="A415" t="str" cm="1">
        <f t="array" ref="A415">IF(AND(ISBLANK(INDEX(SampleList[pH],ROW()-1)),ISBLANK(INDEX(SampleList[Conductivity],ROW()-1)),ISBLANK(INDEX(SampleList[Modification],ROW()-1))),"Not Requested",INDEX(SampleList[Experiment ID],ROW()-1))</f>
        <v>Not Requested</v>
      </c>
      <c r="B415">
        <f>SampleList[[#This Row],[Duration (Days)]]</f>
        <v>0</v>
      </c>
      <c r="G415">
        <f>NMRResults[[#This Row],['#]]</f>
        <v>0</v>
      </c>
      <c r="H415" s="1">
        <f>NMRResults[[#This Row],[Date Run]]</f>
        <v>0</v>
      </c>
    </row>
    <row r="416" spans="1:8" hidden="1" x14ac:dyDescent="0.25">
      <c r="A416" t="str" cm="1">
        <f t="array" ref="A416">IF(AND(ISBLANK(INDEX(SampleList[pH],ROW()-1)),ISBLANK(INDEX(SampleList[Conductivity],ROW()-1)),ISBLANK(INDEX(SampleList[Modification],ROW()-1))),"Not Requested",INDEX(SampleList[Experiment ID],ROW()-1))</f>
        <v>Not Requested</v>
      </c>
      <c r="B416">
        <f>SampleList[[#This Row],[Duration (Days)]]</f>
        <v>0</v>
      </c>
      <c r="G416">
        <f>NMRResults[[#This Row],['#]]</f>
        <v>0</v>
      </c>
      <c r="H416" s="1">
        <f>NMRResults[[#This Row],[Date Run]]</f>
        <v>0</v>
      </c>
    </row>
    <row r="417" spans="1:8" hidden="1" x14ac:dyDescent="0.25">
      <c r="A417" t="str" cm="1">
        <f t="array" ref="A417">IF(AND(ISBLANK(INDEX(SampleList[pH],ROW()-1)),ISBLANK(INDEX(SampleList[Conductivity],ROW()-1)),ISBLANK(INDEX(SampleList[Modification],ROW()-1))),"Not Requested",INDEX(SampleList[Experiment ID],ROW()-1))</f>
        <v>Not Requested</v>
      </c>
      <c r="B417">
        <f>SampleList[[#This Row],[Duration (Days)]]</f>
        <v>0</v>
      </c>
      <c r="G417">
        <f>NMRResults[[#This Row],['#]]</f>
        <v>0</v>
      </c>
      <c r="H417" s="1">
        <f>NMRResults[[#This Row],[Date Run]]</f>
        <v>0</v>
      </c>
    </row>
    <row r="418" spans="1:8" hidden="1" x14ac:dyDescent="0.25">
      <c r="A418" t="str" cm="1">
        <f t="array" ref="A418">IF(AND(ISBLANK(INDEX(SampleList[pH],ROW()-1)),ISBLANK(INDEX(SampleList[Conductivity],ROW()-1)),ISBLANK(INDEX(SampleList[Modification],ROW()-1))),"Not Requested",INDEX(SampleList[Experiment ID],ROW()-1))</f>
        <v>Not Requested</v>
      </c>
      <c r="B418">
        <f>SampleList[[#This Row],[Duration (Days)]]</f>
        <v>0</v>
      </c>
      <c r="G418">
        <f>NMRResults[[#This Row],['#]]</f>
        <v>0</v>
      </c>
      <c r="H418" s="1">
        <f>NMRResults[[#This Row],[Date Run]]</f>
        <v>0</v>
      </c>
    </row>
    <row r="419" spans="1:8" hidden="1" x14ac:dyDescent="0.25">
      <c r="A419" t="str" cm="1">
        <f t="array" ref="A419">IF(AND(ISBLANK(INDEX(SampleList[pH],ROW()-1)),ISBLANK(INDEX(SampleList[Conductivity],ROW()-1)),ISBLANK(INDEX(SampleList[Modification],ROW()-1))),"Not Requested",INDEX(SampleList[Experiment ID],ROW()-1))</f>
        <v>Not Requested</v>
      </c>
      <c r="B419">
        <f>SampleList[[#This Row],[Duration (Days)]]</f>
        <v>0</v>
      </c>
      <c r="G419">
        <f>NMRResults[[#This Row],['#]]</f>
        <v>0</v>
      </c>
      <c r="H419" s="1">
        <f>NMRResults[[#This Row],[Date Run]]</f>
        <v>0</v>
      </c>
    </row>
    <row r="420" spans="1:8" hidden="1" x14ac:dyDescent="0.25">
      <c r="A420" t="str" cm="1">
        <f t="array" ref="A420">IF(AND(ISBLANK(INDEX(SampleList[pH],ROW()-1)),ISBLANK(INDEX(SampleList[Conductivity],ROW()-1)),ISBLANK(INDEX(SampleList[Modification],ROW()-1))),"Not Requested",INDEX(SampleList[Experiment ID],ROW()-1))</f>
        <v>Not Requested</v>
      </c>
      <c r="B420">
        <f>SampleList[[#This Row],[Duration (Days)]]</f>
        <v>0</v>
      </c>
      <c r="G420">
        <f>NMRResults[[#This Row],['#]]</f>
        <v>0</v>
      </c>
      <c r="H420" s="1">
        <f>NMRResults[[#This Row],[Date Run]]</f>
        <v>0</v>
      </c>
    </row>
    <row r="421" spans="1:8" hidden="1" x14ac:dyDescent="0.25">
      <c r="A421" t="str" cm="1">
        <f t="array" ref="A421">IF(AND(ISBLANK(INDEX(SampleList[pH],ROW()-1)),ISBLANK(INDEX(SampleList[Conductivity],ROW()-1)),ISBLANK(INDEX(SampleList[Modification],ROW()-1))),"Not Requested",INDEX(SampleList[Experiment ID],ROW()-1))</f>
        <v>Not Requested</v>
      </c>
      <c r="B421">
        <f>SampleList[[#This Row],[Duration (Days)]]</f>
        <v>0</v>
      </c>
      <c r="G421">
        <f>NMRResults[[#This Row],['#]]</f>
        <v>0</v>
      </c>
      <c r="H421" s="1">
        <f>NMRResults[[#This Row],[Date Run]]</f>
        <v>0</v>
      </c>
    </row>
    <row r="422" spans="1:8" hidden="1" x14ac:dyDescent="0.25">
      <c r="A422" t="str" cm="1">
        <f t="array" ref="A422">IF(AND(ISBLANK(INDEX(SampleList[pH],ROW()-1)),ISBLANK(INDEX(SampleList[Conductivity],ROW()-1)),ISBLANK(INDEX(SampleList[Modification],ROW()-1))),"Not Requested",INDEX(SampleList[Experiment ID],ROW()-1))</f>
        <v>Not Requested</v>
      </c>
      <c r="B422">
        <f>SampleList[[#This Row],[Duration (Days)]]</f>
        <v>0</v>
      </c>
      <c r="G422">
        <f>NMRResults[[#This Row],['#]]</f>
        <v>0</v>
      </c>
      <c r="H422" s="1">
        <f>NMRResults[[#This Row],[Date Run]]</f>
        <v>0</v>
      </c>
    </row>
    <row r="423" spans="1:8" hidden="1" x14ac:dyDescent="0.25">
      <c r="A423" t="str" cm="1">
        <f t="array" ref="A423">IF(AND(ISBLANK(INDEX(SampleList[pH],ROW()-1)),ISBLANK(INDEX(SampleList[Conductivity],ROW()-1)),ISBLANK(INDEX(SampleList[Modification],ROW()-1))),"Not Requested",INDEX(SampleList[Experiment ID],ROW()-1))</f>
        <v>Not Requested</v>
      </c>
      <c r="B423">
        <f>SampleList[[#This Row],[Duration (Days)]]</f>
        <v>0</v>
      </c>
      <c r="G423">
        <f>NMRResults[[#This Row],['#]]</f>
        <v>0</v>
      </c>
      <c r="H423" s="1">
        <f>NMRResults[[#This Row],[Date Run]]</f>
        <v>0</v>
      </c>
    </row>
    <row r="424" spans="1:8" hidden="1" x14ac:dyDescent="0.25">
      <c r="A424" t="str" cm="1">
        <f t="array" ref="A424">IF(AND(ISBLANK(INDEX(SampleList[pH],ROW()-1)),ISBLANK(INDEX(SampleList[Conductivity],ROW()-1)),ISBLANK(INDEX(SampleList[Modification],ROW()-1))),"Not Requested",INDEX(SampleList[Experiment ID],ROW()-1))</f>
        <v>Not Requested</v>
      </c>
      <c r="B424">
        <f>SampleList[[#This Row],[Duration (Days)]]</f>
        <v>0</v>
      </c>
      <c r="G424">
        <f>NMRResults[[#This Row],['#]]</f>
        <v>0</v>
      </c>
      <c r="H424" s="1">
        <f>NMRResults[[#This Row],[Date Run]]</f>
        <v>0</v>
      </c>
    </row>
    <row r="425" spans="1:8" hidden="1" x14ac:dyDescent="0.25">
      <c r="A425" t="str" cm="1">
        <f t="array" ref="A425">IF(AND(ISBLANK(INDEX(SampleList[pH],ROW()-1)),ISBLANK(INDEX(SampleList[Conductivity],ROW()-1)),ISBLANK(INDEX(SampleList[Modification],ROW()-1))),"Not Requested",INDEX(SampleList[Experiment ID],ROW()-1))</f>
        <v>Not Requested</v>
      </c>
      <c r="B425">
        <f>SampleList[[#This Row],[Duration (Days)]]</f>
        <v>0</v>
      </c>
      <c r="G425">
        <f>NMRResults[[#This Row],['#]]</f>
        <v>0</v>
      </c>
      <c r="H425" s="1">
        <f>NMRResults[[#This Row],[Date Run]]</f>
        <v>0</v>
      </c>
    </row>
    <row r="426" spans="1:8" hidden="1" x14ac:dyDescent="0.25">
      <c r="A426" t="str" cm="1">
        <f t="array" ref="A426">IF(AND(ISBLANK(INDEX(SampleList[pH],ROW()-1)),ISBLANK(INDEX(SampleList[Conductivity],ROW()-1)),ISBLANK(INDEX(SampleList[Modification],ROW()-1))),"Not Requested",INDEX(SampleList[Experiment ID],ROW()-1))</f>
        <v>Not Requested</v>
      </c>
      <c r="B426">
        <f>SampleList[[#This Row],[Duration (Days)]]</f>
        <v>0</v>
      </c>
      <c r="G426">
        <f>NMRResults[[#This Row],['#]]</f>
        <v>0</v>
      </c>
      <c r="H426" s="1">
        <f>NMRResults[[#This Row],[Date Run]]</f>
        <v>0</v>
      </c>
    </row>
    <row r="427" spans="1:8" hidden="1" x14ac:dyDescent="0.25">
      <c r="A427" t="str" cm="1">
        <f t="array" ref="A427">IF(AND(ISBLANK(INDEX(SampleList[pH],ROW()-1)),ISBLANK(INDEX(SampleList[Conductivity],ROW()-1)),ISBLANK(INDEX(SampleList[Modification],ROW()-1))),"Not Requested",INDEX(SampleList[Experiment ID],ROW()-1))</f>
        <v>Not Requested</v>
      </c>
      <c r="B427">
        <f>SampleList[[#This Row],[Duration (Days)]]</f>
        <v>0</v>
      </c>
      <c r="G427">
        <f>NMRResults[[#This Row],['#]]</f>
        <v>0</v>
      </c>
      <c r="H427" s="1">
        <f>NMRResults[[#This Row],[Date Run]]</f>
        <v>0</v>
      </c>
    </row>
    <row r="428" spans="1:8" hidden="1" x14ac:dyDescent="0.25">
      <c r="A428" t="str" cm="1">
        <f t="array" ref="A428">IF(AND(ISBLANK(INDEX(SampleList[pH],ROW()-1)),ISBLANK(INDEX(SampleList[Conductivity],ROW()-1)),ISBLANK(INDEX(SampleList[Modification],ROW()-1))),"Not Requested",INDEX(SampleList[Experiment ID],ROW()-1))</f>
        <v>Not Requested</v>
      </c>
      <c r="B428">
        <f>SampleList[[#This Row],[Duration (Days)]]</f>
        <v>0</v>
      </c>
      <c r="G428">
        <f>NMRResults[[#This Row],['#]]</f>
        <v>0</v>
      </c>
      <c r="H428" s="1">
        <f>NMRResults[[#This Row],[Date Run]]</f>
        <v>0</v>
      </c>
    </row>
    <row r="429" spans="1:8" hidden="1" x14ac:dyDescent="0.25">
      <c r="A429" t="str" cm="1">
        <f t="array" ref="A429">IF(AND(ISBLANK(INDEX(SampleList[pH],ROW()-1)),ISBLANK(INDEX(SampleList[Conductivity],ROW()-1)),ISBLANK(INDEX(SampleList[Modification],ROW()-1))),"Not Requested",INDEX(SampleList[Experiment ID],ROW()-1))</f>
        <v>Not Requested</v>
      </c>
      <c r="B429">
        <f>SampleList[[#This Row],[Duration (Days)]]</f>
        <v>0</v>
      </c>
      <c r="G429">
        <f>NMRResults[[#This Row],['#]]</f>
        <v>0</v>
      </c>
      <c r="H429" s="1">
        <f>NMRResults[[#This Row],[Date Run]]</f>
        <v>0</v>
      </c>
    </row>
    <row r="430" spans="1:8" hidden="1" x14ac:dyDescent="0.25">
      <c r="A430" t="str" cm="1">
        <f t="array" ref="A430">IF(AND(ISBLANK(INDEX(SampleList[pH],ROW()-1)),ISBLANK(INDEX(SampleList[Conductivity],ROW()-1)),ISBLANK(INDEX(SampleList[Modification],ROW()-1))),"Not Requested",INDEX(SampleList[Experiment ID],ROW()-1))</f>
        <v>Not Requested</v>
      </c>
      <c r="B430">
        <f>SampleList[[#This Row],[Duration (Days)]]</f>
        <v>0</v>
      </c>
      <c r="G430">
        <f>NMRResults[[#This Row],['#]]</f>
        <v>0</v>
      </c>
      <c r="H430" s="1">
        <f>NMRResults[[#This Row],[Date Run]]</f>
        <v>0</v>
      </c>
    </row>
    <row r="431" spans="1:8" hidden="1" x14ac:dyDescent="0.25">
      <c r="A431" t="str" cm="1">
        <f t="array" ref="A431">IF(AND(ISBLANK(INDEX(SampleList[pH],ROW()-1)),ISBLANK(INDEX(SampleList[Conductivity],ROW()-1)),ISBLANK(INDEX(SampleList[Modification],ROW()-1))),"Not Requested",INDEX(SampleList[Experiment ID],ROW()-1))</f>
        <v>Not Requested</v>
      </c>
      <c r="B431">
        <f>SampleList[[#This Row],[Duration (Days)]]</f>
        <v>0</v>
      </c>
      <c r="G431">
        <f>NMRResults[[#This Row],['#]]</f>
        <v>0</v>
      </c>
      <c r="H431" s="1">
        <f>NMRResults[[#This Row],[Date Run]]</f>
        <v>0</v>
      </c>
    </row>
    <row r="432" spans="1:8" hidden="1" x14ac:dyDescent="0.25">
      <c r="A432" t="str" cm="1">
        <f t="array" ref="A432">IF(AND(ISBLANK(INDEX(SampleList[pH],ROW()-1)),ISBLANK(INDEX(SampleList[Conductivity],ROW()-1)),ISBLANK(INDEX(SampleList[Modification],ROW()-1))),"Not Requested",INDEX(SampleList[Experiment ID],ROW()-1))</f>
        <v>Not Requested</v>
      </c>
      <c r="B432">
        <f>SampleList[[#This Row],[Duration (Days)]]</f>
        <v>0</v>
      </c>
      <c r="G432">
        <f>NMRResults[[#This Row],['#]]</f>
        <v>0</v>
      </c>
      <c r="H432" s="1">
        <f>NMRResults[[#This Row],[Date Run]]</f>
        <v>0</v>
      </c>
    </row>
    <row r="433" spans="1:8" hidden="1" x14ac:dyDescent="0.25">
      <c r="A433" t="str" cm="1">
        <f t="array" ref="A433">IF(AND(ISBLANK(INDEX(SampleList[pH],ROW()-1)),ISBLANK(INDEX(SampleList[Conductivity],ROW()-1)),ISBLANK(INDEX(SampleList[Modification],ROW()-1))),"Not Requested",INDEX(SampleList[Experiment ID],ROW()-1))</f>
        <v>Not Requested</v>
      </c>
      <c r="B433">
        <f>SampleList[[#This Row],[Duration (Days)]]</f>
        <v>0</v>
      </c>
      <c r="G433">
        <f>NMRResults[[#This Row],['#]]</f>
        <v>0</v>
      </c>
      <c r="H433" s="1">
        <f>NMRResults[[#This Row],[Date Run]]</f>
        <v>0</v>
      </c>
    </row>
    <row r="434" spans="1:8" hidden="1" x14ac:dyDescent="0.25">
      <c r="A434" t="str" cm="1">
        <f t="array" ref="A434">IF(AND(ISBLANK(INDEX(SampleList[pH],ROW()-1)),ISBLANK(INDEX(SampleList[Conductivity],ROW()-1)),ISBLANK(INDEX(SampleList[Modification],ROW()-1))),"Not Requested",INDEX(SampleList[Experiment ID],ROW()-1))</f>
        <v>Not Requested</v>
      </c>
      <c r="B434">
        <f>SampleList[[#This Row],[Duration (Days)]]</f>
        <v>0</v>
      </c>
      <c r="G434">
        <f>NMRResults[[#This Row],['#]]</f>
        <v>0</v>
      </c>
      <c r="H434" s="1">
        <f>NMRResults[[#This Row],[Date Run]]</f>
        <v>0</v>
      </c>
    </row>
    <row r="435" spans="1:8" hidden="1" x14ac:dyDescent="0.25">
      <c r="A435" t="str" cm="1">
        <f t="array" ref="A435">IF(AND(ISBLANK(INDEX(SampleList[pH],ROW()-1)),ISBLANK(INDEX(SampleList[Conductivity],ROW()-1)),ISBLANK(INDEX(SampleList[Modification],ROW()-1))),"Not Requested",INDEX(SampleList[Experiment ID],ROW()-1))</f>
        <v>Not Requested</v>
      </c>
      <c r="B435">
        <f>SampleList[[#This Row],[Duration (Days)]]</f>
        <v>0</v>
      </c>
      <c r="G435">
        <f>NMRResults[[#This Row],['#]]</f>
        <v>0</v>
      </c>
      <c r="H435" s="1">
        <f>NMRResults[[#This Row],[Date Run]]</f>
        <v>0</v>
      </c>
    </row>
    <row r="436" spans="1:8" hidden="1" x14ac:dyDescent="0.25">
      <c r="A436" t="str" cm="1">
        <f t="array" ref="A436">IF(AND(ISBLANK(INDEX(SampleList[pH],ROW()-1)),ISBLANK(INDEX(SampleList[Conductivity],ROW()-1)),ISBLANK(INDEX(SampleList[Modification],ROW()-1))),"Not Requested",INDEX(SampleList[Experiment ID],ROW()-1))</f>
        <v>Not Requested</v>
      </c>
      <c r="B436">
        <f>SampleList[[#This Row],[Duration (Days)]]</f>
        <v>0</v>
      </c>
      <c r="G436">
        <f>NMRResults[[#This Row],['#]]</f>
        <v>0</v>
      </c>
      <c r="H436" s="1">
        <f>NMRResults[[#This Row],[Date Run]]</f>
        <v>0</v>
      </c>
    </row>
    <row r="437" spans="1:8" hidden="1" x14ac:dyDescent="0.25">
      <c r="A437" t="str" cm="1">
        <f t="array" ref="A437">IF(AND(ISBLANK(INDEX(SampleList[pH],ROW()-1)),ISBLANK(INDEX(SampleList[Conductivity],ROW()-1)),ISBLANK(INDEX(SampleList[Modification],ROW()-1))),"Not Requested",INDEX(SampleList[Experiment ID],ROW()-1))</f>
        <v>Not Requested</v>
      </c>
      <c r="B437">
        <f>SampleList[[#This Row],[Duration (Days)]]</f>
        <v>0</v>
      </c>
      <c r="G437">
        <f>NMRResults[[#This Row],['#]]</f>
        <v>0</v>
      </c>
      <c r="H437" s="1">
        <f>NMRResults[[#This Row],[Date Run]]</f>
        <v>0</v>
      </c>
    </row>
    <row r="438" spans="1:8" hidden="1" x14ac:dyDescent="0.25">
      <c r="A438" t="str" cm="1">
        <f t="array" ref="A438">IF(AND(ISBLANK(INDEX(SampleList[pH],ROW()-1)),ISBLANK(INDEX(SampleList[Conductivity],ROW()-1)),ISBLANK(INDEX(SampleList[Modification],ROW()-1))),"Not Requested",INDEX(SampleList[Experiment ID],ROW()-1))</f>
        <v>Not Requested</v>
      </c>
      <c r="B438">
        <f>SampleList[[#This Row],[Duration (Days)]]</f>
        <v>0</v>
      </c>
      <c r="G438">
        <f>NMRResults[[#This Row],['#]]</f>
        <v>0</v>
      </c>
      <c r="H438" s="1">
        <f>NMRResults[[#This Row],[Date Run]]</f>
        <v>0</v>
      </c>
    </row>
    <row r="439" spans="1:8" hidden="1" x14ac:dyDescent="0.25">
      <c r="A439" t="str" cm="1">
        <f t="array" ref="A439">IF(AND(ISBLANK(INDEX(SampleList[pH],ROW()-1)),ISBLANK(INDEX(SampleList[Conductivity],ROW()-1)),ISBLANK(INDEX(SampleList[Modification],ROW()-1))),"Not Requested",INDEX(SampleList[Experiment ID],ROW()-1))</f>
        <v>Not Requested</v>
      </c>
      <c r="B439">
        <f>SampleList[[#This Row],[Duration (Days)]]</f>
        <v>0</v>
      </c>
      <c r="G439">
        <f>NMRResults[[#This Row],['#]]</f>
        <v>0</v>
      </c>
      <c r="H439" s="1">
        <f>NMRResults[[#This Row],[Date Run]]</f>
        <v>0</v>
      </c>
    </row>
    <row r="440" spans="1:8" hidden="1" x14ac:dyDescent="0.25">
      <c r="A440" t="str" cm="1">
        <f t="array" ref="A440">IF(AND(ISBLANK(INDEX(SampleList[pH],ROW()-1)),ISBLANK(INDEX(SampleList[Conductivity],ROW()-1)),ISBLANK(INDEX(SampleList[Modification],ROW()-1))),"Not Requested",INDEX(SampleList[Experiment ID],ROW()-1))</f>
        <v>Not Requested</v>
      </c>
      <c r="B440">
        <f>SampleList[[#This Row],[Duration (Days)]]</f>
        <v>0</v>
      </c>
      <c r="G440">
        <f>NMRResults[[#This Row],['#]]</f>
        <v>0</v>
      </c>
      <c r="H440" s="1">
        <f>NMRResults[[#This Row],[Date Run]]</f>
        <v>0</v>
      </c>
    </row>
    <row r="441" spans="1:8" hidden="1" x14ac:dyDescent="0.25">
      <c r="A441" t="str" cm="1">
        <f t="array" ref="A441">IF(AND(ISBLANK(INDEX(SampleList[pH],ROW()-1)),ISBLANK(INDEX(SampleList[Conductivity],ROW()-1)),ISBLANK(INDEX(SampleList[Modification],ROW()-1))),"Not Requested",INDEX(SampleList[Experiment ID],ROW()-1))</f>
        <v>Not Requested</v>
      </c>
      <c r="B441">
        <f>SampleList[[#This Row],[Duration (Days)]]</f>
        <v>0</v>
      </c>
      <c r="G441">
        <f>NMRResults[[#This Row],['#]]</f>
        <v>0</v>
      </c>
      <c r="H441" s="1">
        <f>NMRResults[[#This Row],[Date Run]]</f>
        <v>0</v>
      </c>
    </row>
    <row r="442" spans="1:8" hidden="1" x14ac:dyDescent="0.25">
      <c r="A442" t="str" cm="1">
        <f t="array" ref="A442">IF(AND(ISBLANK(INDEX(SampleList[pH],ROW()-1)),ISBLANK(INDEX(SampleList[Conductivity],ROW()-1)),ISBLANK(INDEX(SampleList[Modification],ROW()-1))),"Not Requested",INDEX(SampleList[Experiment ID],ROW()-1))</f>
        <v>Not Requested</v>
      </c>
      <c r="B442">
        <f>SampleList[[#This Row],[Duration (Days)]]</f>
        <v>0</v>
      </c>
      <c r="G442">
        <f>NMRResults[[#This Row],['#]]</f>
        <v>0</v>
      </c>
      <c r="H442" s="1">
        <f>NMRResults[[#This Row],[Date Run]]</f>
        <v>0</v>
      </c>
    </row>
    <row r="443" spans="1:8" hidden="1" x14ac:dyDescent="0.25">
      <c r="A443" t="str" cm="1">
        <f t="array" ref="A443">IF(AND(ISBLANK(INDEX(SampleList[pH],ROW()-1)),ISBLANK(INDEX(SampleList[Conductivity],ROW()-1)),ISBLANK(INDEX(SampleList[Modification],ROW()-1))),"Not Requested",INDEX(SampleList[Experiment ID],ROW()-1))</f>
        <v>Not Requested</v>
      </c>
      <c r="B443">
        <f>SampleList[[#This Row],[Duration (Days)]]</f>
        <v>0</v>
      </c>
      <c r="G443">
        <f>NMRResults[[#This Row],['#]]</f>
        <v>0</v>
      </c>
      <c r="H443" s="1">
        <f>NMRResults[[#This Row],[Date Run]]</f>
        <v>0</v>
      </c>
    </row>
    <row r="444" spans="1:8" hidden="1" x14ac:dyDescent="0.25">
      <c r="A444" t="str" cm="1">
        <f t="array" ref="A444">IF(AND(ISBLANK(INDEX(SampleList[pH],ROW()-1)),ISBLANK(INDEX(SampleList[Conductivity],ROW()-1)),ISBLANK(INDEX(SampleList[Modification],ROW()-1))),"Not Requested",INDEX(SampleList[Experiment ID],ROW()-1))</f>
        <v>Not Requested</v>
      </c>
      <c r="B444">
        <f>SampleList[[#This Row],[Duration (Days)]]</f>
        <v>0</v>
      </c>
      <c r="G444">
        <f>NMRResults[[#This Row],['#]]</f>
        <v>0</v>
      </c>
      <c r="H444" s="1">
        <f>NMRResults[[#This Row],[Date Run]]</f>
        <v>0</v>
      </c>
    </row>
    <row r="445" spans="1:8" hidden="1" x14ac:dyDescent="0.25">
      <c r="A445" t="str" cm="1">
        <f t="array" ref="A445">IF(AND(ISBLANK(INDEX(SampleList[pH],ROW()-1)),ISBLANK(INDEX(SampleList[Conductivity],ROW()-1)),ISBLANK(INDEX(SampleList[Modification],ROW()-1))),"Not Requested",INDEX(SampleList[Experiment ID],ROW()-1))</f>
        <v>Not Requested</v>
      </c>
      <c r="B445">
        <f>SampleList[[#This Row],[Duration (Days)]]</f>
        <v>0</v>
      </c>
      <c r="G445">
        <f>NMRResults[[#This Row],['#]]</f>
        <v>0</v>
      </c>
      <c r="H445" s="1">
        <f>NMRResults[[#This Row],[Date Run]]</f>
        <v>0</v>
      </c>
    </row>
    <row r="446" spans="1:8" hidden="1" x14ac:dyDescent="0.25">
      <c r="A446" t="str" cm="1">
        <f t="array" ref="A446">IF(AND(ISBLANK(INDEX(SampleList[pH],ROW()-1)),ISBLANK(INDEX(SampleList[Conductivity],ROW()-1)),ISBLANK(INDEX(SampleList[Modification],ROW()-1))),"Not Requested",INDEX(SampleList[Experiment ID],ROW()-1))</f>
        <v>Not Requested</v>
      </c>
      <c r="B446">
        <f>SampleList[[#This Row],[Duration (Days)]]</f>
        <v>0</v>
      </c>
      <c r="G446">
        <f>NMRResults[[#This Row],['#]]</f>
        <v>0</v>
      </c>
      <c r="H446" s="1">
        <f>NMRResults[[#This Row],[Date Run]]</f>
        <v>0</v>
      </c>
    </row>
    <row r="447" spans="1:8" hidden="1" x14ac:dyDescent="0.25">
      <c r="A447" t="str" cm="1">
        <f t="array" ref="A447">IF(AND(ISBLANK(INDEX(SampleList[pH],ROW()-1)),ISBLANK(INDEX(SampleList[Conductivity],ROW()-1)),ISBLANK(INDEX(SampleList[Modification],ROW()-1))),"Not Requested",INDEX(SampleList[Experiment ID],ROW()-1))</f>
        <v>Not Requested</v>
      </c>
      <c r="B447">
        <f>SampleList[[#This Row],[Duration (Days)]]</f>
        <v>0</v>
      </c>
      <c r="G447">
        <f>NMRResults[[#This Row],['#]]</f>
        <v>0</v>
      </c>
      <c r="H447" s="1">
        <f>NMRResults[[#This Row],[Date Run]]</f>
        <v>0</v>
      </c>
    </row>
    <row r="448" spans="1:8" hidden="1" x14ac:dyDescent="0.25">
      <c r="A448" t="str" cm="1">
        <f t="array" ref="A448">IF(AND(ISBLANK(INDEX(SampleList[pH],ROW()-1)),ISBLANK(INDEX(SampleList[Conductivity],ROW()-1)),ISBLANK(INDEX(SampleList[Modification],ROW()-1))),"Not Requested",INDEX(SampleList[Experiment ID],ROW()-1))</f>
        <v>Not Requested</v>
      </c>
      <c r="B448">
        <f>SampleList[[#This Row],[Duration (Days)]]</f>
        <v>0</v>
      </c>
      <c r="G448">
        <f>NMRResults[[#This Row],['#]]</f>
        <v>0</v>
      </c>
      <c r="H448" s="1">
        <f>NMRResults[[#This Row],[Date Run]]</f>
        <v>0</v>
      </c>
    </row>
    <row r="449" spans="1:8" hidden="1" x14ac:dyDescent="0.25">
      <c r="A449" t="str" cm="1">
        <f t="array" ref="A449">IF(AND(ISBLANK(INDEX(SampleList[pH],ROW()-1)),ISBLANK(INDEX(SampleList[Conductivity],ROW()-1)),ISBLANK(INDEX(SampleList[Modification],ROW()-1))),"Not Requested",INDEX(SampleList[Experiment ID],ROW()-1))</f>
        <v>Not Requested</v>
      </c>
      <c r="B449">
        <f>SampleList[[#This Row],[Duration (Days)]]</f>
        <v>0</v>
      </c>
      <c r="G449">
        <f>NMRResults[[#This Row],['#]]</f>
        <v>0</v>
      </c>
      <c r="H449" s="1">
        <f>NMRResults[[#This Row],[Date Run]]</f>
        <v>0</v>
      </c>
    </row>
    <row r="450" spans="1:8" hidden="1" x14ac:dyDescent="0.25">
      <c r="A450" t="str" cm="1">
        <f t="array" ref="A450">IF(AND(ISBLANK(INDEX(SampleList[pH],ROW()-1)),ISBLANK(INDEX(SampleList[Conductivity],ROW()-1)),ISBLANK(INDEX(SampleList[Modification],ROW()-1))),"Not Requested",INDEX(SampleList[Experiment ID],ROW()-1))</f>
        <v>Not Requested</v>
      </c>
      <c r="B450">
        <f>SampleList[[#This Row],[Duration (Days)]]</f>
        <v>0</v>
      </c>
      <c r="G450">
        <f>NMRResults[[#This Row],['#]]</f>
        <v>0</v>
      </c>
      <c r="H450" s="1">
        <f>NMRResults[[#This Row],[Date Run]]</f>
        <v>0</v>
      </c>
    </row>
    <row r="451" spans="1:8" hidden="1" x14ac:dyDescent="0.25">
      <c r="A451" t="str" cm="1">
        <f t="array" ref="A451">IF(AND(ISBLANK(INDEX(SampleList[pH],ROW()-1)),ISBLANK(INDEX(SampleList[Conductivity],ROW()-1)),ISBLANK(INDEX(SampleList[Modification],ROW()-1))),"Not Requested",INDEX(SampleList[Experiment ID],ROW()-1))</f>
        <v>Not Requested</v>
      </c>
      <c r="B451">
        <f>SampleList[[#This Row],[Duration (Days)]]</f>
        <v>0</v>
      </c>
      <c r="G451">
        <f>NMRResults[[#This Row],['#]]</f>
        <v>0</v>
      </c>
      <c r="H451" s="1">
        <f>NMRResults[[#This Row],[Date Run]]</f>
        <v>0</v>
      </c>
    </row>
    <row r="452" spans="1:8" hidden="1" x14ac:dyDescent="0.25">
      <c r="A452" t="str" cm="1">
        <f t="array" ref="A452">IF(AND(ISBLANK(INDEX(SampleList[pH],ROW()-1)),ISBLANK(INDEX(SampleList[Conductivity],ROW()-1)),ISBLANK(INDEX(SampleList[Modification],ROW()-1))),"Not Requested",INDEX(SampleList[Experiment ID],ROW()-1))</f>
        <v>Not Requested</v>
      </c>
      <c r="B452">
        <f>SampleList[[#This Row],[Duration (Days)]]</f>
        <v>0</v>
      </c>
      <c r="G452">
        <f>NMRResults[[#This Row],['#]]</f>
        <v>0</v>
      </c>
      <c r="H452" s="1">
        <f>NMRResults[[#This Row],[Date Run]]</f>
        <v>0</v>
      </c>
    </row>
    <row r="453" spans="1:8" hidden="1" x14ac:dyDescent="0.25">
      <c r="A453" t="str" cm="1">
        <f t="array" ref="A453">IF(AND(ISBLANK(INDEX(SampleList[pH],ROW()-1)),ISBLANK(INDEX(SampleList[Conductivity],ROW()-1)),ISBLANK(INDEX(SampleList[Modification],ROW()-1))),"Not Requested",INDEX(SampleList[Experiment ID],ROW()-1))</f>
        <v>Not Requested</v>
      </c>
      <c r="B453">
        <f>SampleList[[#This Row],[Duration (Days)]]</f>
        <v>0</v>
      </c>
      <c r="G453">
        <f>NMRResults[[#This Row],['#]]</f>
        <v>0</v>
      </c>
      <c r="H453" s="1">
        <f>NMRResults[[#This Row],[Date Run]]</f>
        <v>0</v>
      </c>
    </row>
    <row r="454" spans="1:8" hidden="1" x14ac:dyDescent="0.25">
      <c r="A454" t="str" cm="1">
        <f t="array" ref="A454">IF(AND(ISBLANK(INDEX(SampleList[pH],ROW()-1)),ISBLANK(INDEX(SampleList[Conductivity],ROW()-1)),ISBLANK(INDEX(SampleList[Modification],ROW()-1))),"Not Requested",INDEX(SampleList[Experiment ID],ROW()-1))</f>
        <v>Not Requested</v>
      </c>
      <c r="B454">
        <f>SampleList[[#This Row],[Duration (Days)]]</f>
        <v>0</v>
      </c>
      <c r="G454">
        <f>NMRResults[[#This Row],['#]]</f>
        <v>0</v>
      </c>
      <c r="H454" s="1">
        <f>NMRResults[[#This Row],[Date Run]]</f>
        <v>0</v>
      </c>
    </row>
    <row r="455" spans="1:8" hidden="1" x14ac:dyDescent="0.25">
      <c r="A455" t="str" cm="1">
        <f t="array" ref="A455">IF(AND(ISBLANK(INDEX(SampleList[pH],ROW()-1)),ISBLANK(INDEX(SampleList[Conductivity],ROW()-1)),ISBLANK(INDEX(SampleList[Modification],ROW()-1))),"Not Requested",INDEX(SampleList[Experiment ID],ROW()-1))</f>
        <v>Not Requested</v>
      </c>
      <c r="B455">
        <f>SampleList[[#This Row],[Duration (Days)]]</f>
        <v>0</v>
      </c>
      <c r="G455">
        <f>NMRResults[[#This Row],['#]]</f>
        <v>0</v>
      </c>
      <c r="H455" s="1">
        <f>NMRResults[[#This Row],[Date Run]]</f>
        <v>0</v>
      </c>
    </row>
    <row r="456" spans="1:8" hidden="1" x14ac:dyDescent="0.25">
      <c r="A456" t="str" cm="1">
        <f t="array" ref="A456">IF(AND(ISBLANK(INDEX(SampleList[pH],ROW()-1)),ISBLANK(INDEX(SampleList[Conductivity],ROW()-1)),ISBLANK(INDEX(SampleList[Modification],ROW()-1))),"Not Requested",INDEX(SampleList[Experiment ID],ROW()-1))</f>
        <v>Not Requested</v>
      </c>
      <c r="B456">
        <f>SampleList[[#This Row],[Duration (Days)]]</f>
        <v>0</v>
      </c>
      <c r="G456">
        <f>NMRResults[[#This Row],['#]]</f>
        <v>0</v>
      </c>
      <c r="H456" s="1">
        <f>NMRResults[[#This Row],[Date Run]]</f>
        <v>0</v>
      </c>
    </row>
    <row r="457" spans="1:8" hidden="1" x14ac:dyDescent="0.25">
      <c r="A457" t="str" cm="1">
        <f t="array" ref="A457">IF(AND(ISBLANK(INDEX(SampleList[pH],ROW()-1)),ISBLANK(INDEX(SampleList[Conductivity],ROW()-1)),ISBLANK(INDEX(SampleList[Modification],ROW()-1))),"Not Requested",INDEX(SampleList[Experiment ID],ROW()-1))</f>
        <v>Not Requested</v>
      </c>
      <c r="B457">
        <f>SampleList[[#This Row],[Duration (Days)]]</f>
        <v>0</v>
      </c>
      <c r="G457">
        <f>NMRResults[[#This Row],['#]]</f>
        <v>0</v>
      </c>
      <c r="H457" s="1">
        <f>NMRResults[[#This Row],[Date Run]]</f>
        <v>0</v>
      </c>
    </row>
    <row r="458" spans="1:8" hidden="1" x14ac:dyDescent="0.25">
      <c r="A458" t="str" cm="1">
        <f t="array" ref="A458">IF(AND(ISBLANK(INDEX(SampleList[pH],ROW()-1)),ISBLANK(INDEX(SampleList[Conductivity],ROW()-1)),ISBLANK(INDEX(SampleList[Modification],ROW()-1))),"Not Requested",INDEX(SampleList[Experiment ID],ROW()-1))</f>
        <v>Not Requested</v>
      </c>
      <c r="B458">
        <f>SampleList[[#This Row],[Duration (Days)]]</f>
        <v>0</v>
      </c>
      <c r="G458">
        <f>NMRResults[[#This Row],['#]]</f>
        <v>0</v>
      </c>
      <c r="H458" s="1">
        <f>NMRResults[[#This Row],[Date Run]]</f>
        <v>0</v>
      </c>
    </row>
    <row r="459" spans="1:8" hidden="1" x14ac:dyDescent="0.25">
      <c r="A459" t="str" cm="1">
        <f t="array" ref="A459">IF(AND(ISBLANK(INDEX(SampleList[pH],ROW()-1)),ISBLANK(INDEX(SampleList[Conductivity],ROW()-1)),ISBLANK(INDEX(SampleList[Modification],ROW()-1))),"Not Requested",INDEX(SampleList[Experiment ID],ROW()-1))</f>
        <v>Not Requested</v>
      </c>
      <c r="B459">
        <f>SampleList[[#This Row],[Duration (Days)]]</f>
        <v>0</v>
      </c>
      <c r="G459">
        <f>NMRResults[[#This Row],['#]]</f>
        <v>0</v>
      </c>
      <c r="H459" s="1">
        <f>NMRResults[[#This Row],[Date Run]]</f>
        <v>0</v>
      </c>
    </row>
    <row r="460" spans="1:8" hidden="1" x14ac:dyDescent="0.25">
      <c r="A460" t="str" cm="1">
        <f t="array" ref="A460">IF(AND(ISBLANK(INDEX(SampleList[pH],ROW()-1)),ISBLANK(INDEX(SampleList[Conductivity],ROW()-1)),ISBLANK(INDEX(SampleList[Modification],ROW()-1))),"Not Requested",INDEX(SampleList[Experiment ID],ROW()-1))</f>
        <v>Not Requested</v>
      </c>
      <c r="B460">
        <f>SampleList[[#This Row],[Duration (Days)]]</f>
        <v>0</v>
      </c>
      <c r="G460">
        <f>NMRResults[[#This Row],['#]]</f>
        <v>0</v>
      </c>
      <c r="H460" s="1">
        <f>NMRResults[[#This Row],[Date Run]]</f>
        <v>0</v>
      </c>
    </row>
    <row r="461" spans="1:8" hidden="1" x14ac:dyDescent="0.25">
      <c r="A461" t="str" cm="1">
        <f t="array" ref="A461">IF(AND(ISBLANK(INDEX(SampleList[pH],ROW()-1)),ISBLANK(INDEX(SampleList[Conductivity],ROW()-1)),ISBLANK(INDEX(SampleList[Modification],ROW()-1))),"Not Requested",INDEX(SampleList[Experiment ID],ROW()-1))</f>
        <v>Not Requested</v>
      </c>
      <c r="B461">
        <f>SampleList[[#This Row],[Duration (Days)]]</f>
        <v>0</v>
      </c>
      <c r="G461">
        <f>NMRResults[[#This Row],['#]]</f>
        <v>0</v>
      </c>
      <c r="H461" s="1">
        <f>NMRResults[[#This Row],[Date Run]]</f>
        <v>0</v>
      </c>
    </row>
    <row r="462" spans="1:8" hidden="1" x14ac:dyDescent="0.25">
      <c r="A462" t="str" cm="1">
        <f t="array" ref="A462">IF(AND(ISBLANK(INDEX(SampleList[pH],ROW()-1)),ISBLANK(INDEX(SampleList[Conductivity],ROW()-1)),ISBLANK(INDEX(SampleList[Modification],ROW()-1))),"Not Requested",INDEX(SampleList[Experiment ID],ROW()-1))</f>
        <v>Not Requested</v>
      </c>
      <c r="B462">
        <f>SampleList[[#This Row],[Duration (Days)]]</f>
        <v>0</v>
      </c>
      <c r="G462">
        <f>NMRResults[[#This Row],['#]]</f>
        <v>0</v>
      </c>
      <c r="H462" s="1">
        <f>NMRResults[[#This Row],[Date Run]]</f>
        <v>0</v>
      </c>
    </row>
    <row r="463" spans="1:8" hidden="1" x14ac:dyDescent="0.25">
      <c r="A463" t="str" cm="1">
        <f t="array" ref="A463">IF(AND(ISBLANK(INDEX(SampleList[pH],ROW()-1)),ISBLANK(INDEX(SampleList[Conductivity],ROW()-1)),ISBLANK(INDEX(SampleList[Modification],ROW()-1))),"Not Requested",INDEX(SampleList[Experiment ID],ROW()-1))</f>
        <v>Not Requested</v>
      </c>
      <c r="B463">
        <f>SampleList[[#This Row],[Duration (Days)]]</f>
        <v>0</v>
      </c>
      <c r="G463">
        <f>NMRResults[[#This Row],['#]]</f>
        <v>0</v>
      </c>
      <c r="H463" s="1">
        <f>NMRResults[[#This Row],[Date Run]]</f>
        <v>0</v>
      </c>
    </row>
    <row r="464" spans="1:8" hidden="1" x14ac:dyDescent="0.25">
      <c r="A464" t="str" cm="1">
        <f t="array" ref="A464">IF(AND(ISBLANK(INDEX(SampleList[pH],ROW()-1)),ISBLANK(INDEX(SampleList[Conductivity],ROW()-1)),ISBLANK(INDEX(SampleList[Modification],ROW()-1))),"Not Requested",INDEX(SampleList[Experiment ID],ROW()-1))</f>
        <v>Not Requested</v>
      </c>
      <c r="B464">
        <f>SampleList[[#This Row],[Duration (Days)]]</f>
        <v>0</v>
      </c>
      <c r="G464">
        <f>NMRResults[[#This Row],['#]]</f>
        <v>0</v>
      </c>
      <c r="H464" s="1">
        <f>NMRResults[[#This Row],[Date Run]]</f>
        <v>0</v>
      </c>
    </row>
    <row r="465" spans="1:8" hidden="1" x14ac:dyDescent="0.25">
      <c r="A465" t="str" cm="1">
        <f t="array" ref="A465">IF(AND(ISBLANK(INDEX(SampleList[pH],ROW()-1)),ISBLANK(INDEX(SampleList[Conductivity],ROW()-1)),ISBLANK(INDEX(SampleList[Modification],ROW()-1))),"Not Requested",INDEX(SampleList[Experiment ID],ROW()-1))</f>
        <v>Not Requested</v>
      </c>
      <c r="B465">
        <f>SampleList[[#This Row],[Duration (Days)]]</f>
        <v>0</v>
      </c>
      <c r="G465">
        <f>NMRResults[[#This Row],['#]]</f>
        <v>0</v>
      </c>
      <c r="H465" s="1">
        <f>NMRResults[[#This Row],[Date Run]]</f>
        <v>0</v>
      </c>
    </row>
    <row r="466" spans="1:8" hidden="1" x14ac:dyDescent="0.25">
      <c r="A466" t="str" cm="1">
        <f t="array" ref="A466">IF(AND(ISBLANK(INDEX(SampleList[pH],ROW()-1)),ISBLANK(INDEX(SampleList[Conductivity],ROW()-1)),ISBLANK(INDEX(SampleList[Modification],ROW()-1))),"Not Requested",INDEX(SampleList[Experiment ID],ROW()-1))</f>
        <v>Not Requested</v>
      </c>
      <c r="B466">
        <f>SampleList[[#This Row],[Duration (Days)]]</f>
        <v>0</v>
      </c>
      <c r="G466">
        <f>NMRResults[[#This Row],['#]]</f>
        <v>0</v>
      </c>
      <c r="H466" s="1">
        <f>NMRResults[[#This Row],[Date Run]]</f>
        <v>0</v>
      </c>
    </row>
    <row r="467" spans="1:8" hidden="1" x14ac:dyDescent="0.25">
      <c r="A467" t="str" cm="1">
        <f t="array" ref="A467">IF(AND(ISBLANK(INDEX(SampleList[pH],ROW()-1)),ISBLANK(INDEX(SampleList[Conductivity],ROW()-1)),ISBLANK(INDEX(SampleList[Modification],ROW()-1))),"Not Requested",INDEX(SampleList[Experiment ID],ROW()-1))</f>
        <v>Not Requested</v>
      </c>
      <c r="B467">
        <f>SampleList[[#This Row],[Duration (Days)]]</f>
        <v>0</v>
      </c>
      <c r="G467">
        <f>NMRResults[[#This Row],['#]]</f>
        <v>0</v>
      </c>
      <c r="H467" s="1">
        <f>NMRResults[[#This Row],[Date Run]]</f>
        <v>0</v>
      </c>
    </row>
    <row r="468" spans="1:8" hidden="1" x14ac:dyDescent="0.25">
      <c r="A468" t="str" cm="1">
        <f t="array" ref="A468">IF(AND(ISBLANK(INDEX(SampleList[pH],ROW()-1)),ISBLANK(INDEX(SampleList[Conductivity],ROW()-1)),ISBLANK(INDEX(SampleList[Modification],ROW()-1))),"Not Requested",INDEX(SampleList[Experiment ID],ROW()-1))</f>
        <v>Not Requested</v>
      </c>
      <c r="B468">
        <f>SampleList[[#This Row],[Duration (Days)]]</f>
        <v>0</v>
      </c>
      <c r="G468">
        <f>NMRResults[[#This Row],['#]]</f>
        <v>0</v>
      </c>
      <c r="H468" s="1">
        <f>NMRResults[[#This Row],[Date Run]]</f>
        <v>0</v>
      </c>
    </row>
    <row r="469" spans="1:8" hidden="1" x14ac:dyDescent="0.25">
      <c r="A469" t="str" cm="1">
        <f t="array" ref="A469">IF(AND(ISBLANK(INDEX(SampleList[pH],ROW()-1)),ISBLANK(INDEX(SampleList[Conductivity],ROW()-1)),ISBLANK(INDEX(SampleList[Modification],ROW()-1))),"Not Requested",INDEX(SampleList[Experiment ID],ROW()-1))</f>
        <v>Not Requested</v>
      </c>
      <c r="B469">
        <f>SampleList[[#This Row],[Duration (Days)]]</f>
        <v>0</v>
      </c>
      <c r="G469">
        <f>NMRResults[[#This Row],['#]]</f>
        <v>0</v>
      </c>
      <c r="H469" s="1">
        <f>NMRResults[[#This Row],[Date Run]]</f>
        <v>0</v>
      </c>
    </row>
    <row r="470" spans="1:8" hidden="1" x14ac:dyDescent="0.25">
      <c r="A470" t="str" cm="1">
        <f t="array" ref="A470">IF(AND(ISBLANK(INDEX(SampleList[pH],ROW()-1)),ISBLANK(INDEX(SampleList[Conductivity],ROW()-1)),ISBLANK(INDEX(SampleList[Modification],ROW()-1))),"Not Requested",INDEX(SampleList[Experiment ID],ROW()-1))</f>
        <v>Not Requested</v>
      </c>
      <c r="B470">
        <f>SampleList[[#This Row],[Duration (Days)]]</f>
        <v>0</v>
      </c>
      <c r="G470">
        <f>NMRResults[[#This Row],['#]]</f>
        <v>0</v>
      </c>
      <c r="H470" s="1">
        <f>NMRResults[[#This Row],[Date Run]]</f>
        <v>0</v>
      </c>
    </row>
    <row r="471" spans="1:8" hidden="1" x14ac:dyDescent="0.25">
      <c r="A471" t="str" cm="1">
        <f t="array" ref="A471">IF(AND(ISBLANK(INDEX(SampleList[pH],ROW()-1)),ISBLANK(INDEX(SampleList[Conductivity],ROW()-1)),ISBLANK(INDEX(SampleList[Modification],ROW()-1))),"Not Requested",INDEX(SampleList[Experiment ID],ROW()-1))</f>
        <v>Not Requested</v>
      </c>
      <c r="B471">
        <f>SampleList[[#This Row],[Duration (Days)]]</f>
        <v>0</v>
      </c>
      <c r="G471">
        <f>NMRResults[[#This Row],['#]]</f>
        <v>0</v>
      </c>
      <c r="H471" s="1">
        <f>NMRResults[[#This Row],[Date Run]]</f>
        <v>0</v>
      </c>
    </row>
    <row r="472" spans="1:8" hidden="1" x14ac:dyDescent="0.25">
      <c r="A472" t="str" cm="1">
        <f t="array" ref="A472">IF(AND(ISBLANK(INDEX(SampleList[pH],ROW()-1)),ISBLANK(INDEX(SampleList[Conductivity],ROW()-1)),ISBLANK(INDEX(SampleList[Modification],ROW()-1))),"Not Requested",INDEX(SampleList[Experiment ID],ROW()-1))</f>
        <v>Not Requested</v>
      </c>
      <c r="B472">
        <f>SampleList[[#This Row],[Duration (Days)]]</f>
        <v>0</v>
      </c>
      <c r="G472">
        <f>NMRResults[[#This Row],['#]]</f>
        <v>0</v>
      </c>
      <c r="H472" s="1">
        <f>NMRResults[[#This Row],[Date Run]]</f>
        <v>0</v>
      </c>
    </row>
    <row r="473" spans="1:8" hidden="1" x14ac:dyDescent="0.25">
      <c r="A473" t="str" cm="1">
        <f t="array" ref="A473">IF(AND(ISBLANK(INDEX(SampleList[pH],ROW()-1)),ISBLANK(INDEX(SampleList[Conductivity],ROW()-1)),ISBLANK(INDEX(SampleList[Modification],ROW()-1))),"Not Requested",INDEX(SampleList[Experiment ID],ROW()-1))</f>
        <v>Not Requested</v>
      </c>
      <c r="B473">
        <f>SampleList[[#This Row],[Duration (Days)]]</f>
        <v>0</v>
      </c>
      <c r="G473">
        <f>NMRResults[[#This Row],['#]]</f>
        <v>0</v>
      </c>
      <c r="H473" s="1">
        <f>NMRResults[[#This Row],[Date Run]]</f>
        <v>0</v>
      </c>
    </row>
    <row r="474" spans="1:8" hidden="1" x14ac:dyDescent="0.25">
      <c r="A474" t="str" cm="1">
        <f t="array" ref="A474">IF(AND(ISBLANK(INDEX(SampleList[pH],ROW()-1)),ISBLANK(INDEX(SampleList[Conductivity],ROW()-1)),ISBLANK(INDEX(SampleList[Modification],ROW()-1))),"Not Requested",INDEX(SampleList[Experiment ID],ROW()-1))</f>
        <v>Not Requested</v>
      </c>
      <c r="B474">
        <f>SampleList[[#This Row],[Duration (Days)]]</f>
        <v>0</v>
      </c>
      <c r="G474">
        <f>NMRResults[[#This Row],['#]]</f>
        <v>0</v>
      </c>
      <c r="H474" s="1">
        <f>NMRResults[[#This Row],[Date Run]]</f>
        <v>0</v>
      </c>
    </row>
    <row r="475" spans="1:8" hidden="1" x14ac:dyDescent="0.25">
      <c r="A475" t="str" cm="1">
        <f t="array" ref="A475">IF(AND(ISBLANK(INDEX(SampleList[pH],ROW()-1)),ISBLANK(INDEX(SampleList[Conductivity],ROW()-1)),ISBLANK(INDEX(SampleList[Modification],ROW()-1))),"Not Requested",INDEX(SampleList[Experiment ID],ROW()-1))</f>
        <v>Not Requested</v>
      </c>
      <c r="B475">
        <f>SampleList[[#This Row],[Duration (Days)]]</f>
        <v>0</v>
      </c>
      <c r="G475">
        <f>NMRResults[[#This Row],['#]]</f>
        <v>0</v>
      </c>
      <c r="H475" s="1">
        <f>NMRResults[[#This Row],[Date Run]]</f>
        <v>0</v>
      </c>
    </row>
    <row r="476" spans="1:8" hidden="1" x14ac:dyDescent="0.25">
      <c r="A476" t="str" cm="1">
        <f t="array" ref="A476">IF(AND(ISBLANK(INDEX(SampleList[pH],ROW()-1)),ISBLANK(INDEX(SampleList[Conductivity],ROW()-1)),ISBLANK(INDEX(SampleList[Modification],ROW()-1))),"Not Requested",INDEX(SampleList[Experiment ID],ROW()-1))</f>
        <v>Not Requested</v>
      </c>
      <c r="B476">
        <f>SampleList[[#This Row],[Duration (Days)]]</f>
        <v>0</v>
      </c>
      <c r="G476">
        <f>NMRResults[[#This Row],['#]]</f>
        <v>0</v>
      </c>
      <c r="H476" s="1">
        <f>NMRResults[[#This Row],[Date Run]]</f>
        <v>0</v>
      </c>
    </row>
    <row r="477" spans="1:8" hidden="1" x14ac:dyDescent="0.25">
      <c r="A477" t="str" cm="1">
        <f t="array" ref="A477">IF(AND(ISBLANK(INDEX(SampleList[pH],ROW()-1)),ISBLANK(INDEX(SampleList[Conductivity],ROW()-1)),ISBLANK(INDEX(SampleList[Modification],ROW()-1))),"Not Requested",INDEX(SampleList[Experiment ID],ROW()-1))</f>
        <v>Not Requested</v>
      </c>
      <c r="B477">
        <f>SampleList[[#This Row],[Duration (Days)]]</f>
        <v>0</v>
      </c>
      <c r="G477">
        <f>NMRResults[[#This Row],['#]]</f>
        <v>0</v>
      </c>
      <c r="H477" s="1">
        <f>NMRResults[[#This Row],[Date Run]]</f>
        <v>0</v>
      </c>
    </row>
    <row r="478" spans="1:8" hidden="1" x14ac:dyDescent="0.25">
      <c r="A478" t="str" cm="1">
        <f t="array" ref="A478">IF(AND(ISBLANK(INDEX(SampleList[pH],ROW()-1)),ISBLANK(INDEX(SampleList[Conductivity],ROW()-1)),ISBLANK(INDEX(SampleList[Modification],ROW()-1))),"Not Requested",INDEX(SampleList[Experiment ID],ROW()-1))</f>
        <v>Not Requested</v>
      </c>
      <c r="B478">
        <f>SampleList[[#This Row],[Duration (Days)]]</f>
        <v>0</v>
      </c>
      <c r="G478">
        <f>NMRResults[[#This Row],['#]]</f>
        <v>0</v>
      </c>
      <c r="H478" s="1">
        <f>NMRResults[[#This Row],[Date Run]]</f>
        <v>0</v>
      </c>
    </row>
    <row r="479" spans="1:8" hidden="1" x14ac:dyDescent="0.25">
      <c r="A479" t="str" cm="1">
        <f t="array" ref="A479">IF(AND(ISBLANK(INDEX(SampleList[pH],ROW()-1)),ISBLANK(INDEX(SampleList[Conductivity],ROW()-1)),ISBLANK(INDEX(SampleList[Modification],ROW()-1))),"Not Requested",INDEX(SampleList[Experiment ID],ROW()-1))</f>
        <v>Not Requested</v>
      </c>
      <c r="B479">
        <f>SampleList[[#This Row],[Duration (Days)]]</f>
        <v>0</v>
      </c>
      <c r="G479">
        <f>NMRResults[[#This Row],['#]]</f>
        <v>0</v>
      </c>
      <c r="H479" s="1">
        <f>NMRResults[[#This Row],[Date Run]]</f>
        <v>0</v>
      </c>
    </row>
    <row r="480" spans="1:8" hidden="1" x14ac:dyDescent="0.25">
      <c r="A480" t="str" cm="1">
        <f t="array" ref="A480">IF(AND(ISBLANK(INDEX(SampleList[pH],ROW()-1)),ISBLANK(INDEX(SampleList[Conductivity],ROW()-1)),ISBLANK(INDEX(SampleList[Modification],ROW()-1))),"Not Requested",INDEX(SampleList[Experiment ID],ROW()-1))</f>
        <v>Not Requested</v>
      </c>
      <c r="B480">
        <f>SampleList[[#This Row],[Duration (Days)]]</f>
        <v>0</v>
      </c>
      <c r="G480">
        <f>NMRResults[[#This Row],['#]]</f>
        <v>0</v>
      </c>
      <c r="H480" s="1">
        <f>NMRResults[[#This Row],[Date Run]]</f>
        <v>0</v>
      </c>
    </row>
    <row r="481" spans="1:8" hidden="1" x14ac:dyDescent="0.25">
      <c r="A481" t="str" cm="1">
        <f t="array" ref="A481">IF(AND(ISBLANK(INDEX(SampleList[pH],ROW()-1)),ISBLANK(INDEX(SampleList[Conductivity],ROW()-1)),ISBLANK(INDEX(SampleList[Modification],ROW()-1))),"Not Requested",INDEX(SampleList[Experiment ID],ROW()-1))</f>
        <v>Not Requested</v>
      </c>
      <c r="B481">
        <f>SampleList[[#This Row],[Duration (Days)]]</f>
        <v>0</v>
      </c>
      <c r="G481">
        <f>NMRResults[[#This Row],['#]]</f>
        <v>0</v>
      </c>
      <c r="H481" s="1">
        <f>NMRResults[[#This Row],[Date Run]]</f>
        <v>0</v>
      </c>
    </row>
    <row r="482" spans="1:8" hidden="1" x14ac:dyDescent="0.25">
      <c r="A482" t="str" cm="1">
        <f t="array" ref="A482">IF(AND(ISBLANK(INDEX(SampleList[pH],ROW()-1)),ISBLANK(INDEX(SampleList[Conductivity],ROW()-1)),ISBLANK(INDEX(SampleList[Modification],ROW()-1))),"Not Requested",INDEX(SampleList[Experiment ID],ROW()-1))</f>
        <v>Not Requested</v>
      </c>
      <c r="B482">
        <f>SampleList[[#This Row],[Duration (Days)]]</f>
        <v>0</v>
      </c>
      <c r="G482">
        <f>NMRResults[[#This Row],['#]]</f>
        <v>0</v>
      </c>
      <c r="H482" s="1">
        <f>NMRResults[[#This Row],[Date Run]]</f>
        <v>0</v>
      </c>
    </row>
    <row r="483" spans="1:8" hidden="1" x14ac:dyDescent="0.25">
      <c r="A483" t="str" cm="1">
        <f t="array" ref="A483">IF(AND(ISBLANK(INDEX(SampleList[pH],ROW()-1)),ISBLANK(INDEX(SampleList[Conductivity],ROW()-1)),ISBLANK(INDEX(SampleList[Modification],ROW()-1))),"Not Requested",INDEX(SampleList[Experiment ID],ROW()-1))</f>
        <v>Not Requested</v>
      </c>
      <c r="B483">
        <f>SampleList[[#This Row],[Duration (Days)]]</f>
        <v>0</v>
      </c>
      <c r="G483">
        <f>NMRResults[[#This Row],['#]]</f>
        <v>0</v>
      </c>
      <c r="H483" s="1">
        <f>NMRResults[[#This Row],[Date Run]]</f>
        <v>0</v>
      </c>
    </row>
    <row r="484" spans="1:8" hidden="1" x14ac:dyDescent="0.25">
      <c r="A484" t="str" cm="1">
        <f t="array" ref="A484">IF(AND(ISBLANK(INDEX(SampleList[pH],ROW()-1)),ISBLANK(INDEX(SampleList[Conductivity],ROW()-1)),ISBLANK(INDEX(SampleList[Modification],ROW()-1))),"Not Requested",INDEX(SampleList[Experiment ID],ROW()-1))</f>
        <v>Not Requested</v>
      </c>
      <c r="B484">
        <f>SampleList[[#This Row],[Duration (Days)]]</f>
        <v>0</v>
      </c>
      <c r="G484">
        <f>NMRResults[[#This Row],['#]]</f>
        <v>0</v>
      </c>
      <c r="H484" s="1">
        <f>NMRResults[[#This Row],[Date Run]]</f>
        <v>0</v>
      </c>
    </row>
    <row r="485" spans="1:8" hidden="1" x14ac:dyDescent="0.25">
      <c r="A485" t="str" cm="1">
        <f t="array" ref="A485">IF(AND(ISBLANK(INDEX(SampleList[pH],ROW()-1)),ISBLANK(INDEX(SampleList[Conductivity],ROW()-1)),ISBLANK(INDEX(SampleList[Modification],ROW()-1))),"Not Requested",INDEX(SampleList[Experiment ID],ROW()-1))</f>
        <v>Not Requested</v>
      </c>
      <c r="B485">
        <f>SampleList[[#This Row],[Duration (Days)]]</f>
        <v>0</v>
      </c>
      <c r="G485">
        <f>NMRResults[[#This Row],['#]]</f>
        <v>0</v>
      </c>
      <c r="H485" s="1">
        <f>NMRResults[[#This Row],[Date Run]]</f>
        <v>0</v>
      </c>
    </row>
    <row r="486" spans="1:8" hidden="1" x14ac:dyDescent="0.25">
      <c r="A486" t="str" cm="1">
        <f t="array" ref="A486">IF(AND(ISBLANK(INDEX(SampleList[pH],ROW()-1)),ISBLANK(INDEX(SampleList[Conductivity],ROW()-1)),ISBLANK(INDEX(SampleList[Modification],ROW()-1))),"Not Requested",INDEX(SampleList[Experiment ID],ROW()-1))</f>
        <v>Not Requested</v>
      </c>
      <c r="B486">
        <f>SampleList[[#This Row],[Duration (Days)]]</f>
        <v>0</v>
      </c>
      <c r="G486">
        <f>NMRResults[[#This Row],['#]]</f>
        <v>0</v>
      </c>
      <c r="H486" s="1">
        <f>NMRResults[[#This Row],[Date Run]]</f>
        <v>0</v>
      </c>
    </row>
    <row r="487" spans="1:8" hidden="1" x14ac:dyDescent="0.25">
      <c r="A487" t="str" cm="1">
        <f t="array" ref="A487">IF(AND(ISBLANK(INDEX(SampleList[pH],ROW()-1)),ISBLANK(INDEX(SampleList[Conductivity],ROW()-1)),ISBLANK(INDEX(SampleList[Modification],ROW()-1))),"Not Requested",INDEX(SampleList[Experiment ID],ROW()-1))</f>
        <v>Not Requested</v>
      </c>
      <c r="B487">
        <f>SampleList[[#This Row],[Duration (Days)]]</f>
        <v>0</v>
      </c>
      <c r="G487">
        <f>NMRResults[[#This Row],['#]]</f>
        <v>0</v>
      </c>
      <c r="H487" s="1">
        <f>NMRResults[[#This Row],[Date Run]]</f>
        <v>0</v>
      </c>
    </row>
    <row r="488" spans="1:8" hidden="1" x14ac:dyDescent="0.25">
      <c r="A488" t="str" cm="1">
        <f t="array" ref="A488">IF(AND(ISBLANK(INDEX(SampleList[pH],ROW()-1)),ISBLANK(INDEX(SampleList[Conductivity],ROW()-1)),ISBLANK(INDEX(SampleList[Modification],ROW()-1))),"Not Requested",INDEX(SampleList[Experiment ID],ROW()-1))</f>
        <v>Not Requested</v>
      </c>
      <c r="B488">
        <f>SampleList[[#This Row],[Duration (Days)]]</f>
        <v>0</v>
      </c>
      <c r="G488">
        <f>NMRResults[[#This Row],['#]]</f>
        <v>0</v>
      </c>
      <c r="H488" s="1">
        <f>NMRResults[[#This Row],[Date Run]]</f>
        <v>0</v>
      </c>
    </row>
    <row r="489" spans="1:8" hidden="1" x14ac:dyDescent="0.25">
      <c r="A489" t="str" cm="1">
        <f t="array" ref="A489">IF(AND(ISBLANK(INDEX(SampleList[pH],ROW()-1)),ISBLANK(INDEX(SampleList[Conductivity],ROW()-1)),ISBLANK(INDEX(SampleList[Modification],ROW()-1))),"Not Requested",INDEX(SampleList[Experiment ID],ROW()-1))</f>
        <v>Not Requested</v>
      </c>
      <c r="B489">
        <f>SampleList[[#This Row],[Duration (Days)]]</f>
        <v>0</v>
      </c>
      <c r="G489">
        <f>NMRResults[[#This Row],['#]]</f>
        <v>0</v>
      </c>
      <c r="H489" s="1">
        <f>NMRResults[[#This Row],[Date Run]]</f>
        <v>0</v>
      </c>
    </row>
    <row r="490" spans="1:8" hidden="1" x14ac:dyDescent="0.25">
      <c r="A490" t="str" cm="1">
        <f t="array" ref="A490">IF(AND(ISBLANK(INDEX(SampleList[pH],ROW()-1)),ISBLANK(INDEX(SampleList[Conductivity],ROW()-1)),ISBLANK(INDEX(SampleList[Modification],ROW()-1))),"Not Requested",INDEX(SampleList[Experiment ID],ROW()-1))</f>
        <v>Not Requested</v>
      </c>
      <c r="B490">
        <f>SampleList[[#This Row],[Duration (Days)]]</f>
        <v>0</v>
      </c>
      <c r="G490">
        <f>NMRResults[[#This Row],['#]]</f>
        <v>0</v>
      </c>
      <c r="H490" s="1">
        <f>NMRResults[[#This Row],[Date Run]]</f>
        <v>0</v>
      </c>
    </row>
    <row r="491" spans="1:8" hidden="1" x14ac:dyDescent="0.25">
      <c r="A491" t="str" cm="1">
        <f t="array" ref="A491">IF(AND(ISBLANK(INDEX(SampleList[pH],ROW()-1)),ISBLANK(INDEX(SampleList[Conductivity],ROW()-1)),ISBLANK(INDEX(SampleList[Modification],ROW()-1))),"Not Requested",INDEX(SampleList[Experiment ID],ROW()-1))</f>
        <v>Not Requested</v>
      </c>
      <c r="B491">
        <f>SampleList[[#This Row],[Duration (Days)]]</f>
        <v>0</v>
      </c>
      <c r="G491">
        <f>NMRResults[[#This Row],['#]]</f>
        <v>0</v>
      </c>
      <c r="H491" s="1">
        <f>NMRResults[[#This Row],[Date Run]]</f>
        <v>0</v>
      </c>
    </row>
    <row r="492" spans="1:8" hidden="1" x14ac:dyDescent="0.25">
      <c r="A492" t="str" cm="1">
        <f t="array" ref="A492">IF(AND(ISBLANK(INDEX(SampleList[pH],ROW()-1)),ISBLANK(INDEX(SampleList[Conductivity],ROW()-1)),ISBLANK(INDEX(SampleList[Modification],ROW()-1))),"Not Requested",INDEX(SampleList[Experiment ID],ROW()-1))</f>
        <v>Not Requested</v>
      </c>
      <c r="B492">
        <f>SampleList[[#This Row],[Duration (Days)]]</f>
        <v>0</v>
      </c>
      <c r="G492">
        <f>NMRResults[[#This Row],['#]]</f>
        <v>0</v>
      </c>
      <c r="H492" s="1">
        <f>NMRResults[[#This Row],[Date Run]]</f>
        <v>0</v>
      </c>
    </row>
    <row r="493" spans="1:8" hidden="1" x14ac:dyDescent="0.25">
      <c r="A493" t="str" cm="1">
        <f t="array" ref="A493">IF(AND(ISBLANK(INDEX(SampleList[pH],ROW()-1)),ISBLANK(INDEX(SampleList[Conductivity],ROW()-1)),ISBLANK(INDEX(SampleList[Modification],ROW()-1))),"Not Requested",INDEX(SampleList[Experiment ID],ROW()-1))</f>
        <v>Not Requested</v>
      </c>
      <c r="B493">
        <f>SampleList[[#This Row],[Duration (Days)]]</f>
        <v>0</v>
      </c>
      <c r="G493">
        <f>NMRResults[[#This Row],['#]]</f>
        <v>0</v>
      </c>
      <c r="H493" s="1">
        <f>NMRResults[[#This Row],[Date Run]]</f>
        <v>0</v>
      </c>
    </row>
    <row r="494" spans="1:8" hidden="1" x14ac:dyDescent="0.25">
      <c r="A494" t="str" cm="1">
        <f t="array" ref="A494">IF(AND(ISBLANK(INDEX(SampleList[pH],ROW()-1)),ISBLANK(INDEX(SampleList[Conductivity],ROW()-1)),ISBLANK(INDEX(SampleList[Modification],ROW()-1))),"Not Requested",INDEX(SampleList[Experiment ID],ROW()-1))</f>
        <v>Not Requested</v>
      </c>
      <c r="B494">
        <f>SampleList[[#This Row],[Duration (Days)]]</f>
        <v>0</v>
      </c>
      <c r="G494">
        <f>NMRResults[[#This Row],['#]]</f>
        <v>0</v>
      </c>
      <c r="H494" s="1">
        <f>NMRResults[[#This Row],[Date Run]]</f>
        <v>0</v>
      </c>
    </row>
    <row r="495" spans="1:8" hidden="1" x14ac:dyDescent="0.25">
      <c r="A495" t="str" cm="1">
        <f t="array" ref="A495">IF(AND(ISBLANK(INDEX(SampleList[pH],ROW()-1)),ISBLANK(INDEX(SampleList[Conductivity],ROW()-1)),ISBLANK(INDEX(SampleList[Modification],ROW()-1))),"Not Requested",INDEX(SampleList[Experiment ID],ROW()-1))</f>
        <v>Not Requested</v>
      </c>
      <c r="B495">
        <f>SampleList[[#This Row],[Duration (Days)]]</f>
        <v>0</v>
      </c>
      <c r="G495">
        <f>NMRResults[[#This Row],['#]]</f>
        <v>0</v>
      </c>
      <c r="H495" s="1">
        <f>NMRResults[[#This Row],[Date Run]]</f>
        <v>0</v>
      </c>
    </row>
    <row r="496" spans="1:8" hidden="1" x14ac:dyDescent="0.25">
      <c r="A496" t="str" cm="1">
        <f t="array" ref="A496">IF(AND(ISBLANK(INDEX(SampleList[pH],ROW()-1)),ISBLANK(INDEX(SampleList[Conductivity],ROW()-1)),ISBLANK(INDEX(SampleList[Modification],ROW()-1))),"Not Requested",INDEX(SampleList[Experiment ID],ROW()-1))</f>
        <v>Not Requested</v>
      </c>
      <c r="B496">
        <f>SampleList[[#This Row],[Duration (Days)]]</f>
        <v>0</v>
      </c>
      <c r="G496">
        <f>NMRResults[[#This Row],['#]]</f>
        <v>0</v>
      </c>
      <c r="H496" s="1">
        <f>NMRResults[[#This Row],[Date Run]]</f>
        <v>0</v>
      </c>
    </row>
    <row r="497" spans="1:8" hidden="1" x14ac:dyDescent="0.25">
      <c r="A497" t="str" cm="1">
        <f t="array" ref="A497">IF(AND(ISBLANK(INDEX(SampleList[pH],ROW()-1)),ISBLANK(INDEX(SampleList[Conductivity],ROW()-1)),ISBLANK(INDEX(SampleList[Modification],ROW()-1))),"Not Requested",INDEX(SampleList[Experiment ID],ROW()-1))</f>
        <v>Not Requested</v>
      </c>
      <c r="B497">
        <f>SampleList[[#This Row],[Duration (Days)]]</f>
        <v>0</v>
      </c>
      <c r="G497">
        <f>NMRResults[[#This Row],['#]]</f>
        <v>0</v>
      </c>
      <c r="H497" s="1">
        <f>NMRResults[[#This Row],[Date Run]]</f>
        <v>0</v>
      </c>
    </row>
    <row r="498" spans="1:8" hidden="1" x14ac:dyDescent="0.25">
      <c r="A498" t="str" cm="1">
        <f t="array" ref="A498">IF(AND(ISBLANK(INDEX(SampleList[pH],ROW()-1)),ISBLANK(INDEX(SampleList[Conductivity],ROW()-1)),ISBLANK(INDEX(SampleList[Modification],ROW()-1))),"Not Requested",INDEX(SampleList[Experiment ID],ROW()-1))</f>
        <v>Not Requested</v>
      </c>
      <c r="B498">
        <f>SampleList[[#This Row],[Duration (Days)]]</f>
        <v>0</v>
      </c>
      <c r="G498">
        <f>NMRResults[[#This Row],['#]]</f>
        <v>0</v>
      </c>
      <c r="H498" s="1">
        <f>NMRResults[[#This Row],[Date Run]]</f>
        <v>0</v>
      </c>
    </row>
    <row r="499" spans="1:8" hidden="1" x14ac:dyDescent="0.25">
      <c r="A499" t="str" cm="1">
        <f t="array" ref="A499">IF(AND(ISBLANK(INDEX(SampleList[pH],ROW()-1)),ISBLANK(INDEX(SampleList[Conductivity],ROW()-1)),ISBLANK(INDEX(SampleList[Modification],ROW()-1))),"Not Requested",INDEX(SampleList[Experiment ID],ROW()-1))</f>
        <v>Not Requested</v>
      </c>
      <c r="B499">
        <f>SampleList[[#This Row],[Duration (Days)]]</f>
        <v>0</v>
      </c>
      <c r="G499">
        <f>NMRResults[[#This Row],['#]]</f>
        <v>0</v>
      </c>
      <c r="H499" s="1">
        <f>NMRResults[[#This Row],[Date Run]]</f>
        <v>0</v>
      </c>
    </row>
    <row r="500" spans="1:8" hidden="1" x14ac:dyDescent="0.25">
      <c r="A500" t="str" cm="1">
        <f t="array" ref="A500">IF(AND(ISBLANK(INDEX(SampleList[pH],ROW()-1)),ISBLANK(INDEX(SampleList[Conductivity],ROW()-1)),ISBLANK(INDEX(SampleList[Modification],ROW()-1))),"Not Requested",INDEX(SampleList[Experiment ID],ROW()-1))</f>
        <v>Not Requested</v>
      </c>
      <c r="B500">
        <f>SampleList[[#This Row],[Duration (Days)]]</f>
        <v>0</v>
      </c>
      <c r="G500">
        <f>NMRResults[[#This Row],['#]]</f>
        <v>0</v>
      </c>
      <c r="H500" s="1">
        <f>NMRResults[[#This Row],[Date Run]]</f>
        <v>0</v>
      </c>
    </row>
    <row r="501" spans="1:8" hidden="1" x14ac:dyDescent="0.25">
      <c r="A501" t="str" cm="1">
        <f t="array" ref="A501">IF(AND(ISBLANK(INDEX(SampleList[pH],ROW()-1)),ISBLANK(INDEX(SampleList[Conductivity],ROW()-1)),ISBLANK(INDEX(SampleList[Modification],ROW()-1))),"Not Requested",INDEX(SampleList[Experiment ID],ROW()-1))</f>
        <v>Not Requested</v>
      </c>
      <c r="B501">
        <f>SampleList[[#This Row],[Duration (Days)]]</f>
        <v>0</v>
      </c>
      <c r="G501">
        <f>NMRResults[[#This Row],['#]]</f>
        <v>0</v>
      </c>
      <c r="H501" s="1">
        <f>NMRResults[[#This Row],[Date Run]]</f>
        <v>0</v>
      </c>
    </row>
    <row r="502" spans="1:8" hidden="1" x14ac:dyDescent="0.25">
      <c r="A502" t="str" cm="1">
        <f t="array" ref="A502">IF(AND(ISBLANK(INDEX(SampleList[pH],ROW()-1)),ISBLANK(INDEX(SampleList[Conductivity],ROW()-1)),ISBLANK(INDEX(SampleList[Modification],ROW()-1))),"Not Requested",INDEX(SampleList[Experiment ID],ROW()-1))</f>
        <v>Not Requested</v>
      </c>
      <c r="B502">
        <f>SampleList[[#This Row],[Duration (Days)]]</f>
        <v>0</v>
      </c>
      <c r="G502">
        <f>NMRResults[[#This Row],['#]]</f>
        <v>0</v>
      </c>
      <c r="H502" s="1">
        <f>NMRResults[[#This Row],[Date Run]]</f>
        <v>0</v>
      </c>
    </row>
    <row r="503" spans="1:8" hidden="1" x14ac:dyDescent="0.25">
      <c r="A503" t="str" cm="1">
        <f t="array" ref="A503">IF(AND(ISBLANK(INDEX(SampleList[pH],ROW()-1)),ISBLANK(INDEX(SampleList[Conductivity],ROW()-1)),ISBLANK(INDEX(SampleList[Modification],ROW()-1))),"Not Requested",INDEX(SampleList[Experiment ID],ROW()-1))</f>
        <v>Not Requested</v>
      </c>
      <c r="B503">
        <f>SampleList[[#This Row],[Duration (Days)]]</f>
        <v>0</v>
      </c>
      <c r="G503">
        <f>NMRResults[[#This Row],['#]]</f>
        <v>0</v>
      </c>
      <c r="H503" s="1">
        <f>NMRResults[[#This Row],[Date Run]]</f>
        <v>0</v>
      </c>
    </row>
    <row r="504" spans="1:8" hidden="1" x14ac:dyDescent="0.25">
      <c r="A504" t="str" cm="1">
        <f t="array" ref="A504">IF(AND(ISBLANK(INDEX(SampleList[pH],ROW()-1)),ISBLANK(INDEX(SampleList[Conductivity],ROW()-1)),ISBLANK(INDEX(SampleList[Modification],ROW()-1))),"Not Requested",INDEX(SampleList[Experiment ID],ROW()-1))</f>
        <v>Not Requested</v>
      </c>
      <c r="B504">
        <f>SampleList[[#This Row],[Duration (Days)]]</f>
        <v>0</v>
      </c>
      <c r="G504">
        <f>NMRResults[[#This Row],['#]]</f>
        <v>0</v>
      </c>
      <c r="H504" s="1">
        <f>NMRResults[[#This Row],[Date Run]]</f>
        <v>0</v>
      </c>
    </row>
    <row r="505" spans="1:8" hidden="1" x14ac:dyDescent="0.25">
      <c r="A505" t="str" cm="1">
        <f t="array" ref="A505">IF(AND(ISBLANK(INDEX(SampleList[pH],ROW()-1)),ISBLANK(INDEX(SampleList[Conductivity],ROW()-1)),ISBLANK(INDEX(SampleList[Modification],ROW()-1))),"Not Requested",INDEX(SampleList[Experiment ID],ROW()-1))</f>
        <v>Not Requested</v>
      </c>
      <c r="B505">
        <f>SampleList[[#This Row],[Duration (Days)]]</f>
        <v>0</v>
      </c>
      <c r="G505">
        <f>NMRResults[[#This Row],['#]]</f>
        <v>0</v>
      </c>
      <c r="H505" s="1">
        <f>NMRResults[[#This Row],[Date Run]]</f>
        <v>0</v>
      </c>
    </row>
    <row r="506" spans="1:8" hidden="1" x14ac:dyDescent="0.25">
      <c r="A506" t="str" cm="1">
        <f t="array" ref="A506">IF(AND(ISBLANK(INDEX(SampleList[pH],ROW()-1)),ISBLANK(INDEX(SampleList[Conductivity],ROW()-1)),ISBLANK(INDEX(SampleList[Modification],ROW()-1))),"Not Requested",INDEX(SampleList[Experiment ID],ROW()-1))</f>
        <v>Not Requested</v>
      </c>
      <c r="B506">
        <f>SampleList[[#This Row],[Duration (Days)]]</f>
        <v>0</v>
      </c>
      <c r="G506">
        <f>NMRResults[[#This Row],['#]]</f>
        <v>0</v>
      </c>
      <c r="H506" s="1">
        <f>NMRResults[[#This Row],[Date Run]]</f>
        <v>0</v>
      </c>
    </row>
    <row r="507" spans="1:8" hidden="1" x14ac:dyDescent="0.25">
      <c r="A507" t="str" cm="1">
        <f t="array" ref="A507">IF(AND(ISBLANK(INDEX(SampleList[pH],ROW()-1)),ISBLANK(INDEX(SampleList[Conductivity],ROW()-1)),ISBLANK(INDEX(SampleList[Modification],ROW()-1))),"Not Requested",INDEX(SampleList[Experiment ID],ROW()-1))</f>
        <v>Not Requested</v>
      </c>
      <c r="B507">
        <f>SampleList[[#This Row],[Duration (Days)]]</f>
        <v>0</v>
      </c>
      <c r="G507">
        <f>NMRResults[[#This Row],['#]]</f>
        <v>0</v>
      </c>
      <c r="H507" s="1">
        <f>NMRResults[[#This Row],[Date Run]]</f>
        <v>0</v>
      </c>
    </row>
    <row r="508" spans="1:8" hidden="1" x14ac:dyDescent="0.25">
      <c r="A508" t="str" cm="1">
        <f t="array" ref="A508">IF(AND(ISBLANK(INDEX(SampleList[pH],ROW()-1)),ISBLANK(INDEX(SampleList[Conductivity],ROW()-1)),ISBLANK(INDEX(SampleList[Modification],ROW()-1))),"Not Requested",INDEX(SampleList[Experiment ID],ROW()-1))</f>
        <v>Not Requested</v>
      </c>
      <c r="B508">
        <f>SampleList[[#This Row],[Duration (Days)]]</f>
        <v>0</v>
      </c>
      <c r="G508">
        <f>NMRResults[[#This Row],['#]]</f>
        <v>0</v>
      </c>
      <c r="H508" s="1">
        <f>NMRResults[[#This Row],[Date Run]]</f>
        <v>0</v>
      </c>
    </row>
    <row r="509" spans="1:8" hidden="1" x14ac:dyDescent="0.25">
      <c r="A509" t="str" cm="1">
        <f t="array" ref="A509">IF(AND(ISBLANK(INDEX(SampleList[pH],ROW()-1)),ISBLANK(INDEX(SampleList[Conductivity],ROW()-1)),ISBLANK(INDEX(SampleList[Modification],ROW()-1))),"Not Requested",INDEX(SampleList[Experiment ID],ROW()-1))</f>
        <v>Not Requested</v>
      </c>
      <c r="B509">
        <f>SampleList[[#This Row],[Duration (Days)]]</f>
        <v>0</v>
      </c>
      <c r="G509">
        <f>NMRResults[[#This Row],['#]]</f>
        <v>0</v>
      </c>
      <c r="H509" s="1">
        <f>NMRResults[[#This Row],[Date Run]]</f>
        <v>0</v>
      </c>
    </row>
    <row r="510" spans="1:8" hidden="1" x14ac:dyDescent="0.25">
      <c r="A510" t="str" cm="1">
        <f t="array" ref="A510">IF(AND(ISBLANK(INDEX(SampleList[pH],ROW()-1)),ISBLANK(INDEX(SampleList[Conductivity],ROW()-1)),ISBLANK(INDEX(SampleList[Modification],ROW()-1))),"Not Requested",INDEX(SampleList[Experiment ID],ROW()-1))</f>
        <v>Not Requested</v>
      </c>
      <c r="B510">
        <f>SampleList[[#This Row],[Duration (Days)]]</f>
        <v>0</v>
      </c>
      <c r="G510">
        <f>NMRResults[[#This Row],['#]]</f>
        <v>0</v>
      </c>
      <c r="H510" s="1">
        <f>NMRResults[[#This Row],[Date Run]]</f>
        <v>0</v>
      </c>
    </row>
    <row r="511" spans="1:8" hidden="1" x14ac:dyDescent="0.25">
      <c r="A511" t="str" cm="1">
        <f t="array" ref="A511">IF(AND(ISBLANK(INDEX(SampleList[pH],ROW()-1)),ISBLANK(INDEX(SampleList[Conductivity],ROW()-1)),ISBLANK(INDEX(SampleList[Modification],ROW()-1))),"Not Requested",INDEX(SampleList[Experiment ID],ROW()-1))</f>
        <v>Not Requested</v>
      </c>
      <c r="B511">
        <f>SampleList[[#This Row],[Duration (Days)]]</f>
        <v>0</v>
      </c>
      <c r="G511">
        <f>NMRResults[[#This Row],['#]]</f>
        <v>0</v>
      </c>
      <c r="H511" s="1">
        <f>NMRResults[[#This Row],[Date Run]]</f>
        <v>0</v>
      </c>
    </row>
    <row r="512" spans="1:8" hidden="1" x14ac:dyDescent="0.25">
      <c r="A512" t="str" cm="1">
        <f t="array" ref="A512">IF(AND(ISBLANK(INDEX(SampleList[pH],ROW()-1)),ISBLANK(INDEX(SampleList[Conductivity],ROW()-1)),ISBLANK(INDEX(SampleList[Modification],ROW()-1))),"Not Requested",INDEX(SampleList[Experiment ID],ROW()-1))</f>
        <v>Not Requested</v>
      </c>
      <c r="B512">
        <f>SampleList[[#This Row],[Duration (Days)]]</f>
        <v>0</v>
      </c>
      <c r="G512">
        <f>NMRResults[[#This Row],['#]]</f>
        <v>0</v>
      </c>
      <c r="H512" s="1">
        <f>NMRResults[[#This Row],[Date Run]]</f>
        <v>0</v>
      </c>
    </row>
    <row r="513" spans="1:8" hidden="1" x14ac:dyDescent="0.25">
      <c r="A513" t="str" cm="1">
        <f t="array" ref="A513">IF(AND(ISBLANK(INDEX(SampleList[pH],ROW()-1)),ISBLANK(INDEX(SampleList[Conductivity],ROW()-1)),ISBLANK(INDEX(SampleList[Modification],ROW()-1))),"Not Requested",INDEX(SampleList[Experiment ID],ROW()-1))</f>
        <v>Not Requested</v>
      </c>
      <c r="B513">
        <f>SampleList[[#This Row],[Duration (Days)]]</f>
        <v>0</v>
      </c>
      <c r="G513">
        <f>NMRResults[[#This Row],['#]]</f>
        <v>0</v>
      </c>
      <c r="H513" s="1">
        <f>NMRResults[[#This Row],[Date Run]]</f>
        <v>0</v>
      </c>
    </row>
    <row r="514" spans="1:8" hidden="1" x14ac:dyDescent="0.25">
      <c r="A514" t="str" cm="1">
        <f t="array" ref="A514">IF(AND(ISBLANK(INDEX(SampleList[pH],ROW()-1)),ISBLANK(INDEX(SampleList[Conductivity],ROW()-1)),ISBLANK(INDEX(SampleList[Modification],ROW()-1))),"Not Requested",INDEX(SampleList[Experiment ID],ROW()-1))</f>
        <v>Not Requested</v>
      </c>
      <c r="B514">
        <f>SampleList[[#This Row],[Duration (Days)]]</f>
        <v>0</v>
      </c>
      <c r="G514">
        <f>NMRResults[[#This Row],['#]]</f>
        <v>0</v>
      </c>
      <c r="H514" s="1">
        <f>NMRResults[[#This Row],[Date Run]]</f>
        <v>0</v>
      </c>
    </row>
    <row r="515" spans="1:8" hidden="1" x14ac:dyDescent="0.25">
      <c r="A515" t="str" cm="1">
        <f t="array" ref="A515">IF(AND(ISBLANK(INDEX(SampleList[pH],ROW()-1)),ISBLANK(INDEX(SampleList[Conductivity],ROW()-1)),ISBLANK(INDEX(SampleList[Modification],ROW()-1))),"Not Requested",INDEX(SampleList[Experiment ID],ROW()-1))</f>
        <v>Not Requested</v>
      </c>
      <c r="B515">
        <f>SampleList[[#This Row],[Duration (Days)]]</f>
        <v>0</v>
      </c>
      <c r="G515">
        <f>NMRResults[[#This Row],['#]]</f>
        <v>0</v>
      </c>
      <c r="H515" s="1">
        <f>NMRResults[[#This Row],[Date Run]]</f>
        <v>0</v>
      </c>
    </row>
    <row r="516" spans="1:8" hidden="1" x14ac:dyDescent="0.25">
      <c r="A516" t="str" cm="1">
        <f t="array" ref="A516">IF(AND(ISBLANK(INDEX(SampleList[pH],ROW()-1)),ISBLANK(INDEX(SampleList[Conductivity],ROW()-1)),ISBLANK(INDEX(SampleList[Modification],ROW()-1))),"Not Requested",INDEX(SampleList[Experiment ID],ROW()-1))</f>
        <v>Not Requested</v>
      </c>
      <c r="B516">
        <f>SampleList[[#This Row],[Duration (Days)]]</f>
        <v>0</v>
      </c>
      <c r="G516">
        <f>NMRResults[[#This Row],['#]]</f>
        <v>0</v>
      </c>
      <c r="H516" s="1">
        <f>NMRResults[[#This Row],[Date Run]]</f>
        <v>0</v>
      </c>
    </row>
    <row r="517" spans="1:8" hidden="1" x14ac:dyDescent="0.25">
      <c r="A517" t="str" cm="1">
        <f t="array" ref="A517">IF(AND(ISBLANK(INDEX(SampleList[pH],ROW()-1)),ISBLANK(INDEX(SampleList[Conductivity],ROW()-1)),ISBLANK(INDEX(SampleList[Modification],ROW()-1))),"Not Requested",INDEX(SampleList[Experiment ID],ROW()-1))</f>
        <v>Not Requested</v>
      </c>
      <c r="B517">
        <f>SampleList[[#This Row],[Duration (Days)]]</f>
        <v>0</v>
      </c>
      <c r="G517">
        <f>NMRResults[[#This Row],['#]]</f>
        <v>0</v>
      </c>
      <c r="H517" s="1">
        <f>NMRResults[[#This Row],[Date Run]]</f>
        <v>0</v>
      </c>
    </row>
    <row r="518" spans="1:8" hidden="1" x14ac:dyDescent="0.25">
      <c r="A518" t="str" cm="1">
        <f t="array" ref="A518">IF(AND(ISBLANK(INDEX(SampleList[pH],ROW()-1)),ISBLANK(INDEX(SampleList[Conductivity],ROW()-1)),ISBLANK(INDEX(SampleList[Modification],ROW()-1))),"Not Requested",INDEX(SampleList[Experiment ID],ROW()-1))</f>
        <v>Not Requested</v>
      </c>
      <c r="B518">
        <f>SampleList[[#This Row],[Duration (Days)]]</f>
        <v>0</v>
      </c>
      <c r="G518">
        <f>NMRResults[[#This Row],['#]]</f>
        <v>0</v>
      </c>
      <c r="H518" s="1">
        <f>NMRResults[[#This Row],[Date Run]]</f>
        <v>0</v>
      </c>
    </row>
    <row r="519" spans="1:8" hidden="1" x14ac:dyDescent="0.25">
      <c r="A519" t="str" cm="1">
        <f t="array" ref="A519">IF(AND(ISBLANK(INDEX(SampleList[pH],ROW()-1)),ISBLANK(INDEX(SampleList[Conductivity],ROW()-1)),ISBLANK(INDEX(SampleList[Modification],ROW()-1))),"Not Requested",INDEX(SampleList[Experiment ID],ROW()-1))</f>
        <v>Not Requested</v>
      </c>
      <c r="B519">
        <f>SampleList[[#This Row],[Duration (Days)]]</f>
        <v>0</v>
      </c>
      <c r="G519">
        <f>NMRResults[[#This Row],['#]]</f>
        <v>0</v>
      </c>
      <c r="H519" s="1">
        <f>NMRResults[[#This Row],[Date Run]]</f>
        <v>0</v>
      </c>
    </row>
    <row r="520" spans="1:8" hidden="1" x14ac:dyDescent="0.25">
      <c r="A520" t="str" cm="1">
        <f t="array" ref="A520">IF(AND(ISBLANK(INDEX(SampleList[pH],ROW()-1)),ISBLANK(INDEX(SampleList[Conductivity],ROW()-1)),ISBLANK(INDEX(SampleList[Modification],ROW()-1))),"Not Requested",INDEX(SampleList[Experiment ID],ROW()-1))</f>
        <v>Not Requested</v>
      </c>
      <c r="B520">
        <f>SampleList[[#This Row],[Duration (Days)]]</f>
        <v>0</v>
      </c>
      <c r="G520">
        <f>NMRResults[[#This Row],['#]]</f>
        <v>0</v>
      </c>
      <c r="H520" s="1">
        <f>NMRResults[[#This Row],[Date Run]]</f>
        <v>0</v>
      </c>
    </row>
    <row r="521" spans="1:8" hidden="1" x14ac:dyDescent="0.25">
      <c r="A521" t="str" cm="1">
        <f t="array" ref="A521">IF(AND(ISBLANK(INDEX(SampleList[pH],ROW()-1)),ISBLANK(INDEX(SampleList[Conductivity],ROW()-1)),ISBLANK(INDEX(SampleList[Modification],ROW()-1))),"Not Requested",INDEX(SampleList[Experiment ID],ROW()-1))</f>
        <v>Not Requested</v>
      </c>
      <c r="B521">
        <f>SampleList[[#This Row],[Duration (Days)]]</f>
        <v>0</v>
      </c>
      <c r="G521">
        <f>NMRResults[[#This Row],['#]]</f>
        <v>0</v>
      </c>
      <c r="H521" s="1">
        <f>NMRResults[[#This Row],[Date Run]]</f>
        <v>0</v>
      </c>
    </row>
    <row r="522" spans="1:8" hidden="1" x14ac:dyDescent="0.25">
      <c r="A522" t="str" cm="1">
        <f t="array" ref="A522">IF(AND(ISBLANK(INDEX(SampleList[pH],ROW()-1)),ISBLANK(INDEX(SampleList[Conductivity],ROW()-1)),ISBLANK(INDEX(SampleList[Modification],ROW()-1))),"Not Requested",INDEX(SampleList[Experiment ID],ROW()-1))</f>
        <v>Not Requested</v>
      </c>
      <c r="B522">
        <f>SampleList[[#This Row],[Duration (Days)]]</f>
        <v>0</v>
      </c>
      <c r="G522">
        <f>NMRResults[[#This Row],['#]]</f>
        <v>0</v>
      </c>
      <c r="H522" s="1">
        <f>NMRResults[[#This Row],[Date Run]]</f>
        <v>0</v>
      </c>
    </row>
    <row r="523" spans="1:8" hidden="1" x14ac:dyDescent="0.25">
      <c r="A523" t="str" cm="1">
        <f t="array" ref="A523">IF(AND(ISBLANK(INDEX(SampleList[pH],ROW()-1)),ISBLANK(INDEX(SampleList[Conductivity],ROW()-1)),ISBLANK(INDEX(SampleList[Modification],ROW()-1))),"Not Requested",INDEX(SampleList[Experiment ID],ROW()-1))</f>
        <v>Not Requested</v>
      </c>
      <c r="B523">
        <f>SampleList[[#This Row],[Duration (Days)]]</f>
        <v>0</v>
      </c>
      <c r="G523">
        <f>NMRResults[[#This Row],['#]]</f>
        <v>0</v>
      </c>
      <c r="H523" s="1">
        <f>NMRResults[[#This Row],[Date Run]]</f>
        <v>0</v>
      </c>
    </row>
    <row r="524" spans="1:8" hidden="1" x14ac:dyDescent="0.25">
      <c r="A524" t="str" cm="1">
        <f t="array" ref="A524">IF(AND(ISBLANK(INDEX(SampleList[pH],ROW()-1)),ISBLANK(INDEX(SampleList[Conductivity],ROW()-1)),ISBLANK(INDEX(SampleList[Modification],ROW()-1))),"Not Requested",INDEX(SampleList[Experiment ID],ROW()-1))</f>
        <v>Not Requested</v>
      </c>
      <c r="B524">
        <f>SampleList[[#This Row],[Duration (Days)]]</f>
        <v>0</v>
      </c>
      <c r="G524">
        <f>NMRResults[[#This Row],['#]]</f>
        <v>0</v>
      </c>
      <c r="H524" s="1">
        <f>NMRResults[[#This Row],[Date Run]]</f>
        <v>0</v>
      </c>
    </row>
    <row r="525" spans="1:8" hidden="1" x14ac:dyDescent="0.25">
      <c r="A525" t="str" cm="1">
        <f t="array" ref="A525">IF(AND(ISBLANK(INDEX(SampleList[pH],ROW()-1)),ISBLANK(INDEX(SampleList[Conductivity],ROW()-1)),ISBLANK(INDEX(SampleList[Modification],ROW()-1))),"Not Requested",INDEX(SampleList[Experiment ID],ROW()-1))</f>
        <v>Not Requested</v>
      </c>
      <c r="B525">
        <f>SampleList[[#This Row],[Duration (Days)]]</f>
        <v>0</v>
      </c>
      <c r="G525">
        <f>NMRResults[[#This Row],['#]]</f>
        <v>0</v>
      </c>
      <c r="H525" s="1">
        <f>NMRResults[[#This Row],[Date Run]]</f>
        <v>0</v>
      </c>
    </row>
    <row r="526" spans="1:8" hidden="1" x14ac:dyDescent="0.25">
      <c r="A526" t="str" cm="1">
        <f t="array" ref="A526">IF(AND(ISBLANK(INDEX(SampleList[pH],ROW()-1)),ISBLANK(INDEX(SampleList[Conductivity],ROW()-1)),ISBLANK(INDEX(SampleList[Modification],ROW()-1))),"Not Requested",INDEX(SampleList[Experiment ID],ROW()-1))</f>
        <v>Not Requested</v>
      </c>
      <c r="B526">
        <f>SampleList[[#This Row],[Duration (Days)]]</f>
        <v>0</v>
      </c>
      <c r="G526">
        <f>NMRResults[[#This Row],['#]]</f>
        <v>0</v>
      </c>
      <c r="H526" s="1">
        <f>NMRResults[[#This Row],[Date Run]]</f>
        <v>0</v>
      </c>
    </row>
    <row r="527" spans="1:8" hidden="1" x14ac:dyDescent="0.25">
      <c r="A527" t="str" cm="1">
        <f t="array" ref="A527">IF(AND(ISBLANK(INDEX(SampleList[pH],ROW()-1)),ISBLANK(INDEX(SampleList[Conductivity],ROW()-1)),ISBLANK(INDEX(SampleList[Modification],ROW()-1))),"Not Requested",INDEX(SampleList[Experiment ID],ROW()-1))</f>
        <v>Not Requested</v>
      </c>
      <c r="B527">
        <f>SampleList[[#This Row],[Duration (Days)]]</f>
        <v>0</v>
      </c>
      <c r="G527">
        <f>NMRResults[[#This Row],['#]]</f>
        <v>0</v>
      </c>
      <c r="H527" s="1">
        <f>NMRResults[[#This Row],[Date Run]]</f>
        <v>0</v>
      </c>
    </row>
    <row r="528" spans="1:8" hidden="1" x14ac:dyDescent="0.25">
      <c r="A528" t="str" cm="1">
        <f t="array" ref="A528">IF(AND(ISBLANK(INDEX(SampleList[pH],ROW()-1)),ISBLANK(INDEX(SampleList[Conductivity],ROW()-1)),ISBLANK(INDEX(SampleList[Modification],ROW()-1))),"Not Requested",INDEX(SampleList[Experiment ID],ROW()-1))</f>
        <v>Not Requested</v>
      </c>
      <c r="B528">
        <f>SampleList[[#This Row],[Duration (Days)]]</f>
        <v>0</v>
      </c>
      <c r="G528">
        <f>NMRResults[[#This Row],['#]]</f>
        <v>0</v>
      </c>
      <c r="H528" s="1">
        <f>NMRResults[[#This Row],[Date Run]]</f>
        <v>0</v>
      </c>
    </row>
    <row r="529" spans="1:8" hidden="1" x14ac:dyDescent="0.25">
      <c r="A529" t="str" cm="1">
        <f t="array" ref="A529">IF(AND(ISBLANK(INDEX(SampleList[pH],ROW()-1)),ISBLANK(INDEX(SampleList[Conductivity],ROW()-1)),ISBLANK(INDEX(SampleList[Modification],ROW()-1))),"Not Requested",INDEX(SampleList[Experiment ID],ROW()-1))</f>
        <v>Not Requested</v>
      </c>
      <c r="B529">
        <f>SampleList[[#This Row],[Duration (Days)]]</f>
        <v>0</v>
      </c>
      <c r="G529">
        <f>NMRResults[[#This Row],['#]]</f>
        <v>0</v>
      </c>
      <c r="H529" s="1">
        <f>NMRResults[[#This Row],[Date Run]]</f>
        <v>0</v>
      </c>
    </row>
    <row r="530" spans="1:8" hidden="1" x14ac:dyDescent="0.25">
      <c r="A530" t="str" cm="1">
        <f t="array" ref="A530">IF(AND(ISBLANK(INDEX(SampleList[pH],ROW()-1)),ISBLANK(INDEX(SampleList[Conductivity],ROW()-1)),ISBLANK(INDEX(SampleList[Modification],ROW()-1))),"Not Requested",INDEX(SampleList[Experiment ID],ROW()-1))</f>
        <v>Not Requested</v>
      </c>
      <c r="B530">
        <f>SampleList[[#This Row],[Duration (Days)]]</f>
        <v>0</v>
      </c>
      <c r="G530">
        <f>NMRResults[[#This Row],['#]]</f>
        <v>0</v>
      </c>
      <c r="H530" s="1">
        <f>NMRResults[[#This Row],[Date Run]]</f>
        <v>0</v>
      </c>
    </row>
    <row r="531" spans="1:8" hidden="1" x14ac:dyDescent="0.25">
      <c r="A531" t="str" cm="1">
        <f t="array" ref="A531">IF(AND(ISBLANK(INDEX(SampleList[pH],ROW()-1)),ISBLANK(INDEX(SampleList[Conductivity],ROW()-1)),ISBLANK(INDEX(SampleList[Modification],ROW()-1))),"Not Requested",INDEX(SampleList[Experiment ID],ROW()-1))</f>
        <v>Not Requested</v>
      </c>
      <c r="B531">
        <f>SampleList[[#This Row],[Duration (Days)]]</f>
        <v>0</v>
      </c>
      <c r="G531">
        <f>NMRResults[[#This Row],['#]]</f>
        <v>0</v>
      </c>
      <c r="H531" s="1">
        <f>NMRResults[[#This Row],[Date Run]]</f>
        <v>0</v>
      </c>
    </row>
    <row r="532" spans="1:8" hidden="1" x14ac:dyDescent="0.25">
      <c r="A532" t="str" cm="1">
        <f t="array" ref="A532">IF(AND(ISBLANK(INDEX(SampleList[pH],ROW()-1)),ISBLANK(INDEX(SampleList[Conductivity],ROW()-1)),ISBLANK(INDEX(SampleList[Modification],ROW()-1))),"Not Requested",INDEX(SampleList[Experiment ID],ROW()-1))</f>
        <v>Not Requested</v>
      </c>
      <c r="B532">
        <f>SampleList[[#This Row],[Duration (Days)]]</f>
        <v>0</v>
      </c>
      <c r="G532">
        <f>NMRResults[[#This Row],['#]]</f>
        <v>0</v>
      </c>
      <c r="H532" s="1">
        <f>NMRResults[[#This Row],[Date Run]]</f>
        <v>0</v>
      </c>
    </row>
    <row r="533" spans="1:8" hidden="1" x14ac:dyDescent="0.25">
      <c r="A533" t="str" cm="1">
        <f t="array" ref="A533">IF(AND(ISBLANK(INDEX(SampleList[pH],ROW()-1)),ISBLANK(INDEX(SampleList[Conductivity],ROW()-1)),ISBLANK(INDEX(SampleList[Modification],ROW()-1))),"Not Requested",INDEX(SampleList[Experiment ID],ROW()-1))</f>
        <v>Not Requested</v>
      </c>
      <c r="B533">
        <f>SampleList[[#This Row],[Duration (Days)]]</f>
        <v>0</v>
      </c>
      <c r="G533">
        <f>NMRResults[[#This Row],['#]]</f>
        <v>0</v>
      </c>
      <c r="H533" s="1">
        <f>NMRResults[[#This Row],[Date Run]]</f>
        <v>0</v>
      </c>
    </row>
    <row r="534" spans="1:8" hidden="1" x14ac:dyDescent="0.25">
      <c r="A534" t="str" cm="1">
        <f t="array" ref="A534">IF(AND(ISBLANK(INDEX(SampleList[pH],ROW()-1)),ISBLANK(INDEX(SampleList[Conductivity],ROW()-1)),ISBLANK(INDEX(SampleList[Modification],ROW()-1))),"Not Requested",INDEX(SampleList[Experiment ID],ROW()-1))</f>
        <v>Not Requested</v>
      </c>
      <c r="B534">
        <f>SampleList[[#This Row],[Duration (Days)]]</f>
        <v>0</v>
      </c>
      <c r="G534">
        <f>NMRResults[[#This Row],['#]]</f>
        <v>0</v>
      </c>
      <c r="H534" s="1">
        <f>NMRResults[[#This Row],[Date Run]]</f>
        <v>0</v>
      </c>
    </row>
    <row r="535" spans="1:8" hidden="1" x14ac:dyDescent="0.25">
      <c r="A535" t="str" cm="1">
        <f t="array" ref="A535">IF(AND(ISBLANK(INDEX(SampleList[pH],ROW()-1)),ISBLANK(INDEX(SampleList[Conductivity],ROW()-1)),ISBLANK(INDEX(SampleList[Modification],ROW()-1))),"Not Requested",INDEX(SampleList[Experiment ID],ROW()-1))</f>
        <v>Not Requested</v>
      </c>
      <c r="B535">
        <f>SampleList[[#This Row],[Duration (Days)]]</f>
        <v>0</v>
      </c>
      <c r="G535">
        <f>NMRResults[[#This Row],['#]]</f>
        <v>0</v>
      </c>
      <c r="H535" s="1">
        <f>NMRResults[[#This Row],[Date Run]]</f>
        <v>0</v>
      </c>
    </row>
    <row r="536" spans="1:8" hidden="1" x14ac:dyDescent="0.25">
      <c r="A536" t="str" cm="1">
        <f t="array" ref="A536">IF(AND(ISBLANK(INDEX(SampleList[pH],ROW()-1)),ISBLANK(INDEX(SampleList[Conductivity],ROW()-1)),ISBLANK(INDEX(SampleList[Modification],ROW()-1))),"Not Requested",INDEX(SampleList[Experiment ID],ROW()-1))</f>
        <v>Not Requested</v>
      </c>
      <c r="B536">
        <f>SampleList[[#This Row],[Duration (Days)]]</f>
        <v>0</v>
      </c>
      <c r="G536">
        <f>NMRResults[[#This Row],['#]]</f>
        <v>0</v>
      </c>
      <c r="H536" s="1">
        <f>NMRResults[[#This Row],[Date Run]]</f>
        <v>0</v>
      </c>
    </row>
    <row r="537" spans="1:8" hidden="1" x14ac:dyDescent="0.25">
      <c r="A537" t="str" cm="1">
        <f t="array" ref="A537">IF(AND(ISBLANK(INDEX(SampleList[pH],ROW()-1)),ISBLANK(INDEX(SampleList[Conductivity],ROW()-1)),ISBLANK(INDEX(SampleList[Modification],ROW()-1))),"Not Requested",INDEX(SampleList[Experiment ID],ROW()-1))</f>
        <v>Not Requested</v>
      </c>
      <c r="B537">
        <f>SampleList[[#This Row],[Duration (Days)]]</f>
        <v>0</v>
      </c>
      <c r="G537">
        <f>NMRResults[[#This Row],['#]]</f>
        <v>0</v>
      </c>
      <c r="H537" s="1">
        <f>NMRResults[[#This Row],[Date Run]]</f>
        <v>0</v>
      </c>
    </row>
    <row r="538" spans="1:8" hidden="1" x14ac:dyDescent="0.25">
      <c r="A538" t="str" cm="1">
        <f t="array" ref="A538">IF(AND(ISBLANK(INDEX(SampleList[pH],ROW()-1)),ISBLANK(INDEX(SampleList[Conductivity],ROW()-1)),ISBLANK(INDEX(SampleList[Modification],ROW()-1))),"Not Requested",INDEX(SampleList[Experiment ID],ROW()-1))</f>
        <v>Not Requested</v>
      </c>
      <c r="B538">
        <f>SampleList[[#This Row],[Duration (Days)]]</f>
        <v>0</v>
      </c>
      <c r="G538">
        <f>NMRResults[[#This Row],['#]]</f>
        <v>0</v>
      </c>
      <c r="H538" s="1">
        <f>NMRResults[[#This Row],[Date Run]]</f>
        <v>0</v>
      </c>
    </row>
    <row r="539" spans="1:8" hidden="1" x14ac:dyDescent="0.25">
      <c r="A539" t="str" cm="1">
        <f t="array" ref="A539">IF(AND(ISBLANK(INDEX(SampleList[pH],ROW()-1)),ISBLANK(INDEX(SampleList[Conductivity],ROW()-1)),ISBLANK(INDEX(SampleList[Modification],ROW()-1))),"Not Requested",INDEX(SampleList[Experiment ID],ROW()-1))</f>
        <v>Not Requested</v>
      </c>
      <c r="B539">
        <f>SampleList[[#This Row],[Duration (Days)]]</f>
        <v>0</v>
      </c>
      <c r="G539">
        <f>NMRResults[[#This Row],['#]]</f>
        <v>0</v>
      </c>
      <c r="H539" s="1">
        <f>NMRResults[[#This Row],[Date Run]]</f>
        <v>0</v>
      </c>
    </row>
    <row r="540" spans="1:8" hidden="1" x14ac:dyDescent="0.25">
      <c r="A540" t="str" cm="1">
        <f t="array" ref="A540">IF(AND(ISBLANK(INDEX(SampleList[pH],ROW()-1)),ISBLANK(INDEX(SampleList[Conductivity],ROW()-1)),ISBLANK(INDEX(SampleList[Modification],ROW()-1))),"Not Requested",INDEX(SampleList[Experiment ID],ROW()-1))</f>
        <v>Not Requested</v>
      </c>
      <c r="B540">
        <f>SampleList[[#This Row],[Duration (Days)]]</f>
        <v>0</v>
      </c>
      <c r="G540">
        <f>NMRResults[[#This Row],['#]]</f>
        <v>0</v>
      </c>
      <c r="H540" s="1">
        <f>NMRResults[[#This Row],[Date Run]]</f>
        <v>0</v>
      </c>
    </row>
    <row r="541" spans="1:8" hidden="1" x14ac:dyDescent="0.25">
      <c r="A541" t="str" cm="1">
        <f t="array" ref="A541">IF(AND(ISBLANK(INDEX(SampleList[pH],ROW()-1)),ISBLANK(INDEX(SampleList[Conductivity],ROW()-1)),ISBLANK(INDEX(SampleList[Modification],ROW()-1))),"Not Requested",INDEX(SampleList[Experiment ID],ROW()-1))</f>
        <v>Not Requested</v>
      </c>
      <c r="B541">
        <f>SampleList[[#This Row],[Duration (Days)]]</f>
        <v>0</v>
      </c>
      <c r="G541">
        <f>NMRResults[[#This Row],['#]]</f>
        <v>0</v>
      </c>
      <c r="H541" s="1">
        <f>NMRResults[[#This Row],[Date Run]]</f>
        <v>0</v>
      </c>
    </row>
    <row r="542" spans="1:8" hidden="1" x14ac:dyDescent="0.25">
      <c r="A542" t="str" cm="1">
        <f t="array" ref="A542">IF(AND(ISBLANK(INDEX(SampleList[pH],ROW()-1)),ISBLANK(INDEX(SampleList[Conductivity],ROW()-1)),ISBLANK(INDEX(SampleList[Modification],ROW()-1))),"Not Requested",INDEX(SampleList[Experiment ID],ROW()-1))</f>
        <v>Not Requested</v>
      </c>
      <c r="B542">
        <f>SampleList[[#This Row],[Duration (Days)]]</f>
        <v>0</v>
      </c>
      <c r="G542">
        <f>NMRResults[[#This Row],['#]]</f>
        <v>0</v>
      </c>
      <c r="H542" s="1">
        <f>NMRResults[[#This Row],[Date Run]]</f>
        <v>0</v>
      </c>
    </row>
    <row r="543" spans="1:8" hidden="1" x14ac:dyDescent="0.25">
      <c r="A543" t="str" cm="1">
        <f t="array" ref="A543">IF(AND(ISBLANK(INDEX(SampleList[pH],ROW()-1)),ISBLANK(INDEX(SampleList[Conductivity],ROW()-1)),ISBLANK(INDEX(SampleList[Modification],ROW()-1))),"Not Requested",INDEX(SampleList[Experiment ID],ROW()-1))</f>
        <v>Not Requested</v>
      </c>
      <c r="B543">
        <f>SampleList[[#This Row],[Duration (Days)]]</f>
        <v>0</v>
      </c>
      <c r="G543">
        <f>NMRResults[[#This Row],['#]]</f>
        <v>0</v>
      </c>
      <c r="H543" s="1">
        <f>NMRResults[[#This Row],[Date Run]]</f>
        <v>0</v>
      </c>
    </row>
    <row r="544" spans="1:8" hidden="1" x14ac:dyDescent="0.25">
      <c r="A544" t="str" cm="1">
        <f t="array" ref="A544">IF(AND(ISBLANK(INDEX(SampleList[pH],ROW()-1)),ISBLANK(INDEX(SampleList[Conductivity],ROW()-1)),ISBLANK(INDEX(SampleList[Modification],ROW()-1))),"Not Requested",INDEX(SampleList[Experiment ID],ROW()-1))</f>
        <v>Not Requested</v>
      </c>
      <c r="B544">
        <f>SampleList[[#This Row],[Duration (Days)]]</f>
        <v>0</v>
      </c>
      <c r="G544">
        <f>NMRResults[[#This Row],['#]]</f>
        <v>0</v>
      </c>
      <c r="H544" s="1">
        <f>NMRResults[[#This Row],[Date Run]]</f>
        <v>0</v>
      </c>
    </row>
    <row r="545" spans="1:8" hidden="1" x14ac:dyDescent="0.25">
      <c r="A545" t="str" cm="1">
        <f t="array" ref="A545">IF(AND(ISBLANK(INDEX(SampleList[pH],ROW()-1)),ISBLANK(INDEX(SampleList[Conductivity],ROW()-1)),ISBLANK(INDEX(SampleList[Modification],ROW()-1))),"Not Requested",INDEX(SampleList[Experiment ID],ROW()-1))</f>
        <v>Not Requested</v>
      </c>
      <c r="B545">
        <f>SampleList[[#This Row],[Duration (Days)]]</f>
        <v>0</v>
      </c>
      <c r="G545">
        <f>NMRResults[[#This Row],['#]]</f>
        <v>0</v>
      </c>
      <c r="H545" s="1">
        <f>NMRResults[[#This Row],[Date Run]]</f>
        <v>0</v>
      </c>
    </row>
    <row r="546" spans="1:8" hidden="1" x14ac:dyDescent="0.25">
      <c r="A546" t="str" cm="1">
        <f t="array" ref="A546">IF(AND(ISBLANK(INDEX(SampleList[pH],ROW()-1)),ISBLANK(INDEX(SampleList[Conductivity],ROW()-1)),ISBLANK(INDEX(SampleList[Modification],ROW()-1))),"Not Requested",INDEX(SampleList[Experiment ID],ROW()-1))</f>
        <v>Not Requested</v>
      </c>
      <c r="B546">
        <f>SampleList[[#This Row],[Duration (Days)]]</f>
        <v>0</v>
      </c>
      <c r="G546">
        <f>NMRResults[[#This Row],['#]]</f>
        <v>0</v>
      </c>
      <c r="H546" s="1">
        <f>NMRResults[[#This Row],[Date Run]]</f>
        <v>0</v>
      </c>
    </row>
    <row r="547" spans="1:8" hidden="1" x14ac:dyDescent="0.25">
      <c r="A547" t="str" cm="1">
        <f t="array" ref="A547">IF(AND(ISBLANK(INDEX(SampleList[pH],ROW()-1)),ISBLANK(INDEX(SampleList[Conductivity],ROW()-1)),ISBLANK(INDEX(SampleList[Modification],ROW()-1))),"Not Requested",INDEX(SampleList[Experiment ID],ROW()-1))</f>
        <v>Not Requested</v>
      </c>
      <c r="B547">
        <f>SampleList[[#This Row],[Duration (Days)]]</f>
        <v>0</v>
      </c>
      <c r="G547">
        <f>NMRResults[[#This Row],['#]]</f>
        <v>0</v>
      </c>
      <c r="H547" s="1">
        <f>NMRResults[[#This Row],[Date Run]]</f>
        <v>0</v>
      </c>
    </row>
    <row r="548" spans="1:8" hidden="1" x14ac:dyDescent="0.25">
      <c r="A548" t="str" cm="1">
        <f t="array" ref="A548">IF(AND(ISBLANK(INDEX(SampleList[pH],ROW()-1)),ISBLANK(INDEX(SampleList[Conductivity],ROW()-1)),ISBLANK(INDEX(SampleList[Modification],ROW()-1))),"Not Requested",INDEX(SampleList[Experiment ID],ROW()-1))</f>
        <v>Not Requested</v>
      </c>
      <c r="B548">
        <f>SampleList[[#This Row],[Duration (Days)]]</f>
        <v>0</v>
      </c>
      <c r="G548">
        <f>NMRResults[[#This Row],['#]]</f>
        <v>0</v>
      </c>
      <c r="H548" s="1">
        <f>NMRResults[[#This Row],[Date Run]]</f>
        <v>0</v>
      </c>
    </row>
    <row r="549" spans="1:8" hidden="1" x14ac:dyDescent="0.25">
      <c r="A549" t="str" cm="1">
        <f t="array" ref="A549">IF(AND(ISBLANK(INDEX(SampleList[pH],ROW()-1)),ISBLANK(INDEX(SampleList[Conductivity],ROW()-1)),ISBLANK(INDEX(SampleList[Modification],ROW()-1))),"Not Requested",INDEX(SampleList[Experiment ID],ROW()-1))</f>
        <v>Not Requested</v>
      </c>
      <c r="B549">
        <f>SampleList[[#This Row],[Duration (Days)]]</f>
        <v>0</v>
      </c>
      <c r="G549">
        <f>NMRResults[[#This Row],['#]]</f>
        <v>0</v>
      </c>
      <c r="H549" s="1">
        <f>NMRResults[[#This Row],[Date Run]]</f>
        <v>0</v>
      </c>
    </row>
    <row r="550" spans="1:8" hidden="1" x14ac:dyDescent="0.25">
      <c r="A550" t="str" cm="1">
        <f t="array" ref="A550">IF(AND(ISBLANK(INDEX(SampleList[pH],ROW()-1)),ISBLANK(INDEX(SampleList[Conductivity],ROW()-1)),ISBLANK(INDEX(SampleList[Modification],ROW()-1))),"Not Requested",INDEX(SampleList[Experiment ID],ROW()-1))</f>
        <v>Not Requested</v>
      </c>
      <c r="B550">
        <f>SampleList[[#This Row],[Duration (Days)]]</f>
        <v>0</v>
      </c>
      <c r="G550">
        <f>NMRResults[[#This Row],['#]]</f>
        <v>0</v>
      </c>
      <c r="H550" s="1">
        <f>NMRResults[[#This Row],[Date Run]]</f>
        <v>0</v>
      </c>
    </row>
    <row r="551" spans="1:8" hidden="1" x14ac:dyDescent="0.25">
      <c r="A551" t="str" cm="1">
        <f t="array" ref="A551">IF(AND(ISBLANK(INDEX(SampleList[pH],ROW()-1)),ISBLANK(INDEX(SampleList[Conductivity],ROW()-1)),ISBLANK(INDEX(SampleList[Modification],ROW()-1))),"Not Requested",INDEX(SampleList[Experiment ID],ROW()-1))</f>
        <v>Not Requested</v>
      </c>
      <c r="B551">
        <f>SampleList[[#This Row],[Duration (Days)]]</f>
        <v>0</v>
      </c>
      <c r="G551">
        <f>NMRResults[[#This Row],['#]]</f>
        <v>0</v>
      </c>
      <c r="H551" s="1">
        <f>NMRResults[[#This Row],[Date Run]]</f>
        <v>0</v>
      </c>
    </row>
    <row r="552" spans="1:8" hidden="1" x14ac:dyDescent="0.25">
      <c r="A552" t="str" cm="1">
        <f t="array" ref="A552">IF(AND(ISBLANK(INDEX(SampleList[pH],ROW()-1)),ISBLANK(INDEX(SampleList[Conductivity],ROW()-1)),ISBLANK(INDEX(SampleList[Modification],ROW()-1))),"Not Requested",INDEX(SampleList[Experiment ID],ROW()-1))</f>
        <v>Not Requested</v>
      </c>
      <c r="B552">
        <f>SampleList[[#This Row],[Duration (Days)]]</f>
        <v>0</v>
      </c>
      <c r="G552">
        <f>NMRResults[[#This Row],['#]]</f>
        <v>0</v>
      </c>
      <c r="H552" s="1">
        <f>NMRResults[[#This Row],[Date Run]]</f>
        <v>0</v>
      </c>
    </row>
    <row r="553" spans="1:8" hidden="1" x14ac:dyDescent="0.25">
      <c r="A553" t="str" cm="1">
        <f t="array" ref="A553">IF(AND(ISBLANK(INDEX(SampleList[pH],ROW()-1)),ISBLANK(INDEX(SampleList[Conductivity],ROW()-1)),ISBLANK(INDEX(SampleList[Modification],ROW()-1))),"Not Requested",INDEX(SampleList[Experiment ID],ROW()-1))</f>
        <v>Not Requested</v>
      </c>
      <c r="B553">
        <f>SampleList[[#This Row],[Duration (Days)]]</f>
        <v>0</v>
      </c>
      <c r="G553">
        <f>NMRResults[[#This Row],['#]]</f>
        <v>0</v>
      </c>
      <c r="H553" s="1">
        <f>NMRResults[[#This Row],[Date Run]]</f>
        <v>0</v>
      </c>
    </row>
    <row r="554" spans="1:8" hidden="1" x14ac:dyDescent="0.25">
      <c r="A554" t="str" cm="1">
        <f t="array" ref="A554">IF(AND(ISBLANK(INDEX(SampleList[pH],ROW()-1)),ISBLANK(INDEX(SampleList[Conductivity],ROW()-1)),ISBLANK(INDEX(SampleList[Modification],ROW()-1))),"Not Requested",INDEX(SampleList[Experiment ID],ROW()-1))</f>
        <v>Not Requested</v>
      </c>
      <c r="B554">
        <f>SampleList[[#This Row],[Duration (Days)]]</f>
        <v>0</v>
      </c>
      <c r="G554">
        <f>NMRResults[[#This Row],['#]]</f>
        <v>0</v>
      </c>
      <c r="H554" s="1">
        <f>NMRResults[[#This Row],[Date Run]]</f>
        <v>0</v>
      </c>
    </row>
    <row r="555" spans="1:8" hidden="1" x14ac:dyDescent="0.25">
      <c r="A555" t="str" cm="1">
        <f t="array" ref="A555">IF(AND(ISBLANK(INDEX(SampleList[pH],ROW()-1)),ISBLANK(INDEX(SampleList[Conductivity],ROW()-1)),ISBLANK(INDEX(SampleList[Modification],ROW()-1))),"Not Requested",INDEX(SampleList[Experiment ID],ROW()-1))</f>
        <v>Not Requested</v>
      </c>
      <c r="B555">
        <f>SampleList[[#This Row],[Duration (Days)]]</f>
        <v>0</v>
      </c>
      <c r="G555">
        <f>NMRResults[[#This Row],['#]]</f>
        <v>0</v>
      </c>
      <c r="H555" s="1">
        <f>NMRResults[[#This Row],[Date Run]]</f>
        <v>0</v>
      </c>
    </row>
    <row r="556" spans="1:8" hidden="1" x14ac:dyDescent="0.25">
      <c r="A556" t="str" cm="1">
        <f t="array" ref="A556">IF(AND(ISBLANK(INDEX(SampleList[pH],ROW()-1)),ISBLANK(INDEX(SampleList[Conductivity],ROW()-1)),ISBLANK(INDEX(SampleList[Modification],ROW()-1))),"Not Requested",INDEX(SampleList[Experiment ID],ROW()-1))</f>
        <v>Not Requested</v>
      </c>
      <c r="B556">
        <f>SampleList[[#This Row],[Duration (Days)]]</f>
        <v>0</v>
      </c>
      <c r="G556">
        <f>NMRResults[[#This Row],['#]]</f>
        <v>0</v>
      </c>
      <c r="H556" s="1">
        <f>NMRResults[[#This Row],[Date Run]]</f>
        <v>0</v>
      </c>
    </row>
    <row r="557" spans="1:8" hidden="1" x14ac:dyDescent="0.25">
      <c r="A557" t="str" cm="1">
        <f t="array" ref="A557">IF(AND(ISBLANK(INDEX(SampleList[pH],ROW()-1)),ISBLANK(INDEX(SampleList[Conductivity],ROW()-1)),ISBLANK(INDEX(SampleList[Modification],ROW()-1))),"Not Requested",INDEX(SampleList[Experiment ID],ROW()-1))</f>
        <v>Not Requested</v>
      </c>
      <c r="B557">
        <f>SampleList[[#This Row],[Duration (Days)]]</f>
        <v>0</v>
      </c>
      <c r="G557">
        <f>NMRResults[[#This Row],['#]]</f>
        <v>0</v>
      </c>
      <c r="H557" s="1">
        <f>NMRResults[[#This Row],[Date Run]]</f>
        <v>0</v>
      </c>
    </row>
    <row r="558" spans="1:8" hidden="1" x14ac:dyDescent="0.25">
      <c r="A558" t="str" cm="1">
        <f t="array" ref="A558">IF(AND(ISBLANK(INDEX(SampleList[pH],ROW()-1)),ISBLANK(INDEX(SampleList[Conductivity],ROW()-1)),ISBLANK(INDEX(SampleList[Modification],ROW()-1))),"Not Requested",INDEX(SampleList[Experiment ID],ROW()-1))</f>
        <v>Not Requested</v>
      </c>
      <c r="B558">
        <f>SampleList[[#This Row],[Duration (Days)]]</f>
        <v>0</v>
      </c>
      <c r="G558">
        <f>NMRResults[[#This Row],['#]]</f>
        <v>0</v>
      </c>
      <c r="H558" s="1">
        <f>NMRResults[[#This Row],[Date Run]]</f>
        <v>0</v>
      </c>
    </row>
    <row r="559" spans="1:8" hidden="1" x14ac:dyDescent="0.25">
      <c r="A559" t="str" cm="1">
        <f t="array" ref="A559">IF(AND(ISBLANK(INDEX(SampleList[pH],ROW()-1)),ISBLANK(INDEX(SampleList[Conductivity],ROW()-1)),ISBLANK(INDEX(SampleList[Modification],ROW()-1))),"Not Requested",INDEX(SampleList[Experiment ID],ROW()-1))</f>
        <v>Not Requested</v>
      </c>
      <c r="B559">
        <f>SampleList[[#This Row],[Duration (Days)]]</f>
        <v>0</v>
      </c>
      <c r="G559">
        <f>NMRResults[[#This Row],['#]]</f>
        <v>0</v>
      </c>
      <c r="H559" s="1">
        <f>NMRResults[[#This Row],[Date Run]]</f>
        <v>0</v>
      </c>
    </row>
    <row r="560" spans="1:8" hidden="1" x14ac:dyDescent="0.25">
      <c r="A560" t="str" cm="1">
        <f t="array" ref="A560">IF(AND(ISBLANK(INDEX(SampleList[pH],ROW()-1)),ISBLANK(INDEX(SampleList[Conductivity],ROW()-1)),ISBLANK(INDEX(SampleList[Modification],ROW()-1))),"Not Requested",INDEX(SampleList[Experiment ID],ROW()-1))</f>
        <v>Not Requested</v>
      </c>
      <c r="B560">
        <f>SampleList[[#This Row],[Duration (Days)]]</f>
        <v>0</v>
      </c>
      <c r="G560">
        <f>NMRResults[[#This Row],['#]]</f>
        <v>0</v>
      </c>
      <c r="H560" s="1">
        <f>NMRResults[[#This Row],[Date Run]]</f>
        <v>0</v>
      </c>
    </row>
    <row r="561" spans="1:8" hidden="1" x14ac:dyDescent="0.25">
      <c r="A561" t="str" cm="1">
        <f t="array" ref="A561">IF(AND(ISBLANK(INDEX(SampleList[pH],ROW()-1)),ISBLANK(INDEX(SampleList[Conductivity],ROW()-1)),ISBLANK(INDEX(SampleList[Modification],ROW()-1))),"Not Requested",INDEX(SampleList[Experiment ID],ROW()-1))</f>
        <v>Not Requested</v>
      </c>
      <c r="B561">
        <f>SampleList[[#This Row],[Duration (Days)]]</f>
        <v>0</v>
      </c>
      <c r="G561">
        <f>NMRResults[[#This Row],['#]]</f>
        <v>0</v>
      </c>
      <c r="H561" s="1">
        <f>NMRResults[[#This Row],[Date Run]]</f>
        <v>0</v>
      </c>
    </row>
    <row r="562" spans="1:8" hidden="1" x14ac:dyDescent="0.25">
      <c r="A562" t="str" cm="1">
        <f t="array" ref="A562">IF(AND(ISBLANK(INDEX(SampleList[pH],ROW()-1)),ISBLANK(INDEX(SampleList[Conductivity],ROW()-1)),ISBLANK(INDEX(SampleList[Modification],ROW()-1))),"Not Requested",INDEX(SampleList[Experiment ID],ROW()-1))</f>
        <v>Not Requested</v>
      </c>
      <c r="B562">
        <f>SampleList[[#This Row],[Duration (Days)]]</f>
        <v>0</v>
      </c>
      <c r="G562">
        <f>NMRResults[[#This Row],['#]]</f>
        <v>0</v>
      </c>
      <c r="H562" s="1">
        <f>NMRResults[[#This Row],[Date Run]]</f>
        <v>0</v>
      </c>
    </row>
    <row r="563" spans="1:8" hidden="1" x14ac:dyDescent="0.25">
      <c r="A563" t="str" cm="1">
        <f t="array" ref="A563">IF(AND(ISBLANK(INDEX(SampleList[pH],ROW()-1)),ISBLANK(INDEX(SampleList[Conductivity],ROW()-1)),ISBLANK(INDEX(SampleList[Modification],ROW()-1))),"Not Requested",INDEX(SampleList[Experiment ID],ROW()-1))</f>
        <v>Not Requested</v>
      </c>
      <c r="B563">
        <f>SampleList[[#This Row],[Duration (Days)]]</f>
        <v>0</v>
      </c>
      <c r="G563">
        <f>NMRResults[[#This Row],['#]]</f>
        <v>0</v>
      </c>
      <c r="H563" s="1">
        <f>NMRResults[[#This Row],[Date Run]]</f>
        <v>0</v>
      </c>
    </row>
    <row r="564" spans="1:8" hidden="1" x14ac:dyDescent="0.25">
      <c r="A564" t="str" cm="1">
        <f t="array" ref="A564">IF(AND(ISBLANK(INDEX(SampleList[pH],ROW()-1)),ISBLANK(INDEX(SampleList[Conductivity],ROW()-1)),ISBLANK(INDEX(SampleList[Modification],ROW()-1))),"Not Requested",INDEX(SampleList[Experiment ID],ROW()-1))</f>
        <v>Not Requested</v>
      </c>
      <c r="B564">
        <f>SampleList[[#This Row],[Duration (Days)]]</f>
        <v>0</v>
      </c>
      <c r="G564">
        <f>NMRResults[[#This Row],['#]]</f>
        <v>0</v>
      </c>
      <c r="H564" s="1">
        <f>NMRResults[[#This Row],[Date Run]]</f>
        <v>0</v>
      </c>
    </row>
    <row r="565" spans="1:8" hidden="1" x14ac:dyDescent="0.25">
      <c r="A565" t="str" cm="1">
        <f t="array" ref="A565">IF(AND(ISBLANK(INDEX(SampleList[pH],ROW()-1)),ISBLANK(INDEX(SampleList[Conductivity],ROW()-1)),ISBLANK(INDEX(SampleList[Modification],ROW()-1))),"Not Requested",INDEX(SampleList[Experiment ID],ROW()-1))</f>
        <v>Not Requested</v>
      </c>
      <c r="B565">
        <f>SampleList[[#This Row],[Duration (Days)]]</f>
        <v>0</v>
      </c>
      <c r="G565">
        <f>NMRResults[[#This Row],['#]]</f>
        <v>0</v>
      </c>
      <c r="H565" s="1">
        <f>NMRResults[[#This Row],[Date Run]]</f>
        <v>0</v>
      </c>
    </row>
    <row r="566" spans="1:8" hidden="1" x14ac:dyDescent="0.25">
      <c r="A566" t="str" cm="1">
        <f t="array" ref="A566">IF(AND(ISBLANK(INDEX(SampleList[pH],ROW()-1)),ISBLANK(INDEX(SampleList[Conductivity],ROW()-1)),ISBLANK(INDEX(SampleList[Modification],ROW()-1))),"Not Requested",INDEX(SampleList[Experiment ID],ROW()-1))</f>
        <v>Not Requested</v>
      </c>
      <c r="B566">
        <f>SampleList[[#This Row],[Duration (Days)]]</f>
        <v>0</v>
      </c>
      <c r="G566">
        <f>NMRResults[[#This Row],['#]]</f>
        <v>0</v>
      </c>
      <c r="H566" s="1">
        <f>NMRResults[[#This Row],[Date Run]]</f>
        <v>0</v>
      </c>
    </row>
    <row r="567" spans="1:8" hidden="1" x14ac:dyDescent="0.25">
      <c r="A567" t="str" cm="1">
        <f t="array" ref="A567">IF(AND(ISBLANK(INDEX(SampleList[pH],ROW()-1)),ISBLANK(INDEX(SampleList[Conductivity],ROW()-1)),ISBLANK(INDEX(SampleList[Modification],ROW()-1))),"Not Requested",INDEX(SampleList[Experiment ID],ROW()-1))</f>
        <v>Not Requested</v>
      </c>
      <c r="B567">
        <f>SampleList[[#This Row],[Duration (Days)]]</f>
        <v>0</v>
      </c>
      <c r="G567">
        <f>NMRResults[[#This Row],['#]]</f>
        <v>0</v>
      </c>
      <c r="H567" s="1">
        <f>NMRResults[[#This Row],[Date Run]]</f>
        <v>0</v>
      </c>
    </row>
    <row r="568" spans="1:8" hidden="1" x14ac:dyDescent="0.25">
      <c r="A568" t="str" cm="1">
        <f t="array" ref="A568">IF(AND(ISBLANK(INDEX(SampleList[pH],ROW()-1)),ISBLANK(INDEX(SampleList[Conductivity],ROW()-1)),ISBLANK(INDEX(SampleList[Modification],ROW()-1))),"Not Requested",INDEX(SampleList[Experiment ID],ROW()-1))</f>
        <v>Not Requested</v>
      </c>
      <c r="B568">
        <f>SampleList[[#This Row],[Duration (Days)]]</f>
        <v>0</v>
      </c>
      <c r="G568">
        <f>NMRResults[[#This Row],['#]]</f>
        <v>0</v>
      </c>
      <c r="H568" s="1">
        <f>NMRResults[[#This Row],[Date Run]]</f>
        <v>0</v>
      </c>
    </row>
    <row r="569" spans="1:8" hidden="1" x14ac:dyDescent="0.25">
      <c r="A569" t="str" cm="1">
        <f t="array" ref="A569">IF(AND(ISBLANK(INDEX(SampleList[pH],ROW()-1)),ISBLANK(INDEX(SampleList[Conductivity],ROW()-1)),ISBLANK(INDEX(SampleList[Modification],ROW()-1))),"Not Requested",INDEX(SampleList[Experiment ID],ROW()-1))</f>
        <v>Not Requested</v>
      </c>
      <c r="B569">
        <f>SampleList[[#This Row],[Duration (Days)]]</f>
        <v>0</v>
      </c>
      <c r="G569">
        <f>NMRResults[[#This Row],['#]]</f>
        <v>0</v>
      </c>
      <c r="H569" s="1">
        <f>NMRResults[[#This Row],[Date Run]]</f>
        <v>0</v>
      </c>
    </row>
    <row r="570" spans="1:8" hidden="1" x14ac:dyDescent="0.25">
      <c r="A570" t="str" cm="1">
        <f t="array" ref="A570">IF(AND(ISBLANK(INDEX(SampleList[pH],ROW()-1)),ISBLANK(INDEX(SampleList[Conductivity],ROW()-1)),ISBLANK(INDEX(SampleList[Modification],ROW()-1))),"Not Requested",INDEX(SampleList[Experiment ID],ROW()-1))</f>
        <v>Not Requested</v>
      </c>
      <c r="B570">
        <f>SampleList[[#This Row],[Duration (Days)]]</f>
        <v>0</v>
      </c>
      <c r="G570">
        <f>NMRResults[[#This Row],['#]]</f>
        <v>0</v>
      </c>
      <c r="H570" s="1">
        <f>NMRResults[[#This Row],[Date Run]]</f>
        <v>0</v>
      </c>
    </row>
    <row r="571" spans="1:8" hidden="1" x14ac:dyDescent="0.25">
      <c r="A571" t="str" cm="1">
        <f t="array" ref="A571">IF(AND(ISBLANK(INDEX(SampleList[pH],ROW()-1)),ISBLANK(INDEX(SampleList[Conductivity],ROW()-1)),ISBLANK(INDEX(SampleList[Modification],ROW()-1))),"Not Requested",INDEX(SampleList[Experiment ID],ROW()-1))</f>
        <v>Not Requested</v>
      </c>
      <c r="B571">
        <f>SampleList[[#This Row],[Duration (Days)]]</f>
        <v>0</v>
      </c>
      <c r="G571">
        <f>NMRResults[[#This Row],['#]]</f>
        <v>0</v>
      </c>
      <c r="H571" s="1">
        <f>NMRResults[[#This Row],[Date Run]]</f>
        <v>0</v>
      </c>
    </row>
    <row r="572" spans="1:8" hidden="1" x14ac:dyDescent="0.25">
      <c r="A572" t="str" cm="1">
        <f t="array" ref="A572">IF(AND(ISBLANK(INDEX(SampleList[pH],ROW()-1)),ISBLANK(INDEX(SampleList[Conductivity],ROW()-1)),ISBLANK(INDEX(SampleList[Modification],ROW()-1))),"Not Requested",INDEX(SampleList[Experiment ID],ROW()-1))</f>
        <v>Not Requested</v>
      </c>
      <c r="B572">
        <f>SampleList[[#This Row],[Duration (Days)]]</f>
        <v>0</v>
      </c>
      <c r="G572">
        <f>NMRResults[[#This Row],['#]]</f>
        <v>0</v>
      </c>
      <c r="H572" s="1">
        <f>NMRResults[[#This Row],[Date Run]]</f>
        <v>0</v>
      </c>
    </row>
    <row r="573" spans="1:8" hidden="1" x14ac:dyDescent="0.25">
      <c r="A573" t="str" cm="1">
        <f t="array" ref="A573">IF(AND(ISBLANK(INDEX(SampleList[pH],ROW()-1)),ISBLANK(INDEX(SampleList[Conductivity],ROW()-1)),ISBLANK(INDEX(SampleList[Modification],ROW()-1))),"Not Requested",INDEX(SampleList[Experiment ID],ROW()-1))</f>
        <v>Not Requested</v>
      </c>
      <c r="B573">
        <f>SampleList[[#This Row],[Duration (Days)]]</f>
        <v>0</v>
      </c>
      <c r="G573">
        <f>NMRResults[[#This Row],['#]]</f>
        <v>0</v>
      </c>
      <c r="H573" s="1">
        <f>NMRResults[[#This Row],[Date Run]]</f>
        <v>0</v>
      </c>
    </row>
    <row r="574" spans="1:8" hidden="1" x14ac:dyDescent="0.25">
      <c r="A574" t="str" cm="1">
        <f t="array" ref="A574">IF(AND(ISBLANK(INDEX(SampleList[pH],ROW()-1)),ISBLANK(INDEX(SampleList[Conductivity],ROW()-1)),ISBLANK(INDEX(SampleList[Modification],ROW()-1))),"Not Requested",INDEX(SampleList[Experiment ID],ROW()-1))</f>
        <v>Not Requested</v>
      </c>
      <c r="B574">
        <f>SampleList[[#This Row],[Duration (Days)]]</f>
        <v>0</v>
      </c>
      <c r="G574">
        <f>NMRResults[[#This Row],['#]]</f>
        <v>0</v>
      </c>
      <c r="H574" s="1">
        <f>NMRResults[[#This Row],[Date Run]]</f>
        <v>0</v>
      </c>
    </row>
    <row r="575" spans="1:8" hidden="1" x14ac:dyDescent="0.25">
      <c r="A575" t="str" cm="1">
        <f t="array" ref="A575">IF(AND(ISBLANK(INDEX(SampleList[pH],ROW()-1)),ISBLANK(INDEX(SampleList[Conductivity],ROW()-1)),ISBLANK(INDEX(SampleList[Modification],ROW()-1))),"Not Requested",INDEX(SampleList[Experiment ID],ROW()-1))</f>
        <v>Not Requested</v>
      </c>
      <c r="B575">
        <f>SampleList[[#This Row],[Duration (Days)]]</f>
        <v>0</v>
      </c>
      <c r="G575">
        <f>NMRResults[[#This Row],['#]]</f>
        <v>0</v>
      </c>
      <c r="H575" s="1">
        <f>NMRResults[[#This Row],[Date Run]]</f>
        <v>0</v>
      </c>
    </row>
    <row r="576" spans="1:8" hidden="1" x14ac:dyDescent="0.25">
      <c r="A576" t="str" cm="1">
        <f t="array" ref="A576">IF(AND(ISBLANK(INDEX(SampleList[pH],ROW()-1)),ISBLANK(INDEX(SampleList[Conductivity],ROW()-1)),ISBLANK(INDEX(SampleList[Modification],ROW()-1))),"Not Requested",INDEX(SampleList[Experiment ID],ROW()-1))</f>
        <v>Not Requested</v>
      </c>
      <c r="B576">
        <f>SampleList[[#This Row],[Duration (Days)]]</f>
        <v>0</v>
      </c>
      <c r="G576">
        <f>NMRResults[[#This Row],['#]]</f>
        <v>0</v>
      </c>
      <c r="H576" s="1">
        <f>NMRResults[[#This Row],[Date Run]]</f>
        <v>0</v>
      </c>
    </row>
    <row r="577" spans="1:8" hidden="1" x14ac:dyDescent="0.25">
      <c r="A577" t="str" cm="1">
        <f t="array" ref="A577">IF(AND(ISBLANK(INDEX(SampleList[pH],ROW()-1)),ISBLANK(INDEX(SampleList[Conductivity],ROW()-1)),ISBLANK(INDEX(SampleList[Modification],ROW()-1))),"Not Requested",INDEX(SampleList[Experiment ID],ROW()-1))</f>
        <v>Not Requested</v>
      </c>
      <c r="B577">
        <f>SampleList[[#This Row],[Duration (Days)]]</f>
        <v>0</v>
      </c>
      <c r="G577">
        <f>NMRResults[[#This Row],['#]]</f>
        <v>0</v>
      </c>
      <c r="H577" s="1">
        <f>NMRResults[[#This Row],[Date Run]]</f>
        <v>0</v>
      </c>
    </row>
    <row r="578" spans="1:8" hidden="1" x14ac:dyDescent="0.25">
      <c r="A578" t="str" cm="1">
        <f t="array" ref="A578">IF(AND(ISBLANK(INDEX(SampleList[pH],ROW()-1)),ISBLANK(INDEX(SampleList[Conductivity],ROW()-1)),ISBLANK(INDEX(SampleList[Modification],ROW()-1))),"Not Requested",INDEX(SampleList[Experiment ID],ROW()-1))</f>
        <v>Not Requested</v>
      </c>
      <c r="B578">
        <f>SampleList[[#This Row],[Duration (Days)]]</f>
        <v>0</v>
      </c>
      <c r="G578">
        <f>NMRResults[[#This Row],['#]]</f>
        <v>0</v>
      </c>
      <c r="H578" s="1">
        <f>NMRResults[[#This Row],[Date Run]]</f>
        <v>0</v>
      </c>
    </row>
    <row r="579" spans="1:8" hidden="1" x14ac:dyDescent="0.25">
      <c r="A579" t="str" cm="1">
        <f t="array" ref="A579">IF(AND(ISBLANK(INDEX(SampleList[pH],ROW()-1)),ISBLANK(INDEX(SampleList[Conductivity],ROW()-1)),ISBLANK(INDEX(SampleList[Modification],ROW()-1))),"Not Requested",INDEX(SampleList[Experiment ID],ROW()-1))</f>
        <v>Not Requested</v>
      </c>
      <c r="B579">
        <f>SampleList[[#This Row],[Duration (Days)]]</f>
        <v>0</v>
      </c>
      <c r="G579">
        <f>NMRResults[[#This Row],['#]]</f>
        <v>0</v>
      </c>
      <c r="H579" s="1">
        <f>NMRResults[[#This Row],[Date Run]]</f>
        <v>0</v>
      </c>
    </row>
    <row r="580" spans="1:8" hidden="1" x14ac:dyDescent="0.25">
      <c r="A580" t="str" cm="1">
        <f t="array" ref="A580">IF(AND(ISBLANK(INDEX(SampleList[pH],ROW()-1)),ISBLANK(INDEX(SampleList[Conductivity],ROW()-1)),ISBLANK(INDEX(SampleList[Modification],ROW()-1))),"Not Requested",INDEX(SampleList[Experiment ID],ROW()-1))</f>
        <v>Not Requested</v>
      </c>
      <c r="B580">
        <f>SampleList[[#This Row],[Duration (Days)]]</f>
        <v>0</v>
      </c>
      <c r="G580">
        <f>NMRResults[[#This Row],['#]]</f>
        <v>0</v>
      </c>
      <c r="H580" s="1">
        <f>NMRResults[[#This Row],[Date Run]]</f>
        <v>0</v>
      </c>
    </row>
    <row r="581" spans="1:8" hidden="1" x14ac:dyDescent="0.25">
      <c r="A581" t="str" cm="1">
        <f t="array" ref="A581">IF(AND(ISBLANK(INDEX(SampleList[pH],ROW()-1)),ISBLANK(INDEX(SampleList[Conductivity],ROW()-1)),ISBLANK(INDEX(SampleList[Modification],ROW()-1))),"Not Requested",INDEX(SampleList[Experiment ID],ROW()-1))</f>
        <v>Not Requested</v>
      </c>
      <c r="B581">
        <f>SampleList[[#This Row],[Duration (Days)]]</f>
        <v>0</v>
      </c>
      <c r="G581">
        <f>NMRResults[[#This Row],['#]]</f>
        <v>0</v>
      </c>
      <c r="H581" s="1">
        <f>NMRResults[[#This Row],[Date Run]]</f>
        <v>0</v>
      </c>
    </row>
    <row r="582" spans="1:8" hidden="1" x14ac:dyDescent="0.25">
      <c r="A582" t="str" cm="1">
        <f t="array" ref="A582">IF(AND(ISBLANK(INDEX(SampleList[pH],ROW()-1)),ISBLANK(INDEX(SampleList[Conductivity],ROW()-1)),ISBLANK(INDEX(SampleList[Modification],ROW()-1))),"Not Requested",INDEX(SampleList[Experiment ID],ROW()-1))</f>
        <v>Not Requested</v>
      </c>
      <c r="B582">
        <f>SampleList[[#This Row],[Duration (Days)]]</f>
        <v>0</v>
      </c>
      <c r="G582">
        <f>NMRResults[[#This Row],['#]]</f>
        <v>0</v>
      </c>
      <c r="H582" s="1">
        <f>NMRResults[[#This Row],[Date Run]]</f>
        <v>0</v>
      </c>
    </row>
    <row r="583" spans="1:8" hidden="1" x14ac:dyDescent="0.25">
      <c r="A583" t="str" cm="1">
        <f t="array" ref="A583">IF(AND(ISBLANK(INDEX(SampleList[pH],ROW()-1)),ISBLANK(INDEX(SampleList[Conductivity],ROW()-1)),ISBLANK(INDEX(SampleList[Modification],ROW()-1))),"Not Requested",INDEX(SampleList[Experiment ID],ROW()-1))</f>
        <v>Not Requested</v>
      </c>
      <c r="B583">
        <f>SampleList[[#This Row],[Duration (Days)]]</f>
        <v>0</v>
      </c>
      <c r="G583">
        <f>NMRResults[[#This Row],['#]]</f>
        <v>0</v>
      </c>
      <c r="H583" s="1">
        <f>NMRResults[[#This Row],[Date Run]]</f>
        <v>0</v>
      </c>
    </row>
    <row r="584" spans="1:8" hidden="1" x14ac:dyDescent="0.25">
      <c r="A584" t="str" cm="1">
        <f t="array" ref="A584">IF(AND(ISBLANK(INDEX(SampleList[pH],ROW()-1)),ISBLANK(INDEX(SampleList[Conductivity],ROW()-1)),ISBLANK(INDEX(SampleList[Modification],ROW()-1))),"Not Requested",INDEX(SampleList[Experiment ID],ROW()-1))</f>
        <v>Not Requested</v>
      </c>
      <c r="B584">
        <f>SampleList[[#This Row],[Duration (Days)]]</f>
        <v>0</v>
      </c>
      <c r="G584">
        <f>NMRResults[[#This Row],['#]]</f>
        <v>0</v>
      </c>
      <c r="H584" s="1">
        <f>NMRResults[[#This Row],[Date Run]]</f>
        <v>0</v>
      </c>
    </row>
    <row r="585" spans="1:8" hidden="1" x14ac:dyDescent="0.25">
      <c r="A585" t="str" cm="1">
        <f t="array" ref="A585">IF(AND(ISBLANK(INDEX(SampleList[pH],ROW()-1)),ISBLANK(INDEX(SampleList[Conductivity],ROW()-1)),ISBLANK(INDEX(SampleList[Modification],ROW()-1))),"Not Requested",INDEX(SampleList[Experiment ID],ROW()-1))</f>
        <v>Not Requested</v>
      </c>
      <c r="B585">
        <f>SampleList[[#This Row],[Duration (Days)]]</f>
        <v>0</v>
      </c>
      <c r="G585">
        <f>NMRResults[[#This Row],['#]]</f>
        <v>0</v>
      </c>
      <c r="H585" s="1">
        <f>NMRResults[[#This Row],[Date Run]]</f>
        <v>0</v>
      </c>
    </row>
    <row r="586" spans="1:8" hidden="1" x14ac:dyDescent="0.25">
      <c r="A586" t="str" cm="1">
        <f t="array" ref="A586">IF(AND(ISBLANK(INDEX(SampleList[pH],ROW()-1)),ISBLANK(INDEX(SampleList[Conductivity],ROW()-1)),ISBLANK(INDEX(SampleList[Modification],ROW()-1))),"Not Requested",INDEX(SampleList[Experiment ID],ROW()-1))</f>
        <v>Not Requested</v>
      </c>
      <c r="B586">
        <f>SampleList[[#This Row],[Duration (Days)]]</f>
        <v>0</v>
      </c>
      <c r="G586">
        <f>NMRResults[[#This Row],['#]]</f>
        <v>0</v>
      </c>
      <c r="H586" s="1">
        <f>NMRResults[[#This Row],[Date Run]]</f>
        <v>0</v>
      </c>
    </row>
    <row r="587" spans="1:8" hidden="1" x14ac:dyDescent="0.25">
      <c r="A587" t="str" cm="1">
        <f t="array" ref="A587">IF(AND(ISBLANK(INDEX(SampleList[pH],ROW()-1)),ISBLANK(INDEX(SampleList[Conductivity],ROW()-1)),ISBLANK(INDEX(SampleList[Modification],ROW()-1))),"Not Requested",INDEX(SampleList[Experiment ID],ROW()-1))</f>
        <v>Not Requested</v>
      </c>
      <c r="B587">
        <f>SampleList[[#This Row],[Duration (Days)]]</f>
        <v>0</v>
      </c>
      <c r="G587">
        <f>NMRResults[[#This Row],['#]]</f>
        <v>0</v>
      </c>
      <c r="H587" s="1">
        <f>NMRResults[[#This Row],[Date Run]]</f>
        <v>0</v>
      </c>
    </row>
    <row r="588" spans="1:8" hidden="1" x14ac:dyDescent="0.25">
      <c r="A588" t="str" cm="1">
        <f t="array" ref="A588">IF(AND(ISBLANK(INDEX(SampleList[pH],ROW()-1)),ISBLANK(INDEX(SampleList[Conductivity],ROW()-1)),ISBLANK(INDEX(SampleList[Modification],ROW()-1))),"Not Requested",INDEX(SampleList[Experiment ID],ROW()-1))</f>
        <v>Not Requested</v>
      </c>
      <c r="B588">
        <f>SampleList[[#This Row],[Duration (Days)]]</f>
        <v>0</v>
      </c>
      <c r="G588">
        <f>NMRResults[[#This Row],['#]]</f>
        <v>0</v>
      </c>
      <c r="H588" s="1">
        <f>NMRResults[[#This Row],[Date Run]]</f>
        <v>0</v>
      </c>
    </row>
    <row r="589" spans="1:8" hidden="1" x14ac:dyDescent="0.25">
      <c r="A589" t="str" cm="1">
        <f t="array" ref="A589">IF(AND(ISBLANK(INDEX(SampleList[pH],ROW()-1)),ISBLANK(INDEX(SampleList[Conductivity],ROW()-1)),ISBLANK(INDEX(SampleList[Modification],ROW()-1))),"Not Requested",INDEX(SampleList[Experiment ID],ROW()-1))</f>
        <v>Not Requested</v>
      </c>
      <c r="B589">
        <f>SampleList[[#This Row],[Duration (Days)]]</f>
        <v>0</v>
      </c>
      <c r="G589">
        <f>NMRResults[[#This Row],['#]]</f>
        <v>0</v>
      </c>
      <c r="H589" s="1">
        <f>NMRResults[[#This Row],[Date Run]]</f>
        <v>0</v>
      </c>
    </row>
    <row r="590" spans="1:8" hidden="1" x14ac:dyDescent="0.25">
      <c r="A590" t="str" cm="1">
        <f t="array" ref="A590">IF(AND(ISBLANK(INDEX(SampleList[pH],ROW()-1)),ISBLANK(INDEX(SampleList[Conductivity],ROW()-1)),ISBLANK(INDEX(SampleList[Modification],ROW()-1))),"Not Requested",INDEX(SampleList[Experiment ID],ROW()-1))</f>
        <v>Not Requested</v>
      </c>
      <c r="B590">
        <f>SampleList[[#This Row],[Duration (Days)]]</f>
        <v>0</v>
      </c>
      <c r="G590">
        <f>NMRResults[[#This Row],['#]]</f>
        <v>0</v>
      </c>
      <c r="H590" s="1">
        <f>NMRResults[[#This Row],[Date Run]]</f>
        <v>0</v>
      </c>
    </row>
    <row r="591" spans="1:8" hidden="1" x14ac:dyDescent="0.25">
      <c r="A591" t="str" cm="1">
        <f t="array" ref="A591">IF(AND(ISBLANK(INDEX(SampleList[pH],ROW()-1)),ISBLANK(INDEX(SampleList[Conductivity],ROW()-1)),ISBLANK(INDEX(SampleList[Modification],ROW()-1))),"Not Requested",INDEX(SampleList[Experiment ID],ROW()-1))</f>
        <v>Not Requested</v>
      </c>
      <c r="B591">
        <f>SampleList[[#This Row],[Duration (Days)]]</f>
        <v>0</v>
      </c>
      <c r="G591">
        <f>NMRResults[[#This Row],['#]]</f>
        <v>0</v>
      </c>
      <c r="H591" s="1">
        <f>NMRResults[[#This Row],[Date Run]]</f>
        <v>0</v>
      </c>
    </row>
    <row r="592" spans="1:8" hidden="1" x14ac:dyDescent="0.25">
      <c r="A592" t="str" cm="1">
        <f t="array" ref="A592">IF(AND(ISBLANK(INDEX(SampleList[pH],ROW()-1)),ISBLANK(INDEX(SampleList[Conductivity],ROW()-1)),ISBLANK(INDEX(SampleList[Modification],ROW()-1))),"Not Requested",INDEX(SampleList[Experiment ID],ROW()-1))</f>
        <v>Not Requested</v>
      </c>
      <c r="B592">
        <f>SampleList[[#This Row],[Duration (Days)]]</f>
        <v>0</v>
      </c>
      <c r="G592">
        <f>NMRResults[[#This Row],['#]]</f>
        <v>0</v>
      </c>
      <c r="H592" s="1">
        <f>NMRResults[[#This Row],[Date Run]]</f>
        <v>0</v>
      </c>
    </row>
    <row r="593" spans="1:8" hidden="1" x14ac:dyDescent="0.25">
      <c r="A593" t="str" cm="1">
        <f t="array" ref="A593">IF(AND(ISBLANK(INDEX(SampleList[pH],ROW()-1)),ISBLANK(INDEX(SampleList[Conductivity],ROW()-1)),ISBLANK(INDEX(SampleList[Modification],ROW()-1))),"Not Requested",INDEX(SampleList[Experiment ID],ROW()-1))</f>
        <v>Not Requested</v>
      </c>
      <c r="B593">
        <f>SampleList[[#This Row],[Duration (Days)]]</f>
        <v>0</v>
      </c>
      <c r="G593">
        <f>NMRResults[[#This Row],['#]]</f>
        <v>0</v>
      </c>
      <c r="H593" s="1">
        <f>NMRResults[[#This Row],[Date Run]]</f>
        <v>0</v>
      </c>
    </row>
    <row r="594" spans="1:8" hidden="1" x14ac:dyDescent="0.25">
      <c r="A594" t="str" cm="1">
        <f t="array" ref="A594">IF(AND(ISBLANK(INDEX(SampleList[pH],ROW()-1)),ISBLANK(INDEX(SampleList[Conductivity],ROW()-1)),ISBLANK(INDEX(SampleList[Modification],ROW()-1))),"Not Requested",INDEX(SampleList[Experiment ID],ROW()-1))</f>
        <v>Not Requested</v>
      </c>
      <c r="B594">
        <f>SampleList[[#This Row],[Duration (Days)]]</f>
        <v>0</v>
      </c>
      <c r="G594">
        <f>NMRResults[[#This Row],['#]]</f>
        <v>0</v>
      </c>
      <c r="H594" s="1">
        <f>NMRResults[[#This Row],[Date Run]]</f>
        <v>0</v>
      </c>
    </row>
    <row r="595" spans="1:8" hidden="1" x14ac:dyDescent="0.25">
      <c r="A595" t="str" cm="1">
        <f t="array" ref="A595">IF(AND(ISBLANK(INDEX(SampleList[pH],ROW()-1)),ISBLANK(INDEX(SampleList[Conductivity],ROW()-1)),ISBLANK(INDEX(SampleList[Modification],ROW()-1))),"Not Requested",INDEX(SampleList[Experiment ID],ROW()-1))</f>
        <v>Not Requested</v>
      </c>
      <c r="B595">
        <f>SampleList[[#This Row],[Duration (Days)]]</f>
        <v>0</v>
      </c>
      <c r="G595">
        <f>NMRResults[[#This Row],['#]]</f>
        <v>0</v>
      </c>
      <c r="H595" s="1">
        <f>NMRResults[[#This Row],[Date Run]]</f>
        <v>0</v>
      </c>
    </row>
    <row r="596" spans="1:8" hidden="1" x14ac:dyDescent="0.25">
      <c r="A596" t="str" cm="1">
        <f t="array" ref="A596">IF(AND(ISBLANK(INDEX(SampleList[pH],ROW()-1)),ISBLANK(INDEX(SampleList[Conductivity],ROW()-1)),ISBLANK(INDEX(SampleList[Modification],ROW()-1))),"Not Requested",INDEX(SampleList[Experiment ID],ROW()-1))</f>
        <v>Not Requested</v>
      </c>
      <c r="B596">
        <f>SampleList[[#This Row],[Duration (Days)]]</f>
        <v>0</v>
      </c>
      <c r="G596">
        <f>NMRResults[[#This Row],['#]]</f>
        <v>0</v>
      </c>
      <c r="H596" s="1">
        <f>NMRResults[[#This Row],[Date Run]]</f>
        <v>0</v>
      </c>
    </row>
    <row r="597" spans="1:8" hidden="1" x14ac:dyDescent="0.25">
      <c r="A597" t="str" cm="1">
        <f t="array" ref="A597">IF(AND(ISBLANK(INDEX(SampleList[pH],ROW()-1)),ISBLANK(INDEX(SampleList[Conductivity],ROW()-1)),ISBLANK(INDEX(SampleList[Modification],ROW()-1))),"Not Requested",INDEX(SampleList[Experiment ID],ROW()-1))</f>
        <v>Not Requested</v>
      </c>
      <c r="B597">
        <f>SampleList[[#This Row],[Duration (Days)]]</f>
        <v>0</v>
      </c>
      <c r="G597">
        <f>NMRResults[[#This Row],['#]]</f>
        <v>0</v>
      </c>
      <c r="H597" s="1">
        <f>NMRResults[[#This Row],[Date Run]]</f>
        <v>0</v>
      </c>
    </row>
    <row r="598" spans="1:8" hidden="1" x14ac:dyDescent="0.25">
      <c r="A598" t="str" cm="1">
        <f t="array" ref="A598">IF(AND(ISBLANK(INDEX(SampleList[pH],ROW()-1)),ISBLANK(INDEX(SampleList[Conductivity],ROW()-1)),ISBLANK(INDEX(SampleList[Modification],ROW()-1))),"Not Requested",INDEX(SampleList[Experiment ID],ROW()-1))</f>
        <v>Not Requested</v>
      </c>
      <c r="B598">
        <f>SampleList[[#This Row],[Duration (Days)]]</f>
        <v>0</v>
      </c>
      <c r="G598">
        <f>NMRResults[[#This Row],['#]]</f>
        <v>0</v>
      </c>
      <c r="H598" s="1">
        <f>NMRResults[[#This Row],[Date Run]]</f>
        <v>0</v>
      </c>
    </row>
    <row r="599" spans="1:8" hidden="1" x14ac:dyDescent="0.25">
      <c r="A599" t="str" cm="1">
        <f t="array" ref="A599">IF(AND(ISBLANK(INDEX(SampleList[pH],ROW()-1)),ISBLANK(INDEX(SampleList[Conductivity],ROW()-1)),ISBLANK(INDEX(SampleList[Modification],ROW()-1))),"Not Requested",INDEX(SampleList[Experiment ID],ROW()-1))</f>
        <v>Not Requested</v>
      </c>
      <c r="B599">
        <f>SampleList[[#This Row],[Duration (Days)]]</f>
        <v>0</v>
      </c>
      <c r="G599">
        <f>NMRResults[[#This Row],['#]]</f>
        <v>0</v>
      </c>
      <c r="H599" s="1">
        <f>NMRResults[[#This Row],[Date Run]]</f>
        <v>0</v>
      </c>
    </row>
    <row r="600" spans="1:8" hidden="1" x14ac:dyDescent="0.25">
      <c r="A600" t="str" cm="1">
        <f t="array" ref="A600">IF(AND(ISBLANK(INDEX(SampleList[pH],ROW()-1)),ISBLANK(INDEX(SampleList[Conductivity],ROW()-1)),ISBLANK(INDEX(SampleList[Modification],ROW()-1))),"Not Requested",INDEX(SampleList[Experiment ID],ROW()-1))</f>
        <v>Not Requested</v>
      </c>
      <c r="B600">
        <f>SampleList[[#This Row],[Duration (Days)]]</f>
        <v>0</v>
      </c>
      <c r="G600">
        <f>NMRResults[[#This Row],['#]]</f>
        <v>0</v>
      </c>
      <c r="H600" s="1">
        <f>NMRResults[[#This Row],[Date Run]]</f>
        <v>0</v>
      </c>
    </row>
    <row r="601" spans="1:8" hidden="1" x14ac:dyDescent="0.25">
      <c r="A601" t="str" cm="1">
        <f t="array" ref="A601">IF(AND(ISBLANK(INDEX(SampleList[pH],ROW()-1)),ISBLANK(INDEX(SampleList[Conductivity],ROW()-1)),ISBLANK(INDEX(SampleList[Modification],ROW()-1))),"Not Requested",INDEX(SampleList[Experiment ID],ROW()-1))</f>
        <v>Not Requested</v>
      </c>
      <c r="B601">
        <f>SampleList[[#This Row],[Duration (Days)]]</f>
        <v>0</v>
      </c>
      <c r="G601">
        <f>NMRResults[[#This Row],['#]]</f>
        <v>0</v>
      </c>
      <c r="H601" s="1">
        <f>NMRResults[[#This Row],[Date Run]]</f>
        <v>0</v>
      </c>
    </row>
    <row r="602" spans="1:8" hidden="1" x14ac:dyDescent="0.25">
      <c r="A602" t="str" cm="1">
        <f t="array" ref="A602">IF(AND(ISBLANK(INDEX(SampleList[pH],ROW()-1)),ISBLANK(INDEX(SampleList[Conductivity],ROW()-1)),ISBLANK(INDEX(SampleList[Modification],ROW()-1))),"Not Requested",INDEX(SampleList[Experiment ID],ROW()-1))</f>
        <v>Not Requested</v>
      </c>
      <c r="B602">
        <f>SampleList[[#This Row],[Duration (Days)]]</f>
        <v>0</v>
      </c>
      <c r="G602">
        <f>NMRResults[[#This Row],['#]]</f>
        <v>0</v>
      </c>
      <c r="H602" s="1">
        <f>NMRResults[[#This Row],[Date Run]]</f>
        <v>0</v>
      </c>
    </row>
    <row r="603" spans="1:8" hidden="1" x14ac:dyDescent="0.25">
      <c r="A603" t="str" cm="1">
        <f t="array" ref="A603">IF(AND(ISBLANK(INDEX(SampleList[pH],ROW()-1)),ISBLANK(INDEX(SampleList[Conductivity],ROW()-1)),ISBLANK(INDEX(SampleList[Modification],ROW()-1))),"Not Requested",INDEX(SampleList[Experiment ID],ROW()-1))</f>
        <v>Not Requested</v>
      </c>
      <c r="B603">
        <f>SampleList[[#This Row],[Duration (Days)]]</f>
        <v>0</v>
      </c>
      <c r="G603">
        <f>NMRResults[[#This Row],['#]]</f>
        <v>0</v>
      </c>
      <c r="H603" s="1">
        <f>NMRResults[[#This Row],[Date Run]]</f>
        <v>0</v>
      </c>
    </row>
    <row r="604" spans="1:8" hidden="1" x14ac:dyDescent="0.25">
      <c r="A604" t="str" cm="1">
        <f t="array" ref="A604">IF(AND(ISBLANK(INDEX(SampleList[pH],ROW()-1)),ISBLANK(INDEX(SampleList[Conductivity],ROW()-1)),ISBLANK(INDEX(SampleList[Modification],ROW()-1))),"Not Requested",INDEX(SampleList[Experiment ID],ROW()-1))</f>
        <v>Not Requested</v>
      </c>
      <c r="B604">
        <f>SampleList[[#This Row],[Duration (Days)]]</f>
        <v>0</v>
      </c>
      <c r="G604">
        <f>NMRResults[[#This Row],['#]]</f>
        <v>0</v>
      </c>
      <c r="H604" s="1">
        <f>NMRResults[[#This Row],[Date Run]]</f>
        <v>0</v>
      </c>
    </row>
    <row r="605" spans="1:8" hidden="1" x14ac:dyDescent="0.25">
      <c r="A605" t="str" cm="1">
        <f t="array" ref="A605">IF(AND(ISBLANK(INDEX(SampleList[pH],ROW()-1)),ISBLANK(INDEX(SampleList[Conductivity],ROW()-1)),ISBLANK(INDEX(SampleList[Modification],ROW()-1))),"Not Requested",INDEX(SampleList[Experiment ID],ROW()-1))</f>
        <v>Not Requested</v>
      </c>
      <c r="B605">
        <f>SampleList[[#This Row],[Duration (Days)]]</f>
        <v>0</v>
      </c>
      <c r="G605">
        <f>NMRResults[[#This Row],['#]]</f>
        <v>0</v>
      </c>
      <c r="H605" s="1">
        <f>NMRResults[[#This Row],[Date Run]]</f>
        <v>0</v>
      </c>
    </row>
    <row r="606" spans="1:8" hidden="1" x14ac:dyDescent="0.25">
      <c r="A606" t="str" cm="1">
        <f t="array" ref="A606">IF(AND(ISBLANK(INDEX(SampleList[pH],ROW()-1)),ISBLANK(INDEX(SampleList[Conductivity],ROW()-1)),ISBLANK(INDEX(SampleList[Modification],ROW()-1))),"Not Requested",INDEX(SampleList[Experiment ID],ROW()-1))</f>
        <v>Not Requested</v>
      </c>
      <c r="B606">
        <f>SampleList[[#This Row],[Duration (Days)]]</f>
        <v>0</v>
      </c>
      <c r="G606">
        <f>NMRResults[[#This Row],['#]]</f>
        <v>0</v>
      </c>
      <c r="H606" s="1">
        <f>NMRResults[[#This Row],[Date Run]]</f>
        <v>0</v>
      </c>
    </row>
    <row r="607" spans="1:8" hidden="1" x14ac:dyDescent="0.25">
      <c r="A607" t="str" cm="1">
        <f t="array" ref="A607">IF(AND(ISBLANK(INDEX(SampleList[pH],ROW()-1)),ISBLANK(INDEX(SampleList[Conductivity],ROW()-1)),ISBLANK(INDEX(SampleList[Modification],ROW()-1))),"Not Requested",INDEX(SampleList[Experiment ID],ROW()-1))</f>
        <v>Not Requested</v>
      </c>
      <c r="B607">
        <f>SampleList[[#This Row],[Duration (Days)]]</f>
        <v>0</v>
      </c>
      <c r="G607">
        <f>NMRResults[[#This Row],['#]]</f>
        <v>0</v>
      </c>
      <c r="H607" s="1">
        <f>NMRResults[[#This Row],[Date Run]]</f>
        <v>0</v>
      </c>
    </row>
    <row r="608" spans="1:8" hidden="1" x14ac:dyDescent="0.25">
      <c r="A608" t="str" cm="1">
        <f t="array" ref="A608">IF(AND(ISBLANK(INDEX(SampleList[pH],ROW()-1)),ISBLANK(INDEX(SampleList[Conductivity],ROW()-1)),ISBLANK(INDEX(SampleList[Modification],ROW()-1))),"Not Requested",INDEX(SampleList[Experiment ID],ROW()-1))</f>
        <v>Not Requested</v>
      </c>
      <c r="B608">
        <f>SampleList[[#This Row],[Duration (Days)]]</f>
        <v>0</v>
      </c>
      <c r="G608">
        <f>NMRResults[[#This Row],['#]]</f>
        <v>0</v>
      </c>
      <c r="H608" s="1">
        <f>NMRResults[[#This Row],[Date Run]]</f>
        <v>0</v>
      </c>
    </row>
    <row r="609" spans="1:8" hidden="1" x14ac:dyDescent="0.25">
      <c r="A609" t="str" cm="1">
        <f t="array" ref="A609">IF(AND(ISBLANK(INDEX(SampleList[pH],ROW()-1)),ISBLANK(INDEX(SampleList[Conductivity],ROW()-1)),ISBLANK(INDEX(SampleList[Modification],ROW()-1))),"Not Requested",INDEX(SampleList[Experiment ID],ROW()-1))</f>
        <v>Not Requested</v>
      </c>
      <c r="B609">
        <f>SampleList[[#This Row],[Duration (Days)]]</f>
        <v>0</v>
      </c>
      <c r="G609">
        <f>NMRResults[[#This Row],['#]]</f>
        <v>0</v>
      </c>
      <c r="H609" s="1">
        <f>NMRResults[[#This Row],[Date Run]]</f>
        <v>0</v>
      </c>
    </row>
    <row r="610" spans="1:8" hidden="1" x14ac:dyDescent="0.25">
      <c r="A610" t="str" cm="1">
        <f t="array" ref="A610">IF(AND(ISBLANK(INDEX(SampleList[pH],ROW()-1)),ISBLANK(INDEX(SampleList[Conductivity],ROW()-1)),ISBLANK(INDEX(SampleList[Modification],ROW()-1))),"Not Requested",INDEX(SampleList[Experiment ID],ROW()-1))</f>
        <v>Not Requested</v>
      </c>
      <c r="B610">
        <f>SampleList[[#This Row],[Duration (Days)]]</f>
        <v>0</v>
      </c>
      <c r="G610">
        <f>NMRResults[[#This Row],['#]]</f>
        <v>0</v>
      </c>
      <c r="H610" s="1">
        <f>NMRResults[[#This Row],[Date Run]]</f>
        <v>0</v>
      </c>
    </row>
    <row r="611" spans="1:8" hidden="1" x14ac:dyDescent="0.25">
      <c r="A611" t="str" cm="1">
        <f t="array" ref="A611">IF(AND(ISBLANK(INDEX(SampleList[pH],ROW()-1)),ISBLANK(INDEX(SampleList[Conductivity],ROW()-1)),ISBLANK(INDEX(SampleList[Modification],ROW()-1))),"Not Requested",INDEX(SampleList[Experiment ID],ROW()-1))</f>
        <v>Not Requested</v>
      </c>
      <c r="B611">
        <f>SampleList[[#This Row],[Duration (Days)]]</f>
        <v>0</v>
      </c>
      <c r="G611">
        <f>NMRResults[[#This Row],['#]]</f>
        <v>0</v>
      </c>
      <c r="H611" s="1">
        <f>NMRResults[[#This Row],[Date Run]]</f>
        <v>0</v>
      </c>
    </row>
    <row r="612" spans="1:8" hidden="1" x14ac:dyDescent="0.25">
      <c r="A612" t="str" cm="1">
        <f t="array" ref="A612">IF(AND(ISBLANK(INDEX(SampleList[pH],ROW()-1)),ISBLANK(INDEX(SampleList[Conductivity],ROW()-1)),ISBLANK(INDEX(SampleList[Modification],ROW()-1))),"Not Requested",INDEX(SampleList[Experiment ID],ROW()-1))</f>
        <v>Not Requested</v>
      </c>
      <c r="B612">
        <f>SampleList[[#This Row],[Duration (Days)]]</f>
        <v>0</v>
      </c>
      <c r="G612">
        <f>NMRResults[[#This Row],['#]]</f>
        <v>0</v>
      </c>
      <c r="H612" s="1">
        <f>NMRResults[[#This Row],[Date Run]]</f>
        <v>0</v>
      </c>
    </row>
    <row r="613" spans="1:8" hidden="1" x14ac:dyDescent="0.25">
      <c r="A613" t="str" cm="1">
        <f t="array" ref="A613">IF(AND(ISBLANK(INDEX(SampleList[pH],ROW()-1)),ISBLANK(INDEX(SampleList[Conductivity],ROW()-1)),ISBLANK(INDEX(SampleList[Modification],ROW()-1))),"Not Requested",INDEX(SampleList[Experiment ID],ROW()-1))</f>
        <v>Not Requested</v>
      </c>
      <c r="B613">
        <f>SampleList[[#This Row],[Duration (Days)]]</f>
        <v>0</v>
      </c>
      <c r="G613">
        <f>NMRResults[[#This Row],['#]]</f>
        <v>0</v>
      </c>
      <c r="H613" s="1">
        <f>NMRResults[[#This Row],[Date Run]]</f>
        <v>0</v>
      </c>
    </row>
    <row r="614" spans="1:8" hidden="1" x14ac:dyDescent="0.25">
      <c r="A614" t="str" cm="1">
        <f t="array" ref="A614">IF(AND(ISBLANK(INDEX(SampleList[pH],ROW()-1)),ISBLANK(INDEX(SampleList[Conductivity],ROW()-1)),ISBLANK(INDEX(SampleList[Modification],ROW()-1))),"Not Requested",INDEX(SampleList[Experiment ID],ROW()-1))</f>
        <v>Not Requested</v>
      </c>
      <c r="B614">
        <f>SampleList[[#This Row],[Duration (Days)]]</f>
        <v>0</v>
      </c>
      <c r="G614">
        <f>NMRResults[[#This Row],['#]]</f>
        <v>0</v>
      </c>
      <c r="H614" s="1">
        <f>NMRResults[[#This Row],[Date Run]]</f>
        <v>0</v>
      </c>
    </row>
    <row r="615" spans="1:8" hidden="1" x14ac:dyDescent="0.25">
      <c r="A615" t="str" cm="1">
        <f t="array" ref="A615">IF(AND(ISBLANK(INDEX(SampleList[pH],ROW()-1)),ISBLANK(INDEX(SampleList[Conductivity],ROW()-1)),ISBLANK(INDEX(SampleList[Modification],ROW()-1))),"Not Requested",INDEX(SampleList[Experiment ID],ROW()-1))</f>
        <v>Not Requested</v>
      </c>
      <c r="B615">
        <f>SampleList[[#This Row],[Duration (Days)]]</f>
        <v>0</v>
      </c>
      <c r="G615">
        <f>NMRResults[[#This Row],['#]]</f>
        <v>0</v>
      </c>
      <c r="H615" s="1">
        <f>NMRResults[[#This Row],[Date Run]]</f>
        <v>0</v>
      </c>
    </row>
    <row r="616" spans="1:8" hidden="1" x14ac:dyDescent="0.25">
      <c r="A616" t="str" cm="1">
        <f t="array" ref="A616">IF(AND(ISBLANK(INDEX(SampleList[pH],ROW()-1)),ISBLANK(INDEX(SampleList[Conductivity],ROW()-1)),ISBLANK(INDEX(SampleList[Modification],ROW()-1))),"Not Requested",INDEX(SampleList[Experiment ID],ROW()-1))</f>
        <v>Not Requested</v>
      </c>
      <c r="B616">
        <f>SampleList[[#This Row],[Duration (Days)]]</f>
        <v>0</v>
      </c>
      <c r="G616">
        <f>NMRResults[[#This Row],['#]]</f>
        <v>0</v>
      </c>
      <c r="H616" s="1">
        <f>NMRResults[[#This Row],[Date Run]]</f>
        <v>0</v>
      </c>
    </row>
    <row r="617" spans="1:8" hidden="1" x14ac:dyDescent="0.25">
      <c r="A617" t="str" cm="1">
        <f t="array" ref="A617">IF(AND(ISBLANK(INDEX(SampleList[pH],ROW()-1)),ISBLANK(INDEX(SampleList[Conductivity],ROW()-1)),ISBLANK(INDEX(SampleList[Modification],ROW()-1))),"Not Requested",INDEX(SampleList[Experiment ID],ROW()-1))</f>
        <v>Not Requested</v>
      </c>
      <c r="B617">
        <f>SampleList[[#This Row],[Duration (Days)]]</f>
        <v>0</v>
      </c>
      <c r="G617">
        <f>NMRResults[[#This Row],['#]]</f>
        <v>0</v>
      </c>
      <c r="H617" s="1">
        <f>NMRResults[[#This Row],[Date Run]]</f>
        <v>0</v>
      </c>
    </row>
    <row r="618" spans="1:8" hidden="1" x14ac:dyDescent="0.25">
      <c r="A618" t="str" cm="1">
        <f t="array" ref="A618">IF(AND(ISBLANK(INDEX(SampleList[pH],ROW()-1)),ISBLANK(INDEX(SampleList[Conductivity],ROW()-1)),ISBLANK(INDEX(SampleList[Modification],ROW()-1))),"Not Requested",INDEX(SampleList[Experiment ID],ROW()-1))</f>
        <v>Not Requested</v>
      </c>
      <c r="B618">
        <f>SampleList[[#This Row],[Duration (Days)]]</f>
        <v>0</v>
      </c>
      <c r="G618">
        <f>NMRResults[[#This Row],['#]]</f>
        <v>0</v>
      </c>
      <c r="H618" s="1">
        <f>NMRResults[[#This Row],[Date Run]]</f>
        <v>0</v>
      </c>
    </row>
    <row r="619" spans="1:8" hidden="1" x14ac:dyDescent="0.25">
      <c r="A619" t="str" cm="1">
        <f t="array" ref="A619">IF(AND(ISBLANK(INDEX(SampleList[pH],ROW()-1)),ISBLANK(INDEX(SampleList[Conductivity],ROW()-1)),ISBLANK(INDEX(SampleList[Modification],ROW()-1))),"Not Requested",INDEX(SampleList[Experiment ID],ROW()-1))</f>
        <v>Not Requested</v>
      </c>
      <c r="B619">
        <f>SampleList[[#This Row],[Duration (Days)]]</f>
        <v>0</v>
      </c>
      <c r="G619">
        <f>NMRResults[[#This Row],['#]]</f>
        <v>0</v>
      </c>
      <c r="H619" s="1">
        <f>NMRResults[[#This Row],[Date Run]]</f>
        <v>0</v>
      </c>
    </row>
    <row r="620" spans="1:8" hidden="1" x14ac:dyDescent="0.25">
      <c r="A620" t="str" cm="1">
        <f t="array" ref="A620">IF(AND(ISBLANK(INDEX(SampleList[pH],ROW()-1)),ISBLANK(INDEX(SampleList[Conductivity],ROW()-1)),ISBLANK(INDEX(SampleList[Modification],ROW()-1))),"Not Requested",INDEX(SampleList[Experiment ID],ROW()-1))</f>
        <v>Not Requested</v>
      </c>
      <c r="B620">
        <f>SampleList[[#This Row],[Duration (Days)]]</f>
        <v>0</v>
      </c>
      <c r="G620">
        <f>NMRResults[[#This Row],['#]]</f>
        <v>0</v>
      </c>
      <c r="H620" s="1">
        <f>NMRResults[[#This Row],[Date Run]]</f>
        <v>0</v>
      </c>
    </row>
    <row r="621" spans="1:8" hidden="1" x14ac:dyDescent="0.25">
      <c r="A621" t="str" cm="1">
        <f t="array" ref="A621">IF(AND(ISBLANK(INDEX(SampleList[pH],ROW()-1)),ISBLANK(INDEX(SampleList[Conductivity],ROW()-1)),ISBLANK(INDEX(SampleList[Modification],ROW()-1))),"Not Requested",INDEX(SampleList[Experiment ID],ROW()-1))</f>
        <v>Not Requested</v>
      </c>
      <c r="B621">
        <f>SampleList[[#This Row],[Duration (Days)]]</f>
        <v>0</v>
      </c>
      <c r="G621">
        <f>NMRResults[[#This Row],['#]]</f>
        <v>0</v>
      </c>
      <c r="H621" s="1">
        <f>NMRResults[[#This Row],[Date Run]]</f>
        <v>0</v>
      </c>
    </row>
    <row r="622" spans="1:8" hidden="1" x14ac:dyDescent="0.25">
      <c r="A622" t="str" cm="1">
        <f t="array" ref="A622">IF(AND(ISBLANK(INDEX(SampleList[pH],ROW()-1)),ISBLANK(INDEX(SampleList[Conductivity],ROW()-1)),ISBLANK(INDEX(SampleList[Modification],ROW()-1))),"Not Requested",INDEX(SampleList[Experiment ID],ROW()-1))</f>
        <v>Not Requested</v>
      </c>
      <c r="B622">
        <f>SampleList[[#This Row],[Duration (Days)]]</f>
        <v>0</v>
      </c>
      <c r="G622">
        <f>NMRResults[[#This Row],['#]]</f>
        <v>0</v>
      </c>
      <c r="H622" s="1">
        <f>NMRResults[[#This Row],[Date Run]]</f>
        <v>0</v>
      </c>
    </row>
    <row r="623" spans="1:8" hidden="1" x14ac:dyDescent="0.25">
      <c r="A623" t="str" cm="1">
        <f t="array" ref="A623">IF(AND(ISBLANK(INDEX(SampleList[pH],ROW()-1)),ISBLANK(INDEX(SampleList[Conductivity],ROW()-1)),ISBLANK(INDEX(SampleList[Modification],ROW()-1))),"Not Requested",INDEX(SampleList[Experiment ID],ROW()-1))</f>
        <v>Not Requested</v>
      </c>
      <c r="B623">
        <f>SampleList[[#This Row],[Duration (Days)]]</f>
        <v>0</v>
      </c>
      <c r="G623">
        <f>NMRResults[[#This Row],['#]]</f>
        <v>0</v>
      </c>
      <c r="H623" s="1">
        <f>NMRResults[[#This Row],[Date Run]]</f>
        <v>0</v>
      </c>
    </row>
    <row r="624" spans="1:8" hidden="1" x14ac:dyDescent="0.25">
      <c r="A624" t="str" cm="1">
        <f t="array" ref="A624">IF(AND(ISBLANK(INDEX(SampleList[pH],ROW()-1)),ISBLANK(INDEX(SampleList[Conductivity],ROW()-1)),ISBLANK(INDEX(SampleList[Modification],ROW()-1))),"Not Requested",INDEX(SampleList[Experiment ID],ROW()-1))</f>
        <v>Not Requested</v>
      </c>
      <c r="B624">
        <f>SampleList[[#This Row],[Duration (Days)]]</f>
        <v>0</v>
      </c>
      <c r="G624">
        <f>NMRResults[[#This Row],['#]]</f>
        <v>0</v>
      </c>
      <c r="H624" s="1">
        <f>NMRResults[[#This Row],[Date Run]]</f>
        <v>0</v>
      </c>
    </row>
    <row r="625" spans="1:8" hidden="1" x14ac:dyDescent="0.25">
      <c r="A625" t="str" cm="1">
        <f t="array" ref="A625">IF(AND(ISBLANK(INDEX(SampleList[pH],ROW()-1)),ISBLANK(INDEX(SampleList[Conductivity],ROW()-1)),ISBLANK(INDEX(SampleList[Modification],ROW()-1))),"Not Requested",INDEX(SampleList[Experiment ID],ROW()-1))</f>
        <v>Not Requested</v>
      </c>
      <c r="B625">
        <f>SampleList[[#This Row],[Duration (Days)]]</f>
        <v>0</v>
      </c>
      <c r="G625">
        <f>NMRResults[[#This Row],['#]]</f>
        <v>0</v>
      </c>
      <c r="H625" s="1">
        <f>NMRResults[[#This Row],[Date Run]]</f>
        <v>0</v>
      </c>
    </row>
    <row r="626" spans="1:8" hidden="1" x14ac:dyDescent="0.25">
      <c r="A626" t="str" cm="1">
        <f t="array" ref="A626">IF(AND(ISBLANK(INDEX(SampleList[pH],ROW()-1)),ISBLANK(INDEX(SampleList[Conductivity],ROW()-1)),ISBLANK(INDEX(SampleList[Modification],ROW()-1))),"Not Requested",INDEX(SampleList[Experiment ID],ROW()-1))</f>
        <v>Not Requested</v>
      </c>
      <c r="B626">
        <f>SampleList[[#This Row],[Duration (Days)]]</f>
        <v>0</v>
      </c>
      <c r="G626">
        <f>NMRResults[[#This Row],['#]]</f>
        <v>0</v>
      </c>
      <c r="H626" s="1">
        <f>NMRResults[[#This Row],[Date Run]]</f>
        <v>0</v>
      </c>
    </row>
    <row r="627" spans="1:8" hidden="1" x14ac:dyDescent="0.25">
      <c r="A627" t="str" cm="1">
        <f t="array" ref="A627">IF(AND(ISBLANK(INDEX(SampleList[pH],ROW()-1)),ISBLANK(INDEX(SampleList[Conductivity],ROW()-1)),ISBLANK(INDEX(SampleList[Modification],ROW()-1))),"Not Requested",INDEX(SampleList[Experiment ID],ROW()-1))</f>
        <v>Not Requested</v>
      </c>
      <c r="B627">
        <f>SampleList[[#This Row],[Duration (Days)]]</f>
        <v>0</v>
      </c>
      <c r="G627">
        <f>NMRResults[[#This Row],['#]]</f>
        <v>0</v>
      </c>
      <c r="H627" s="1">
        <f>NMRResults[[#This Row],[Date Run]]</f>
        <v>0</v>
      </c>
    </row>
    <row r="628" spans="1:8" hidden="1" x14ac:dyDescent="0.25">
      <c r="A628" t="str" cm="1">
        <f t="array" ref="A628">IF(AND(ISBLANK(INDEX(SampleList[pH],ROW()-1)),ISBLANK(INDEX(SampleList[Conductivity],ROW()-1)),ISBLANK(INDEX(SampleList[Modification],ROW()-1))),"Not Requested",INDEX(SampleList[Experiment ID],ROW()-1))</f>
        <v>Not Requested</v>
      </c>
      <c r="B628">
        <f>SampleList[[#This Row],[Duration (Days)]]</f>
        <v>0</v>
      </c>
      <c r="G628">
        <f>NMRResults[[#This Row],['#]]</f>
        <v>0</v>
      </c>
      <c r="H628" s="1">
        <f>NMRResults[[#This Row],[Date Run]]</f>
        <v>0</v>
      </c>
    </row>
    <row r="629" spans="1:8" hidden="1" x14ac:dyDescent="0.25">
      <c r="A629" t="str" cm="1">
        <f t="array" ref="A629">IF(AND(ISBLANK(INDEX(SampleList[pH],ROW()-1)),ISBLANK(INDEX(SampleList[Conductivity],ROW()-1)),ISBLANK(INDEX(SampleList[Modification],ROW()-1))),"Not Requested",INDEX(SampleList[Experiment ID],ROW()-1))</f>
        <v>Not Requested</v>
      </c>
      <c r="B629">
        <f>SampleList[[#This Row],[Duration (Days)]]</f>
        <v>0</v>
      </c>
      <c r="G629">
        <f>NMRResults[[#This Row],['#]]</f>
        <v>0</v>
      </c>
      <c r="H629" s="1">
        <f>NMRResults[[#This Row],[Date Run]]</f>
        <v>0</v>
      </c>
    </row>
    <row r="630" spans="1:8" hidden="1" x14ac:dyDescent="0.25">
      <c r="A630" t="str" cm="1">
        <f t="array" ref="A630">IF(AND(ISBLANK(INDEX(SampleList[pH],ROW()-1)),ISBLANK(INDEX(SampleList[Conductivity],ROW()-1)),ISBLANK(INDEX(SampleList[Modification],ROW()-1))),"Not Requested",INDEX(SampleList[Experiment ID],ROW()-1))</f>
        <v>Not Requested</v>
      </c>
      <c r="B630">
        <f>SampleList[[#This Row],[Duration (Days)]]</f>
        <v>0</v>
      </c>
      <c r="G630">
        <f>NMRResults[[#This Row],['#]]</f>
        <v>0</v>
      </c>
      <c r="H630" s="1">
        <f>NMRResults[[#This Row],[Date Run]]</f>
        <v>0</v>
      </c>
    </row>
    <row r="631" spans="1:8" hidden="1" x14ac:dyDescent="0.25">
      <c r="A631" t="str" cm="1">
        <f t="array" ref="A631">IF(AND(ISBLANK(INDEX(SampleList[pH],ROW()-1)),ISBLANK(INDEX(SampleList[Conductivity],ROW()-1)),ISBLANK(INDEX(SampleList[Modification],ROW()-1))),"Not Requested",INDEX(SampleList[Experiment ID],ROW()-1))</f>
        <v>Not Requested</v>
      </c>
      <c r="B631">
        <f>SampleList[[#This Row],[Duration (Days)]]</f>
        <v>0</v>
      </c>
      <c r="G631">
        <f>NMRResults[[#This Row],['#]]</f>
        <v>0</v>
      </c>
      <c r="H631" s="1">
        <f>NMRResults[[#This Row],[Date Run]]</f>
        <v>0</v>
      </c>
    </row>
    <row r="632" spans="1:8" hidden="1" x14ac:dyDescent="0.25">
      <c r="A632" t="str" cm="1">
        <f t="array" ref="A632">IF(AND(ISBLANK(INDEX(SampleList[pH],ROW()-1)),ISBLANK(INDEX(SampleList[Conductivity],ROW()-1)),ISBLANK(INDEX(SampleList[Modification],ROW()-1))),"Not Requested",INDEX(SampleList[Experiment ID],ROW()-1))</f>
        <v>Not Requested</v>
      </c>
      <c r="B632">
        <f>SampleList[[#This Row],[Duration (Days)]]</f>
        <v>0</v>
      </c>
      <c r="G632">
        <f>NMRResults[[#This Row],['#]]</f>
        <v>0</v>
      </c>
      <c r="H632" s="1">
        <f>NMRResults[[#This Row],[Date Run]]</f>
        <v>0</v>
      </c>
    </row>
    <row r="633" spans="1:8" hidden="1" x14ac:dyDescent="0.25">
      <c r="A633" t="str" cm="1">
        <f t="array" ref="A633">IF(AND(ISBLANK(INDEX(SampleList[pH],ROW()-1)),ISBLANK(INDEX(SampleList[Conductivity],ROW()-1)),ISBLANK(INDEX(SampleList[Modification],ROW()-1))),"Not Requested",INDEX(SampleList[Experiment ID],ROW()-1))</f>
        <v>Not Requested</v>
      </c>
      <c r="B633">
        <f>SampleList[[#This Row],[Duration (Days)]]</f>
        <v>0</v>
      </c>
      <c r="G633">
        <f>NMRResults[[#This Row],['#]]</f>
        <v>0</v>
      </c>
      <c r="H633" s="1">
        <f>NMRResults[[#This Row],[Date Run]]</f>
        <v>0</v>
      </c>
    </row>
    <row r="634" spans="1:8" hidden="1" x14ac:dyDescent="0.25">
      <c r="A634" t="str" cm="1">
        <f t="array" ref="A634">IF(AND(ISBLANK(INDEX(SampleList[pH],ROW()-1)),ISBLANK(INDEX(SampleList[Conductivity],ROW()-1)),ISBLANK(INDEX(SampleList[Modification],ROW()-1))),"Not Requested",INDEX(SampleList[Experiment ID],ROW()-1))</f>
        <v>Not Requested</v>
      </c>
      <c r="B634">
        <f>SampleList[[#This Row],[Duration (Days)]]</f>
        <v>0</v>
      </c>
      <c r="G634">
        <f>NMRResults[[#This Row],['#]]</f>
        <v>0</v>
      </c>
      <c r="H634" s="1">
        <f>NMRResults[[#This Row],[Date Run]]</f>
        <v>0</v>
      </c>
    </row>
    <row r="635" spans="1:8" hidden="1" x14ac:dyDescent="0.25">
      <c r="A635" t="str" cm="1">
        <f t="array" ref="A635">IF(AND(ISBLANK(INDEX(SampleList[pH],ROW()-1)),ISBLANK(INDEX(SampleList[Conductivity],ROW()-1)),ISBLANK(INDEX(SampleList[Modification],ROW()-1))),"Not Requested",INDEX(SampleList[Experiment ID],ROW()-1))</f>
        <v>Not Requested</v>
      </c>
      <c r="B635">
        <f>SampleList[[#This Row],[Duration (Days)]]</f>
        <v>0</v>
      </c>
      <c r="G635">
        <f>NMRResults[[#This Row],['#]]</f>
        <v>0</v>
      </c>
      <c r="H635" s="1">
        <f>NMRResults[[#This Row],[Date Run]]</f>
        <v>0</v>
      </c>
    </row>
    <row r="636" spans="1:8" hidden="1" x14ac:dyDescent="0.25">
      <c r="A636" t="str" cm="1">
        <f t="array" ref="A636">IF(AND(ISBLANK(INDEX(SampleList[pH],ROW()-1)),ISBLANK(INDEX(SampleList[Conductivity],ROW()-1)),ISBLANK(INDEX(SampleList[Modification],ROW()-1))),"Not Requested",INDEX(SampleList[Experiment ID],ROW()-1))</f>
        <v>Not Requested</v>
      </c>
      <c r="B636">
        <f>SampleList[[#This Row],[Duration (Days)]]</f>
        <v>0</v>
      </c>
      <c r="G636">
        <f>NMRResults[[#This Row],['#]]</f>
        <v>0</v>
      </c>
      <c r="H636" s="1">
        <f>NMRResults[[#This Row],[Date Run]]</f>
        <v>0</v>
      </c>
    </row>
    <row r="637" spans="1:8" hidden="1" x14ac:dyDescent="0.25">
      <c r="A637" t="str" cm="1">
        <f t="array" ref="A637">IF(AND(ISBLANK(INDEX(SampleList[pH],ROW()-1)),ISBLANK(INDEX(SampleList[Conductivity],ROW()-1)),ISBLANK(INDEX(SampleList[Modification],ROW()-1))),"Not Requested",INDEX(SampleList[Experiment ID],ROW()-1))</f>
        <v>Not Requested</v>
      </c>
      <c r="B637">
        <f>SampleList[[#This Row],[Duration (Days)]]</f>
        <v>0</v>
      </c>
      <c r="G637">
        <f>NMRResults[[#This Row],['#]]</f>
        <v>0</v>
      </c>
      <c r="H637" s="1">
        <f>NMRResults[[#This Row],[Date Run]]</f>
        <v>0</v>
      </c>
    </row>
    <row r="638" spans="1:8" hidden="1" x14ac:dyDescent="0.25">
      <c r="A638" t="str" cm="1">
        <f t="array" ref="A638">IF(AND(ISBLANK(INDEX(SampleList[pH],ROW()-1)),ISBLANK(INDEX(SampleList[Conductivity],ROW()-1)),ISBLANK(INDEX(SampleList[Modification],ROW()-1))),"Not Requested",INDEX(SampleList[Experiment ID],ROW()-1))</f>
        <v>Not Requested</v>
      </c>
      <c r="B638">
        <f>SampleList[[#This Row],[Duration (Days)]]</f>
        <v>0</v>
      </c>
      <c r="G638">
        <f>NMRResults[[#This Row],['#]]</f>
        <v>0</v>
      </c>
      <c r="H638" s="1">
        <f>NMRResults[[#This Row],[Date Run]]</f>
        <v>0</v>
      </c>
    </row>
    <row r="639" spans="1:8" hidden="1" x14ac:dyDescent="0.25">
      <c r="A639" t="str" cm="1">
        <f t="array" ref="A639">IF(AND(ISBLANK(INDEX(SampleList[pH],ROW()-1)),ISBLANK(INDEX(SampleList[Conductivity],ROW()-1)),ISBLANK(INDEX(SampleList[Modification],ROW()-1))),"Not Requested",INDEX(SampleList[Experiment ID],ROW()-1))</f>
        <v>Not Requested</v>
      </c>
      <c r="B639">
        <f>SampleList[[#This Row],[Duration (Days)]]</f>
        <v>0</v>
      </c>
      <c r="G639">
        <f>NMRResults[[#This Row],['#]]</f>
        <v>0</v>
      </c>
      <c r="H639" s="1">
        <f>NMRResults[[#This Row],[Date Run]]</f>
        <v>0</v>
      </c>
    </row>
    <row r="640" spans="1:8" hidden="1" x14ac:dyDescent="0.25">
      <c r="A640" t="str" cm="1">
        <f t="array" ref="A640">IF(AND(ISBLANK(INDEX(SampleList[pH],ROW()-1)),ISBLANK(INDEX(SampleList[Conductivity],ROW()-1)),ISBLANK(INDEX(SampleList[Modification],ROW()-1))),"Not Requested",INDEX(SampleList[Experiment ID],ROW()-1))</f>
        <v>Not Requested</v>
      </c>
      <c r="B640">
        <f>SampleList[[#This Row],[Duration (Days)]]</f>
        <v>0</v>
      </c>
      <c r="G640">
        <f>NMRResults[[#This Row],['#]]</f>
        <v>0</v>
      </c>
      <c r="H640" s="1">
        <f>NMRResults[[#This Row],[Date Run]]</f>
        <v>0</v>
      </c>
    </row>
    <row r="641" spans="1:8" hidden="1" x14ac:dyDescent="0.25">
      <c r="A641" t="str" cm="1">
        <f t="array" ref="A641">IF(AND(ISBLANK(INDEX(SampleList[pH],ROW()-1)),ISBLANK(INDEX(SampleList[Conductivity],ROW()-1)),ISBLANK(INDEX(SampleList[Modification],ROW()-1))),"Not Requested",INDEX(SampleList[Experiment ID],ROW()-1))</f>
        <v>Not Requested</v>
      </c>
      <c r="B641">
        <f>SampleList[[#This Row],[Duration (Days)]]</f>
        <v>0</v>
      </c>
      <c r="G641">
        <f>NMRResults[[#This Row],['#]]</f>
        <v>0</v>
      </c>
      <c r="H641" s="1">
        <f>NMRResults[[#This Row],[Date Run]]</f>
        <v>0</v>
      </c>
    </row>
    <row r="642" spans="1:8" hidden="1" x14ac:dyDescent="0.25">
      <c r="A642" t="str" cm="1">
        <f t="array" ref="A642">IF(AND(ISBLANK(INDEX(SampleList[pH],ROW()-1)),ISBLANK(INDEX(SampleList[Conductivity],ROW()-1)),ISBLANK(INDEX(SampleList[Modification],ROW()-1))),"Not Requested",INDEX(SampleList[Experiment ID],ROW()-1))</f>
        <v>Not Requested</v>
      </c>
      <c r="B642">
        <f>SampleList[[#This Row],[Duration (Days)]]</f>
        <v>0</v>
      </c>
      <c r="G642">
        <f>NMRResults[[#This Row],['#]]</f>
        <v>0</v>
      </c>
      <c r="H642" s="1">
        <f>NMRResults[[#This Row],[Date Run]]</f>
        <v>0</v>
      </c>
    </row>
    <row r="643" spans="1:8" hidden="1" x14ac:dyDescent="0.25">
      <c r="A643" t="str" cm="1">
        <f t="array" ref="A643">IF(AND(ISBLANK(INDEX(SampleList[pH],ROW()-1)),ISBLANK(INDEX(SampleList[Conductivity],ROW()-1)),ISBLANK(INDEX(SampleList[Modification],ROW()-1))),"Not Requested",INDEX(SampleList[Experiment ID],ROW()-1))</f>
        <v>Not Requested</v>
      </c>
      <c r="B643">
        <f>SampleList[[#This Row],[Duration (Days)]]</f>
        <v>0</v>
      </c>
      <c r="G643">
        <f>NMRResults[[#This Row],['#]]</f>
        <v>0</v>
      </c>
      <c r="H643" s="1">
        <f>NMRResults[[#This Row],[Date Run]]</f>
        <v>0</v>
      </c>
    </row>
    <row r="644" spans="1:8" hidden="1" x14ac:dyDescent="0.25">
      <c r="A644" t="str" cm="1">
        <f t="array" ref="A644">IF(AND(ISBLANK(INDEX(SampleList[pH],ROW()-1)),ISBLANK(INDEX(SampleList[Conductivity],ROW()-1)),ISBLANK(INDEX(SampleList[Modification],ROW()-1))),"Not Requested",INDEX(SampleList[Experiment ID],ROW()-1))</f>
        <v>Not Requested</v>
      </c>
      <c r="B644">
        <f>SampleList[[#This Row],[Duration (Days)]]</f>
        <v>0</v>
      </c>
      <c r="G644">
        <f>NMRResults[[#This Row],['#]]</f>
        <v>0</v>
      </c>
      <c r="H644" s="1">
        <f>NMRResults[[#This Row],[Date Run]]</f>
        <v>0</v>
      </c>
    </row>
    <row r="645" spans="1:8" hidden="1" x14ac:dyDescent="0.25">
      <c r="A645" t="str" cm="1">
        <f t="array" ref="A645">IF(AND(ISBLANK(INDEX(SampleList[pH],ROW()-1)),ISBLANK(INDEX(SampleList[Conductivity],ROW()-1)),ISBLANK(INDEX(SampleList[Modification],ROW()-1))),"Not Requested",INDEX(SampleList[Experiment ID],ROW()-1))</f>
        <v>Not Requested</v>
      </c>
      <c r="B645">
        <f>SampleList[[#This Row],[Duration (Days)]]</f>
        <v>0</v>
      </c>
      <c r="G645">
        <f>NMRResults[[#This Row],['#]]</f>
        <v>0</v>
      </c>
      <c r="H645" s="1">
        <f>NMRResults[[#This Row],[Date Run]]</f>
        <v>0</v>
      </c>
    </row>
    <row r="646" spans="1:8" hidden="1" x14ac:dyDescent="0.25">
      <c r="A646" t="str" cm="1">
        <f t="array" ref="A646">IF(AND(ISBLANK(INDEX(SampleList[pH],ROW()-1)),ISBLANK(INDEX(SampleList[Conductivity],ROW()-1)),ISBLANK(INDEX(SampleList[Modification],ROW()-1))),"Not Requested",INDEX(SampleList[Experiment ID],ROW()-1))</f>
        <v>Not Requested</v>
      </c>
      <c r="B646">
        <f>SampleList[[#This Row],[Duration (Days)]]</f>
        <v>0</v>
      </c>
      <c r="G646">
        <f>NMRResults[[#This Row],['#]]</f>
        <v>0</v>
      </c>
      <c r="H646" s="1">
        <f>NMRResults[[#This Row],[Date Run]]</f>
        <v>0</v>
      </c>
    </row>
    <row r="647" spans="1:8" hidden="1" x14ac:dyDescent="0.25">
      <c r="A647" t="str" cm="1">
        <f t="array" ref="A647">IF(AND(ISBLANK(INDEX(SampleList[pH],ROW()-1)),ISBLANK(INDEX(SampleList[Conductivity],ROW()-1)),ISBLANK(INDEX(SampleList[Modification],ROW()-1))),"Not Requested",INDEX(SampleList[Experiment ID],ROW()-1))</f>
        <v>Not Requested</v>
      </c>
      <c r="B647">
        <f>SampleList[[#This Row],[Duration (Days)]]</f>
        <v>0</v>
      </c>
      <c r="G647">
        <f>NMRResults[[#This Row],['#]]</f>
        <v>0</v>
      </c>
      <c r="H647" s="1">
        <f>NMRResults[[#This Row],[Date Run]]</f>
        <v>0</v>
      </c>
    </row>
    <row r="648" spans="1:8" hidden="1" x14ac:dyDescent="0.25">
      <c r="A648" t="str" cm="1">
        <f t="array" ref="A648">IF(AND(ISBLANK(INDEX(SampleList[pH],ROW()-1)),ISBLANK(INDEX(SampleList[Conductivity],ROW()-1)),ISBLANK(INDEX(SampleList[Modification],ROW()-1))),"Not Requested",INDEX(SampleList[Experiment ID],ROW()-1))</f>
        <v>Not Requested</v>
      </c>
      <c r="B648">
        <f>SampleList[[#This Row],[Duration (Days)]]</f>
        <v>0</v>
      </c>
      <c r="G648">
        <f>NMRResults[[#This Row],['#]]</f>
        <v>0</v>
      </c>
      <c r="H648" s="1">
        <f>NMRResults[[#This Row],[Date Run]]</f>
        <v>0</v>
      </c>
    </row>
    <row r="649" spans="1:8" hidden="1" x14ac:dyDescent="0.25">
      <c r="A649" t="str" cm="1">
        <f t="array" ref="A649">IF(AND(ISBLANK(INDEX(SampleList[pH],ROW()-1)),ISBLANK(INDEX(SampleList[Conductivity],ROW()-1)),ISBLANK(INDEX(SampleList[Modification],ROW()-1))),"Not Requested",INDEX(SampleList[Experiment ID],ROW()-1))</f>
        <v>Not Requested</v>
      </c>
      <c r="B649">
        <f>SampleList[[#This Row],[Duration (Days)]]</f>
        <v>0</v>
      </c>
      <c r="G649">
        <f>NMRResults[[#This Row],['#]]</f>
        <v>0</v>
      </c>
      <c r="H649" s="1">
        <f>NMRResults[[#This Row],[Date Run]]</f>
        <v>0</v>
      </c>
    </row>
    <row r="650" spans="1:8" hidden="1" x14ac:dyDescent="0.25">
      <c r="A650" t="str" cm="1">
        <f t="array" ref="A650">IF(AND(ISBLANK(INDEX(SampleList[pH],ROW()-1)),ISBLANK(INDEX(SampleList[Conductivity],ROW()-1)),ISBLANK(INDEX(SampleList[Modification],ROW()-1))),"Not Requested",INDEX(SampleList[Experiment ID],ROW()-1))</f>
        <v>Not Requested</v>
      </c>
      <c r="B650">
        <f>SampleList[[#This Row],[Duration (Days)]]</f>
        <v>0</v>
      </c>
      <c r="G650">
        <f>NMRResults[[#This Row],['#]]</f>
        <v>0</v>
      </c>
      <c r="H650" s="1">
        <f>NMRResults[[#This Row],[Date Run]]</f>
        <v>0</v>
      </c>
    </row>
    <row r="651" spans="1:8" hidden="1" x14ac:dyDescent="0.25">
      <c r="A651" t="str" cm="1">
        <f t="array" ref="A651">IF(AND(ISBLANK(INDEX(SampleList[pH],ROW()-1)),ISBLANK(INDEX(SampleList[Conductivity],ROW()-1)),ISBLANK(INDEX(SampleList[Modification],ROW()-1))),"Not Requested",INDEX(SampleList[Experiment ID],ROW()-1))</f>
        <v>Not Requested</v>
      </c>
      <c r="B651">
        <f>SampleList[[#This Row],[Duration (Days)]]</f>
        <v>0</v>
      </c>
      <c r="G651">
        <f>NMRResults[[#This Row],['#]]</f>
        <v>0</v>
      </c>
      <c r="H651" s="1">
        <f>NMRResults[[#This Row],[Date Run]]</f>
        <v>0</v>
      </c>
    </row>
    <row r="652" spans="1:8" hidden="1" x14ac:dyDescent="0.25">
      <c r="A652" t="str" cm="1">
        <f t="array" ref="A652">IF(AND(ISBLANK(INDEX(SampleList[pH],ROW()-1)),ISBLANK(INDEX(SampleList[Conductivity],ROW()-1)),ISBLANK(INDEX(SampleList[Modification],ROW()-1))),"Not Requested",INDEX(SampleList[Experiment ID],ROW()-1))</f>
        <v>Not Requested</v>
      </c>
      <c r="B652">
        <f>SampleList[[#This Row],[Duration (Days)]]</f>
        <v>0</v>
      </c>
      <c r="G652">
        <f>NMRResults[[#This Row],['#]]</f>
        <v>0</v>
      </c>
      <c r="H652" s="1">
        <f>NMRResults[[#This Row],[Date Run]]</f>
        <v>0</v>
      </c>
    </row>
    <row r="653" spans="1:8" hidden="1" x14ac:dyDescent="0.25">
      <c r="A653" t="str" cm="1">
        <f t="array" ref="A653">IF(AND(ISBLANK(INDEX(SampleList[pH],ROW()-1)),ISBLANK(INDEX(SampleList[Conductivity],ROW()-1)),ISBLANK(INDEX(SampleList[Modification],ROW()-1))),"Not Requested",INDEX(SampleList[Experiment ID],ROW()-1))</f>
        <v>Not Requested</v>
      </c>
      <c r="B653">
        <f>SampleList[[#This Row],[Duration (Days)]]</f>
        <v>0</v>
      </c>
      <c r="G653">
        <f>NMRResults[[#This Row],['#]]</f>
        <v>0</v>
      </c>
      <c r="H653" s="1">
        <f>NMRResults[[#This Row],[Date Run]]</f>
        <v>0</v>
      </c>
    </row>
    <row r="654" spans="1:8" hidden="1" x14ac:dyDescent="0.25">
      <c r="A654" t="str" cm="1">
        <f t="array" ref="A654">IF(AND(ISBLANK(INDEX(SampleList[pH],ROW()-1)),ISBLANK(INDEX(SampleList[Conductivity],ROW()-1)),ISBLANK(INDEX(SampleList[Modification],ROW()-1))),"Not Requested",INDEX(SampleList[Experiment ID],ROW()-1))</f>
        <v>Not Requested</v>
      </c>
      <c r="B654">
        <f>SampleList[[#This Row],[Duration (Days)]]</f>
        <v>0</v>
      </c>
      <c r="G654">
        <f>NMRResults[[#This Row],['#]]</f>
        <v>0</v>
      </c>
      <c r="H654" s="1">
        <f>NMRResults[[#This Row],[Date Run]]</f>
        <v>0</v>
      </c>
    </row>
    <row r="655" spans="1:8" hidden="1" x14ac:dyDescent="0.25">
      <c r="A655" t="str" cm="1">
        <f t="array" ref="A655">IF(AND(ISBLANK(INDEX(SampleList[pH],ROW()-1)),ISBLANK(INDEX(SampleList[Conductivity],ROW()-1)),ISBLANK(INDEX(SampleList[Modification],ROW()-1))),"Not Requested",INDEX(SampleList[Experiment ID],ROW()-1))</f>
        <v>Not Requested</v>
      </c>
      <c r="B655">
        <f>SampleList[[#This Row],[Duration (Days)]]</f>
        <v>0</v>
      </c>
      <c r="G655">
        <f>NMRResults[[#This Row],['#]]</f>
        <v>0</v>
      </c>
      <c r="H655" s="1">
        <f>NMRResults[[#This Row],[Date Run]]</f>
        <v>0</v>
      </c>
    </row>
    <row r="656" spans="1:8" hidden="1" x14ac:dyDescent="0.25">
      <c r="A656" t="str" cm="1">
        <f t="array" ref="A656">IF(AND(ISBLANK(INDEX(SampleList[pH],ROW()-1)),ISBLANK(INDEX(SampleList[Conductivity],ROW()-1)),ISBLANK(INDEX(SampleList[Modification],ROW()-1))),"Not Requested",INDEX(SampleList[Experiment ID],ROW()-1))</f>
        <v>Not Requested</v>
      </c>
      <c r="B656">
        <f>SampleList[[#This Row],[Duration (Days)]]</f>
        <v>0</v>
      </c>
      <c r="G656">
        <f>NMRResults[[#This Row],['#]]</f>
        <v>0</v>
      </c>
      <c r="H656" s="1">
        <f>NMRResults[[#This Row],[Date Run]]</f>
        <v>0</v>
      </c>
    </row>
    <row r="657" spans="1:8" hidden="1" x14ac:dyDescent="0.25">
      <c r="A657" t="str" cm="1">
        <f t="array" ref="A657">IF(AND(ISBLANK(INDEX(SampleList[pH],ROW()-1)),ISBLANK(INDEX(SampleList[Conductivity],ROW()-1)),ISBLANK(INDEX(SampleList[Modification],ROW()-1))),"Not Requested",INDEX(SampleList[Experiment ID],ROW()-1))</f>
        <v>Not Requested</v>
      </c>
      <c r="B657">
        <f>SampleList[[#This Row],[Duration (Days)]]</f>
        <v>0</v>
      </c>
      <c r="G657">
        <f>NMRResults[[#This Row],['#]]</f>
        <v>0</v>
      </c>
      <c r="H657" s="1">
        <f>NMRResults[[#This Row],[Date Run]]</f>
        <v>0</v>
      </c>
    </row>
    <row r="658" spans="1:8" hidden="1" x14ac:dyDescent="0.25">
      <c r="A658" t="str" cm="1">
        <f t="array" ref="A658">IF(AND(ISBLANK(INDEX(SampleList[pH],ROW()-1)),ISBLANK(INDEX(SampleList[Conductivity],ROW()-1)),ISBLANK(INDEX(SampleList[Modification],ROW()-1))),"Not Requested",INDEX(SampleList[Experiment ID],ROW()-1))</f>
        <v>Not Requested</v>
      </c>
      <c r="B658">
        <f>SampleList[[#This Row],[Duration (Days)]]</f>
        <v>0</v>
      </c>
      <c r="G658">
        <f>NMRResults[[#This Row],['#]]</f>
        <v>0</v>
      </c>
      <c r="H658" s="1">
        <f>NMRResults[[#This Row],[Date Run]]</f>
        <v>0</v>
      </c>
    </row>
    <row r="659" spans="1:8" hidden="1" x14ac:dyDescent="0.25">
      <c r="A659" t="str" cm="1">
        <f t="array" ref="A659">IF(AND(ISBLANK(INDEX(SampleList[pH],ROW()-1)),ISBLANK(INDEX(SampleList[Conductivity],ROW()-1)),ISBLANK(INDEX(SampleList[Modification],ROW()-1))),"Not Requested",INDEX(SampleList[Experiment ID],ROW()-1))</f>
        <v>Not Requested</v>
      </c>
      <c r="B659">
        <f>SampleList[[#This Row],[Duration (Days)]]</f>
        <v>0</v>
      </c>
      <c r="G659">
        <f>NMRResults[[#This Row],['#]]</f>
        <v>0</v>
      </c>
      <c r="H659" s="1">
        <f>NMRResults[[#This Row],[Date Run]]</f>
        <v>0</v>
      </c>
    </row>
    <row r="660" spans="1:8" hidden="1" x14ac:dyDescent="0.25">
      <c r="A660" t="str" cm="1">
        <f t="array" ref="A660">IF(AND(ISBLANK(INDEX(SampleList[pH],ROW()-1)),ISBLANK(INDEX(SampleList[Conductivity],ROW()-1)),ISBLANK(INDEX(SampleList[Modification],ROW()-1))),"Not Requested",INDEX(SampleList[Experiment ID],ROW()-1))</f>
        <v>Not Requested</v>
      </c>
      <c r="B660">
        <f>SampleList[[#This Row],[Duration (Days)]]</f>
        <v>0</v>
      </c>
      <c r="G660">
        <f>NMRResults[[#This Row],['#]]</f>
        <v>0</v>
      </c>
      <c r="H660" s="1">
        <f>NMRResults[[#This Row],[Date Run]]</f>
        <v>0</v>
      </c>
    </row>
    <row r="661" spans="1:8" hidden="1" x14ac:dyDescent="0.25">
      <c r="A661" t="str" cm="1">
        <f t="array" ref="A661">IF(AND(ISBLANK(INDEX(SampleList[pH],ROW()-1)),ISBLANK(INDEX(SampleList[Conductivity],ROW()-1)),ISBLANK(INDEX(SampleList[Modification],ROW()-1))),"Not Requested",INDEX(SampleList[Experiment ID],ROW()-1))</f>
        <v>Not Requested</v>
      </c>
      <c r="B661">
        <f>SampleList[[#This Row],[Duration (Days)]]</f>
        <v>0</v>
      </c>
      <c r="G661">
        <f>NMRResults[[#This Row],['#]]</f>
        <v>0</v>
      </c>
      <c r="H661" s="1">
        <f>NMRResults[[#This Row],[Date Run]]</f>
        <v>0</v>
      </c>
    </row>
    <row r="662" spans="1:8" hidden="1" x14ac:dyDescent="0.25">
      <c r="A662" t="str" cm="1">
        <f t="array" ref="A662">IF(AND(ISBLANK(INDEX(SampleList[pH],ROW()-1)),ISBLANK(INDEX(SampleList[Conductivity],ROW()-1)),ISBLANK(INDEX(SampleList[Modification],ROW()-1))),"Not Requested",INDEX(SampleList[Experiment ID],ROW()-1))</f>
        <v>Not Requested</v>
      </c>
      <c r="B662">
        <f>SampleList[[#This Row],[Duration (Days)]]</f>
        <v>0</v>
      </c>
      <c r="G662">
        <f>NMRResults[[#This Row],['#]]</f>
        <v>0</v>
      </c>
      <c r="H662" s="1">
        <f>NMRResults[[#This Row],[Date Run]]</f>
        <v>0</v>
      </c>
    </row>
    <row r="663" spans="1:8" hidden="1" x14ac:dyDescent="0.25">
      <c r="A663" t="str" cm="1">
        <f t="array" ref="A663">IF(AND(ISBLANK(INDEX(SampleList[pH],ROW()-1)),ISBLANK(INDEX(SampleList[Conductivity],ROW()-1)),ISBLANK(INDEX(SampleList[Modification],ROW()-1))),"Not Requested",INDEX(SampleList[Experiment ID],ROW()-1))</f>
        <v>Not Requested</v>
      </c>
      <c r="B663">
        <f>SampleList[[#This Row],[Duration (Days)]]</f>
        <v>0</v>
      </c>
      <c r="G663">
        <f>NMRResults[[#This Row],['#]]</f>
        <v>0</v>
      </c>
      <c r="H663" s="1">
        <f>NMRResults[[#This Row],[Date Run]]</f>
        <v>0</v>
      </c>
    </row>
    <row r="664" spans="1:8" hidden="1" x14ac:dyDescent="0.25">
      <c r="A664" t="str" cm="1">
        <f t="array" ref="A664">IF(AND(ISBLANK(INDEX(SampleList[pH],ROW()-1)),ISBLANK(INDEX(SampleList[Conductivity],ROW()-1)),ISBLANK(INDEX(SampleList[Modification],ROW()-1))),"Not Requested",INDEX(SampleList[Experiment ID],ROW()-1))</f>
        <v>Not Requested</v>
      </c>
      <c r="B664">
        <f>SampleList[[#This Row],[Duration (Days)]]</f>
        <v>0</v>
      </c>
      <c r="G664">
        <f>NMRResults[[#This Row],['#]]</f>
        <v>0</v>
      </c>
      <c r="H664" s="1">
        <f>NMRResults[[#This Row],[Date Run]]</f>
        <v>0</v>
      </c>
    </row>
    <row r="665" spans="1:8" hidden="1" x14ac:dyDescent="0.25">
      <c r="A665" t="str" cm="1">
        <f t="array" ref="A665">IF(AND(ISBLANK(INDEX(SampleList[pH],ROW()-1)),ISBLANK(INDEX(SampleList[Conductivity],ROW()-1)),ISBLANK(INDEX(SampleList[Modification],ROW()-1))),"Not Requested",INDEX(SampleList[Experiment ID],ROW()-1))</f>
        <v>Not Requested</v>
      </c>
      <c r="B665">
        <f>SampleList[[#This Row],[Duration (Days)]]</f>
        <v>0</v>
      </c>
      <c r="G665">
        <f>NMRResults[[#This Row],['#]]</f>
        <v>0</v>
      </c>
      <c r="H665" s="1">
        <f>NMRResults[[#This Row],[Date Run]]</f>
        <v>0</v>
      </c>
    </row>
    <row r="666" spans="1:8" hidden="1" x14ac:dyDescent="0.25">
      <c r="A666" t="str" cm="1">
        <f t="array" ref="A666">IF(AND(ISBLANK(INDEX(SampleList[pH],ROW()-1)),ISBLANK(INDEX(SampleList[Conductivity],ROW()-1)),ISBLANK(INDEX(SampleList[Modification],ROW()-1))),"Not Requested",INDEX(SampleList[Experiment ID],ROW()-1))</f>
        <v>Not Requested</v>
      </c>
      <c r="B666">
        <f>SampleList[[#This Row],[Duration (Days)]]</f>
        <v>0</v>
      </c>
      <c r="G666">
        <f>NMRResults[[#This Row],['#]]</f>
        <v>0</v>
      </c>
      <c r="H666" s="1">
        <f>NMRResults[[#This Row],[Date Run]]</f>
        <v>0</v>
      </c>
    </row>
    <row r="667" spans="1:8" hidden="1" x14ac:dyDescent="0.25">
      <c r="A667" t="str" cm="1">
        <f t="array" ref="A667">IF(AND(ISBLANK(INDEX(SampleList[pH],ROW()-1)),ISBLANK(INDEX(SampleList[Conductivity],ROW()-1)),ISBLANK(INDEX(SampleList[Modification],ROW()-1))),"Not Requested",INDEX(SampleList[Experiment ID],ROW()-1))</f>
        <v>Not Requested</v>
      </c>
      <c r="B667">
        <f>SampleList[[#This Row],[Duration (Days)]]</f>
        <v>0</v>
      </c>
      <c r="G667">
        <f>NMRResults[[#This Row],['#]]</f>
        <v>0</v>
      </c>
      <c r="H667" s="1">
        <f>NMRResults[[#This Row],[Date Run]]</f>
        <v>0</v>
      </c>
    </row>
    <row r="668" spans="1:8" hidden="1" x14ac:dyDescent="0.25">
      <c r="A668" t="str" cm="1">
        <f t="array" ref="A668">IF(AND(ISBLANK(INDEX(SampleList[pH],ROW()-1)),ISBLANK(INDEX(SampleList[Conductivity],ROW()-1)),ISBLANK(INDEX(SampleList[Modification],ROW()-1))),"Not Requested",INDEX(SampleList[Experiment ID],ROW()-1))</f>
        <v>Not Requested</v>
      </c>
      <c r="B668">
        <f>SampleList[[#This Row],[Duration (Days)]]</f>
        <v>0</v>
      </c>
      <c r="G668">
        <f>NMRResults[[#This Row],['#]]</f>
        <v>0</v>
      </c>
      <c r="H668" s="1">
        <f>NMRResults[[#This Row],[Date Run]]</f>
        <v>0</v>
      </c>
    </row>
    <row r="669" spans="1:8" hidden="1" x14ac:dyDescent="0.25">
      <c r="A669" t="str" cm="1">
        <f t="array" ref="A669">IF(AND(ISBLANK(INDEX(SampleList[pH],ROW()-1)),ISBLANK(INDEX(SampleList[Conductivity],ROW()-1)),ISBLANK(INDEX(SampleList[Modification],ROW()-1))),"Not Requested",INDEX(SampleList[Experiment ID],ROW()-1))</f>
        <v>Not Requested</v>
      </c>
      <c r="B669">
        <f>SampleList[[#This Row],[Duration (Days)]]</f>
        <v>0</v>
      </c>
      <c r="G669">
        <f>NMRResults[[#This Row],['#]]</f>
        <v>0</v>
      </c>
      <c r="H669" s="1">
        <f>NMRResults[[#This Row],[Date Run]]</f>
        <v>0</v>
      </c>
    </row>
    <row r="670" spans="1:8" hidden="1" x14ac:dyDescent="0.25">
      <c r="A670" t="str" cm="1">
        <f t="array" ref="A670">IF(AND(ISBLANK(INDEX(SampleList[pH],ROW()-1)),ISBLANK(INDEX(SampleList[Conductivity],ROW()-1)),ISBLANK(INDEX(SampleList[Modification],ROW()-1))),"Not Requested",INDEX(SampleList[Experiment ID],ROW()-1))</f>
        <v>Not Requested</v>
      </c>
      <c r="B670">
        <f>SampleList[[#This Row],[Duration (Days)]]</f>
        <v>0</v>
      </c>
      <c r="G670">
        <f>NMRResults[[#This Row],['#]]</f>
        <v>0</v>
      </c>
      <c r="H670" s="1">
        <f>NMRResults[[#This Row],[Date Run]]</f>
        <v>0</v>
      </c>
    </row>
    <row r="671" spans="1:8" hidden="1" x14ac:dyDescent="0.25">
      <c r="A671" t="str" cm="1">
        <f t="array" ref="A671">IF(AND(ISBLANK(INDEX(SampleList[pH],ROW()-1)),ISBLANK(INDEX(SampleList[Conductivity],ROW()-1)),ISBLANK(INDEX(SampleList[Modification],ROW()-1))),"Not Requested",INDEX(SampleList[Experiment ID],ROW()-1))</f>
        <v>Not Requested</v>
      </c>
      <c r="B671">
        <f>SampleList[[#This Row],[Duration (Days)]]</f>
        <v>0</v>
      </c>
      <c r="G671">
        <f>NMRResults[[#This Row],['#]]</f>
        <v>0</v>
      </c>
      <c r="H671" s="1">
        <f>NMRResults[[#This Row],[Date Run]]</f>
        <v>0</v>
      </c>
    </row>
    <row r="672" spans="1:8" hidden="1" x14ac:dyDescent="0.25">
      <c r="A672" t="str" cm="1">
        <f t="array" ref="A672">IF(AND(ISBLANK(INDEX(SampleList[pH],ROW()-1)),ISBLANK(INDEX(SampleList[Conductivity],ROW()-1)),ISBLANK(INDEX(SampleList[Modification],ROW()-1))),"Not Requested",INDEX(SampleList[Experiment ID],ROW()-1))</f>
        <v>Not Requested</v>
      </c>
      <c r="B672">
        <f>SampleList[[#This Row],[Duration (Days)]]</f>
        <v>0</v>
      </c>
      <c r="G672">
        <f>NMRResults[[#This Row],['#]]</f>
        <v>0</v>
      </c>
      <c r="H672" s="1">
        <f>NMRResults[[#This Row],[Date Run]]</f>
        <v>0</v>
      </c>
    </row>
    <row r="673" spans="1:8" hidden="1" x14ac:dyDescent="0.25">
      <c r="A673" t="str" cm="1">
        <f t="array" ref="A673">IF(AND(ISBLANK(INDEX(SampleList[pH],ROW()-1)),ISBLANK(INDEX(SampleList[Conductivity],ROW()-1)),ISBLANK(INDEX(SampleList[Modification],ROW()-1))),"Not Requested",INDEX(SampleList[Experiment ID],ROW()-1))</f>
        <v>Not Requested</v>
      </c>
      <c r="B673">
        <f>SampleList[[#This Row],[Duration (Days)]]</f>
        <v>0</v>
      </c>
      <c r="G673">
        <f>NMRResults[[#This Row],['#]]</f>
        <v>0</v>
      </c>
      <c r="H673" s="1">
        <f>NMRResults[[#This Row],[Date Run]]</f>
        <v>0</v>
      </c>
    </row>
    <row r="674" spans="1:8" hidden="1" x14ac:dyDescent="0.25">
      <c r="A674" t="str" cm="1">
        <f t="array" ref="A674">IF(AND(ISBLANK(INDEX(SampleList[pH],ROW()-1)),ISBLANK(INDEX(SampleList[Conductivity],ROW()-1)),ISBLANK(INDEX(SampleList[Modification],ROW()-1))),"Not Requested",INDEX(SampleList[Experiment ID],ROW()-1))</f>
        <v>Not Requested</v>
      </c>
      <c r="B674">
        <f>SampleList[[#This Row],[Duration (Days)]]</f>
        <v>0</v>
      </c>
      <c r="G674">
        <f>NMRResults[[#This Row],['#]]</f>
        <v>0</v>
      </c>
      <c r="H674" s="1">
        <f>NMRResults[[#This Row],[Date Run]]</f>
        <v>0</v>
      </c>
    </row>
    <row r="675" spans="1:8" hidden="1" x14ac:dyDescent="0.25">
      <c r="A675" t="str" cm="1">
        <f t="array" ref="A675">IF(AND(ISBLANK(INDEX(SampleList[pH],ROW()-1)),ISBLANK(INDEX(SampleList[Conductivity],ROW()-1)),ISBLANK(INDEX(SampleList[Modification],ROW()-1))),"Not Requested",INDEX(SampleList[Experiment ID],ROW()-1))</f>
        <v>Not Requested</v>
      </c>
      <c r="B675">
        <f>SampleList[[#This Row],[Duration (Days)]]</f>
        <v>0</v>
      </c>
      <c r="G675">
        <f>NMRResults[[#This Row],['#]]</f>
        <v>0</v>
      </c>
      <c r="H675" s="1">
        <f>NMRResults[[#This Row],[Date Run]]</f>
        <v>0</v>
      </c>
    </row>
    <row r="676" spans="1:8" hidden="1" x14ac:dyDescent="0.25">
      <c r="A676" t="str" cm="1">
        <f t="array" ref="A676">IF(AND(ISBLANK(INDEX(SampleList[pH],ROW()-1)),ISBLANK(INDEX(SampleList[Conductivity],ROW()-1)),ISBLANK(INDEX(SampleList[Modification],ROW()-1))),"Not Requested",INDEX(SampleList[Experiment ID],ROW()-1))</f>
        <v>Not Requested</v>
      </c>
      <c r="B676">
        <f>SampleList[[#This Row],[Duration (Days)]]</f>
        <v>0</v>
      </c>
      <c r="G676">
        <f>NMRResults[[#This Row],['#]]</f>
        <v>0</v>
      </c>
      <c r="H676" s="1">
        <f>NMRResults[[#This Row],[Date Run]]</f>
        <v>0</v>
      </c>
    </row>
    <row r="677" spans="1:8" hidden="1" x14ac:dyDescent="0.25">
      <c r="A677" t="str" cm="1">
        <f t="array" ref="A677">IF(AND(ISBLANK(INDEX(SampleList[pH],ROW()-1)),ISBLANK(INDEX(SampleList[Conductivity],ROW()-1)),ISBLANK(INDEX(SampleList[Modification],ROW()-1))),"Not Requested",INDEX(SampleList[Experiment ID],ROW()-1))</f>
        <v>Not Requested</v>
      </c>
      <c r="B677">
        <f>SampleList[[#This Row],[Duration (Days)]]</f>
        <v>0</v>
      </c>
      <c r="G677">
        <f>NMRResults[[#This Row],['#]]</f>
        <v>0</v>
      </c>
      <c r="H677" s="1">
        <f>NMRResults[[#This Row],[Date Run]]</f>
        <v>0</v>
      </c>
    </row>
    <row r="678" spans="1:8" hidden="1" x14ac:dyDescent="0.25">
      <c r="A678" t="str" cm="1">
        <f t="array" ref="A678">IF(AND(ISBLANK(INDEX(SampleList[pH],ROW()-1)),ISBLANK(INDEX(SampleList[Conductivity],ROW()-1)),ISBLANK(INDEX(SampleList[Modification],ROW()-1))),"Not Requested",INDEX(SampleList[Experiment ID],ROW()-1))</f>
        <v>Not Requested</v>
      </c>
      <c r="B678">
        <f>SampleList[[#This Row],[Duration (Days)]]</f>
        <v>0</v>
      </c>
      <c r="G678">
        <f>NMRResults[[#This Row],['#]]</f>
        <v>0</v>
      </c>
      <c r="H678" s="1">
        <f>NMRResults[[#This Row],[Date Run]]</f>
        <v>0</v>
      </c>
    </row>
    <row r="679" spans="1:8" hidden="1" x14ac:dyDescent="0.25">
      <c r="A679" t="str" cm="1">
        <f t="array" ref="A679">IF(AND(ISBLANK(INDEX(SampleList[pH],ROW()-1)),ISBLANK(INDEX(SampleList[Conductivity],ROW()-1)),ISBLANK(INDEX(SampleList[Modification],ROW()-1))),"Not Requested",INDEX(SampleList[Experiment ID],ROW()-1))</f>
        <v>Not Requested</v>
      </c>
      <c r="B679">
        <f>SampleList[[#This Row],[Duration (Days)]]</f>
        <v>0</v>
      </c>
      <c r="G679">
        <f>NMRResults[[#This Row],['#]]</f>
        <v>0</v>
      </c>
      <c r="H679" s="1">
        <f>NMRResults[[#This Row],[Date Run]]</f>
        <v>0</v>
      </c>
    </row>
    <row r="680" spans="1:8" hidden="1" x14ac:dyDescent="0.25">
      <c r="A680" t="str" cm="1">
        <f t="array" ref="A680">IF(AND(ISBLANK(INDEX(SampleList[pH],ROW()-1)),ISBLANK(INDEX(SampleList[Conductivity],ROW()-1)),ISBLANK(INDEX(SampleList[Modification],ROW()-1))),"Not Requested",INDEX(SampleList[Experiment ID],ROW()-1))</f>
        <v>Not Requested</v>
      </c>
      <c r="B680">
        <f>SampleList[[#This Row],[Duration (Days)]]</f>
        <v>0</v>
      </c>
      <c r="G680">
        <f>NMRResults[[#This Row],['#]]</f>
        <v>0</v>
      </c>
      <c r="H680" s="1">
        <f>NMRResults[[#This Row],[Date Run]]</f>
        <v>0</v>
      </c>
    </row>
    <row r="681" spans="1:8" hidden="1" x14ac:dyDescent="0.25">
      <c r="A681" t="str" cm="1">
        <f t="array" ref="A681">IF(AND(ISBLANK(INDEX(SampleList[pH],ROW()-1)),ISBLANK(INDEX(SampleList[Conductivity],ROW()-1)),ISBLANK(INDEX(SampleList[Modification],ROW()-1))),"Not Requested",INDEX(SampleList[Experiment ID],ROW()-1))</f>
        <v>Not Requested</v>
      </c>
      <c r="B681">
        <f>SampleList[[#This Row],[Duration (Days)]]</f>
        <v>0</v>
      </c>
      <c r="G681">
        <f>NMRResults[[#This Row],['#]]</f>
        <v>0</v>
      </c>
      <c r="H681" s="1">
        <f>NMRResults[[#This Row],[Date Run]]</f>
        <v>0</v>
      </c>
    </row>
    <row r="682" spans="1:8" hidden="1" x14ac:dyDescent="0.25">
      <c r="A682" t="str" cm="1">
        <f t="array" ref="A682">IF(AND(ISBLANK(INDEX(SampleList[pH],ROW()-1)),ISBLANK(INDEX(SampleList[Conductivity],ROW()-1)),ISBLANK(INDEX(SampleList[Modification],ROW()-1))),"Not Requested",INDEX(SampleList[Experiment ID],ROW()-1))</f>
        <v>Not Requested</v>
      </c>
      <c r="B682">
        <f>SampleList[[#This Row],[Duration (Days)]]</f>
        <v>0</v>
      </c>
      <c r="G682">
        <f>NMRResults[[#This Row],['#]]</f>
        <v>0</v>
      </c>
      <c r="H682" s="1">
        <f>NMRResults[[#This Row],[Date Run]]</f>
        <v>0</v>
      </c>
    </row>
    <row r="683" spans="1:8" hidden="1" x14ac:dyDescent="0.25">
      <c r="A683" t="str" cm="1">
        <f t="array" ref="A683">IF(AND(ISBLANK(INDEX(SampleList[pH],ROW()-1)),ISBLANK(INDEX(SampleList[Conductivity],ROW()-1)),ISBLANK(INDEX(SampleList[Modification],ROW()-1))),"Not Requested",INDEX(SampleList[Experiment ID],ROW()-1))</f>
        <v>Not Requested</v>
      </c>
      <c r="B683">
        <f>SampleList[[#This Row],[Duration (Days)]]</f>
        <v>0</v>
      </c>
      <c r="G683">
        <f>NMRResults[[#This Row],['#]]</f>
        <v>0</v>
      </c>
      <c r="H683" s="1">
        <f>NMRResults[[#This Row],[Date Run]]</f>
        <v>0</v>
      </c>
    </row>
    <row r="684" spans="1:8" hidden="1" x14ac:dyDescent="0.25">
      <c r="A684" t="str" cm="1">
        <f t="array" ref="A684">IF(AND(ISBLANK(INDEX(SampleList[pH],ROW()-1)),ISBLANK(INDEX(SampleList[Conductivity],ROW()-1)),ISBLANK(INDEX(SampleList[Modification],ROW()-1))),"Not Requested",INDEX(SampleList[Experiment ID],ROW()-1))</f>
        <v>Not Requested</v>
      </c>
      <c r="B684">
        <f>SampleList[[#This Row],[Duration (Days)]]</f>
        <v>0</v>
      </c>
      <c r="G684">
        <f>NMRResults[[#This Row],['#]]</f>
        <v>0</v>
      </c>
      <c r="H684" s="1">
        <f>NMRResults[[#This Row],[Date Run]]</f>
        <v>0</v>
      </c>
    </row>
    <row r="685" spans="1:8" hidden="1" x14ac:dyDescent="0.25">
      <c r="A685" t="str" cm="1">
        <f t="array" ref="A685">IF(AND(ISBLANK(INDEX(SampleList[pH],ROW()-1)),ISBLANK(INDEX(SampleList[Conductivity],ROW()-1)),ISBLANK(INDEX(SampleList[Modification],ROW()-1))),"Not Requested",INDEX(SampleList[Experiment ID],ROW()-1))</f>
        <v>Not Requested</v>
      </c>
      <c r="B685">
        <f>SampleList[[#This Row],[Duration (Days)]]</f>
        <v>0</v>
      </c>
      <c r="G685">
        <f>NMRResults[[#This Row],['#]]</f>
        <v>0</v>
      </c>
      <c r="H685" s="1">
        <f>NMRResults[[#This Row],[Date Run]]</f>
        <v>0</v>
      </c>
    </row>
    <row r="686" spans="1:8" hidden="1" x14ac:dyDescent="0.25">
      <c r="A686" t="str" cm="1">
        <f t="array" ref="A686">IF(AND(ISBLANK(INDEX(SampleList[pH],ROW()-1)),ISBLANK(INDEX(SampleList[Conductivity],ROW()-1)),ISBLANK(INDEX(SampleList[Modification],ROW()-1))),"Not Requested",INDEX(SampleList[Experiment ID],ROW()-1))</f>
        <v>Not Requested</v>
      </c>
      <c r="B686">
        <f>SampleList[[#This Row],[Duration (Days)]]</f>
        <v>0</v>
      </c>
      <c r="G686">
        <f>NMRResults[[#This Row],['#]]</f>
        <v>0</v>
      </c>
      <c r="H686" s="1">
        <f>NMRResults[[#This Row],[Date Run]]</f>
        <v>0</v>
      </c>
    </row>
    <row r="687" spans="1:8" hidden="1" x14ac:dyDescent="0.25">
      <c r="A687" t="str" cm="1">
        <f t="array" ref="A687">IF(AND(ISBLANK(INDEX(SampleList[pH],ROW()-1)),ISBLANK(INDEX(SampleList[Conductivity],ROW()-1)),ISBLANK(INDEX(SampleList[Modification],ROW()-1))),"Not Requested",INDEX(SampleList[Experiment ID],ROW()-1))</f>
        <v>Not Requested</v>
      </c>
      <c r="B687">
        <f>SampleList[[#This Row],[Duration (Days)]]</f>
        <v>0</v>
      </c>
      <c r="G687">
        <f>NMRResults[[#This Row],['#]]</f>
        <v>0</v>
      </c>
      <c r="H687" s="1">
        <f>NMRResults[[#This Row],[Date Run]]</f>
        <v>0</v>
      </c>
    </row>
    <row r="688" spans="1:8" hidden="1" x14ac:dyDescent="0.25">
      <c r="A688" t="str" cm="1">
        <f t="array" ref="A688">IF(AND(ISBLANK(INDEX(SampleList[pH],ROW()-1)),ISBLANK(INDEX(SampleList[Conductivity],ROW()-1)),ISBLANK(INDEX(SampleList[Modification],ROW()-1))),"Not Requested",INDEX(SampleList[Experiment ID],ROW()-1))</f>
        <v>Not Requested</v>
      </c>
      <c r="B688">
        <f>SampleList[[#This Row],[Duration (Days)]]</f>
        <v>0</v>
      </c>
      <c r="G688">
        <f>NMRResults[[#This Row],['#]]</f>
        <v>0</v>
      </c>
      <c r="H688" s="1">
        <f>NMRResults[[#This Row],[Date Run]]</f>
        <v>0</v>
      </c>
    </row>
    <row r="689" spans="1:8" hidden="1" x14ac:dyDescent="0.25">
      <c r="A689" t="str" cm="1">
        <f t="array" ref="A689">IF(AND(ISBLANK(INDEX(SampleList[pH],ROW()-1)),ISBLANK(INDEX(SampleList[Conductivity],ROW()-1)),ISBLANK(INDEX(SampleList[Modification],ROW()-1))),"Not Requested",INDEX(SampleList[Experiment ID],ROW()-1))</f>
        <v>Not Requested</v>
      </c>
      <c r="B689">
        <f>SampleList[[#This Row],[Duration (Days)]]</f>
        <v>0</v>
      </c>
      <c r="G689">
        <f>NMRResults[[#This Row],['#]]</f>
        <v>0</v>
      </c>
      <c r="H689" s="1">
        <f>NMRResults[[#This Row],[Date Run]]</f>
        <v>0</v>
      </c>
    </row>
    <row r="690" spans="1:8" hidden="1" x14ac:dyDescent="0.25">
      <c r="A690" t="str" cm="1">
        <f t="array" ref="A690">IF(AND(ISBLANK(INDEX(SampleList[pH],ROW()-1)),ISBLANK(INDEX(SampleList[Conductivity],ROW()-1)),ISBLANK(INDEX(SampleList[Modification],ROW()-1))),"Not Requested",INDEX(SampleList[Experiment ID],ROW()-1))</f>
        <v>Not Requested</v>
      </c>
      <c r="B690">
        <f>SampleList[[#This Row],[Duration (Days)]]</f>
        <v>0</v>
      </c>
      <c r="G690">
        <f>NMRResults[[#This Row],['#]]</f>
        <v>0</v>
      </c>
      <c r="H690" s="1">
        <f>NMRResults[[#This Row],[Date Run]]</f>
        <v>0</v>
      </c>
    </row>
    <row r="691" spans="1:8" hidden="1" x14ac:dyDescent="0.25">
      <c r="A691" t="str" cm="1">
        <f t="array" ref="A691">IF(AND(ISBLANK(INDEX(SampleList[pH],ROW()-1)),ISBLANK(INDEX(SampleList[Conductivity],ROW()-1)),ISBLANK(INDEX(SampleList[Modification],ROW()-1))),"Not Requested",INDEX(SampleList[Experiment ID],ROW()-1))</f>
        <v>Not Requested</v>
      </c>
      <c r="B691">
        <f>SampleList[[#This Row],[Duration (Days)]]</f>
        <v>0</v>
      </c>
      <c r="G691">
        <f>NMRResults[[#This Row],['#]]</f>
        <v>0</v>
      </c>
      <c r="H691" s="1">
        <f>NMRResults[[#This Row],[Date Run]]</f>
        <v>0</v>
      </c>
    </row>
    <row r="692" spans="1:8" hidden="1" x14ac:dyDescent="0.25">
      <c r="A692" t="str" cm="1">
        <f t="array" ref="A692">IF(AND(ISBLANK(INDEX(SampleList[pH],ROW()-1)),ISBLANK(INDEX(SampleList[Conductivity],ROW()-1)),ISBLANK(INDEX(SampleList[Modification],ROW()-1))),"Not Requested",INDEX(SampleList[Experiment ID],ROW()-1))</f>
        <v>Not Requested</v>
      </c>
      <c r="B692">
        <f>SampleList[[#This Row],[Duration (Days)]]</f>
        <v>0</v>
      </c>
      <c r="G692">
        <f>NMRResults[[#This Row],['#]]</f>
        <v>0</v>
      </c>
      <c r="H692" s="1">
        <f>NMRResults[[#This Row],[Date Run]]</f>
        <v>0</v>
      </c>
    </row>
    <row r="693" spans="1:8" hidden="1" x14ac:dyDescent="0.25">
      <c r="A693" t="str" cm="1">
        <f t="array" ref="A693">IF(AND(ISBLANK(INDEX(SampleList[pH],ROW()-1)),ISBLANK(INDEX(SampleList[Conductivity],ROW()-1)),ISBLANK(INDEX(SampleList[Modification],ROW()-1))),"Not Requested",INDEX(SampleList[Experiment ID],ROW()-1))</f>
        <v>Not Requested</v>
      </c>
      <c r="B693">
        <f>SampleList[[#This Row],[Duration (Days)]]</f>
        <v>0</v>
      </c>
      <c r="G693">
        <f>NMRResults[[#This Row],['#]]</f>
        <v>0</v>
      </c>
      <c r="H693" s="1">
        <f>NMRResults[[#This Row],[Date Run]]</f>
        <v>0</v>
      </c>
    </row>
    <row r="694" spans="1:8" hidden="1" x14ac:dyDescent="0.25">
      <c r="A694" t="str" cm="1">
        <f t="array" ref="A694">IF(AND(ISBLANK(INDEX(SampleList[pH],ROW()-1)),ISBLANK(INDEX(SampleList[Conductivity],ROW()-1)),ISBLANK(INDEX(SampleList[Modification],ROW()-1))),"Not Requested",INDEX(SampleList[Experiment ID],ROW()-1))</f>
        <v>Not Requested</v>
      </c>
      <c r="B694">
        <f>SampleList[[#This Row],[Duration (Days)]]</f>
        <v>0</v>
      </c>
      <c r="G694">
        <f>NMRResults[[#This Row],['#]]</f>
        <v>0</v>
      </c>
      <c r="H694" s="1">
        <f>NMRResults[[#This Row],[Date Run]]</f>
        <v>0</v>
      </c>
    </row>
    <row r="695" spans="1:8" hidden="1" x14ac:dyDescent="0.25">
      <c r="A695" t="str" cm="1">
        <f t="array" ref="A695">IF(AND(ISBLANK(INDEX(SampleList[pH],ROW()-1)),ISBLANK(INDEX(SampleList[Conductivity],ROW()-1)),ISBLANK(INDEX(SampleList[Modification],ROW()-1))),"Not Requested",INDEX(SampleList[Experiment ID],ROW()-1))</f>
        <v>Not Requested</v>
      </c>
      <c r="B695">
        <f>SampleList[[#This Row],[Duration (Days)]]</f>
        <v>0</v>
      </c>
      <c r="G695">
        <f>NMRResults[[#This Row],['#]]</f>
        <v>0</v>
      </c>
      <c r="H695" s="1">
        <f>NMRResults[[#This Row],[Date Run]]</f>
        <v>0</v>
      </c>
    </row>
    <row r="696" spans="1:8" hidden="1" x14ac:dyDescent="0.25">
      <c r="A696" t="str" cm="1">
        <f t="array" ref="A696">IF(AND(ISBLANK(INDEX(SampleList[pH],ROW()-1)),ISBLANK(INDEX(SampleList[Conductivity],ROW()-1)),ISBLANK(INDEX(SampleList[Modification],ROW()-1))),"Not Requested",INDEX(SampleList[Experiment ID],ROW()-1))</f>
        <v>Not Requested</v>
      </c>
      <c r="B696">
        <f>SampleList[[#This Row],[Duration (Days)]]</f>
        <v>0</v>
      </c>
      <c r="G696">
        <f>NMRResults[[#This Row],['#]]</f>
        <v>0</v>
      </c>
      <c r="H696" s="1">
        <f>NMRResults[[#This Row],[Date Run]]</f>
        <v>0</v>
      </c>
    </row>
    <row r="697" spans="1:8" hidden="1" x14ac:dyDescent="0.25">
      <c r="A697" t="str" cm="1">
        <f t="array" ref="A697">IF(AND(ISBLANK(INDEX(SampleList[pH],ROW()-1)),ISBLANK(INDEX(SampleList[Conductivity],ROW()-1)),ISBLANK(INDEX(SampleList[Modification],ROW()-1))),"Not Requested",INDEX(SampleList[Experiment ID],ROW()-1))</f>
        <v>Not Requested</v>
      </c>
      <c r="B697">
        <f>SampleList[[#This Row],[Duration (Days)]]</f>
        <v>0</v>
      </c>
      <c r="G697">
        <f>NMRResults[[#This Row],['#]]</f>
        <v>0</v>
      </c>
      <c r="H697" s="1">
        <f>NMRResults[[#This Row],[Date Run]]</f>
        <v>0</v>
      </c>
    </row>
    <row r="698" spans="1:8" hidden="1" x14ac:dyDescent="0.25">
      <c r="A698" t="str" cm="1">
        <f t="array" ref="A698">IF(AND(ISBLANK(INDEX(SampleList[pH],ROW()-1)),ISBLANK(INDEX(SampleList[Conductivity],ROW()-1)),ISBLANK(INDEX(SampleList[Modification],ROW()-1))),"Not Requested",INDEX(SampleList[Experiment ID],ROW()-1))</f>
        <v>Not Requested</v>
      </c>
      <c r="B698">
        <f>SampleList[[#This Row],[Duration (Days)]]</f>
        <v>0</v>
      </c>
      <c r="G698">
        <f>NMRResults[[#This Row],['#]]</f>
        <v>0</v>
      </c>
      <c r="H698" s="1">
        <f>NMRResults[[#This Row],[Date Run]]</f>
        <v>0</v>
      </c>
    </row>
    <row r="699" spans="1:8" hidden="1" x14ac:dyDescent="0.25">
      <c r="A699" t="str" cm="1">
        <f t="array" ref="A699">IF(AND(ISBLANK(INDEX(SampleList[pH],ROW()-1)),ISBLANK(INDEX(SampleList[Conductivity],ROW()-1)),ISBLANK(INDEX(SampleList[Modification],ROW()-1))),"Not Requested",INDEX(SampleList[Experiment ID],ROW()-1))</f>
        <v>Not Requested</v>
      </c>
      <c r="B699">
        <f>SampleList[[#This Row],[Duration (Days)]]</f>
        <v>0</v>
      </c>
      <c r="G699">
        <f>NMRResults[[#This Row],['#]]</f>
        <v>0</v>
      </c>
      <c r="H699" s="1">
        <f>NMRResults[[#This Row],[Date Run]]</f>
        <v>0</v>
      </c>
    </row>
    <row r="700" spans="1:8" hidden="1" x14ac:dyDescent="0.25">
      <c r="A700" t="str" cm="1">
        <f t="array" ref="A700">IF(AND(ISBLANK(INDEX(SampleList[pH],ROW()-1)),ISBLANK(INDEX(SampleList[Conductivity],ROW()-1)),ISBLANK(INDEX(SampleList[Modification],ROW()-1))),"Not Requested",INDEX(SampleList[Experiment ID],ROW()-1))</f>
        <v>Not Requested</v>
      </c>
      <c r="B700">
        <f>SampleList[[#This Row],[Duration (Days)]]</f>
        <v>0</v>
      </c>
      <c r="G700">
        <f>NMRResults[[#This Row],['#]]</f>
        <v>0</v>
      </c>
      <c r="H700" s="1">
        <f>NMRResults[[#This Row],[Date Run]]</f>
        <v>0</v>
      </c>
    </row>
    <row r="701" spans="1:8" hidden="1" x14ac:dyDescent="0.25">
      <c r="A701" t="str" cm="1">
        <f t="array" ref="A701">IF(AND(ISBLANK(INDEX(SampleList[pH],ROW()-1)),ISBLANK(INDEX(SampleList[Conductivity],ROW()-1)),ISBLANK(INDEX(SampleList[Modification],ROW()-1))),"Not Requested",INDEX(SampleList[Experiment ID],ROW()-1))</f>
        <v>Not Requested</v>
      </c>
      <c r="B701">
        <f>SampleList[[#This Row],[Duration (Days)]]</f>
        <v>0</v>
      </c>
      <c r="G701">
        <f>NMRResults[[#This Row],['#]]</f>
        <v>0</v>
      </c>
      <c r="H701" s="1">
        <f>NMRResults[[#This Row],[Date Run]]</f>
        <v>0</v>
      </c>
    </row>
    <row r="702" spans="1:8" hidden="1" x14ac:dyDescent="0.25">
      <c r="A702" t="str" cm="1">
        <f t="array" ref="A702">IF(AND(ISBLANK(INDEX(SampleList[pH],ROW()-1)),ISBLANK(INDEX(SampleList[Conductivity],ROW()-1)),ISBLANK(INDEX(SampleList[Modification],ROW()-1))),"Not Requested",INDEX(SampleList[Experiment ID],ROW()-1))</f>
        <v>Not Requested</v>
      </c>
      <c r="B702">
        <f>SampleList[[#This Row],[Duration (Days)]]</f>
        <v>0</v>
      </c>
      <c r="G702">
        <f>NMRResults[[#This Row],['#]]</f>
        <v>0</v>
      </c>
      <c r="H702" s="1">
        <f>NMRResults[[#This Row],[Date Run]]</f>
        <v>0</v>
      </c>
    </row>
    <row r="703" spans="1:8" hidden="1" x14ac:dyDescent="0.25">
      <c r="A703" t="str" cm="1">
        <f t="array" ref="A703">IF(AND(ISBLANK(INDEX(SampleList[pH],ROW()-1)),ISBLANK(INDEX(SampleList[Conductivity],ROW()-1)),ISBLANK(INDEX(SampleList[Modification],ROW()-1))),"Not Requested",INDEX(SampleList[Experiment ID],ROW()-1))</f>
        <v>Not Requested</v>
      </c>
      <c r="B703">
        <f>SampleList[[#This Row],[Duration (Days)]]</f>
        <v>0</v>
      </c>
      <c r="G703">
        <f>NMRResults[[#This Row],['#]]</f>
        <v>0</v>
      </c>
      <c r="H703" s="1">
        <f>NMRResults[[#This Row],[Date Run]]</f>
        <v>0</v>
      </c>
    </row>
    <row r="704" spans="1:8" hidden="1" x14ac:dyDescent="0.25">
      <c r="A704" t="str" cm="1">
        <f t="array" ref="A704">IF(AND(ISBLANK(INDEX(SampleList[pH],ROW()-1)),ISBLANK(INDEX(SampleList[Conductivity],ROW()-1)),ISBLANK(INDEX(SampleList[Modification],ROW()-1))),"Not Requested",INDEX(SampleList[Experiment ID],ROW()-1))</f>
        <v>Not Requested</v>
      </c>
      <c r="B704">
        <f>SampleList[[#This Row],[Duration (Days)]]</f>
        <v>0</v>
      </c>
      <c r="G704">
        <f>NMRResults[[#This Row],['#]]</f>
        <v>0</v>
      </c>
      <c r="H704" s="1">
        <f>NMRResults[[#This Row],[Date Run]]</f>
        <v>0</v>
      </c>
    </row>
    <row r="705" spans="1:8" hidden="1" x14ac:dyDescent="0.25">
      <c r="A705" t="str" cm="1">
        <f t="array" ref="A705">IF(AND(ISBLANK(INDEX(SampleList[pH],ROW()-1)),ISBLANK(INDEX(SampleList[Conductivity],ROW()-1)),ISBLANK(INDEX(SampleList[Modification],ROW()-1))),"Not Requested",INDEX(SampleList[Experiment ID],ROW()-1))</f>
        <v>Not Requested</v>
      </c>
      <c r="B705">
        <f>SampleList[[#This Row],[Duration (Days)]]</f>
        <v>0</v>
      </c>
      <c r="G705">
        <f>NMRResults[[#This Row],['#]]</f>
        <v>0</v>
      </c>
      <c r="H705" s="1">
        <f>NMRResults[[#This Row],[Date Run]]</f>
        <v>0</v>
      </c>
    </row>
    <row r="706" spans="1:8" hidden="1" x14ac:dyDescent="0.25">
      <c r="A706" t="str" cm="1">
        <f t="array" ref="A706">IF(AND(ISBLANK(INDEX(SampleList[pH],ROW()-1)),ISBLANK(INDEX(SampleList[Conductivity],ROW()-1)),ISBLANK(INDEX(SampleList[Modification],ROW()-1))),"Not Requested",INDEX(SampleList[Experiment ID],ROW()-1))</f>
        <v>Not Requested</v>
      </c>
      <c r="B706">
        <f>SampleList[[#This Row],[Duration (Days)]]</f>
        <v>0</v>
      </c>
      <c r="G706">
        <f>NMRResults[[#This Row],['#]]</f>
        <v>0</v>
      </c>
      <c r="H706" s="1">
        <f>NMRResults[[#This Row],[Date Run]]</f>
        <v>0</v>
      </c>
    </row>
    <row r="707" spans="1:8" hidden="1" x14ac:dyDescent="0.25">
      <c r="A707" t="str" cm="1">
        <f t="array" ref="A707">IF(AND(ISBLANK(INDEX(SampleList[pH],ROW()-1)),ISBLANK(INDEX(SampleList[Conductivity],ROW()-1)),ISBLANK(INDEX(SampleList[Modification],ROW()-1))),"Not Requested",INDEX(SampleList[Experiment ID],ROW()-1))</f>
        <v>Not Requested</v>
      </c>
      <c r="B707">
        <f>SampleList[[#This Row],[Duration (Days)]]</f>
        <v>0</v>
      </c>
      <c r="G707">
        <f>NMRResults[[#This Row],['#]]</f>
        <v>0</v>
      </c>
      <c r="H707" s="1">
        <f>NMRResults[[#This Row],[Date Run]]</f>
        <v>0</v>
      </c>
    </row>
    <row r="708" spans="1:8" hidden="1" x14ac:dyDescent="0.25">
      <c r="A708" t="str" cm="1">
        <f t="array" ref="A708">IF(AND(ISBLANK(INDEX(SampleList[pH],ROW()-1)),ISBLANK(INDEX(SampleList[Conductivity],ROW()-1)),ISBLANK(INDEX(SampleList[Modification],ROW()-1))),"Not Requested",INDEX(SampleList[Experiment ID],ROW()-1))</f>
        <v>Not Requested</v>
      </c>
      <c r="B708">
        <f>SampleList[[#This Row],[Duration (Days)]]</f>
        <v>0</v>
      </c>
      <c r="G708">
        <f>NMRResults[[#This Row],['#]]</f>
        <v>0</v>
      </c>
      <c r="H708" s="1">
        <f>NMRResults[[#This Row],[Date Run]]</f>
        <v>0</v>
      </c>
    </row>
    <row r="709" spans="1:8" hidden="1" x14ac:dyDescent="0.25">
      <c r="A709" t="str" cm="1">
        <f t="array" ref="A709">IF(AND(ISBLANK(INDEX(SampleList[pH],ROW()-1)),ISBLANK(INDEX(SampleList[Conductivity],ROW()-1)),ISBLANK(INDEX(SampleList[Modification],ROW()-1))),"Not Requested",INDEX(SampleList[Experiment ID],ROW()-1))</f>
        <v>Not Requested</v>
      </c>
      <c r="B709">
        <f>SampleList[[#This Row],[Duration (Days)]]</f>
        <v>0</v>
      </c>
      <c r="G709">
        <f>NMRResults[[#This Row],['#]]</f>
        <v>0</v>
      </c>
      <c r="H709" s="1">
        <f>NMRResults[[#This Row],[Date Run]]</f>
        <v>0</v>
      </c>
    </row>
    <row r="710" spans="1:8" hidden="1" x14ac:dyDescent="0.25">
      <c r="A710" t="str" cm="1">
        <f t="array" ref="A710">IF(AND(ISBLANK(INDEX(SampleList[pH],ROW()-1)),ISBLANK(INDEX(SampleList[Conductivity],ROW()-1)),ISBLANK(INDEX(SampleList[Modification],ROW()-1))),"Not Requested",INDEX(SampleList[Experiment ID],ROW()-1))</f>
        <v>Not Requested</v>
      </c>
      <c r="B710">
        <f>SampleList[[#This Row],[Duration (Days)]]</f>
        <v>0</v>
      </c>
      <c r="G710">
        <f>NMRResults[[#This Row],['#]]</f>
        <v>0</v>
      </c>
      <c r="H710" s="1">
        <f>NMRResults[[#This Row],[Date Run]]</f>
        <v>0</v>
      </c>
    </row>
    <row r="711" spans="1:8" hidden="1" x14ac:dyDescent="0.25">
      <c r="A711" t="str" cm="1">
        <f t="array" ref="A711">IF(AND(ISBLANK(INDEX(SampleList[pH],ROW()-1)),ISBLANK(INDEX(SampleList[Conductivity],ROW()-1)),ISBLANK(INDEX(SampleList[Modification],ROW()-1))),"Not Requested",INDEX(SampleList[Experiment ID],ROW()-1))</f>
        <v>Not Requested</v>
      </c>
      <c r="B711">
        <f>SampleList[[#This Row],[Duration (Days)]]</f>
        <v>0</v>
      </c>
      <c r="G711">
        <f>NMRResults[[#This Row],['#]]</f>
        <v>0</v>
      </c>
      <c r="H711" s="1">
        <f>NMRResults[[#This Row],[Date Run]]</f>
        <v>0</v>
      </c>
    </row>
    <row r="712" spans="1:8" hidden="1" x14ac:dyDescent="0.25">
      <c r="A712" t="str" cm="1">
        <f t="array" ref="A712">IF(AND(ISBLANK(INDEX(SampleList[pH],ROW()-1)),ISBLANK(INDEX(SampleList[Conductivity],ROW()-1)),ISBLANK(INDEX(SampleList[Modification],ROW()-1))),"Not Requested",INDEX(SampleList[Experiment ID],ROW()-1))</f>
        <v>Not Requested</v>
      </c>
      <c r="B712">
        <f>SampleList[[#This Row],[Duration (Days)]]</f>
        <v>0</v>
      </c>
      <c r="G712">
        <f>NMRResults[[#This Row],['#]]</f>
        <v>0</v>
      </c>
      <c r="H712" s="1">
        <f>NMRResults[[#This Row],[Date Run]]</f>
        <v>0</v>
      </c>
    </row>
    <row r="713" spans="1:8" hidden="1" x14ac:dyDescent="0.25">
      <c r="A713" t="str" cm="1">
        <f t="array" ref="A713">IF(AND(ISBLANK(INDEX(SampleList[pH],ROW()-1)),ISBLANK(INDEX(SampleList[Conductivity],ROW()-1)),ISBLANK(INDEX(SampleList[Modification],ROW()-1))),"Not Requested",INDEX(SampleList[Experiment ID],ROW()-1))</f>
        <v>Not Requested</v>
      </c>
      <c r="B713">
        <f>SampleList[[#This Row],[Duration (Days)]]</f>
        <v>0</v>
      </c>
      <c r="G713">
        <f>NMRResults[[#This Row],['#]]</f>
        <v>0</v>
      </c>
      <c r="H713" s="1">
        <f>NMRResults[[#This Row],[Date Run]]</f>
        <v>0</v>
      </c>
    </row>
    <row r="714" spans="1:8" hidden="1" x14ac:dyDescent="0.25">
      <c r="A714" t="str" cm="1">
        <f t="array" ref="A714">IF(AND(ISBLANK(INDEX(SampleList[pH],ROW()-1)),ISBLANK(INDEX(SampleList[Conductivity],ROW()-1)),ISBLANK(INDEX(SampleList[Modification],ROW()-1))),"Not Requested",INDEX(SampleList[Experiment ID],ROW()-1))</f>
        <v>Not Requested</v>
      </c>
      <c r="B714">
        <f>SampleList[[#This Row],[Duration (Days)]]</f>
        <v>0</v>
      </c>
      <c r="G714">
        <f>NMRResults[[#This Row],['#]]</f>
        <v>0</v>
      </c>
      <c r="H714" s="1">
        <f>NMRResults[[#This Row],[Date Run]]</f>
        <v>0</v>
      </c>
    </row>
    <row r="715" spans="1:8" hidden="1" x14ac:dyDescent="0.25">
      <c r="A715" t="str" cm="1">
        <f t="array" ref="A715">IF(AND(ISBLANK(INDEX(SampleList[pH],ROW()-1)),ISBLANK(INDEX(SampleList[Conductivity],ROW()-1)),ISBLANK(INDEX(SampleList[Modification],ROW()-1))),"Not Requested",INDEX(SampleList[Experiment ID],ROW()-1))</f>
        <v>Not Requested</v>
      </c>
      <c r="B715">
        <f>SampleList[[#This Row],[Duration (Days)]]</f>
        <v>0</v>
      </c>
      <c r="G715">
        <f>NMRResults[[#This Row],['#]]</f>
        <v>0</v>
      </c>
      <c r="H715" s="1">
        <f>NMRResults[[#This Row],[Date Run]]</f>
        <v>0</v>
      </c>
    </row>
    <row r="716" spans="1:8" hidden="1" x14ac:dyDescent="0.25">
      <c r="A716" t="str" cm="1">
        <f t="array" ref="A716">IF(AND(ISBLANK(INDEX(SampleList[pH],ROW()-1)),ISBLANK(INDEX(SampleList[Conductivity],ROW()-1)),ISBLANK(INDEX(SampleList[Modification],ROW()-1))),"Not Requested",INDEX(SampleList[Experiment ID],ROW()-1))</f>
        <v>Not Requested</v>
      </c>
      <c r="B716">
        <f>SampleList[[#This Row],[Duration (Days)]]</f>
        <v>0</v>
      </c>
      <c r="G716">
        <f>NMRResults[[#This Row],['#]]</f>
        <v>0</v>
      </c>
      <c r="H716" s="1">
        <f>NMRResults[[#This Row],[Date Run]]</f>
        <v>0</v>
      </c>
    </row>
    <row r="717" spans="1:8" hidden="1" x14ac:dyDescent="0.25">
      <c r="A717" t="str" cm="1">
        <f t="array" ref="A717">IF(AND(ISBLANK(INDEX(SampleList[pH],ROW()-1)),ISBLANK(INDEX(SampleList[Conductivity],ROW()-1)),ISBLANK(INDEX(SampleList[Modification],ROW()-1))),"Not Requested",INDEX(SampleList[Experiment ID],ROW()-1))</f>
        <v>Not Requested</v>
      </c>
      <c r="B717">
        <f>SampleList[[#This Row],[Duration (Days)]]</f>
        <v>0</v>
      </c>
      <c r="G717">
        <f>NMRResults[[#This Row],['#]]</f>
        <v>0</v>
      </c>
      <c r="H717" s="1">
        <f>NMRResults[[#This Row],[Date Run]]</f>
        <v>0</v>
      </c>
    </row>
    <row r="718" spans="1:8" hidden="1" x14ac:dyDescent="0.25">
      <c r="A718" t="str" cm="1">
        <f t="array" ref="A718">IF(AND(ISBLANK(INDEX(SampleList[pH],ROW()-1)),ISBLANK(INDEX(SampleList[Conductivity],ROW()-1)),ISBLANK(INDEX(SampleList[Modification],ROW()-1))),"Not Requested",INDEX(SampleList[Experiment ID],ROW()-1))</f>
        <v>Not Requested</v>
      </c>
      <c r="B718">
        <f>SampleList[[#This Row],[Duration (Days)]]</f>
        <v>0</v>
      </c>
      <c r="G718">
        <f>NMRResults[[#This Row],['#]]</f>
        <v>0</v>
      </c>
      <c r="H718" s="1">
        <f>NMRResults[[#This Row],[Date Run]]</f>
        <v>0</v>
      </c>
    </row>
    <row r="719" spans="1:8" hidden="1" x14ac:dyDescent="0.25">
      <c r="A719" t="str" cm="1">
        <f t="array" ref="A719">IF(AND(ISBLANK(INDEX(SampleList[pH],ROW()-1)),ISBLANK(INDEX(SampleList[Conductivity],ROW()-1)),ISBLANK(INDEX(SampleList[Modification],ROW()-1))),"Not Requested",INDEX(SampleList[Experiment ID],ROW()-1))</f>
        <v>Not Requested</v>
      </c>
      <c r="B719">
        <f>SampleList[[#This Row],[Duration (Days)]]</f>
        <v>0</v>
      </c>
      <c r="G719">
        <f>NMRResults[[#This Row],['#]]</f>
        <v>0</v>
      </c>
      <c r="H719" s="1">
        <f>NMRResults[[#This Row],[Date Run]]</f>
        <v>0</v>
      </c>
    </row>
    <row r="720" spans="1:8" hidden="1" x14ac:dyDescent="0.25">
      <c r="A720" t="str" cm="1">
        <f t="array" ref="A720">IF(AND(ISBLANK(INDEX(SampleList[pH],ROW()-1)),ISBLANK(INDEX(SampleList[Conductivity],ROW()-1)),ISBLANK(INDEX(SampleList[Modification],ROW()-1))),"Not Requested",INDEX(SampleList[Experiment ID],ROW()-1))</f>
        <v>Not Requested</v>
      </c>
      <c r="B720">
        <f>SampleList[[#This Row],[Duration (Days)]]</f>
        <v>0</v>
      </c>
      <c r="G720">
        <f>NMRResults[[#This Row],['#]]</f>
        <v>0</v>
      </c>
      <c r="H720" s="1">
        <f>NMRResults[[#This Row],[Date Run]]</f>
        <v>0</v>
      </c>
    </row>
    <row r="721" spans="1:8" hidden="1" x14ac:dyDescent="0.25">
      <c r="A721" t="str" cm="1">
        <f t="array" ref="A721">IF(AND(ISBLANK(INDEX(SampleList[pH],ROW()-1)),ISBLANK(INDEX(SampleList[Conductivity],ROW()-1)),ISBLANK(INDEX(SampleList[Modification],ROW()-1))),"Not Requested",INDEX(SampleList[Experiment ID],ROW()-1))</f>
        <v>Not Requested</v>
      </c>
      <c r="B721">
        <f>SampleList[[#This Row],[Duration (Days)]]</f>
        <v>0</v>
      </c>
      <c r="G721">
        <f>NMRResults[[#This Row],['#]]</f>
        <v>0</v>
      </c>
      <c r="H721" s="1">
        <f>NMRResults[[#This Row],[Date Run]]</f>
        <v>0</v>
      </c>
    </row>
    <row r="722" spans="1:8" hidden="1" x14ac:dyDescent="0.25">
      <c r="A722" t="str" cm="1">
        <f t="array" ref="A722">IF(AND(ISBLANK(INDEX(SampleList[pH],ROW()-1)),ISBLANK(INDEX(SampleList[Conductivity],ROW()-1)),ISBLANK(INDEX(SampleList[Modification],ROW()-1))),"Not Requested",INDEX(SampleList[Experiment ID],ROW()-1))</f>
        <v>Not Requested</v>
      </c>
      <c r="B722">
        <f>SampleList[[#This Row],[Duration (Days)]]</f>
        <v>0</v>
      </c>
      <c r="G722">
        <f>NMRResults[[#This Row],['#]]</f>
        <v>0</v>
      </c>
      <c r="H722" s="1">
        <f>NMRResults[[#This Row],[Date Run]]</f>
        <v>0</v>
      </c>
    </row>
    <row r="723" spans="1:8" hidden="1" x14ac:dyDescent="0.25">
      <c r="A723" t="str" cm="1">
        <f t="array" ref="A723">IF(AND(ISBLANK(INDEX(SampleList[pH],ROW()-1)),ISBLANK(INDEX(SampleList[Conductivity],ROW()-1)),ISBLANK(INDEX(SampleList[Modification],ROW()-1))),"Not Requested",INDEX(SampleList[Experiment ID],ROW()-1))</f>
        <v>Not Requested</v>
      </c>
      <c r="B723">
        <f>SampleList[[#This Row],[Duration (Days)]]</f>
        <v>0</v>
      </c>
      <c r="G723">
        <f>NMRResults[[#This Row],['#]]</f>
        <v>0</v>
      </c>
      <c r="H723" s="1">
        <f>NMRResults[[#This Row],[Date Run]]</f>
        <v>0</v>
      </c>
    </row>
    <row r="724" spans="1:8" hidden="1" x14ac:dyDescent="0.25">
      <c r="A724" t="str" cm="1">
        <f t="array" ref="A724">IF(AND(ISBLANK(INDEX(SampleList[pH],ROW()-1)),ISBLANK(INDEX(SampleList[Conductivity],ROW()-1)),ISBLANK(INDEX(SampleList[Modification],ROW()-1))),"Not Requested",INDEX(SampleList[Experiment ID],ROW()-1))</f>
        <v>Not Requested</v>
      </c>
      <c r="B724">
        <f>SampleList[[#This Row],[Duration (Days)]]</f>
        <v>0</v>
      </c>
      <c r="G724">
        <f>NMRResults[[#This Row],['#]]</f>
        <v>0</v>
      </c>
      <c r="H724" s="1">
        <f>NMRResults[[#This Row],[Date Run]]</f>
        <v>0</v>
      </c>
    </row>
    <row r="725" spans="1:8" hidden="1" x14ac:dyDescent="0.25">
      <c r="A725" t="str" cm="1">
        <f t="array" ref="A725">IF(AND(ISBLANK(INDEX(SampleList[pH],ROW()-1)),ISBLANK(INDEX(SampleList[Conductivity],ROW()-1)),ISBLANK(INDEX(SampleList[Modification],ROW()-1))),"Not Requested",INDEX(SampleList[Experiment ID],ROW()-1))</f>
        <v>Not Requested</v>
      </c>
      <c r="B725">
        <f>SampleList[[#This Row],[Duration (Days)]]</f>
        <v>0</v>
      </c>
      <c r="G725">
        <f>NMRResults[[#This Row],['#]]</f>
        <v>0</v>
      </c>
      <c r="H725" s="1">
        <f>NMRResults[[#This Row],[Date Run]]</f>
        <v>0</v>
      </c>
    </row>
    <row r="726" spans="1:8" hidden="1" x14ac:dyDescent="0.25">
      <c r="A726" t="str" cm="1">
        <f t="array" ref="A726">IF(AND(ISBLANK(INDEX(SampleList[pH],ROW()-1)),ISBLANK(INDEX(SampleList[Conductivity],ROW()-1)),ISBLANK(INDEX(SampleList[Modification],ROW()-1))),"Not Requested",INDEX(SampleList[Experiment ID],ROW()-1))</f>
        <v>Not Requested</v>
      </c>
      <c r="B726">
        <f>SampleList[[#This Row],[Duration (Days)]]</f>
        <v>0</v>
      </c>
      <c r="G726">
        <f>NMRResults[[#This Row],['#]]</f>
        <v>0</v>
      </c>
      <c r="H726" s="1">
        <f>NMRResults[[#This Row],[Date Run]]</f>
        <v>0</v>
      </c>
    </row>
    <row r="727" spans="1:8" hidden="1" x14ac:dyDescent="0.25">
      <c r="A727" t="str" cm="1">
        <f t="array" ref="A727">IF(AND(ISBLANK(INDEX(SampleList[pH],ROW()-1)),ISBLANK(INDEX(SampleList[Conductivity],ROW()-1)),ISBLANK(INDEX(SampleList[Modification],ROW()-1))),"Not Requested",INDEX(SampleList[Experiment ID],ROW()-1))</f>
        <v>Not Requested</v>
      </c>
      <c r="B727">
        <f>SampleList[[#This Row],[Duration (Days)]]</f>
        <v>0</v>
      </c>
      <c r="G727">
        <f>NMRResults[[#This Row],['#]]</f>
        <v>0</v>
      </c>
      <c r="H727" s="1">
        <f>NMRResults[[#This Row],[Date Run]]</f>
        <v>0</v>
      </c>
    </row>
    <row r="728" spans="1:8" hidden="1" x14ac:dyDescent="0.25">
      <c r="A728" t="str" cm="1">
        <f t="array" ref="A728">IF(AND(ISBLANK(INDEX(SampleList[pH],ROW()-1)),ISBLANK(INDEX(SampleList[Conductivity],ROW()-1)),ISBLANK(INDEX(SampleList[Modification],ROW()-1))),"Not Requested",INDEX(SampleList[Experiment ID],ROW()-1))</f>
        <v>Not Requested</v>
      </c>
      <c r="B728">
        <f>SampleList[[#This Row],[Duration (Days)]]</f>
        <v>0</v>
      </c>
      <c r="G728">
        <f>NMRResults[[#This Row],['#]]</f>
        <v>0</v>
      </c>
      <c r="H728" s="1">
        <f>NMRResults[[#This Row],[Date Run]]</f>
        <v>0</v>
      </c>
    </row>
    <row r="729" spans="1:8" hidden="1" x14ac:dyDescent="0.25">
      <c r="A729" t="str" cm="1">
        <f t="array" ref="A729">IF(AND(ISBLANK(INDEX(SampleList[pH],ROW()-1)),ISBLANK(INDEX(SampleList[Conductivity],ROW()-1)),ISBLANK(INDEX(SampleList[Modification],ROW()-1))),"Not Requested",INDEX(SampleList[Experiment ID],ROW()-1))</f>
        <v>Not Requested</v>
      </c>
      <c r="B729">
        <f>SampleList[[#This Row],[Duration (Days)]]</f>
        <v>0</v>
      </c>
      <c r="G729">
        <f>NMRResults[[#This Row],['#]]</f>
        <v>0</v>
      </c>
      <c r="H729" s="1">
        <f>NMRResults[[#This Row],[Date Run]]</f>
        <v>0</v>
      </c>
    </row>
    <row r="730" spans="1:8" hidden="1" x14ac:dyDescent="0.25">
      <c r="A730" t="str" cm="1">
        <f t="array" ref="A730">IF(AND(ISBLANK(INDEX(SampleList[pH],ROW()-1)),ISBLANK(INDEX(SampleList[Conductivity],ROW()-1)),ISBLANK(INDEX(SampleList[Modification],ROW()-1))),"Not Requested",INDEX(SampleList[Experiment ID],ROW()-1))</f>
        <v>Not Requested</v>
      </c>
      <c r="B730">
        <f>SampleList[[#This Row],[Duration (Days)]]</f>
        <v>0</v>
      </c>
      <c r="G730">
        <f>NMRResults[[#This Row],['#]]</f>
        <v>0</v>
      </c>
      <c r="H730" s="1">
        <f>NMRResults[[#This Row],[Date Run]]</f>
        <v>0</v>
      </c>
    </row>
    <row r="731" spans="1:8" hidden="1" x14ac:dyDescent="0.25">
      <c r="A731" t="str" cm="1">
        <f t="array" ref="A731">IF(AND(ISBLANK(INDEX(SampleList[pH],ROW()-1)),ISBLANK(INDEX(SampleList[Conductivity],ROW()-1)),ISBLANK(INDEX(SampleList[Modification],ROW()-1))),"Not Requested",INDEX(SampleList[Experiment ID],ROW()-1))</f>
        <v>Not Requested</v>
      </c>
      <c r="B731">
        <f>SampleList[[#This Row],[Duration (Days)]]</f>
        <v>0</v>
      </c>
      <c r="G731">
        <f>NMRResults[[#This Row],['#]]</f>
        <v>0</v>
      </c>
      <c r="H731" s="1">
        <f>NMRResults[[#This Row],[Date Run]]</f>
        <v>0</v>
      </c>
    </row>
    <row r="732" spans="1:8" hidden="1" x14ac:dyDescent="0.25">
      <c r="A732" t="str" cm="1">
        <f t="array" ref="A732">IF(AND(ISBLANK(INDEX(SampleList[pH],ROW()-1)),ISBLANK(INDEX(SampleList[Conductivity],ROW()-1)),ISBLANK(INDEX(SampleList[Modification],ROW()-1))),"Not Requested",INDEX(SampleList[Experiment ID],ROW()-1))</f>
        <v>Not Requested</v>
      </c>
      <c r="B732">
        <f>SampleList[[#This Row],[Duration (Days)]]</f>
        <v>0</v>
      </c>
      <c r="G732">
        <f>NMRResults[[#This Row],['#]]</f>
        <v>0</v>
      </c>
      <c r="H732" s="1">
        <f>NMRResults[[#This Row],[Date Run]]</f>
        <v>0</v>
      </c>
    </row>
    <row r="733" spans="1:8" hidden="1" x14ac:dyDescent="0.25">
      <c r="A733" t="str" cm="1">
        <f t="array" ref="A733">IF(AND(ISBLANK(INDEX(SampleList[pH],ROW()-1)),ISBLANK(INDEX(SampleList[Conductivity],ROW()-1)),ISBLANK(INDEX(SampleList[Modification],ROW()-1))),"Not Requested",INDEX(SampleList[Experiment ID],ROW()-1))</f>
        <v>Not Requested</v>
      </c>
      <c r="B733">
        <f>SampleList[[#This Row],[Duration (Days)]]</f>
        <v>0</v>
      </c>
      <c r="G733">
        <f>NMRResults[[#This Row],['#]]</f>
        <v>0</v>
      </c>
      <c r="H733" s="1">
        <f>NMRResults[[#This Row],[Date Run]]</f>
        <v>0</v>
      </c>
    </row>
    <row r="734" spans="1:8" hidden="1" x14ac:dyDescent="0.25">
      <c r="A734" t="str" cm="1">
        <f t="array" ref="A734">IF(AND(ISBLANK(INDEX(SampleList[pH],ROW()-1)),ISBLANK(INDEX(SampleList[Conductivity],ROW()-1)),ISBLANK(INDEX(SampleList[Modification],ROW()-1))),"Not Requested",INDEX(SampleList[Experiment ID],ROW()-1))</f>
        <v>Not Requested</v>
      </c>
      <c r="B734">
        <f>SampleList[[#This Row],[Duration (Days)]]</f>
        <v>0</v>
      </c>
      <c r="G734">
        <f>NMRResults[[#This Row],['#]]</f>
        <v>0</v>
      </c>
      <c r="H734" s="1">
        <f>NMRResults[[#This Row],[Date Run]]</f>
        <v>0</v>
      </c>
    </row>
    <row r="735" spans="1:8" hidden="1" x14ac:dyDescent="0.25">
      <c r="A735" t="str" cm="1">
        <f t="array" ref="A735">IF(AND(ISBLANK(INDEX(SampleList[pH],ROW()-1)),ISBLANK(INDEX(SampleList[Conductivity],ROW()-1)),ISBLANK(INDEX(SampleList[Modification],ROW()-1))),"Not Requested",INDEX(SampleList[Experiment ID],ROW()-1))</f>
        <v>Not Requested</v>
      </c>
      <c r="B735">
        <f>SampleList[[#This Row],[Duration (Days)]]</f>
        <v>0</v>
      </c>
      <c r="G735">
        <f>NMRResults[[#This Row],['#]]</f>
        <v>0</v>
      </c>
      <c r="H735" s="1">
        <f>NMRResults[[#This Row],[Date Run]]</f>
        <v>0</v>
      </c>
    </row>
    <row r="736" spans="1:8" hidden="1" x14ac:dyDescent="0.25">
      <c r="A736" t="str" cm="1">
        <f t="array" ref="A736">IF(AND(ISBLANK(INDEX(SampleList[pH],ROW()-1)),ISBLANK(INDEX(SampleList[Conductivity],ROW()-1)),ISBLANK(INDEX(SampleList[Modification],ROW()-1))),"Not Requested",INDEX(SampleList[Experiment ID],ROW()-1))</f>
        <v>Not Requested</v>
      </c>
      <c r="B736">
        <f>SampleList[[#This Row],[Duration (Days)]]</f>
        <v>0</v>
      </c>
      <c r="G736">
        <f>NMRResults[[#This Row],['#]]</f>
        <v>0</v>
      </c>
      <c r="H736" s="1">
        <f>NMRResults[[#This Row],[Date Run]]</f>
        <v>0</v>
      </c>
    </row>
    <row r="737" spans="1:8" hidden="1" x14ac:dyDescent="0.25">
      <c r="A737" t="str" cm="1">
        <f t="array" ref="A737">IF(AND(ISBLANK(INDEX(SampleList[pH],ROW()-1)),ISBLANK(INDEX(SampleList[Conductivity],ROW()-1)),ISBLANK(INDEX(SampleList[Modification],ROW()-1))),"Not Requested",INDEX(SampleList[Experiment ID],ROW()-1))</f>
        <v>Not Requested</v>
      </c>
      <c r="B737">
        <f>SampleList[[#This Row],[Duration (Days)]]</f>
        <v>0</v>
      </c>
      <c r="G737">
        <f>NMRResults[[#This Row],['#]]</f>
        <v>0</v>
      </c>
      <c r="H737" s="1">
        <f>NMRResults[[#This Row],[Date Run]]</f>
        <v>0</v>
      </c>
    </row>
    <row r="738" spans="1:8" hidden="1" x14ac:dyDescent="0.25">
      <c r="A738" t="str" cm="1">
        <f t="array" ref="A738">IF(AND(ISBLANK(INDEX(SampleList[pH],ROW()-1)),ISBLANK(INDEX(SampleList[Conductivity],ROW()-1)),ISBLANK(INDEX(SampleList[Modification],ROW()-1))),"Not Requested",INDEX(SampleList[Experiment ID],ROW()-1))</f>
        <v>Not Requested</v>
      </c>
      <c r="B738">
        <f>SampleList[[#This Row],[Duration (Days)]]</f>
        <v>0</v>
      </c>
      <c r="G738">
        <f>NMRResults[[#This Row],['#]]</f>
        <v>0</v>
      </c>
      <c r="H738" s="1">
        <f>NMRResults[[#This Row],[Date Run]]</f>
        <v>0</v>
      </c>
    </row>
    <row r="739" spans="1:8" hidden="1" x14ac:dyDescent="0.25">
      <c r="A739" t="str" cm="1">
        <f t="array" ref="A739">IF(AND(ISBLANK(INDEX(SampleList[pH],ROW()-1)),ISBLANK(INDEX(SampleList[Conductivity],ROW()-1)),ISBLANK(INDEX(SampleList[Modification],ROW()-1))),"Not Requested",INDEX(SampleList[Experiment ID],ROW()-1))</f>
        <v>Not Requested</v>
      </c>
      <c r="B739">
        <f>SampleList[[#This Row],[Duration (Days)]]</f>
        <v>0</v>
      </c>
      <c r="G739">
        <f>NMRResults[[#This Row],['#]]</f>
        <v>0</v>
      </c>
      <c r="H739" s="1">
        <f>NMRResults[[#This Row],[Date Run]]</f>
        <v>0</v>
      </c>
    </row>
    <row r="740" spans="1:8" hidden="1" x14ac:dyDescent="0.25">
      <c r="A740" t="str" cm="1">
        <f t="array" ref="A740">IF(AND(ISBLANK(INDEX(SampleList[pH],ROW()-1)),ISBLANK(INDEX(SampleList[Conductivity],ROW()-1)),ISBLANK(INDEX(SampleList[Modification],ROW()-1))),"Not Requested",INDEX(SampleList[Experiment ID],ROW()-1))</f>
        <v>Not Requested</v>
      </c>
      <c r="B740">
        <f>SampleList[[#This Row],[Duration (Days)]]</f>
        <v>0</v>
      </c>
      <c r="G740">
        <f>NMRResults[[#This Row],['#]]</f>
        <v>0</v>
      </c>
      <c r="H740" s="1">
        <f>NMRResults[[#This Row],[Date Run]]</f>
        <v>0</v>
      </c>
    </row>
    <row r="741" spans="1:8" hidden="1" x14ac:dyDescent="0.25">
      <c r="A741" t="str" cm="1">
        <f t="array" ref="A741">IF(AND(ISBLANK(INDEX(SampleList[pH],ROW()-1)),ISBLANK(INDEX(SampleList[Conductivity],ROW()-1)),ISBLANK(INDEX(SampleList[Modification],ROW()-1))),"Not Requested",INDEX(SampleList[Experiment ID],ROW()-1))</f>
        <v>Not Requested</v>
      </c>
      <c r="B741">
        <f>SampleList[[#This Row],[Duration (Days)]]</f>
        <v>0</v>
      </c>
      <c r="G741">
        <f>NMRResults[[#This Row],['#]]</f>
        <v>0</v>
      </c>
      <c r="H741" s="1">
        <f>NMRResults[[#This Row],[Date Run]]</f>
        <v>0</v>
      </c>
    </row>
    <row r="742" spans="1:8" hidden="1" x14ac:dyDescent="0.25">
      <c r="A742" t="str" cm="1">
        <f t="array" ref="A742">IF(AND(ISBLANK(INDEX(SampleList[pH],ROW()-1)),ISBLANK(INDEX(SampleList[Conductivity],ROW()-1)),ISBLANK(INDEX(SampleList[Modification],ROW()-1))),"Not Requested",INDEX(SampleList[Experiment ID],ROW()-1))</f>
        <v>Not Requested</v>
      </c>
      <c r="B742">
        <f>SampleList[[#This Row],[Duration (Days)]]</f>
        <v>0</v>
      </c>
      <c r="G742">
        <f>NMRResults[[#This Row],['#]]</f>
        <v>0</v>
      </c>
      <c r="H742" s="1">
        <f>NMRResults[[#This Row],[Date Run]]</f>
        <v>0</v>
      </c>
    </row>
    <row r="743" spans="1:8" hidden="1" x14ac:dyDescent="0.25">
      <c r="A743" t="str" cm="1">
        <f t="array" ref="A743">IF(AND(ISBLANK(INDEX(SampleList[pH],ROW()-1)),ISBLANK(INDEX(SampleList[Conductivity],ROW()-1)),ISBLANK(INDEX(SampleList[Modification],ROW()-1))),"Not Requested",INDEX(SampleList[Experiment ID],ROW()-1))</f>
        <v>Not Requested</v>
      </c>
      <c r="B743">
        <f>SampleList[[#This Row],[Duration (Days)]]</f>
        <v>0</v>
      </c>
      <c r="G743">
        <f>NMRResults[[#This Row],['#]]</f>
        <v>0</v>
      </c>
      <c r="H743" s="1">
        <f>NMRResults[[#This Row],[Date Run]]</f>
        <v>0</v>
      </c>
    </row>
    <row r="744" spans="1:8" hidden="1" x14ac:dyDescent="0.25">
      <c r="A744" t="str" cm="1">
        <f t="array" ref="A744">IF(AND(ISBLANK(INDEX(SampleList[pH],ROW()-1)),ISBLANK(INDEX(SampleList[Conductivity],ROW()-1)),ISBLANK(INDEX(SampleList[Modification],ROW()-1))),"Not Requested",INDEX(SampleList[Experiment ID],ROW()-1))</f>
        <v>Not Requested</v>
      </c>
      <c r="B744">
        <f>SampleList[[#This Row],[Duration (Days)]]</f>
        <v>0</v>
      </c>
      <c r="G744">
        <f>NMRResults[[#This Row],['#]]</f>
        <v>1</v>
      </c>
      <c r="H744" s="1">
        <f>NMRResults[[#This Row],[Date Run]]</f>
        <v>0</v>
      </c>
    </row>
    <row r="745" spans="1:8" hidden="1" x14ac:dyDescent="0.25">
      <c r="A745" t="str" cm="1">
        <f t="array" ref="A745">IF(AND(ISBLANK(INDEX(SampleList[pH],ROW()-1)),ISBLANK(INDEX(SampleList[Conductivity],ROW()-1)),ISBLANK(INDEX(SampleList[Modification],ROW()-1))),"Not Requested",INDEX(SampleList[Experiment ID],ROW()-1))</f>
        <v>Not Requested</v>
      </c>
      <c r="B745">
        <f>SampleList[[#This Row],[Duration (Days)]]</f>
        <v>0</v>
      </c>
      <c r="G745">
        <f>NMRResults[[#This Row],['#]]</f>
        <v>2</v>
      </c>
      <c r="H745" s="1">
        <f>NMRResults[[#This Row],[Date Run]]</f>
        <v>0</v>
      </c>
    </row>
    <row r="746" spans="1:8" hidden="1" x14ac:dyDescent="0.25">
      <c r="A746" t="str" cm="1">
        <f t="array" ref="A746">IF(AND(ISBLANK(INDEX(SampleList[pH],ROW()-1)),ISBLANK(INDEX(SampleList[Conductivity],ROW()-1)),ISBLANK(INDEX(SampleList[Modification],ROW()-1))),"Not Requested",INDEX(SampleList[Experiment ID],ROW()-1))</f>
        <v>Not Requested</v>
      </c>
      <c r="B746">
        <f>SampleList[[#This Row],[Duration (Days)]]</f>
        <v>0</v>
      </c>
      <c r="G746">
        <f>NMRResults[[#This Row],['#]]</f>
        <v>3</v>
      </c>
      <c r="H746" s="1">
        <f>NMRResults[[#This Row],[Date Run]]</f>
        <v>0</v>
      </c>
    </row>
    <row r="747" spans="1:8" hidden="1" x14ac:dyDescent="0.25">
      <c r="A747" t="str" cm="1">
        <f t="array" ref="A747">IF(AND(ISBLANK(INDEX(SampleList[pH],ROW()-1)),ISBLANK(INDEX(SampleList[Conductivity],ROW()-1)),ISBLANK(INDEX(SampleList[Modification],ROW()-1))),"Not Requested",INDEX(SampleList[Experiment ID],ROW()-1))</f>
        <v>Not Requested</v>
      </c>
      <c r="B747">
        <f>SampleList[[#This Row],[Duration (Days)]]</f>
        <v>0</v>
      </c>
      <c r="G747">
        <f>NMRResults[[#This Row],['#]]</f>
        <v>4</v>
      </c>
      <c r="H747" s="1">
        <f>NMRResults[[#This Row],[Date Run]]</f>
        <v>0</v>
      </c>
    </row>
    <row r="748" spans="1:8" hidden="1" x14ac:dyDescent="0.25">
      <c r="A748" t="str" cm="1">
        <f t="array" ref="A748">IF(AND(ISBLANK(INDEX(SampleList[pH],ROW()-1)),ISBLANK(INDEX(SampleList[Conductivity],ROW()-1)),ISBLANK(INDEX(SampleList[Modification],ROW()-1))),"Not Requested",INDEX(SampleList[Experiment ID],ROW()-1))</f>
        <v>Not Requested</v>
      </c>
      <c r="B748">
        <f>SampleList[[#This Row],[Duration (Days)]]</f>
        <v>0</v>
      </c>
      <c r="G748">
        <f>NMRResults[[#This Row],['#]]</f>
        <v>6</v>
      </c>
      <c r="H748" s="1">
        <f>NMRResults[[#This Row],[Date Run]]</f>
        <v>0</v>
      </c>
    </row>
    <row r="749" spans="1:8" hidden="1" x14ac:dyDescent="0.25">
      <c r="A749" t="str" cm="1">
        <f t="array" ref="A749">IF(AND(ISBLANK(INDEX(SampleList[pH],ROW()-1)),ISBLANK(INDEX(SampleList[Conductivity],ROW()-1)),ISBLANK(INDEX(SampleList[Modification],ROW()-1))),"Not Requested",INDEX(SampleList[Experiment ID],ROW()-1))</f>
        <v>Not Requested</v>
      </c>
      <c r="B749">
        <f>SampleList[[#This Row],[Duration (Days)]]</f>
        <v>0</v>
      </c>
      <c r="G749">
        <f>NMRResults[[#This Row],['#]]</f>
        <v>5</v>
      </c>
      <c r="H749" s="1">
        <f>NMRResults[[#This Row],[Date Run]]</f>
        <v>0</v>
      </c>
    </row>
    <row r="750" spans="1:8" hidden="1" x14ac:dyDescent="0.25">
      <c r="A750" t="str" cm="1">
        <f t="array" ref="A750">IF(AND(ISBLANK(INDEX(SampleList[pH],ROW()-1)),ISBLANK(INDEX(SampleList[Conductivity],ROW()-1)),ISBLANK(INDEX(SampleList[Modification],ROW()-1))),"Not Requested",INDEX(SampleList[Experiment ID],ROW()-1))</f>
        <v>Not Requested</v>
      </c>
      <c r="B750">
        <f>SampleList[[#This Row],[Duration (Days)]]</f>
        <v>0</v>
      </c>
      <c r="G750">
        <f>NMRResults[[#This Row],['#]]</f>
        <v>7</v>
      </c>
      <c r="H750" s="1">
        <f>NMRResults[[#This Row],[Date Run]]</f>
        <v>0</v>
      </c>
    </row>
    <row r="751" spans="1:8" hidden="1" x14ac:dyDescent="0.25">
      <c r="A751" t="str" cm="1">
        <f t="array" ref="A751">IF(AND(ISBLANK(INDEX(SampleList[pH],ROW()-1)),ISBLANK(INDEX(SampleList[Conductivity],ROW()-1)),ISBLANK(INDEX(SampleList[Modification],ROW()-1))),"Not Requested",INDEX(SampleList[Experiment ID],ROW()-1))</f>
        <v>Not Requested</v>
      </c>
      <c r="B751">
        <f>SampleList[[#This Row],[Duration (Days)]]</f>
        <v>0</v>
      </c>
      <c r="G751">
        <f>NMRResults[[#This Row],['#]]</f>
        <v>8</v>
      </c>
      <c r="H751" s="1">
        <f>NMRResults[[#This Row],[Date Run]]</f>
        <v>0</v>
      </c>
    </row>
    <row r="752" spans="1:8" hidden="1" x14ac:dyDescent="0.25">
      <c r="A752" t="str" cm="1">
        <f t="array" ref="A752">IF(AND(ISBLANK(INDEX(SampleList[pH],ROW()-1)),ISBLANK(INDEX(SampleList[Conductivity],ROW()-1)),ISBLANK(INDEX(SampleList[Modification],ROW()-1))),"Not Requested",INDEX(SampleList[Experiment ID],ROW()-1))</f>
        <v>Not Requested</v>
      </c>
      <c r="B752">
        <f>SampleList[[#This Row],[Duration (Days)]]</f>
        <v>0</v>
      </c>
      <c r="G752">
        <f>NMRResults[[#This Row],['#]]</f>
        <v>9</v>
      </c>
      <c r="H752" s="1">
        <f>NMRResults[[#This Row],[Date Run]]</f>
        <v>0</v>
      </c>
    </row>
    <row r="753" spans="1:8" hidden="1" x14ac:dyDescent="0.25">
      <c r="A753" t="str" cm="1">
        <f t="array" ref="A753">IF(AND(ISBLANK(INDEX(SampleList[pH],ROW()-1)),ISBLANK(INDEX(SampleList[Conductivity],ROW()-1)),ISBLANK(INDEX(SampleList[Modification],ROW()-1))),"Not Requested",INDEX(SampleList[Experiment ID],ROW()-1))</f>
        <v>Not Requested</v>
      </c>
      <c r="B753">
        <f>SampleList[[#This Row],[Duration (Days)]]</f>
        <v>0</v>
      </c>
      <c r="G753">
        <f>NMRResults[[#This Row],['#]]</f>
        <v>10</v>
      </c>
      <c r="H753" s="1">
        <f>NMRResults[[#This Row],[Date Run]]</f>
        <v>0</v>
      </c>
    </row>
    <row r="754" spans="1:8" hidden="1" x14ac:dyDescent="0.25">
      <c r="A754" t="str" cm="1">
        <f t="array" ref="A754">IF(AND(ISBLANK(INDEX(SampleList[pH],ROW()-1)),ISBLANK(INDEX(SampleList[Conductivity],ROW()-1)),ISBLANK(INDEX(SampleList[Modification],ROW()-1))),"Not Requested",INDEX(SampleList[Experiment ID],ROW()-1))</f>
        <v>Not Requested</v>
      </c>
      <c r="B754">
        <f>SampleList[[#This Row],[Duration (Days)]]</f>
        <v>0</v>
      </c>
      <c r="G754">
        <f>NMRResults[[#This Row],['#]]</f>
        <v>11</v>
      </c>
      <c r="H754" s="1">
        <f>NMRResults[[#This Row],[Date Run]]</f>
        <v>0</v>
      </c>
    </row>
    <row r="755" spans="1:8" hidden="1" x14ac:dyDescent="0.25">
      <c r="A755" t="str" cm="1">
        <f t="array" ref="A755">IF(AND(ISBLANK(INDEX(SampleList[pH],ROW()-1)),ISBLANK(INDEX(SampleList[Conductivity],ROW()-1)),ISBLANK(INDEX(SampleList[Modification],ROW()-1))),"Not Requested",INDEX(SampleList[Experiment ID],ROW()-1))</f>
        <v>Not Requested</v>
      </c>
      <c r="B755">
        <f>SampleList[[#This Row],[Duration (Days)]]</f>
        <v>0</v>
      </c>
      <c r="G755">
        <f>NMRResults[[#This Row],['#]]</f>
        <v>12</v>
      </c>
      <c r="H755" s="1">
        <f>NMRResults[[#This Row],[Date Run]]</f>
        <v>0</v>
      </c>
    </row>
    <row r="756" spans="1:8" hidden="1" x14ac:dyDescent="0.25">
      <c r="A756" t="str" cm="1">
        <f t="array" ref="A756">IF(AND(ISBLANK(INDEX(SampleList[pH],ROW()-1)),ISBLANK(INDEX(SampleList[Conductivity],ROW()-1)),ISBLANK(INDEX(SampleList[Modification],ROW()-1))),"Not Requested",INDEX(SampleList[Experiment ID],ROW()-1))</f>
        <v>Not Requested</v>
      </c>
      <c r="B756">
        <f>SampleList[[#This Row],[Duration (Days)]]</f>
        <v>0</v>
      </c>
      <c r="G756">
        <f>NMRResults[[#This Row],['#]]</f>
        <v>0</v>
      </c>
      <c r="H756" s="1">
        <f>NMRResults[[#This Row],[Date Run]]</f>
        <v>0</v>
      </c>
    </row>
    <row r="757" spans="1:8" hidden="1" x14ac:dyDescent="0.25">
      <c r="A757" t="str" cm="1">
        <f t="array" ref="A757">IF(AND(ISBLANK(INDEX(SampleList[pH],ROW()-1)),ISBLANK(INDEX(SampleList[Conductivity],ROW()-1)),ISBLANK(INDEX(SampleList[Modification],ROW()-1))),"Not Requested",INDEX(SampleList[Experiment ID],ROW()-1))</f>
        <v>Not Requested</v>
      </c>
      <c r="B757">
        <f>SampleList[[#This Row],[Duration (Days)]]</f>
        <v>0</v>
      </c>
      <c r="G757">
        <f>NMRResults[[#This Row],['#]]</f>
        <v>0</v>
      </c>
      <c r="H757" s="1">
        <f>NMRResults[[#This Row],[Date Run]]</f>
        <v>0</v>
      </c>
    </row>
    <row r="758" spans="1:8" hidden="1" x14ac:dyDescent="0.25">
      <c r="A758" t="str" cm="1">
        <f t="array" ref="A758">IF(AND(ISBLANK(INDEX(SampleList[pH],ROW()-1)),ISBLANK(INDEX(SampleList[Conductivity],ROW()-1)),ISBLANK(INDEX(SampleList[Modification],ROW()-1))),"Not Requested",INDEX(SampleList[Experiment ID],ROW()-1))</f>
        <v>Not Requested</v>
      </c>
      <c r="B758">
        <f>SampleList[[#This Row],[Duration (Days)]]</f>
        <v>0</v>
      </c>
      <c r="G758">
        <f>NMRResults[[#This Row],['#]]</f>
        <v>0</v>
      </c>
      <c r="H758" s="1">
        <f>NMRResults[[#This Row],[Date Run]]</f>
        <v>0</v>
      </c>
    </row>
    <row r="759" spans="1:8" hidden="1" x14ac:dyDescent="0.25">
      <c r="A759" t="str" cm="1">
        <f t="array" ref="A759">IF(AND(ISBLANK(INDEX(SampleList[pH],ROW()-1)),ISBLANK(INDEX(SampleList[Conductivity],ROW()-1)),ISBLANK(INDEX(SampleList[Modification],ROW()-1))),"Not Requested",INDEX(SampleList[Experiment ID],ROW()-1))</f>
        <v>Not Requested</v>
      </c>
      <c r="B759">
        <f>SampleList[[#This Row],[Duration (Days)]]</f>
        <v>0</v>
      </c>
      <c r="G759">
        <f>NMRResults[[#This Row],['#]]</f>
        <v>0</v>
      </c>
      <c r="H759" s="1">
        <f>NMRResults[[#This Row],[Date Run]]</f>
        <v>0</v>
      </c>
    </row>
    <row r="760" spans="1:8" hidden="1" x14ac:dyDescent="0.25">
      <c r="A760" t="str" cm="1">
        <f t="array" ref="A760">IF(AND(ISBLANK(INDEX(SampleList[pH],ROW()-1)),ISBLANK(INDEX(SampleList[Conductivity],ROW()-1)),ISBLANK(INDEX(SampleList[Modification],ROW()-1))),"Not Requested",INDEX(SampleList[Experiment ID],ROW()-1))</f>
        <v>Not Requested</v>
      </c>
      <c r="B760">
        <f>SampleList[[#This Row],[Duration (Days)]]</f>
        <v>0</v>
      </c>
      <c r="G760">
        <f>NMRResults[[#This Row],['#]]</f>
        <v>0</v>
      </c>
      <c r="H760" s="1">
        <f>NMRResults[[#This Row],[Date Run]]</f>
        <v>0</v>
      </c>
    </row>
    <row r="761" spans="1:8" hidden="1" x14ac:dyDescent="0.25">
      <c r="A761" t="str" cm="1">
        <f t="array" ref="A761">IF(AND(ISBLANK(INDEX(SampleList[pH],ROW()-1)),ISBLANK(INDEX(SampleList[Conductivity],ROW()-1)),ISBLANK(INDEX(SampleList[Modification],ROW()-1))),"Not Requested",INDEX(SampleList[Experiment ID],ROW()-1))</f>
        <v>Not Requested</v>
      </c>
      <c r="B761">
        <f>SampleList[[#This Row],[Duration (Days)]]</f>
        <v>0</v>
      </c>
      <c r="G761">
        <f>NMRResults[[#This Row],['#]]</f>
        <v>0</v>
      </c>
      <c r="H761" s="1">
        <f>NMRResults[[#This Row],[Date Run]]</f>
        <v>0</v>
      </c>
    </row>
    <row r="762" spans="1:8" hidden="1" x14ac:dyDescent="0.25">
      <c r="A762" t="str" cm="1">
        <f t="array" ref="A762">IF(AND(ISBLANK(INDEX(SampleList[pH],ROW()-1)),ISBLANK(INDEX(SampleList[Conductivity],ROW()-1)),ISBLANK(INDEX(SampleList[Modification],ROW()-1))),"Not Requested",INDEX(SampleList[Experiment ID],ROW()-1))</f>
        <v>Not Requested</v>
      </c>
      <c r="B762">
        <f>SampleList[[#This Row],[Duration (Days)]]</f>
        <v>0</v>
      </c>
      <c r="G762">
        <f>NMRResults[[#This Row],['#]]</f>
        <v>0</v>
      </c>
      <c r="H762" s="1">
        <f>NMRResults[[#This Row],[Date Run]]</f>
        <v>0</v>
      </c>
    </row>
    <row r="763" spans="1:8" hidden="1" x14ac:dyDescent="0.25">
      <c r="A763" t="str" cm="1">
        <f t="array" ref="A763">IF(AND(ISBLANK(INDEX(SampleList[pH],ROW()-1)),ISBLANK(INDEX(SampleList[Conductivity],ROW()-1)),ISBLANK(INDEX(SampleList[Modification],ROW()-1))),"Not Requested",INDEX(SampleList[Experiment ID],ROW()-1))</f>
        <v>Not Requested</v>
      </c>
      <c r="B763">
        <f>SampleList[[#This Row],[Duration (Days)]]</f>
        <v>0</v>
      </c>
      <c r="G763">
        <f>NMRResults[[#This Row],['#]]</f>
        <v>0</v>
      </c>
      <c r="H763" s="1">
        <f>NMRResults[[#This Row],[Date Run]]</f>
        <v>0</v>
      </c>
    </row>
    <row r="764" spans="1:8" hidden="1" x14ac:dyDescent="0.25">
      <c r="A764" t="str" cm="1">
        <f t="array" ref="A764">IF(AND(ISBLANK(INDEX(SampleList[pH],ROW()-1)),ISBLANK(INDEX(SampleList[Conductivity],ROW()-1)),ISBLANK(INDEX(SampleList[Modification],ROW()-1))),"Not Requested",INDEX(SampleList[Experiment ID],ROW()-1))</f>
        <v>Not Requested</v>
      </c>
      <c r="B764">
        <f>SampleList[[#This Row],[Duration (Days)]]</f>
        <v>0</v>
      </c>
      <c r="G764">
        <f>NMRResults[[#This Row],['#]]</f>
        <v>0</v>
      </c>
      <c r="H764" s="1">
        <f>NMRResults[[#This Row],[Date Run]]</f>
        <v>0</v>
      </c>
    </row>
    <row r="765" spans="1:8" hidden="1" x14ac:dyDescent="0.25">
      <c r="A765" t="str" cm="1">
        <f t="array" ref="A765">IF(AND(ISBLANK(INDEX(SampleList[pH],ROW()-1)),ISBLANK(INDEX(SampleList[Conductivity],ROW()-1)),ISBLANK(INDEX(SampleList[Modification],ROW()-1))),"Not Requested",INDEX(SampleList[Experiment ID],ROW()-1))</f>
        <v>Not Requested</v>
      </c>
      <c r="B765">
        <f>SampleList[[#This Row],[Duration (Days)]]</f>
        <v>0</v>
      </c>
      <c r="G765">
        <f>NMRResults[[#This Row],['#]]</f>
        <v>0</v>
      </c>
      <c r="H765" s="1">
        <f>NMRResults[[#This Row],[Date Run]]</f>
        <v>0</v>
      </c>
    </row>
    <row r="766" spans="1:8" hidden="1" x14ac:dyDescent="0.25">
      <c r="A766" t="str" cm="1">
        <f t="array" ref="A766">IF(AND(ISBLANK(INDEX(SampleList[pH],ROW()-1)),ISBLANK(INDEX(SampleList[Conductivity],ROW()-1)),ISBLANK(INDEX(SampleList[Modification],ROW()-1))),"Not Requested",INDEX(SampleList[Experiment ID],ROW()-1))</f>
        <v>Not Requested</v>
      </c>
      <c r="B766">
        <f>SampleList[[#This Row],[Duration (Days)]]</f>
        <v>0</v>
      </c>
      <c r="G766">
        <f>NMRResults[[#This Row],['#]]</f>
        <v>0</v>
      </c>
      <c r="H766" s="1">
        <f>NMRResults[[#This Row],[Date Run]]</f>
        <v>0</v>
      </c>
    </row>
    <row r="767" spans="1:8" hidden="1" x14ac:dyDescent="0.25">
      <c r="A767" t="str" cm="1">
        <f t="array" ref="A767">IF(AND(ISBLANK(INDEX(SampleList[pH],ROW()-1)),ISBLANK(INDEX(SampleList[Conductivity],ROW()-1)),ISBLANK(INDEX(SampleList[Modification],ROW()-1))),"Not Requested",INDEX(SampleList[Experiment ID],ROW()-1))</f>
        <v>Not Requested</v>
      </c>
      <c r="B767">
        <f>SampleList[[#This Row],[Duration (Days)]]</f>
        <v>0</v>
      </c>
      <c r="G767">
        <f>NMRResults[[#This Row],['#]]</f>
        <v>0</v>
      </c>
      <c r="H767" s="1">
        <f>NMRResults[[#This Row],[Date Run]]</f>
        <v>0</v>
      </c>
    </row>
    <row r="768" spans="1:8" hidden="1" x14ac:dyDescent="0.25">
      <c r="A768" t="str" cm="1">
        <f t="array" ref="A768">IF(AND(ISBLANK(INDEX(SampleList[pH],ROW()-1)),ISBLANK(INDEX(SampleList[Conductivity],ROW()-1)),ISBLANK(INDEX(SampleList[Modification],ROW()-1))),"Not Requested",INDEX(SampleList[Experiment ID],ROW()-1))</f>
        <v>Not Requested</v>
      </c>
      <c r="B768">
        <f>SampleList[[#This Row],[Duration (Days)]]</f>
        <v>0</v>
      </c>
      <c r="G768">
        <f>NMRResults[[#This Row],['#]]</f>
        <v>0</v>
      </c>
      <c r="H768" s="1">
        <f>NMRResults[[#This Row],[Date Run]]</f>
        <v>0</v>
      </c>
    </row>
    <row r="769" spans="1:8" hidden="1" x14ac:dyDescent="0.25">
      <c r="A769" t="str" cm="1">
        <f t="array" ref="A769">IF(AND(ISBLANK(INDEX(SampleList[pH],ROW()-1)),ISBLANK(INDEX(SampleList[Conductivity],ROW()-1)),ISBLANK(INDEX(SampleList[Modification],ROW()-1))),"Not Requested",INDEX(SampleList[Experiment ID],ROW()-1))</f>
        <v>Not Requested</v>
      </c>
      <c r="B769">
        <f>SampleList[[#This Row],[Duration (Days)]]</f>
        <v>0</v>
      </c>
      <c r="G769">
        <f>NMRResults[[#This Row],['#]]</f>
        <v>0</v>
      </c>
      <c r="H769" s="1">
        <f>NMRResults[[#This Row],[Date Run]]</f>
        <v>0</v>
      </c>
    </row>
    <row r="770" spans="1:8" hidden="1" x14ac:dyDescent="0.25">
      <c r="A770" t="str" cm="1">
        <f t="array" ref="A770">IF(AND(ISBLANK(INDEX(SampleList[pH],ROW()-1)),ISBLANK(INDEX(SampleList[Conductivity],ROW()-1)),ISBLANK(INDEX(SampleList[Modification],ROW()-1))),"Not Requested",INDEX(SampleList[Experiment ID],ROW()-1))</f>
        <v>Not Requested</v>
      </c>
      <c r="B770">
        <f>SampleList[[#This Row],[Duration (Days)]]</f>
        <v>0</v>
      </c>
      <c r="G770">
        <f>NMRResults[[#This Row],['#]]</f>
        <v>0</v>
      </c>
      <c r="H770" s="1">
        <f>NMRResults[[#This Row],[Date Run]]</f>
        <v>0</v>
      </c>
    </row>
    <row r="771" spans="1:8" hidden="1" x14ac:dyDescent="0.25">
      <c r="A771" t="str" cm="1">
        <f t="array" ref="A771">IF(AND(ISBLANK(INDEX(SampleList[pH],ROW()-1)),ISBLANK(INDEX(SampleList[Conductivity],ROW()-1)),ISBLANK(INDEX(SampleList[Modification],ROW()-1))),"Not Requested",INDEX(SampleList[Experiment ID],ROW()-1))</f>
        <v>Not Requested</v>
      </c>
      <c r="B771">
        <f>SampleList[[#This Row],[Duration (Days)]]</f>
        <v>0</v>
      </c>
      <c r="G771">
        <f>NMRResults[[#This Row],['#]]</f>
        <v>0</v>
      </c>
      <c r="H771" s="1">
        <f>NMRResults[[#This Row],[Date Run]]</f>
        <v>0</v>
      </c>
    </row>
    <row r="772" spans="1:8" hidden="1" x14ac:dyDescent="0.25">
      <c r="A772" t="str" cm="1">
        <f t="array" ref="A772">IF(AND(ISBLANK(INDEX(SampleList[pH],ROW()-1)),ISBLANK(INDEX(SampleList[Conductivity],ROW()-1)),ISBLANK(INDEX(SampleList[Modification],ROW()-1))),"Not Requested",INDEX(SampleList[Experiment ID],ROW()-1))</f>
        <v>Not Requested</v>
      </c>
      <c r="B772">
        <f>SampleList[[#This Row],[Duration (Days)]]</f>
        <v>0</v>
      </c>
      <c r="G772">
        <f>NMRResults[[#This Row],['#]]</f>
        <v>0</v>
      </c>
      <c r="H772" s="1">
        <f>NMRResults[[#This Row],[Date Run]]</f>
        <v>0</v>
      </c>
    </row>
    <row r="773" spans="1:8" hidden="1" x14ac:dyDescent="0.25">
      <c r="A773" t="str" cm="1">
        <f t="array" ref="A773">IF(AND(ISBLANK(INDEX(SampleList[pH],ROW()-1)),ISBLANK(INDEX(SampleList[Conductivity],ROW()-1)),ISBLANK(INDEX(SampleList[Modification],ROW()-1))),"Not Requested",INDEX(SampleList[Experiment ID],ROW()-1))</f>
        <v>Not Requested</v>
      </c>
      <c r="B773">
        <f>SampleList[[#This Row],[Duration (Days)]]</f>
        <v>0</v>
      </c>
      <c r="G773">
        <f>NMRResults[[#This Row],['#]]</f>
        <v>0</v>
      </c>
      <c r="H773" s="1">
        <f>NMRResults[[#This Row],[Date Run]]</f>
        <v>0</v>
      </c>
    </row>
    <row r="774" spans="1:8" hidden="1" x14ac:dyDescent="0.25">
      <c r="A774" t="str" cm="1">
        <f t="array" ref="A774">IF(AND(ISBLANK(INDEX(SampleList[pH],ROW()-1)),ISBLANK(INDEX(SampleList[Conductivity],ROW()-1)),ISBLANK(INDEX(SampleList[Modification],ROW()-1))),"Not Requested",INDEX(SampleList[Experiment ID],ROW()-1))</f>
        <v>Not Requested</v>
      </c>
      <c r="B774">
        <f>SampleList[[#This Row],[Duration (Days)]]</f>
        <v>0</v>
      </c>
      <c r="G774">
        <f>NMRResults[[#This Row],['#]]</f>
        <v>0</v>
      </c>
      <c r="H774" s="1">
        <f>NMRResults[[#This Row],[Date Run]]</f>
        <v>0</v>
      </c>
    </row>
    <row r="775" spans="1:8" hidden="1" x14ac:dyDescent="0.25">
      <c r="A775" t="str" cm="1">
        <f t="array" ref="A775">IF(AND(ISBLANK(INDEX(SampleList[pH],ROW()-1)),ISBLANK(INDEX(SampleList[Conductivity],ROW()-1)),ISBLANK(INDEX(SampleList[Modification],ROW()-1))),"Not Requested",INDEX(SampleList[Experiment ID],ROW()-1))</f>
        <v>Not Requested</v>
      </c>
      <c r="B775">
        <f>SampleList[[#This Row],[Duration (Days)]]</f>
        <v>0</v>
      </c>
      <c r="G775">
        <f>NMRResults[[#This Row],['#]]</f>
        <v>0</v>
      </c>
      <c r="H775" s="1">
        <f>NMRResults[[#This Row],[Date Run]]</f>
        <v>0</v>
      </c>
    </row>
    <row r="776" spans="1:8" hidden="1" x14ac:dyDescent="0.25">
      <c r="A776" t="str" cm="1">
        <f t="array" ref="A776">IF(AND(ISBLANK(INDEX(SampleList[pH],ROW()-1)),ISBLANK(INDEX(SampleList[Conductivity],ROW()-1)),ISBLANK(INDEX(SampleList[Modification],ROW()-1))),"Not Requested",INDEX(SampleList[Experiment ID],ROW()-1))</f>
        <v>Not Requested</v>
      </c>
      <c r="B776">
        <f>SampleList[[#This Row],[Duration (Days)]]</f>
        <v>0</v>
      </c>
      <c r="G776">
        <f>NMRResults[[#This Row],['#]]</f>
        <v>0</v>
      </c>
      <c r="H776" s="1">
        <f>NMRResults[[#This Row],[Date Run]]</f>
        <v>0</v>
      </c>
    </row>
    <row r="777" spans="1:8" hidden="1" x14ac:dyDescent="0.25">
      <c r="A777" t="str" cm="1">
        <f t="array" ref="A777">IF(AND(ISBLANK(INDEX(SampleList[pH],ROW()-1)),ISBLANK(INDEX(SampleList[Conductivity],ROW()-1)),ISBLANK(INDEX(SampleList[Modification],ROW()-1))),"Not Requested",INDEX(SampleList[Experiment ID],ROW()-1))</f>
        <v>Not Requested</v>
      </c>
      <c r="B777">
        <f>SampleList[[#This Row],[Duration (Days)]]</f>
        <v>0</v>
      </c>
      <c r="G777">
        <f>NMRResults[[#This Row],['#]]</f>
        <v>0</v>
      </c>
      <c r="H777" s="1">
        <f>NMRResults[[#This Row],[Date Run]]</f>
        <v>0</v>
      </c>
    </row>
    <row r="778" spans="1:8" hidden="1" x14ac:dyDescent="0.25">
      <c r="A778" t="str" cm="1">
        <f t="array" ref="A778">IF(AND(ISBLANK(INDEX(SampleList[pH],ROW()-1)),ISBLANK(INDEX(SampleList[Conductivity],ROW()-1)),ISBLANK(INDEX(SampleList[Modification],ROW()-1))),"Not Requested",INDEX(SampleList[Experiment ID],ROW()-1))</f>
        <v>Not Requested</v>
      </c>
      <c r="B778">
        <f>SampleList[[#This Row],[Duration (Days)]]</f>
        <v>0</v>
      </c>
      <c r="G778">
        <f>NMRResults[[#This Row],['#]]</f>
        <v>0</v>
      </c>
      <c r="H778" s="1">
        <f>NMRResults[[#This Row],[Date Run]]</f>
        <v>0</v>
      </c>
    </row>
    <row r="779" spans="1:8" hidden="1" x14ac:dyDescent="0.25">
      <c r="A779" t="str" cm="1">
        <f t="array" ref="A779">IF(AND(ISBLANK(INDEX(SampleList[pH],ROW()-1)),ISBLANK(INDEX(SampleList[Conductivity],ROW()-1)),ISBLANK(INDEX(SampleList[Modification],ROW()-1))),"Not Requested",INDEX(SampleList[Experiment ID],ROW()-1))</f>
        <v>Not Requested</v>
      </c>
      <c r="B779">
        <f>SampleList[[#This Row],[Duration (Days)]]</f>
        <v>0</v>
      </c>
      <c r="G779">
        <f>NMRResults[[#This Row],['#]]</f>
        <v>0</v>
      </c>
      <c r="H779" s="1">
        <f>NMRResults[[#This Row],[Date Run]]</f>
        <v>0</v>
      </c>
    </row>
    <row r="780" spans="1:8" hidden="1" x14ac:dyDescent="0.25">
      <c r="A780" t="str" cm="1">
        <f t="array" ref="A780">IF(AND(ISBLANK(INDEX(SampleList[pH],ROW()-1)),ISBLANK(INDEX(SampleList[Conductivity],ROW()-1)),ISBLANK(INDEX(SampleList[Modification],ROW()-1))),"Not Requested",INDEX(SampleList[Experiment ID],ROW()-1))</f>
        <v>Not Requested</v>
      </c>
      <c r="B780">
        <f>SampleList[[#This Row],[Duration (Days)]]</f>
        <v>0</v>
      </c>
      <c r="G780">
        <f>NMRResults[[#This Row],['#]]</f>
        <v>0</v>
      </c>
      <c r="H780" s="1">
        <f>NMRResults[[#This Row],[Date Run]]</f>
        <v>0</v>
      </c>
    </row>
    <row r="781" spans="1:8" hidden="1" x14ac:dyDescent="0.25">
      <c r="A781" t="str" cm="1">
        <f t="array" ref="A781">IF(AND(ISBLANK(INDEX(SampleList[pH],ROW()-1)),ISBLANK(INDEX(SampleList[Conductivity],ROW()-1)),ISBLANK(INDEX(SampleList[Modification],ROW()-1))),"Not Requested",INDEX(SampleList[Experiment ID],ROW()-1))</f>
        <v>Not Requested</v>
      </c>
      <c r="B781">
        <f>SampleList[[#This Row],[Duration (Days)]]</f>
        <v>0</v>
      </c>
      <c r="G781">
        <f>NMRResults[[#This Row],['#]]</f>
        <v>0</v>
      </c>
      <c r="H781" s="1">
        <f>NMRResults[[#This Row],[Date Run]]</f>
        <v>0</v>
      </c>
    </row>
    <row r="782" spans="1:8" hidden="1" x14ac:dyDescent="0.25">
      <c r="A782" t="str" cm="1">
        <f t="array" ref="A782">IF(AND(ISBLANK(INDEX(SampleList[pH],ROW()-1)),ISBLANK(INDEX(SampleList[Conductivity],ROW()-1)),ISBLANK(INDEX(SampleList[Modification],ROW()-1))),"Not Requested",INDEX(SampleList[Experiment ID],ROW()-1))</f>
        <v>Not Requested</v>
      </c>
      <c r="B782">
        <f>SampleList[[#This Row],[Duration (Days)]]</f>
        <v>0</v>
      </c>
      <c r="G782">
        <f>NMRResults[[#This Row],['#]]</f>
        <v>0</v>
      </c>
      <c r="H782" s="1">
        <f>NMRResults[[#This Row],[Date Run]]</f>
        <v>0</v>
      </c>
    </row>
    <row r="783" spans="1:8" hidden="1" x14ac:dyDescent="0.25">
      <c r="A783" t="str" cm="1">
        <f t="array" ref="A783">IF(AND(ISBLANK(INDEX(SampleList[pH],ROW()-1)),ISBLANK(INDEX(SampleList[Conductivity],ROW()-1)),ISBLANK(INDEX(SampleList[Modification],ROW()-1))),"Not Requested",INDEX(SampleList[Experiment ID],ROW()-1))</f>
        <v>Not Requested</v>
      </c>
      <c r="B783">
        <f>SampleList[[#This Row],[Duration (Days)]]</f>
        <v>0</v>
      </c>
      <c r="G783">
        <f>NMRResults[[#This Row],['#]]</f>
        <v>0</v>
      </c>
      <c r="H783" s="1">
        <f>NMRResults[[#This Row],[Date Run]]</f>
        <v>0</v>
      </c>
    </row>
    <row r="784" spans="1:8" hidden="1" x14ac:dyDescent="0.25">
      <c r="A784" t="str" cm="1">
        <f t="array" ref="A784">IF(AND(ISBLANK(INDEX(SampleList[pH],ROW()-1)),ISBLANK(INDEX(SampleList[Conductivity],ROW()-1)),ISBLANK(INDEX(SampleList[Modification],ROW()-1))),"Not Requested",INDEX(SampleList[Experiment ID],ROW()-1))</f>
        <v>Not Requested</v>
      </c>
      <c r="B784">
        <f>SampleList[[#This Row],[Duration (Days)]]</f>
        <v>0</v>
      </c>
      <c r="G784">
        <f>NMRResults[[#This Row],['#]]</f>
        <v>0</v>
      </c>
      <c r="H784" s="1">
        <f>NMRResults[[#This Row],[Date Run]]</f>
        <v>0</v>
      </c>
    </row>
    <row r="785" spans="1:8" hidden="1" x14ac:dyDescent="0.25">
      <c r="A785" t="str" cm="1">
        <f t="array" ref="A785">IF(AND(ISBLANK(INDEX(SampleList[pH],ROW()-1)),ISBLANK(INDEX(SampleList[Conductivity],ROW()-1)),ISBLANK(INDEX(SampleList[Modification],ROW()-1))),"Not Requested",INDEX(SampleList[Experiment ID],ROW()-1))</f>
        <v>Not Requested</v>
      </c>
      <c r="B785">
        <f>SampleList[[#This Row],[Duration (Days)]]</f>
        <v>0</v>
      </c>
      <c r="G785">
        <f>NMRResults[[#This Row],['#]]</f>
        <v>0</v>
      </c>
      <c r="H785" s="1">
        <f>NMRResults[[#This Row],[Date Run]]</f>
        <v>0</v>
      </c>
    </row>
    <row r="786" spans="1:8" hidden="1" x14ac:dyDescent="0.25">
      <c r="A786" t="str" cm="1">
        <f t="array" ref="A786">IF(AND(ISBLANK(INDEX(SampleList[pH],ROW()-1)),ISBLANK(INDEX(SampleList[Conductivity],ROW()-1)),ISBLANK(INDEX(SampleList[Modification],ROW()-1))),"Not Requested",INDEX(SampleList[Experiment ID],ROW()-1))</f>
        <v>Not Requested</v>
      </c>
      <c r="B786">
        <f>SampleList[[#This Row],[Duration (Days)]]</f>
        <v>0</v>
      </c>
      <c r="G786">
        <f>NMRResults[[#This Row],['#]]</f>
        <v>0</v>
      </c>
      <c r="H786" s="1">
        <f>NMRResults[[#This Row],[Date Run]]</f>
        <v>0</v>
      </c>
    </row>
    <row r="787" spans="1:8" hidden="1" x14ac:dyDescent="0.25">
      <c r="A787" t="str" cm="1">
        <f t="array" ref="A787">IF(AND(ISBLANK(INDEX(SampleList[pH],ROW()-1)),ISBLANK(INDEX(SampleList[Conductivity],ROW()-1)),ISBLANK(INDEX(SampleList[Modification],ROW()-1))),"Not Requested",INDEX(SampleList[Experiment ID],ROW()-1))</f>
        <v>Not Requested</v>
      </c>
      <c r="B787">
        <f>SampleList[[#This Row],[Duration (Days)]]</f>
        <v>0</v>
      </c>
      <c r="G787">
        <f>NMRResults[[#This Row],['#]]</f>
        <v>0</v>
      </c>
      <c r="H787" s="1">
        <f>NMRResults[[#This Row],[Date Run]]</f>
        <v>0</v>
      </c>
    </row>
    <row r="788" spans="1:8" hidden="1" x14ac:dyDescent="0.25">
      <c r="A788" t="str" cm="1">
        <f t="array" ref="A788">IF(AND(ISBLANK(INDEX(SampleList[pH],ROW()-1)),ISBLANK(INDEX(SampleList[Conductivity],ROW()-1)),ISBLANK(INDEX(SampleList[Modification],ROW()-1))),"Not Requested",INDEX(SampleList[Experiment ID],ROW()-1))</f>
        <v>Not Requested</v>
      </c>
      <c r="B788">
        <f>SampleList[[#This Row],[Duration (Days)]]</f>
        <v>0</v>
      </c>
      <c r="G788">
        <f>NMRResults[[#This Row],['#]]</f>
        <v>0</v>
      </c>
      <c r="H788" s="1">
        <f>NMRResults[[#This Row],[Date Run]]</f>
        <v>0</v>
      </c>
    </row>
    <row r="789" spans="1:8" hidden="1" x14ac:dyDescent="0.25">
      <c r="A789" t="str" cm="1">
        <f t="array" ref="A789">IF(AND(ISBLANK(INDEX(SampleList[pH],ROW()-1)),ISBLANK(INDEX(SampleList[Conductivity],ROW()-1)),ISBLANK(INDEX(SampleList[Modification],ROW()-1))),"Not Requested",INDEX(SampleList[Experiment ID],ROW()-1))</f>
        <v>Not Requested</v>
      </c>
      <c r="B789">
        <f>SampleList[[#This Row],[Duration (Days)]]</f>
        <v>0</v>
      </c>
      <c r="G789">
        <f>NMRResults[[#This Row],['#]]</f>
        <v>0</v>
      </c>
      <c r="H789" s="1">
        <f>NMRResults[[#This Row],[Date Run]]</f>
        <v>0</v>
      </c>
    </row>
    <row r="790" spans="1:8" hidden="1" x14ac:dyDescent="0.25">
      <c r="A790" t="str" cm="1">
        <f t="array" ref="A790">IF(AND(ISBLANK(INDEX(SampleList[pH],ROW()-1)),ISBLANK(INDEX(SampleList[Conductivity],ROW()-1)),ISBLANK(INDEX(SampleList[Modification],ROW()-1))),"Not Requested",INDEX(SampleList[Experiment ID],ROW()-1))</f>
        <v>Not Requested</v>
      </c>
      <c r="B790">
        <f>SampleList[[#This Row],[Duration (Days)]]</f>
        <v>0</v>
      </c>
      <c r="G790">
        <f>NMRResults[[#This Row],['#]]</f>
        <v>0</v>
      </c>
      <c r="H790" s="1">
        <f>NMRResults[[#This Row],[Date Run]]</f>
        <v>0</v>
      </c>
    </row>
    <row r="791" spans="1:8" hidden="1" x14ac:dyDescent="0.25">
      <c r="A791" t="str" cm="1">
        <f t="array" ref="A791">IF(AND(ISBLANK(INDEX(SampleList[pH],ROW()-1)),ISBLANK(INDEX(SampleList[Conductivity],ROW()-1)),ISBLANK(INDEX(SampleList[Modification],ROW()-1))),"Not Requested",INDEX(SampleList[Experiment ID],ROW()-1))</f>
        <v>Not Requested</v>
      </c>
      <c r="B791">
        <f>SampleList[[#This Row],[Duration (Days)]]</f>
        <v>0</v>
      </c>
      <c r="G791">
        <f>NMRResults[[#This Row],['#]]</f>
        <v>0</v>
      </c>
      <c r="H791" s="1">
        <f>NMRResults[[#This Row],[Date Run]]</f>
        <v>0</v>
      </c>
    </row>
    <row r="792" spans="1:8" hidden="1" x14ac:dyDescent="0.25">
      <c r="A792" t="str" cm="1">
        <f t="array" ref="A792">IF(AND(ISBLANK(INDEX(SampleList[pH],ROW()-1)),ISBLANK(INDEX(SampleList[Conductivity],ROW()-1)),ISBLANK(INDEX(SampleList[Modification],ROW()-1))),"Not Requested",INDEX(SampleList[Experiment ID],ROW()-1))</f>
        <v>Not Requested</v>
      </c>
      <c r="B792">
        <f>SampleList[[#This Row],[Duration (Days)]]</f>
        <v>0</v>
      </c>
      <c r="G792">
        <f>NMRResults[[#This Row],['#]]</f>
        <v>0</v>
      </c>
      <c r="H792" s="1">
        <f>NMRResults[[#This Row],[Date Run]]</f>
        <v>0</v>
      </c>
    </row>
    <row r="793" spans="1:8" hidden="1" x14ac:dyDescent="0.25">
      <c r="A793" t="str" cm="1">
        <f t="array" ref="A793">IF(AND(ISBLANK(INDEX(SampleList[pH],ROW()-1)),ISBLANK(INDEX(SampleList[Conductivity],ROW()-1)),ISBLANK(INDEX(SampleList[Modification],ROW()-1))),"Not Requested",INDEX(SampleList[Experiment ID],ROW()-1))</f>
        <v>Not Requested</v>
      </c>
      <c r="B793">
        <f>SampleList[[#This Row],[Duration (Days)]]</f>
        <v>0</v>
      </c>
      <c r="G793">
        <f>NMRResults[[#This Row],['#]]</f>
        <v>0</v>
      </c>
      <c r="H793" s="1">
        <f>NMRResults[[#This Row],[Date Run]]</f>
        <v>0</v>
      </c>
    </row>
    <row r="794" spans="1:8" hidden="1" x14ac:dyDescent="0.25">
      <c r="A794" t="str" cm="1">
        <f t="array" ref="A794">IF(AND(ISBLANK(INDEX(SampleList[pH],ROW()-1)),ISBLANK(INDEX(SampleList[Conductivity],ROW()-1)),ISBLANK(INDEX(SampleList[Modification],ROW()-1))),"Not Requested",INDEX(SampleList[Experiment ID],ROW()-1))</f>
        <v>Not Requested</v>
      </c>
      <c r="B794">
        <f>SampleList[[#This Row],[Duration (Days)]]</f>
        <v>0</v>
      </c>
      <c r="G794">
        <f>NMRResults[[#This Row],['#]]</f>
        <v>0</v>
      </c>
      <c r="H794" s="1">
        <f>NMRResults[[#This Row],[Date Run]]</f>
        <v>0</v>
      </c>
    </row>
    <row r="795" spans="1:8" hidden="1" x14ac:dyDescent="0.25">
      <c r="A795" t="str" cm="1">
        <f t="array" ref="A795">IF(AND(ISBLANK(INDEX(SampleList[pH],ROW()-1)),ISBLANK(INDEX(SampleList[Conductivity],ROW()-1)),ISBLANK(INDEX(SampleList[Modification],ROW()-1))),"Not Requested",INDEX(SampleList[Experiment ID],ROW()-1))</f>
        <v>Not Requested</v>
      </c>
      <c r="B795">
        <f>SampleList[[#This Row],[Duration (Days)]]</f>
        <v>0</v>
      </c>
      <c r="G795">
        <f>NMRResults[[#This Row],['#]]</f>
        <v>0</v>
      </c>
      <c r="H795" s="1">
        <f>NMRResults[[#This Row],[Date Run]]</f>
        <v>0</v>
      </c>
    </row>
    <row r="796" spans="1:8" hidden="1" x14ac:dyDescent="0.25">
      <c r="A796" t="str" cm="1">
        <f t="array" ref="A796">IF(AND(ISBLANK(INDEX(SampleList[pH],ROW()-1)),ISBLANK(INDEX(SampleList[Conductivity],ROW()-1)),ISBLANK(INDEX(SampleList[Modification],ROW()-1))),"Not Requested",INDEX(SampleList[Experiment ID],ROW()-1))</f>
        <v>Not Requested</v>
      </c>
      <c r="B796">
        <f>SampleList[[#This Row],[Duration (Days)]]</f>
        <v>0</v>
      </c>
      <c r="G796">
        <f>NMRResults[[#This Row],['#]]</f>
        <v>0</v>
      </c>
      <c r="H796" s="1">
        <f>NMRResults[[#This Row],[Date Run]]</f>
        <v>0</v>
      </c>
    </row>
    <row r="797" spans="1:8" hidden="1" x14ac:dyDescent="0.25">
      <c r="A797" t="str" cm="1">
        <f t="array" ref="A797">IF(AND(ISBLANK(INDEX(SampleList[pH],ROW()-1)),ISBLANK(INDEX(SampleList[Conductivity],ROW()-1)),ISBLANK(INDEX(SampleList[Modification],ROW()-1))),"Not Requested",INDEX(SampleList[Experiment ID],ROW()-1))</f>
        <v>Not Requested</v>
      </c>
      <c r="B797">
        <f>SampleList[[#This Row],[Duration (Days)]]</f>
        <v>0</v>
      </c>
      <c r="G797">
        <f>NMRResults[[#This Row],['#]]</f>
        <v>0</v>
      </c>
      <c r="H797" s="1">
        <f>NMRResults[[#This Row],[Date Run]]</f>
        <v>0</v>
      </c>
    </row>
    <row r="798" spans="1:8" hidden="1" x14ac:dyDescent="0.25">
      <c r="A798" t="str" cm="1">
        <f t="array" ref="A798">IF(AND(ISBLANK(INDEX(SampleList[pH],ROW()-1)),ISBLANK(INDEX(SampleList[Conductivity],ROW()-1)),ISBLANK(INDEX(SampleList[Modification],ROW()-1))),"Not Requested",INDEX(SampleList[Experiment ID],ROW()-1))</f>
        <v>Not Requested</v>
      </c>
      <c r="B798">
        <f>SampleList[[#This Row],[Duration (Days)]]</f>
        <v>0</v>
      </c>
      <c r="G798">
        <f>NMRResults[[#This Row],['#]]</f>
        <v>0</v>
      </c>
      <c r="H798" s="1">
        <f>NMRResults[[#This Row],[Date Run]]</f>
        <v>0</v>
      </c>
    </row>
    <row r="799" spans="1:8" hidden="1" x14ac:dyDescent="0.25">
      <c r="A799" t="str" cm="1">
        <f t="array" ref="A799">IF(AND(ISBLANK(INDEX(SampleList[pH],ROW()-1)),ISBLANK(INDEX(SampleList[Conductivity],ROW()-1)),ISBLANK(INDEX(SampleList[Modification],ROW()-1))),"Not Requested",INDEX(SampleList[Experiment ID],ROW()-1))</f>
        <v>Not Requested</v>
      </c>
      <c r="B799">
        <f>SampleList[[#This Row],[Duration (Days)]]</f>
        <v>0</v>
      </c>
      <c r="G799">
        <f>NMRResults[[#This Row],['#]]</f>
        <v>0</v>
      </c>
      <c r="H799" s="1">
        <f>NMRResults[[#This Row],[Date Run]]</f>
        <v>0</v>
      </c>
    </row>
    <row r="800" spans="1:8" hidden="1" x14ac:dyDescent="0.25">
      <c r="A800" t="str" cm="1">
        <f t="array" ref="A800">IF(AND(ISBLANK(INDEX(SampleList[pH],ROW()-1)),ISBLANK(INDEX(SampleList[Conductivity],ROW()-1)),ISBLANK(INDEX(SampleList[Modification],ROW()-1))),"Not Requested",INDEX(SampleList[Experiment ID],ROW()-1))</f>
        <v>Not Requested</v>
      </c>
      <c r="B800">
        <f>SampleList[[#This Row],[Duration (Days)]]</f>
        <v>0</v>
      </c>
      <c r="G800">
        <f>NMRResults[[#This Row],['#]]</f>
        <v>0</v>
      </c>
      <c r="H800" s="1">
        <f>NMRResults[[#This Row],[Date Run]]</f>
        <v>0</v>
      </c>
    </row>
    <row r="801" spans="1:8" hidden="1" x14ac:dyDescent="0.25">
      <c r="A801" t="str" cm="1">
        <f t="array" ref="A801">IF(AND(ISBLANK(INDEX(SampleList[pH],ROW()-1)),ISBLANK(INDEX(SampleList[Conductivity],ROW()-1)),ISBLANK(INDEX(SampleList[Modification],ROW()-1))),"Not Requested",INDEX(SampleList[Experiment ID],ROW()-1))</f>
        <v>Not Requested</v>
      </c>
      <c r="B801">
        <f>SampleList[[#This Row],[Duration (Days)]]</f>
        <v>0</v>
      </c>
      <c r="G801">
        <f>NMRResults[[#This Row],['#]]</f>
        <v>0</v>
      </c>
      <c r="H801" s="1">
        <f>NMRResults[[#This Row],[Date Run]]</f>
        <v>0</v>
      </c>
    </row>
    <row r="802" spans="1:8" hidden="1" x14ac:dyDescent="0.25">
      <c r="A802" t="str" cm="1">
        <f t="array" ref="A802">IF(AND(ISBLANK(INDEX(SampleList[pH],ROW()-1)),ISBLANK(INDEX(SampleList[Conductivity],ROW()-1)),ISBLANK(INDEX(SampleList[Modification],ROW()-1))),"Not Requested",INDEX(SampleList[Experiment ID],ROW()-1))</f>
        <v>Not Requested</v>
      </c>
      <c r="B802">
        <f>SampleList[[#This Row],[Duration (Days)]]</f>
        <v>0</v>
      </c>
      <c r="G802">
        <f>NMRResults[[#This Row],['#]]</f>
        <v>0</v>
      </c>
      <c r="H802" s="1">
        <f>NMRResults[[#This Row],[Date Run]]</f>
        <v>0</v>
      </c>
    </row>
    <row r="803" spans="1:8" hidden="1" x14ac:dyDescent="0.25">
      <c r="A803" t="str" cm="1">
        <f t="array" ref="A803">IF(AND(ISBLANK(INDEX(SampleList[pH],ROW()-1)),ISBLANK(INDEX(SampleList[Conductivity],ROW()-1)),ISBLANK(INDEX(SampleList[Modification],ROW()-1))),"Not Requested",INDEX(SampleList[Experiment ID],ROW()-1))</f>
        <v>Not Requested</v>
      </c>
      <c r="B803">
        <f>SampleList[[#This Row],[Duration (Days)]]</f>
        <v>0</v>
      </c>
      <c r="G803">
        <f>NMRResults[[#This Row],['#]]</f>
        <v>0</v>
      </c>
      <c r="H803" s="1">
        <f>NMRResults[[#This Row],[Date Run]]</f>
        <v>0</v>
      </c>
    </row>
    <row r="804" spans="1:8" hidden="1" x14ac:dyDescent="0.25">
      <c r="A804" t="str" cm="1">
        <f t="array" ref="A804">IF(AND(ISBLANK(INDEX(SampleList[pH],ROW()-1)),ISBLANK(INDEX(SampleList[Conductivity],ROW()-1)),ISBLANK(INDEX(SampleList[Modification],ROW()-1))),"Not Requested",INDEX(SampleList[Experiment ID],ROW()-1))</f>
        <v>Not Requested</v>
      </c>
      <c r="B804">
        <f>SampleList[[#This Row],[Duration (Days)]]</f>
        <v>0</v>
      </c>
      <c r="G804">
        <f>NMRResults[[#This Row],['#]]</f>
        <v>0</v>
      </c>
      <c r="H804" s="1">
        <f>NMRResults[[#This Row],[Date Run]]</f>
        <v>0</v>
      </c>
    </row>
    <row r="805" spans="1:8" hidden="1" x14ac:dyDescent="0.25">
      <c r="A805" t="str" cm="1">
        <f t="array" ref="A805">IF(AND(ISBLANK(INDEX(SampleList[pH],ROW()-1)),ISBLANK(INDEX(SampleList[Conductivity],ROW()-1)),ISBLANK(INDEX(SampleList[Modification],ROW()-1))),"Not Requested",INDEX(SampleList[Experiment ID],ROW()-1))</f>
        <v>Not Requested</v>
      </c>
      <c r="B805">
        <f>SampleList[[#This Row],[Duration (Days)]]</f>
        <v>0</v>
      </c>
      <c r="G805">
        <f>NMRResults[[#This Row],['#]]</f>
        <v>0</v>
      </c>
      <c r="H805" s="1">
        <f>NMRResults[[#This Row],[Date Run]]</f>
        <v>0</v>
      </c>
    </row>
    <row r="806" spans="1:8" hidden="1" x14ac:dyDescent="0.25">
      <c r="A806" t="str" cm="1">
        <f t="array" ref="A806">IF(AND(ISBLANK(INDEX(SampleList[pH],ROW()-1)),ISBLANK(INDEX(SampleList[Conductivity],ROW()-1)),ISBLANK(INDEX(SampleList[Modification],ROW()-1))),"Not Requested",INDEX(SampleList[Experiment ID],ROW()-1))</f>
        <v>Not Requested</v>
      </c>
      <c r="B806">
        <f>SampleList[[#This Row],[Duration (Days)]]</f>
        <v>0</v>
      </c>
      <c r="G806">
        <f>NMRResults[[#This Row],['#]]</f>
        <v>0</v>
      </c>
      <c r="H806" s="1">
        <f>NMRResults[[#This Row],[Date Run]]</f>
        <v>0</v>
      </c>
    </row>
    <row r="807" spans="1:8" hidden="1" x14ac:dyDescent="0.25">
      <c r="A807" t="str" cm="1">
        <f t="array" ref="A807">IF(AND(ISBLANK(INDEX(SampleList[pH],ROW()-1)),ISBLANK(INDEX(SampleList[Conductivity],ROW()-1)),ISBLANK(INDEX(SampleList[Modification],ROW()-1))),"Not Requested",INDEX(SampleList[Experiment ID],ROW()-1))</f>
        <v>Not Requested</v>
      </c>
      <c r="B807">
        <f>SampleList[[#This Row],[Duration (Days)]]</f>
        <v>0</v>
      </c>
      <c r="G807">
        <f>NMRResults[[#This Row],['#]]</f>
        <v>0</v>
      </c>
      <c r="H807" s="1">
        <f>NMRResults[[#This Row],[Date Run]]</f>
        <v>0</v>
      </c>
    </row>
    <row r="808" spans="1:8" hidden="1" x14ac:dyDescent="0.25">
      <c r="A808" t="str" cm="1">
        <f t="array" ref="A808">IF(AND(ISBLANK(INDEX(SampleList[pH],ROW()-1)),ISBLANK(INDEX(SampleList[Conductivity],ROW()-1)),ISBLANK(INDEX(SampleList[Modification],ROW()-1))),"Not Requested",INDEX(SampleList[Experiment ID],ROW()-1))</f>
        <v>Not Requested</v>
      </c>
      <c r="B808">
        <f>SampleList[[#This Row],[Duration (Days)]]</f>
        <v>0</v>
      </c>
      <c r="G808">
        <f>NMRResults[[#This Row],['#]]</f>
        <v>0</v>
      </c>
      <c r="H808" s="1">
        <f>NMRResults[[#This Row],[Date Run]]</f>
        <v>0</v>
      </c>
    </row>
    <row r="809" spans="1:8" hidden="1" x14ac:dyDescent="0.25">
      <c r="A809" t="str" cm="1">
        <f t="array" ref="A809">IF(AND(ISBLANK(INDEX(SampleList[pH],ROW()-1)),ISBLANK(INDEX(SampleList[Conductivity],ROW()-1)),ISBLANK(INDEX(SampleList[Modification],ROW()-1))),"Not Requested",INDEX(SampleList[Experiment ID],ROW()-1))</f>
        <v>Not Requested</v>
      </c>
      <c r="B809">
        <f>SampleList[[#This Row],[Duration (Days)]]</f>
        <v>0</v>
      </c>
      <c r="G809">
        <f>NMRResults[[#This Row],['#]]</f>
        <v>0</v>
      </c>
      <c r="H809" s="1">
        <f>NMRResults[[#This Row],[Date Run]]</f>
        <v>0</v>
      </c>
    </row>
    <row r="810" spans="1:8" hidden="1" x14ac:dyDescent="0.25">
      <c r="A810" t="str" cm="1">
        <f t="array" ref="A810">IF(AND(ISBLANK(INDEX(SampleList[pH],ROW()-1)),ISBLANK(INDEX(SampleList[Conductivity],ROW()-1)),ISBLANK(INDEX(SampleList[Modification],ROW()-1))),"Not Requested",INDEX(SampleList[Experiment ID],ROW()-1))</f>
        <v>Not Requested</v>
      </c>
      <c r="B810">
        <f>SampleList[[#This Row],[Duration (Days)]]</f>
        <v>0</v>
      </c>
      <c r="G810">
        <f>NMRResults[[#This Row],['#]]</f>
        <v>0</v>
      </c>
      <c r="H810" s="1">
        <f>NMRResults[[#This Row],[Date Run]]</f>
        <v>0</v>
      </c>
    </row>
    <row r="811" spans="1:8" hidden="1" x14ac:dyDescent="0.25">
      <c r="A811" t="str" cm="1">
        <f t="array" ref="A811">IF(AND(ISBLANK(INDEX(SampleList[pH],ROW()-1)),ISBLANK(INDEX(SampleList[Conductivity],ROW()-1)),ISBLANK(INDEX(SampleList[Modification],ROW()-1))),"Not Requested",INDEX(SampleList[Experiment ID],ROW()-1))</f>
        <v>Not Requested</v>
      </c>
      <c r="B811">
        <f>SampleList[[#This Row],[Duration (Days)]]</f>
        <v>0</v>
      </c>
      <c r="G811">
        <f>NMRResults[[#This Row],['#]]</f>
        <v>0</v>
      </c>
      <c r="H811" s="1">
        <f>NMRResults[[#This Row],[Date Run]]</f>
        <v>0</v>
      </c>
    </row>
    <row r="812" spans="1:8" hidden="1" x14ac:dyDescent="0.25">
      <c r="A812" t="str" cm="1">
        <f t="array" ref="A812">IF(AND(ISBLANK(INDEX(SampleList[pH],ROW()-1)),ISBLANK(INDEX(SampleList[Conductivity],ROW()-1)),ISBLANK(INDEX(SampleList[Modification],ROW()-1))),"Not Requested",INDEX(SampleList[Experiment ID],ROW()-1))</f>
        <v>Not Requested</v>
      </c>
      <c r="B812">
        <f>SampleList[[#This Row],[Duration (Days)]]</f>
        <v>0</v>
      </c>
      <c r="G812">
        <f>NMRResults[[#This Row],['#]]</f>
        <v>0</v>
      </c>
      <c r="H812" s="1">
        <f>NMRResults[[#This Row],[Date Run]]</f>
        <v>0</v>
      </c>
    </row>
    <row r="813" spans="1:8" hidden="1" x14ac:dyDescent="0.25">
      <c r="A813" t="str" cm="1">
        <f t="array" ref="A813">IF(AND(ISBLANK(INDEX(SampleList[pH],ROW()-1)),ISBLANK(INDEX(SampleList[Conductivity],ROW()-1)),ISBLANK(INDEX(SampleList[Modification],ROW()-1))),"Not Requested",INDEX(SampleList[Experiment ID],ROW()-1))</f>
        <v>Not Requested</v>
      </c>
      <c r="B813">
        <f>SampleList[[#This Row],[Duration (Days)]]</f>
        <v>0</v>
      </c>
      <c r="G813">
        <f>NMRResults[[#This Row],['#]]</f>
        <v>0</v>
      </c>
      <c r="H813" s="1">
        <f>NMRResults[[#This Row],[Date Run]]</f>
        <v>0</v>
      </c>
    </row>
    <row r="814" spans="1:8" hidden="1" x14ac:dyDescent="0.25">
      <c r="A814" t="str" cm="1">
        <f t="array" ref="A814">IF(AND(ISBLANK(INDEX(SampleList[pH],ROW()-1)),ISBLANK(INDEX(SampleList[Conductivity],ROW()-1)),ISBLANK(INDEX(SampleList[Modification],ROW()-1))),"Not Requested",INDEX(SampleList[Experiment ID],ROW()-1))</f>
        <v>Not Requested</v>
      </c>
      <c r="B814">
        <f>SampleList[[#This Row],[Duration (Days)]]</f>
        <v>0</v>
      </c>
      <c r="G814">
        <f>NMRResults[[#This Row],['#]]</f>
        <v>0</v>
      </c>
      <c r="H814" s="1">
        <f>NMRResults[[#This Row],[Date Run]]</f>
        <v>0</v>
      </c>
    </row>
    <row r="815" spans="1:8" hidden="1" x14ac:dyDescent="0.25">
      <c r="A815" t="str" cm="1">
        <f t="array" ref="A815">IF(AND(ISBLANK(INDEX(SampleList[pH],ROW()-1)),ISBLANK(INDEX(SampleList[Conductivity],ROW()-1)),ISBLANK(INDEX(SampleList[Modification],ROW()-1))),"Not Requested",INDEX(SampleList[Experiment ID],ROW()-1))</f>
        <v>Not Requested</v>
      </c>
      <c r="B815">
        <f>SampleList[[#This Row],[Duration (Days)]]</f>
        <v>0</v>
      </c>
      <c r="G815">
        <f>NMRResults[[#This Row],['#]]</f>
        <v>0</v>
      </c>
      <c r="H815" s="1">
        <f>NMRResults[[#This Row],[Date Run]]</f>
        <v>0</v>
      </c>
    </row>
    <row r="816" spans="1:8" hidden="1" x14ac:dyDescent="0.25">
      <c r="A816" t="str" cm="1">
        <f t="array" ref="A816">IF(AND(ISBLANK(INDEX(SampleList[pH],ROW()-1)),ISBLANK(INDEX(SampleList[Conductivity],ROW()-1)),ISBLANK(INDEX(SampleList[Modification],ROW()-1))),"Not Requested",INDEX(SampleList[Experiment ID],ROW()-1))</f>
        <v>Not Requested</v>
      </c>
      <c r="B816">
        <f>SampleList[[#This Row],[Duration (Days)]]</f>
        <v>0</v>
      </c>
      <c r="G816">
        <f>NMRResults[[#This Row],['#]]</f>
        <v>0</v>
      </c>
      <c r="H816" s="1">
        <f>NMRResults[[#This Row],[Date Run]]</f>
        <v>0</v>
      </c>
    </row>
    <row r="817" spans="1:8" hidden="1" x14ac:dyDescent="0.25">
      <c r="A817" t="str" cm="1">
        <f t="array" ref="A817">IF(AND(ISBLANK(INDEX(SampleList[pH],ROW()-1)),ISBLANK(INDEX(SampleList[Conductivity],ROW()-1)),ISBLANK(INDEX(SampleList[Modification],ROW()-1))),"Not Requested",INDEX(SampleList[Experiment ID],ROW()-1))</f>
        <v>Not Requested</v>
      </c>
      <c r="B817">
        <f>SampleList[[#This Row],[Duration (Days)]]</f>
        <v>0</v>
      </c>
      <c r="G817">
        <f>NMRResults[[#This Row],['#]]</f>
        <v>0</v>
      </c>
      <c r="H817" s="1">
        <f>NMRResults[[#This Row],[Date Run]]</f>
        <v>0</v>
      </c>
    </row>
    <row r="818" spans="1:8" hidden="1" x14ac:dyDescent="0.25">
      <c r="A818" t="str" cm="1">
        <f t="array" ref="A818">IF(AND(ISBLANK(INDEX(SampleList[pH],ROW()-1)),ISBLANK(INDEX(SampleList[Conductivity],ROW()-1)),ISBLANK(INDEX(SampleList[Modification],ROW()-1))),"Not Requested",INDEX(SampleList[Experiment ID],ROW()-1))</f>
        <v>Not Requested</v>
      </c>
      <c r="B818">
        <f>SampleList[[#This Row],[Duration (Days)]]</f>
        <v>0</v>
      </c>
      <c r="G818">
        <f>NMRResults[[#This Row],['#]]</f>
        <v>0</v>
      </c>
      <c r="H818" s="1">
        <f>NMRResults[[#This Row],[Date Run]]</f>
        <v>0</v>
      </c>
    </row>
    <row r="819" spans="1:8" hidden="1" x14ac:dyDescent="0.25">
      <c r="A819" t="str" cm="1">
        <f t="array" ref="A819">IF(AND(ISBLANK(INDEX(SampleList[pH],ROW()-1)),ISBLANK(INDEX(SampleList[Conductivity],ROW()-1)),ISBLANK(INDEX(SampleList[Modification],ROW()-1))),"Not Requested",INDEX(SampleList[Experiment ID],ROW()-1))</f>
        <v>Not Requested</v>
      </c>
      <c r="B819">
        <f>SampleList[[#This Row],[Duration (Days)]]</f>
        <v>0</v>
      </c>
      <c r="G819">
        <f>NMRResults[[#This Row],['#]]</f>
        <v>0</v>
      </c>
      <c r="H819" s="1">
        <f>NMRResults[[#This Row],[Date Run]]</f>
        <v>0</v>
      </c>
    </row>
    <row r="820" spans="1:8" hidden="1" x14ac:dyDescent="0.25">
      <c r="A820" t="str" cm="1">
        <f t="array" ref="A820">IF(AND(ISBLANK(INDEX(SampleList[pH],ROW()-1)),ISBLANK(INDEX(SampleList[Conductivity],ROW()-1)),ISBLANK(INDEX(SampleList[Modification],ROW()-1))),"Not Requested",INDEX(SampleList[Experiment ID],ROW()-1))</f>
        <v>Not Requested</v>
      </c>
      <c r="B820">
        <f>SampleList[[#This Row],[Duration (Days)]]</f>
        <v>0</v>
      </c>
      <c r="G820">
        <f>NMRResults[[#This Row],['#]]</f>
        <v>0</v>
      </c>
      <c r="H820" s="1">
        <f>NMRResults[[#This Row],[Date Run]]</f>
        <v>0</v>
      </c>
    </row>
    <row r="821" spans="1:8" hidden="1" x14ac:dyDescent="0.25">
      <c r="A821" t="str" cm="1">
        <f t="array" ref="A821">IF(AND(ISBLANK(INDEX(SampleList[pH],ROW()-1)),ISBLANK(INDEX(SampleList[Conductivity],ROW()-1)),ISBLANK(INDEX(SampleList[Modification],ROW()-1))),"Not Requested",INDEX(SampleList[Experiment ID],ROW()-1))</f>
        <v>Not Requested</v>
      </c>
      <c r="B821">
        <f>SampleList[[#This Row],[Duration (Days)]]</f>
        <v>0</v>
      </c>
      <c r="G821">
        <f>NMRResults[[#This Row],['#]]</f>
        <v>0</v>
      </c>
      <c r="H821" s="1">
        <f>NMRResults[[#This Row],[Date Run]]</f>
        <v>0</v>
      </c>
    </row>
    <row r="822" spans="1:8" hidden="1" x14ac:dyDescent="0.25">
      <c r="A822" t="str" cm="1">
        <f t="array" ref="A822">IF(AND(ISBLANK(INDEX(SampleList[pH],ROW()-1)),ISBLANK(INDEX(SampleList[Conductivity],ROW()-1)),ISBLANK(INDEX(SampleList[Modification],ROW()-1))),"Not Requested",INDEX(SampleList[Experiment ID],ROW()-1))</f>
        <v>Not Requested</v>
      </c>
      <c r="B822">
        <f>SampleList[[#This Row],[Duration (Days)]]</f>
        <v>0</v>
      </c>
      <c r="G822">
        <f>NMRResults[[#This Row],['#]]</f>
        <v>0</v>
      </c>
      <c r="H822" s="1">
        <f>NMRResults[[#This Row],[Date Run]]</f>
        <v>0</v>
      </c>
    </row>
    <row r="823" spans="1:8" hidden="1" x14ac:dyDescent="0.25">
      <c r="A823" t="str" cm="1">
        <f t="array" ref="A823">IF(AND(ISBLANK(INDEX(SampleList[pH],ROW()-1)),ISBLANK(INDEX(SampleList[Conductivity],ROW()-1)),ISBLANK(INDEX(SampleList[Modification],ROW()-1))),"Not Requested",INDEX(SampleList[Experiment ID],ROW()-1))</f>
        <v>Not Requested</v>
      </c>
      <c r="B823">
        <f>SampleList[[#This Row],[Duration (Days)]]</f>
        <v>0</v>
      </c>
      <c r="G823">
        <f>NMRResults[[#This Row],['#]]</f>
        <v>0</v>
      </c>
      <c r="H823" s="1">
        <f>NMRResults[[#This Row],[Date Run]]</f>
        <v>0</v>
      </c>
    </row>
    <row r="824" spans="1:8" hidden="1" x14ac:dyDescent="0.25">
      <c r="A824" t="str" cm="1">
        <f t="array" ref="A824">IF(AND(ISBLANK(INDEX(SampleList[pH],ROW()-1)),ISBLANK(INDEX(SampleList[Conductivity],ROW()-1)),ISBLANK(INDEX(SampleList[Modification],ROW()-1))),"Not Requested",INDEX(SampleList[Experiment ID],ROW()-1))</f>
        <v>Not Requested</v>
      </c>
      <c r="B824">
        <f>SampleList[[#This Row],[Duration (Days)]]</f>
        <v>0</v>
      </c>
      <c r="G824">
        <f>NMRResults[[#This Row],['#]]</f>
        <v>0</v>
      </c>
      <c r="H824" s="1">
        <f>NMRResults[[#This Row],[Date Run]]</f>
        <v>0</v>
      </c>
    </row>
    <row r="825" spans="1:8" hidden="1" x14ac:dyDescent="0.25">
      <c r="A825" t="str" cm="1">
        <f t="array" ref="A825">IF(AND(ISBLANK(INDEX(SampleList[pH],ROW()-1)),ISBLANK(INDEX(SampleList[Conductivity],ROW()-1)),ISBLANK(INDEX(SampleList[Modification],ROW()-1))),"Not Requested",INDEX(SampleList[Experiment ID],ROW()-1))</f>
        <v>Not Requested</v>
      </c>
      <c r="B825">
        <f>SampleList[[#This Row],[Duration (Days)]]</f>
        <v>0</v>
      </c>
      <c r="G825">
        <f>NMRResults[[#This Row],['#]]</f>
        <v>0</v>
      </c>
      <c r="H825" s="1">
        <f>NMRResults[[#This Row],[Date Run]]</f>
        <v>0</v>
      </c>
    </row>
    <row r="826" spans="1:8" hidden="1" x14ac:dyDescent="0.25">
      <c r="A826" t="str" cm="1">
        <f t="array" ref="A826">IF(AND(ISBLANK(INDEX(SampleList[pH],ROW()-1)),ISBLANK(INDEX(SampleList[Conductivity],ROW()-1)),ISBLANK(INDEX(SampleList[Modification],ROW()-1))),"Not Requested",INDEX(SampleList[Experiment ID],ROW()-1))</f>
        <v>Not Requested</v>
      </c>
      <c r="B826">
        <f>SampleList[[#This Row],[Duration (Days)]]</f>
        <v>0</v>
      </c>
      <c r="G826">
        <f>NMRResults[[#This Row],['#]]</f>
        <v>0</v>
      </c>
      <c r="H826" s="1">
        <f>NMRResults[[#This Row],[Date Run]]</f>
        <v>0</v>
      </c>
    </row>
    <row r="827" spans="1:8" hidden="1" x14ac:dyDescent="0.25">
      <c r="A827" t="str" cm="1">
        <f t="array" ref="A827">IF(AND(ISBLANK(INDEX(SampleList[pH],ROW()-1)),ISBLANK(INDEX(SampleList[Conductivity],ROW()-1)),ISBLANK(INDEX(SampleList[Modification],ROW()-1))),"Not Requested",INDEX(SampleList[Experiment ID],ROW()-1))</f>
        <v>Not Requested</v>
      </c>
      <c r="B827">
        <f>SampleList[[#This Row],[Duration (Days)]]</f>
        <v>0</v>
      </c>
      <c r="G827">
        <f>NMRResults[[#This Row],['#]]</f>
        <v>0</v>
      </c>
      <c r="H827" s="1">
        <f>NMRResults[[#This Row],[Date Run]]</f>
        <v>0</v>
      </c>
    </row>
    <row r="828" spans="1:8" hidden="1" x14ac:dyDescent="0.25">
      <c r="A828" t="str" cm="1">
        <f t="array" ref="A828">IF(AND(ISBLANK(INDEX(SampleList[pH],ROW()-1)),ISBLANK(INDEX(SampleList[Conductivity],ROW()-1)),ISBLANK(INDEX(SampleList[Modification],ROW()-1))),"Not Requested",INDEX(SampleList[Experiment ID],ROW()-1))</f>
        <v>Not Requested</v>
      </c>
      <c r="B828">
        <f>SampleList[[#This Row],[Duration (Days)]]</f>
        <v>0</v>
      </c>
      <c r="G828">
        <f>NMRResults[[#This Row],['#]]</f>
        <v>0</v>
      </c>
      <c r="H828" s="1">
        <f>NMRResults[[#This Row],[Date Run]]</f>
        <v>0</v>
      </c>
    </row>
    <row r="829" spans="1:8" hidden="1" x14ac:dyDescent="0.25">
      <c r="A829" t="str" cm="1">
        <f t="array" ref="A829">IF(AND(ISBLANK(INDEX(SampleList[pH],ROW()-1)),ISBLANK(INDEX(SampleList[Conductivity],ROW()-1)),ISBLANK(INDEX(SampleList[Modification],ROW()-1))),"Not Requested",INDEX(SampleList[Experiment ID],ROW()-1))</f>
        <v>Not Requested</v>
      </c>
      <c r="B829">
        <f>SampleList[[#This Row],[Duration (Days)]]</f>
        <v>0</v>
      </c>
      <c r="G829">
        <f>NMRResults[[#This Row],['#]]</f>
        <v>0</v>
      </c>
      <c r="H829" s="1">
        <f>NMRResults[[#This Row],[Date Run]]</f>
        <v>0</v>
      </c>
    </row>
    <row r="830" spans="1:8" hidden="1" x14ac:dyDescent="0.25">
      <c r="A830" t="str" cm="1">
        <f t="array" ref="A830">IF(AND(ISBLANK(INDEX(SampleList[pH],ROW()-1)),ISBLANK(INDEX(SampleList[Conductivity],ROW()-1)),ISBLANK(INDEX(SampleList[Modification],ROW()-1))),"Not Requested",INDEX(SampleList[Experiment ID],ROW()-1))</f>
        <v>Not Requested</v>
      </c>
      <c r="B830">
        <f>SampleList[[#This Row],[Duration (Days)]]</f>
        <v>0</v>
      </c>
      <c r="G830">
        <f>NMRResults[[#This Row],['#]]</f>
        <v>0</v>
      </c>
      <c r="H830" s="1">
        <f>NMRResults[[#This Row],[Date Run]]</f>
        <v>0</v>
      </c>
    </row>
    <row r="831" spans="1:8" hidden="1" x14ac:dyDescent="0.25">
      <c r="A831" t="str" cm="1">
        <f t="array" ref="A831">IF(AND(ISBLANK(INDEX(SampleList[pH],ROW()-1)),ISBLANK(INDEX(SampleList[Conductivity],ROW()-1)),ISBLANK(INDEX(SampleList[Modification],ROW()-1))),"Not Requested",INDEX(SampleList[Experiment ID],ROW()-1))</f>
        <v>Not Requested</v>
      </c>
      <c r="B831">
        <f>SampleList[[#This Row],[Duration (Days)]]</f>
        <v>0</v>
      </c>
      <c r="G831">
        <f>NMRResults[[#This Row],['#]]</f>
        <v>0</v>
      </c>
      <c r="H831" s="1">
        <f>NMRResults[[#This Row],[Date Run]]</f>
        <v>0</v>
      </c>
    </row>
    <row r="832" spans="1:8" hidden="1" x14ac:dyDescent="0.25">
      <c r="A832" t="str" cm="1">
        <f t="array" ref="A832">IF(AND(ISBLANK(INDEX(SampleList[pH],ROW()-1)),ISBLANK(INDEX(SampleList[Conductivity],ROW()-1)),ISBLANK(INDEX(SampleList[Modification],ROW()-1))),"Not Requested",INDEX(SampleList[Experiment ID],ROW()-1))</f>
        <v>Not Requested</v>
      </c>
      <c r="B832">
        <f>SampleList[[#This Row],[Duration (Days)]]</f>
        <v>0</v>
      </c>
      <c r="G832">
        <f>NMRResults[[#This Row],['#]]</f>
        <v>0</v>
      </c>
      <c r="H832" s="1">
        <f>NMRResults[[#This Row],[Date Run]]</f>
        <v>0</v>
      </c>
    </row>
    <row r="833" spans="1:8" hidden="1" x14ac:dyDescent="0.25">
      <c r="A833" t="str" cm="1">
        <f t="array" ref="A833">IF(AND(ISBLANK(INDEX(SampleList[pH],ROW()-1)),ISBLANK(INDEX(SampleList[Conductivity],ROW()-1)),ISBLANK(INDEX(SampleList[Modification],ROW()-1))),"Not Requested",INDEX(SampleList[Experiment ID],ROW()-1))</f>
        <v>Not Requested</v>
      </c>
      <c r="B833">
        <f>SampleList[[#This Row],[Duration (Days)]]</f>
        <v>0</v>
      </c>
      <c r="G833">
        <f>NMRResults[[#This Row],['#]]</f>
        <v>0</v>
      </c>
      <c r="H833" s="1">
        <f>NMRResults[[#This Row],[Date Run]]</f>
        <v>0</v>
      </c>
    </row>
    <row r="834" spans="1:8" hidden="1" x14ac:dyDescent="0.25">
      <c r="A834" t="str" cm="1">
        <f t="array" ref="A834">IF(AND(ISBLANK(INDEX(SampleList[pH],ROW()-1)),ISBLANK(INDEX(SampleList[Conductivity],ROW()-1)),ISBLANK(INDEX(SampleList[Modification],ROW()-1))),"Not Requested",INDEX(SampleList[Experiment ID],ROW()-1))</f>
        <v>Not Requested</v>
      </c>
      <c r="B834">
        <f>SampleList[[#This Row],[Duration (Days)]]</f>
        <v>0</v>
      </c>
      <c r="G834">
        <f>NMRResults[[#This Row],['#]]</f>
        <v>0</v>
      </c>
      <c r="H834" s="1">
        <f>NMRResults[[#This Row],[Date Run]]</f>
        <v>0</v>
      </c>
    </row>
    <row r="835" spans="1:8" hidden="1" x14ac:dyDescent="0.25">
      <c r="A835" t="str" cm="1">
        <f t="array" ref="A835">IF(AND(ISBLANK(INDEX(SampleList[pH],ROW()-1)),ISBLANK(INDEX(SampleList[Conductivity],ROW()-1)),ISBLANK(INDEX(SampleList[Modification],ROW()-1))),"Not Requested",INDEX(SampleList[Experiment ID],ROW()-1))</f>
        <v>Not Requested</v>
      </c>
      <c r="B835">
        <f>SampleList[[#This Row],[Duration (Days)]]</f>
        <v>0</v>
      </c>
      <c r="G835">
        <f>NMRResults[[#This Row],['#]]</f>
        <v>0</v>
      </c>
      <c r="H835" s="1">
        <f>NMRResults[[#This Row],[Date Run]]</f>
        <v>0</v>
      </c>
    </row>
    <row r="836" spans="1:8" hidden="1" x14ac:dyDescent="0.25">
      <c r="A836" t="str" cm="1">
        <f t="array" ref="A836">IF(AND(ISBLANK(INDEX(SampleList[pH],ROW()-1)),ISBLANK(INDEX(SampleList[Conductivity],ROW()-1)),ISBLANK(INDEX(SampleList[Modification],ROW()-1))),"Not Requested",INDEX(SampleList[Experiment ID],ROW()-1))</f>
        <v>Not Requested</v>
      </c>
      <c r="B836">
        <f>SampleList[[#This Row],[Duration (Days)]]</f>
        <v>0</v>
      </c>
      <c r="G836">
        <f>NMRResults[[#This Row],['#]]</f>
        <v>0</v>
      </c>
      <c r="H836" s="1">
        <f>NMRResults[[#This Row],[Date Run]]</f>
        <v>0</v>
      </c>
    </row>
    <row r="837" spans="1:8" hidden="1" x14ac:dyDescent="0.25">
      <c r="A837" t="str" cm="1">
        <f t="array" ref="A837">IF(AND(ISBLANK(INDEX(SampleList[pH],ROW()-1)),ISBLANK(INDEX(SampleList[Conductivity],ROW()-1)),ISBLANK(INDEX(SampleList[Modification],ROW()-1))),"Not Requested",INDEX(SampleList[Experiment ID],ROW()-1))</f>
        <v>Not Requested</v>
      </c>
      <c r="B837">
        <f>SampleList[[#This Row],[Duration (Days)]]</f>
        <v>0</v>
      </c>
      <c r="G837">
        <f>NMRResults[[#This Row],['#]]</f>
        <v>0</v>
      </c>
      <c r="H837" s="1">
        <f>NMRResults[[#This Row],[Date Run]]</f>
        <v>0</v>
      </c>
    </row>
    <row r="838" spans="1:8" hidden="1" x14ac:dyDescent="0.25">
      <c r="A838" t="str" cm="1">
        <f t="array" ref="A838">IF(AND(ISBLANK(INDEX(SampleList[pH],ROW()-1)),ISBLANK(INDEX(SampleList[Conductivity],ROW()-1)),ISBLANK(INDEX(SampleList[Modification],ROW()-1))),"Not Requested",INDEX(SampleList[Experiment ID],ROW()-1))</f>
        <v>Not Requested</v>
      </c>
      <c r="B838">
        <f>SampleList[[#This Row],[Duration (Days)]]</f>
        <v>0</v>
      </c>
      <c r="G838">
        <f>NMRResults[[#This Row],['#]]</f>
        <v>0</v>
      </c>
      <c r="H838" s="1">
        <f>NMRResults[[#This Row],[Date Run]]</f>
        <v>0</v>
      </c>
    </row>
    <row r="839" spans="1:8" hidden="1" x14ac:dyDescent="0.25">
      <c r="A839" t="str" cm="1">
        <f t="array" ref="A839">IF(AND(ISBLANK(INDEX(SampleList[pH],ROW()-1)),ISBLANK(INDEX(SampleList[Conductivity],ROW()-1)),ISBLANK(INDEX(SampleList[Modification],ROW()-1))),"Not Requested",INDEX(SampleList[Experiment ID],ROW()-1))</f>
        <v>Not Requested</v>
      </c>
      <c r="B839">
        <f>SampleList[[#This Row],[Duration (Days)]]</f>
        <v>0</v>
      </c>
      <c r="G839">
        <f>NMRResults[[#This Row],['#]]</f>
        <v>0</v>
      </c>
      <c r="H839" s="1">
        <f>NMRResults[[#This Row],[Date Run]]</f>
        <v>0</v>
      </c>
    </row>
    <row r="840" spans="1:8" hidden="1" x14ac:dyDescent="0.25">
      <c r="A840" t="str" cm="1">
        <f t="array" ref="A840">IF(AND(ISBLANK(INDEX(SampleList[pH],ROW()-1)),ISBLANK(INDEX(SampleList[Conductivity],ROW()-1)),ISBLANK(INDEX(SampleList[Modification],ROW()-1))),"Not Requested",INDEX(SampleList[Experiment ID],ROW()-1))</f>
        <v>Not Requested</v>
      </c>
      <c r="B840">
        <f>SampleList[[#This Row],[Duration (Days)]]</f>
        <v>0</v>
      </c>
      <c r="G840">
        <f>NMRResults[[#This Row],['#]]</f>
        <v>0</v>
      </c>
      <c r="H840" s="1">
        <f>NMRResults[[#This Row],[Date Run]]</f>
        <v>0</v>
      </c>
    </row>
    <row r="841" spans="1:8" hidden="1" x14ac:dyDescent="0.25">
      <c r="A841" t="str" cm="1">
        <f t="array" ref="A841">IF(AND(ISBLANK(INDEX(SampleList[pH],ROW()-1)),ISBLANK(INDEX(SampleList[Conductivity],ROW()-1)),ISBLANK(INDEX(SampleList[Modification],ROW()-1))),"Not Requested",INDEX(SampleList[Experiment ID],ROW()-1))</f>
        <v>Not Requested</v>
      </c>
      <c r="B841">
        <f>SampleList[[#This Row],[Duration (Days)]]</f>
        <v>0</v>
      </c>
      <c r="G841">
        <f>NMRResults[[#This Row],['#]]</f>
        <v>0</v>
      </c>
      <c r="H841" s="1">
        <f>NMRResults[[#This Row],[Date Run]]</f>
        <v>0</v>
      </c>
    </row>
    <row r="842" spans="1:8" hidden="1" x14ac:dyDescent="0.25">
      <c r="A842" t="str" cm="1">
        <f t="array" ref="A842">IF(AND(ISBLANK(INDEX(SampleList[pH],ROW()-1)),ISBLANK(INDEX(SampleList[Conductivity],ROW()-1)),ISBLANK(INDEX(SampleList[Modification],ROW()-1))),"Not Requested",INDEX(SampleList[Experiment ID],ROW()-1))</f>
        <v>Not Requested</v>
      </c>
      <c r="B842">
        <f>SampleList[[#This Row],[Duration (Days)]]</f>
        <v>0</v>
      </c>
      <c r="G842">
        <f>NMRResults[[#This Row],['#]]</f>
        <v>0</v>
      </c>
      <c r="H842" s="1">
        <f>NMRResults[[#This Row],[Date Run]]</f>
        <v>0</v>
      </c>
    </row>
    <row r="843" spans="1:8" hidden="1" x14ac:dyDescent="0.25">
      <c r="A843" t="str" cm="1">
        <f t="array" ref="A843">IF(AND(ISBLANK(INDEX(SampleList[pH],ROW()-1)),ISBLANK(INDEX(SampleList[Conductivity],ROW()-1)),ISBLANK(INDEX(SampleList[Modification],ROW()-1))),"Not Requested",INDEX(SampleList[Experiment ID],ROW()-1))</f>
        <v>Not Requested</v>
      </c>
      <c r="B843">
        <f>SampleList[[#This Row],[Duration (Days)]]</f>
        <v>0</v>
      </c>
      <c r="G843">
        <f>NMRResults[[#This Row],['#]]</f>
        <v>0</v>
      </c>
      <c r="H843" s="1">
        <f>NMRResults[[#This Row],[Date Run]]</f>
        <v>0</v>
      </c>
    </row>
    <row r="844" spans="1:8" hidden="1" x14ac:dyDescent="0.25">
      <c r="A844" t="str" cm="1">
        <f t="array" ref="A844">IF(AND(ISBLANK(INDEX(SampleList[pH],ROW()-1)),ISBLANK(INDEX(SampleList[Conductivity],ROW()-1)),ISBLANK(INDEX(SampleList[Modification],ROW()-1))),"Not Requested",INDEX(SampleList[Experiment ID],ROW()-1))</f>
        <v>Not Requested</v>
      </c>
      <c r="B844">
        <f>SampleList[[#This Row],[Duration (Days)]]</f>
        <v>0</v>
      </c>
      <c r="G844">
        <f>NMRResults[[#This Row],['#]]</f>
        <v>0</v>
      </c>
      <c r="H844" s="1">
        <f>NMRResults[[#This Row],[Date Run]]</f>
        <v>0</v>
      </c>
    </row>
    <row r="845" spans="1:8" hidden="1" x14ac:dyDescent="0.25">
      <c r="A845" t="str" cm="1">
        <f t="array" ref="A845">IF(AND(ISBLANK(INDEX(SampleList[pH],ROW()-1)),ISBLANK(INDEX(SampleList[Conductivity],ROW()-1)),ISBLANK(INDEX(SampleList[Modification],ROW()-1))),"Not Requested",INDEX(SampleList[Experiment ID],ROW()-1))</f>
        <v>Not Requested</v>
      </c>
      <c r="B845">
        <f>SampleList[[#This Row],[Duration (Days)]]</f>
        <v>0</v>
      </c>
      <c r="G845">
        <f>NMRResults[[#This Row],['#]]</f>
        <v>0</v>
      </c>
      <c r="H845" s="1">
        <f>NMRResults[[#This Row],[Date Run]]</f>
        <v>0</v>
      </c>
    </row>
    <row r="846" spans="1:8" hidden="1" x14ac:dyDescent="0.25">
      <c r="A846" t="str" cm="1">
        <f t="array" ref="A846">IF(AND(ISBLANK(INDEX(SampleList[pH],ROW()-1)),ISBLANK(INDEX(SampleList[Conductivity],ROW()-1)),ISBLANK(INDEX(SampleList[Modification],ROW()-1))),"Not Requested",INDEX(SampleList[Experiment ID],ROW()-1))</f>
        <v>Not Requested</v>
      </c>
      <c r="B846">
        <f>SampleList[[#This Row],[Duration (Days)]]</f>
        <v>0</v>
      </c>
      <c r="G846">
        <f>NMRResults[[#This Row],['#]]</f>
        <v>0</v>
      </c>
      <c r="H846" s="1">
        <f>NMRResults[[#This Row],[Date Run]]</f>
        <v>0</v>
      </c>
    </row>
    <row r="847" spans="1:8" hidden="1" x14ac:dyDescent="0.25">
      <c r="A847" t="str" cm="1">
        <f t="array" ref="A847">IF(AND(ISBLANK(INDEX(SampleList[pH],ROW()-1)),ISBLANK(INDEX(SampleList[Conductivity],ROW()-1)),ISBLANK(INDEX(SampleList[Modification],ROW()-1))),"Not Requested",INDEX(SampleList[Experiment ID],ROW()-1))</f>
        <v>Not Requested</v>
      </c>
      <c r="B847">
        <f>SampleList[[#This Row],[Duration (Days)]]</f>
        <v>0</v>
      </c>
      <c r="G847">
        <f>NMRResults[[#This Row],['#]]</f>
        <v>0</v>
      </c>
      <c r="H847" s="1">
        <f>NMRResults[[#This Row],[Date Run]]</f>
        <v>0</v>
      </c>
    </row>
    <row r="848" spans="1:8" hidden="1" x14ac:dyDescent="0.25">
      <c r="A848" t="str" cm="1">
        <f t="array" ref="A848">IF(AND(ISBLANK(INDEX(SampleList[pH],ROW()-1)),ISBLANK(INDEX(SampleList[Conductivity],ROW()-1)),ISBLANK(INDEX(SampleList[Modification],ROW()-1))),"Not Requested",INDEX(SampleList[Experiment ID],ROW()-1))</f>
        <v>Not Requested</v>
      </c>
      <c r="B848">
        <f>SampleList[[#This Row],[Duration (Days)]]</f>
        <v>0</v>
      </c>
      <c r="G848">
        <f>NMRResults[[#This Row],['#]]</f>
        <v>0</v>
      </c>
      <c r="H848" s="1">
        <f>NMRResults[[#This Row],[Date Run]]</f>
        <v>0</v>
      </c>
    </row>
    <row r="849" spans="1:8" hidden="1" x14ac:dyDescent="0.25">
      <c r="A849" t="str" cm="1">
        <f t="array" ref="A849">IF(AND(ISBLANK(INDEX(SampleList[pH],ROW()-1)),ISBLANK(INDEX(SampleList[Conductivity],ROW()-1)),ISBLANK(INDEX(SampleList[Modification],ROW()-1))),"Not Requested",INDEX(SampleList[Experiment ID],ROW()-1))</f>
        <v>Not Requested</v>
      </c>
      <c r="B849">
        <f>SampleList[[#This Row],[Duration (Days)]]</f>
        <v>0</v>
      </c>
      <c r="G849">
        <f>NMRResults[[#This Row],['#]]</f>
        <v>0</v>
      </c>
      <c r="H849" s="1">
        <f>NMRResults[[#This Row],[Date Run]]</f>
        <v>0</v>
      </c>
    </row>
    <row r="850" spans="1:8" hidden="1" x14ac:dyDescent="0.25">
      <c r="A850" t="str" cm="1">
        <f t="array" ref="A850">IF(AND(ISBLANK(INDEX(SampleList[pH],ROW()-1)),ISBLANK(INDEX(SampleList[Conductivity],ROW()-1)),ISBLANK(INDEX(SampleList[Modification],ROW()-1))),"Not Requested",INDEX(SampleList[Experiment ID],ROW()-1))</f>
        <v>Not Requested</v>
      </c>
      <c r="B850">
        <f>SampleList[[#This Row],[Duration (Days)]]</f>
        <v>0</v>
      </c>
      <c r="G850">
        <f>NMRResults[[#This Row],['#]]</f>
        <v>0</v>
      </c>
      <c r="H850" s="1">
        <f>NMRResults[[#This Row],[Date Run]]</f>
        <v>0</v>
      </c>
    </row>
    <row r="851" spans="1:8" hidden="1" x14ac:dyDescent="0.25">
      <c r="A851" t="str" cm="1">
        <f t="array" ref="A851">IF(AND(ISBLANK(INDEX(SampleList[pH],ROW()-1)),ISBLANK(INDEX(SampleList[Conductivity],ROW()-1)),ISBLANK(INDEX(SampleList[Modification],ROW()-1))),"Not Requested",INDEX(SampleList[Experiment ID],ROW()-1))</f>
        <v>Not Requested</v>
      </c>
      <c r="B851">
        <f>SampleList[[#This Row],[Duration (Days)]]</f>
        <v>0</v>
      </c>
      <c r="G851">
        <f>NMRResults[[#This Row],['#]]</f>
        <v>0</v>
      </c>
      <c r="H851" s="1">
        <f>NMRResults[[#This Row],[Date Run]]</f>
        <v>0</v>
      </c>
    </row>
    <row r="852" spans="1:8" hidden="1" x14ac:dyDescent="0.25">
      <c r="A852" t="str" cm="1">
        <f t="array" ref="A852">IF(AND(ISBLANK(INDEX(SampleList[pH],ROW()-1)),ISBLANK(INDEX(SampleList[Conductivity],ROW()-1)),ISBLANK(INDEX(SampleList[Modification],ROW()-1))),"Not Requested",INDEX(SampleList[Experiment ID],ROW()-1))</f>
        <v>Not Requested</v>
      </c>
      <c r="B852">
        <f>SampleList[[#This Row],[Duration (Days)]]</f>
        <v>0</v>
      </c>
      <c r="G852">
        <f>NMRResults[[#This Row],['#]]</f>
        <v>0</v>
      </c>
      <c r="H852" s="1">
        <f>NMRResults[[#This Row],[Date Run]]</f>
        <v>0</v>
      </c>
    </row>
    <row r="853" spans="1:8" hidden="1" x14ac:dyDescent="0.25">
      <c r="A853" t="str" cm="1">
        <f t="array" ref="A853">IF(AND(ISBLANK(INDEX(SampleList[pH],ROW()-1)),ISBLANK(INDEX(SampleList[Conductivity],ROW()-1)),ISBLANK(INDEX(SampleList[Modification],ROW()-1))),"Not Requested",INDEX(SampleList[Experiment ID],ROW()-1))</f>
        <v>Not Requested</v>
      </c>
      <c r="B853">
        <f>SampleList[[#This Row],[Duration (Days)]]</f>
        <v>0</v>
      </c>
      <c r="G853">
        <f>NMRResults[[#This Row],['#]]</f>
        <v>0</v>
      </c>
      <c r="H853" s="1">
        <f>NMRResults[[#This Row],[Date Run]]</f>
        <v>0</v>
      </c>
    </row>
    <row r="854" spans="1:8" hidden="1" x14ac:dyDescent="0.25">
      <c r="A854" t="str" cm="1">
        <f t="array" ref="A854">IF(AND(ISBLANK(INDEX(SampleList[pH],ROW()-1)),ISBLANK(INDEX(SampleList[Conductivity],ROW()-1)),ISBLANK(INDEX(SampleList[Modification],ROW()-1))),"Not Requested",INDEX(SampleList[Experiment ID],ROW()-1))</f>
        <v>Not Requested</v>
      </c>
      <c r="B854">
        <f>SampleList[[#This Row],[Duration (Days)]]</f>
        <v>0</v>
      </c>
      <c r="G854">
        <f>NMRResults[[#This Row],['#]]</f>
        <v>0</v>
      </c>
      <c r="H854" s="1">
        <f>NMRResults[[#This Row],[Date Run]]</f>
        <v>0</v>
      </c>
    </row>
    <row r="855" spans="1:8" hidden="1" x14ac:dyDescent="0.25">
      <c r="A855" t="str" cm="1">
        <f t="array" ref="A855">IF(AND(ISBLANK(INDEX(SampleList[pH],ROW()-1)),ISBLANK(INDEX(SampleList[Conductivity],ROW()-1)),ISBLANK(INDEX(SampleList[Modification],ROW()-1))),"Not Requested",INDEX(SampleList[Experiment ID],ROW()-1))</f>
        <v>Not Requested</v>
      </c>
      <c r="B855">
        <f>SampleList[[#This Row],[Duration (Days)]]</f>
        <v>0</v>
      </c>
      <c r="G855">
        <f>NMRResults[[#This Row],['#]]</f>
        <v>0</v>
      </c>
      <c r="H855" s="1">
        <f>NMRResults[[#This Row],[Date Run]]</f>
        <v>0</v>
      </c>
    </row>
    <row r="856" spans="1:8" hidden="1" x14ac:dyDescent="0.25">
      <c r="A856" t="str" cm="1">
        <f t="array" ref="A856">IF(AND(ISBLANK(INDEX(SampleList[pH],ROW()-1)),ISBLANK(INDEX(SampleList[Conductivity],ROW()-1)),ISBLANK(INDEX(SampleList[Modification],ROW()-1))),"Not Requested",INDEX(SampleList[Experiment ID],ROW()-1))</f>
        <v>Not Requested</v>
      </c>
      <c r="B856">
        <f>SampleList[[#This Row],[Duration (Days)]]</f>
        <v>0</v>
      </c>
      <c r="G856">
        <f>NMRResults[[#This Row],['#]]</f>
        <v>0</v>
      </c>
      <c r="H856" s="1">
        <f>NMRResults[[#This Row],[Date Run]]</f>
        <v>0</v>
      </c>
    </row>
    <row r="857" spans="1:8" hidden="1" x14ac:dyDescent="0.25">
      <c r="A857" t="str" cm="1">
        <f t="array" ref="A857">IF(AND(ISBLANK(INDEX(SampleList[pH],ROW()-1)),ISBLANK(INDEX(SampleList[Conductivity],ROW()-1)),ISBLANK(INDEX(SampleList[Modification],ROW()-1))),"Not Requested",INDEX(SampleList[Experiment ID],ROW()-1))</f>
        <v>Not Requested</v>
      </c>
      <c r="B857">
        <f>SampleList[[#This Row],[Duration (Days)]]</f>
        <v>0</v>
      </c>
      <c r="G857">
        <f>NMRResults[[#This Row],['#]]</f>
        <v>0</v>
      </c>
      <c r="H857" s="1">
        <f>NMRResults[[#This Row],[Date Run]]</f>
        <v>0</v>
      </c>
    </row>
    <row r="858" spans="1:8" hidden="1" x14ac:dyDescent="0.25">
      <c r="A858" t="str" cm="1">
        <f t="array" ref="A858">IF(AND(ISBLANK(INDEX(SampleList[pH],ROW()-1)),ISBLANK(INDEX(SampleList[Conductivity],ROW()-1)),ISBLANK(INDEX(SampleList[Modification],ROW()-1))),"Not Requested",INDEX(SampleList[Experiment ID],ROW()-1))</f>
        <v>Not Requested</v>
      </c>
      <c r="B858">
        <f>SampleList[[#This Row],[Duration (Days)]]</f>
        <v>0</v>
      </c>
      <c r="G858">
        <f>NMRResults[[#This Row],['#]]</f>
        <v>0</v>
      </c>
      <c r="H858" s="1">
        <f>NMRResults[[#This Row],[Date Run]]</f>
        <v>0</v>
      </c>
    </row>
    <row r="859" spans="1:8" hidden="1" x14ac:dyDescent="0.25">
      <c r="A859" t="str" cm="1">
        <f t="array" ref="A859">IF(AND(ISBLANK(INDEX(SampleList[pH],ROW()-1)),ISBLANK(INDEX(SampleList[Conductivity],ROW()-1)),ISBLANK(INDEX(SampleList[Modification],ROW()-1))),"Not Requested",INDEX(SampleList[Experiment ID],ROW()-1))</f>
        <v>Not Requested</v>
      </c>
      <c r="B859">
        <f>SampleList[[#This Row],[Duration (Days)]]</f>
        <v>0</v>
      </c>
      <c r="G859">
        <f>NMRResults[[#This Row],['#]]</f>
        <v>1</v>
      </c>
      <c r="H859" s="1">
        <f>NMRResults[[#This Row],[Date Run]]</f>
        <v>0</v>
      </c>
    </row>
    <row r="860" spans="1:8" hidden="1" x14ac:dyDescent="0.25">
      <c r="A860" t="str" cm="1">
        <f t="array" ref="A860">IF(AND(ISBLANK(INDEX(SampleList[pH],ROW()-1)),ISBLANK(INDEX(SampleList[Conductivity],ROW()-1)),ISBLANK(INDEX(SampleList[Modification],ROW()-1))),"Not Requested",INDEX(SampleList[Experiment ID],ROW()-1))</f>
        <v>Not Requested</v>
      </c>
      <c r="B860">
        <f>SampleList[[#This Row],[Duration (Days)]]</f>
        <v>0</v>
      </c>
      <c r="G860">
        <f>NMRResults[[#This Row],['#]]</f>
        <v>2</v>
      </c>
      <c r="H860" s="1">
        <f>NMRResults[[#This Row],[Date Run]]</f>
        <v>0</v>
      </c>
    </row>
    <row r="861" spans="1:8" hidden="1" x14ac:dyDescent="0.25">
      <c r="A861" t="str" cm="1">
        <f t="array" ref="A861">IF(AND(ISBLANK(INDEX(SampleList[pH],ROW()-1)),ISBLANK(INDEX(SampleList[Conductivity],ROW()-1)),ISBLANK(INDEX(SampleList[Modification],ROW()-1))),"Not Requested",INDEX(SampleList[Experiment ID],ROW()-1))</f>
        <v>Not Requested</v>
      </c>
      <c r="B861">
        <f>SampleList[[#This Row],[Duration (Days)]]</f>
        <v>0</v>
      </c>
      <c r="G861">
        <f>NMRResults[[#This Row],['#]]</f>
        <v>3</v>
      </c>
      <c r="H861" s="1">
        <f>NMRResults[[#This Row],[Date Run]]</f>
        <v>0</v>
      </c>
    </row>
    <row r="862" spans="1:8" hidden="1" x14ac:dyDescent="0.25">
      <c r="A862" t="str" cm="1">
        <f t="array" ref="A862">IF(AND(ISBLANK(INDEX(SampleList[pH],ROW()-1)),ISBLANK(INDEX(SampleList[Conductivity],ROW()-1)),ISBLANK(INDEX(SampleList[Modification],ROW()-1))),"Not Requested",INDEX(SampleList[Experiment ID],ROW()-1))</f>
        <v>Not Requested</v>
      </c>
      <c r="B862">
        <f>SampleList[[#This Row],[Duration (Days)]]</f>
        <v>0</v>
      </c>
      <c r="G862">
        <f>NMRResults[[#This Row],['#]]</f>
        <v>4</v>
      </c>
      <c r="H862" s="1">
        <f>NMRResults[[#This Row],[Date Run]]</f>
        <v>0</v>
      </c>
    </row>
    <row r="863" spans="1:8" hidden="1" x14ac:dyDescent="0.25">
      <c r="A863" t="str" cm="1">
        <f t="array" ref="A863">IF(AND(ISBLANK(INDEX(SampleList[pH],ROW()-1)),ISBLANK(INDEX(SampleList[Conductivity],ROW()-1)),ISBLANK(INDEX(SampleList[Modification],ROW()-1))),"Not Requested",INDEX(SampleList[Experiment ID],ROW()-1))</f>
        <v>Not Requested</v>
      </c>
      <c r="B863">
        <f>SampleList[[#This Row],[Duration (Days)]]</f>
        <v>0</v>
      </c>
      <c r="G863">
        <f>NMRResults[[#This Row],['#]]</f>
        <v>6</v>
      </c>
      <c r="H863" s="1">
        <f>NMRResults[[#This Row],[Date Run]]</f>
        <v>0</v>
      </c>
    </row>
    <row r="864" spans="1:8" hidden="1" x14ac:dyDescent="0.25">
      <c r="A864" t="str" cm="1">
        <f t="array" ref="A864">IF(AND(ISBLANK(INDEX(SampleList[pH],ROW()-1)),ISBLANK(INDEX(SampleList[Conductivity],ROW()-1)),ISBLANK(INDEX(SampleList[Modification],ROW()-1))),"Not Requested",INDEX(SampleList[Experiment ID],ROW()-1))</f>
        <v>Not Requested</v>
      </c>
      <c r="B864">
        <f>SampleList[[#This Row],[Duration (Days)]]</f>
        <v>0</v>
      </c>
      <c r="G864">
        <f>NMRResults[[#This Row],['#]]</f>
        <v>5</v>
      </c>
      <c r="H864" s="1">
        <f>NMRResults[[#This Row],[Date Run]]</f>
        <v>0</v>
      </c>
    </row>
    <row r="865" spans="1:8" hidden="1" x14ac:dyDescent="0.25">
      <c r="A865" t="str" cm="1">
        <f t="array" ref="A865">IF(AND(ISBLANK(INDEX(SampleList[pH],ROW()-1)),ISBLANK(INDEX(SampleList[Conductivity],ROW()-1)),ISBLANK(INDEX(SampleList[Modification],ROW()-1))),"Not Requested",INDEX(SampleList[Experiment ID],ROW()-1))</f>
        <v>Not Requested</v>
      </c>
      <c r="B865">
        <f>SampleList[[#This Row],[Duration (Days)]]</f>
        <v>0</v>
      </c>
      <c r="G865">
        <f>NMRResults[[#This Row],['#]]</f>
        <v>7</v>
      </c>
      <c r="H865" s="1">
        <f>NMRResults[[#This Row],[Date Run]]</f>
        <v>0</v>
      </c>
    </row>
    <row r="866" spans="1:8" hidden="1" x14ac:dyDescent="0.25">
      <c r="A866" t="str" cm="1">
        <f t="array" ref="A866">IF(AND(ISBLANK(INDEX(SampleList[pH],ROW()-1)),ISBLANK(INDEX(SampleList[Conductivity],ROW()-1)),ISBLANK(INDEX(SampleList[Modification],ROW()-1))),"Not Requested",INDEX(SampleList[Experiment ID],ROW()-1))</f>
        <v>Not Requested</v>
      </c>
      <c r="B866">
        <f>SampleList[[#This Row],[Duration (Days)]]</f>
        <v>0</v>
      </c>
      <c r="G866">
        <f>NMRResults[[#This Row],['#]]</f>
        <v>8</v>
      </c>
      <c r="H866" s="1">
        <f>NMRResults[[#This Row],[Date Run]]</f>
        <v>0</v>
      </c>
    </row>
    <row r="867" spans="1:8" hidden="1" x14ac:dyDescent="0.25">
      <c r="A867" t="str" cm="1">
        <f t="array" ref="A867">IF(AND(ISBLANK(INDEX(SampleList[pH],ROW()-1)),ISBLANK(INDEX(SampleList[Conductivity],ROW()-1)),ISBLANK(INDEX(SampleList[Modification],ROW()-1))),"Not Requested",INDEX(SampleList[Experiment ID],ROW()-1))</f>
        <v>Not Requested</v>
      </c>
      <c r="B867">
        <f>SampleList[[#This Row],[Duration (Days)]]</f>
        <v>0</v>
      </c>
      <c r="G867">
        <f>NMRResults[[#This Row],['#]]</f>
        <v>9</v>
      </c>
      <c r="H867" s="1">
        <f>NMRResults[[#This Row],[Date Run]]</f>
        <v>0</v>
      </c>
    </row>
    <row r="868" spans="1:8" hidden="1" x14ac:dyDescent="0.25">
      <c r="A868" t="str" cm="1">
        <f t="array" ref="A868">IF(AND(ISBLANK(INDEX(SampleList[pH],ROW()-1)),ISBLANK(INDEX(SampleList[Conductivity],ROW()-1)),ISBLANK(INDEX(SampleList[Modification],ROW()-1))),"Not Requested",INDEX(SampleList[Experiment ID],ROW()-1))</f>
        <v>Not Requested</v>
      </c>
      <c r="B868">
        <f>SampleList[[#This Row],[Duration (Days)]]</f>
        <v>0</v>
      </c>
      <c r="G868">
        <f>NMRResults[[#This Row],['#]]</f>
        <v>10</v>
      </c>
      <c r="H868" s="1">
        <f>NMRResults[[#This Row],[Date Run]]</f>
        <v>0</v>
      </c>
    </row>
    <row r="869" spans="1:8" hidden="1" x14ac:dyDescent="0.25">
      <c r="A869" t="str" cm="1">
        <f t="array" ref="A869">IF(AND(ISBLANK(INDEX(SampleList[pH],ROW()-1)),ISBLANK(INDEX(SampleList[Conductivity],ROW()-1)),ISBLANK(INDEX(SampleList[Modification],ROW()-1))),"Not Requested",INDEX(SampleList[Experiment ID],ROW()-1))</f>
        <v>Not Requested</v>
      </c>
      <c r="B869">
        <f>SampleList[[#This Row],[Duration (Days)]]</f>
        <v>0</v>
      </c>
      <c r="G869">
        <f>NMRResults[[#This Row],['#]]</f>
        <v>11</v>
      </c>
      <c r="H869" s="1">
        <f>NMRResults[[#This Row],[Date Run]]</f>
        <v>0</v>
      </c>
    </row>
    <row r="870" spans="1:8" hidden="1" x14ac:dyDescent="0.25">
      <c r="A870" t="str" cm="1">
        <f t="array" ref="A870">IF(AND(ISBLANK(INDEX(SampleList[pH],ROW()-1)),ISBLANK(INDEX(SampleList[Conductivity],ROW()-1)),ISBLANK(INDEX(SampleList[Modification],ROW()-1))),"Not Requested",INDEX(SampleList[Experiment ID],ROW()-1))</f>
        <v>Not Requested</v>
      </c>
      <c r="B870">
        <f>SampleList[[#This Row],[Duration (Days)]]</f>
        <v>0</v>
      </c>
      <c r="G870">
        <f>NMRResults[[#This Row],['#]]</f>
        <v>12</v>
      </c>
      <c r="H870" s="1">
        <f>NMRResults[[#This Row],[Date Run]]</f>
        <v>0</v>
      </c>
    </row>
    <row r="871" spans="1:8" hidden="1" x14ac:dyDescent="0.25">
      <c r="A871" t="str" cm="1">
        <f t="array" ref="A871">IF(AND(ISBLANK(INDEX(SampleList[pH],ROW()-1)),ISBLANK(INDEX(SampleList[Conductivity],ROW()-1)),ISBLANK(INDEX(SampleList[Modification],ROW()-1))),"Not Requested",INDEX(SampleList[Experiment ID],ROW()-1))</f>
        <v>Not Requested</v>
      </c>
      <c r="B871">
        <f>SampleList[[#This Row],[Duration (Days)]]</f>
        <v>0</v>
      </c>
      <c r="G871">
        <f>NMRResults[[#This Row],['#]]</f>
        <v>0</v>
      </c>
      <c r="H871" s="1">
        <f>NMRResults[[#This Row],[Date Run]]</f>
        <v>0</v>
      </c>
    </row>
    <row r="872" spans="1:8" hidden="1" x14ac:dyDescent="0.25">
      <c r="A872" t="str" cm="1">
        <f t="array" ref="A872">IF(AND(ISBLANK(INDEX(SampleList[pH],ROW()-1)),ISBLANK(INDEX(SampleList[Conductivity],ROW()-1)),ISBLANK(INDEX(SampleList[Modification],ROW()-1))),"Not Requested",INDEX(SampleList[Experiment ID],ROW()-1))</f>
        <v>Not Requested</v>
      </c>
      <c r="B872">
        <f>SampleList[[#This Row],[Duration (Days)]]</f>
        <v>0</v>
      </c>
      <c r="G872">
        <f>NMRResults[[#This Row],['#]]</f>
        <v>0</v>
      </c>
      <c r="H872" s="1">
        <f>NMRResults[[#This Row],[Date Run]]</f>
        <v>0</v>
      </c>
    </row>
    <row r="873" spans="1:8" hidden="1" x14ac:dyDescent="0.25">
      <c r="A873" t="str" cm="1">
        <f t="array" ref="A873">IF(AND(ISBLANK(INDEX(SampleList[pH],ROW()-1)),ISBLANK(INDEX(SampleList[Conductivity],ROW()-1)),ISBLANK(INDEX(SampleList[Modification],ROW()-1))),"Not Requested",INDEX(SampleList[Experiment ID],ROW()-1))</f>
        <v>Not Requested</v>
      </c>
      <c r="B873">
        <f>SampleList[[#This Row],[Duration (Days)]]</f>
        <v>0</v>
      </c>
      <c r="G873">
        <f>NMRResults[[#This Row],['#]]</f>
        <v>0</v>
      </c>
      <c r="H873" s="1">
        <f>NMRResults[[#This Row],[Date Run]]</f>
        <v>0</v>
      </c>
    </row>
    <row r="874" spans="1:8" hidden="1" x14ac:dyDescent="0.25">
      <c r="A874" t="str" cm="1">
        <f t="array" ref="A874">IF(AND(ISBLANK(INDEX(SampleList[pH],ROW()-1)),ISBLANK(INDEX(SampleList[Conductivity],ROW()-1)),ISBLANK(INDEX(SampleList[Modification],ROW()-1))),"Not Requested",INDEX(SampleList[Experiment ID],ROW()-1))</f>
        <v>Not Requested</v>
      </c>
      <c r="B874">
        <f>SampleList[[#This Row],[Duration (Days)]]</f>
        <v>0</v>
      </c>
      <c r="G874">
        <f>NMRResults[[#This Row],['#]]</f>
        <v>0</v>
      </c>
      <c r="H874" s="1">
        <f>NMRResults[[#This Row],[Date Run]]</f>
        <v>0</v>
      </c>
    </row>
    <row r="875" spans="1:8" hidden="1" x14ac:dyDescent="0.25">
      <c r="A875" t="str" cm="1">
        <f t="array" ref="A875">IF(AND(ISBLANK(INDEX(SampleList[pH],ROW()-1)),ISBLANK(INDEX(SampleList[Conductivity],ROW()-1)),ISBLANK(INDEX(SampleList[Modification],ROW()-1))),"Not Requested",INDEX(SampleList[Experiment ID],ROW()-1))</f>
        <v>Not Requested</v>
      </c>
      <c r="B875">
        <f>SampleList[[#This Row],[Duration (Days)]]</f>
        <v>0</v>
      </c>
      <c r="G875">
        <f>NMRResults[[#This Row],['#]]</f>
        <v>0</v>
      </c>
      <c r="H875" s="1">
        <f>NMRResults[[#This Row],[Date Run]]</f>
        <v>0</v>
      </c>
    </row>
    <row r="876" spans="1:8" hidden="1" x14ac:dyDescent="0.25">
      <c r="A876" t="str" cm="1">
        <f t="array" ref="A876">IF(AND(ISBLANK(INDEX(SampleList[pH],ROW()-1)),ISBLANK(INDEX(SampleList[Conductivity],ROW()-1)),ISBLANK(INDEX(SampleList[Modification],ROW()-1))),"Not Requested",INDEX(SampleList[Experiment ID],ROW()-1))</f>
        <v>Not Requested</v>
      </c>
      <c r="B876">
        <f>SampleList[[#This Row],[Duration (Days)]]</f>
        <v>0</v>
      </c>
      <c r="G876">
        <f>NMRResults[[#This Row],['#]]</f>
        <v>0</v>
      </c>
      <c r="H876" s="1">
        <f>NMRResults[[#This Row],[Date Run]]</f>
        <v>0</v>
      </c>
    </row>
    <row r="877" spans="1:8" hidden="1" x14ac:dyDescent="0.25">
      <c r="A877" t="str" cm="1">
        <f t="array" ref="A877">IF(AND(ISBLANK(INDEX(SampleList[pH],ROW()-1)),ISBLANK(INDEX(SampleList[Conductivity],ROW()-1)),ISBLANK(INDEX(SampleList[Modification],ROW()-1))),"Not Requested",INDEX(SampleList[Experiment ID],ROW()-1))</f>
        <v>Not Requested</v>
      </c>
      <c r="B877">
        <f>SampleList[[#This Row],[Duration (Days)]]</f>
        <v>0</v>
      </c>
      <c r="G877">
        <f>NMRResults[[#This Row],['#]]</f>
        <v>0</v>
      </c>
      <c r="H877" s="1">
        <f>NMRResults[[#This Row],[Date Run]]</f>
        <v>0</v>
      </c>
    </row>
    <row r="878" spans="1:8" hidden="1" x14ac:dyDescent="0.25">
      <c r="A878" t="str" cm="1">
        <f t="array" ref="A878">IF(AND(ISBLANK(INDEX(SampleList[pH],ROW()-1)),ISBLANK(INDEX(SampleList[Conductivity],ROW()-1)),ISBLANK(INDEX(SampleList[Modification],ROW()-1))),"Not Requested",INDEX(SampleList[Experiment ID],ROW()-1))</f>
        <v>Not Requested</v>
      </c>
      <c r="B878">
        <f>SampleList[[#This Row],[Duration (Days)]]</f>
        <v>0</v>
      </c>
      <c r="G878">
        <f>NMRResults[[#This Row],['#]]</f>
        <v>0</v>
      </c>
      <c r="H878" s="1">
        <f>NMRResults[[#This Row],[Date Run]]</f>
        <v>0</v>
      </c>
    </row>
    <row r="879" spans="1:8" hidden="1" x14ac:dyDescent="0.25">
      <c r="A879" t="str" cm="1">
        <f t="array" ref="A879">IF(AND(ISBLANK(INDEX(SampleList[pH],ROW()-1)),ISBLANK(INDEX(SampleList[Conductivity],ROW()-1)),ISBLANK(INDEX(SampleList[Modification],ROW()-1))),"Not Requested",INDEX(SampleList[Experiment ID],ROW()-1))</f>
        <v>Not Requested</v>
      </c>
      <c r="B879">
        <f>SampleList[[#This Row],[Duration (Days)]]</f>
        <v>0</v>
      </c>
      <c r="G879">
        <f>NMRResults[[#This Row],['#]]</f>
        <v>0</v>
      </c>
      <c r="H879" s="1">
        <f>NMRResults[[#This Row],[Date Run]]</f>
        <v>0</v>
      </c>
    </row>
    <row r="880" spans="1:8" hidden="1" x14ac:dyDescent="0.25">
      <c r="A880" t="str" cm="1">
        <f t="array" ref="A880">IF(AND(ISBLANK(INDEX(SampleList[pH],ROW()-1)),ISBLANK(INDEX(SampleList[Conductivity],ROW()-1)),ISBLANK(INDEX(SampleList[Modification],ROW()-1))),"Not Requested",INDEX(SampleList[Experiment ID],ROW()-1))</f>
        <v>Not Requested</v>
      </c>
      <c r="B880">
        <f>SampleList[[#This Row],[Duration (Days)]]</f>
        <v>0</v>
      </c>
      <c r="G880">
        <f>NMRResults[[#This Row],['#]]</f>
        <v>0</v>
      </c>
      <c r="H880" s="1">
        <f>NMRResults[[#This Row],[Date Run]]</f>
        <v>0</v>
      </c>
    </row>
    <row r="881" spans="1:8" hidden="1" x14ac:dyDescent="0.25">
      <c r="A881" t="str" cm="1">
        <f t="array" ref="A881">IF(AND(ISBLANK(INDEX(SampleList[pH],ROW()-1)),ISBLANK(INDEX(SampleList[Conductivity],ROW()-1)),ISBLANK(INDEX(SampleList[Modification],ROW()-1))),"Not Requested",INDEX(SampleList[Experiment ID],ROW()-1))</f>
        <v>Not Requested</v>
      </c>
      <c r="B881">
        <f>SampleList[[#This Row],[Duration (Days)]]</f>
        <v>0</v>
      </c>
      <c r="G881">
        <f>NMRResults[[#This Row],['#]]</f>
        <v>0</v>
      </c>
      <c r="H881" s="1">
        <f>NMRResults[[#This Row],[Date Run]]</f>
        <v>0</v>
      </c>
    </row>
    <row r="882" spans="1:8" hidden="1" x14ac:dyDescent="0.25">
      <c r="A882" t="str" cm="1">
        <f t="array" ref="A882">IF(AND(ISBLANK(INDEX(SampleList[pH],ROW()-1)),ISBLANK(INDEX(SampleList[Conductivity],ROW()-1)),ISBLANK(INDEX(SampleList[Modification],ROW()-1))),"Not Requested",INDEX(SampleList[Experiment ID],ROW()-1))</f>
        <v>Not Requested</v>
      </c>
      <c r="B882">
        <f>SampleList[[#This Row],[Duration (Days)]]</f>
        <v>0</v>
      </c>
      <c r="G882">
        <f>NMRResults[[#This Row],['#]]</f>
        <v>0</v>
      </c>
      <c r="H882" s="1">
        <f>NMRResults[[#This Row],[Date Run]]</f>
        <v>0</v>
      </c>
    </row>
    <row r="883" spans="1:8" hidden="1" x14ac:dyDescent="0.25">
      <c r="A883" t="str" cm="1">
        <f t="array" ref="A883">IF(AND(ISBLANK(INDEX(SampleList[pH],ROW()-1)),ISBLANK(INDEX(SampleList[Conductivity],ROW()-1)),ISBLANK(INDEX(SampleList[Modification],ROW()-1))),"Not Requested",INDEX(SampleList[Experiment ID],ROW()-1))</f>
        <v>Not Requested</v>
      </c>
      <c r="B883">
        <f>SampleList[[#This Row],[Duration (Days)]]</f>
        <v>0</v>
      </c>
      <c r="G883">
        <f>NMRResults[[#This Row],['#]]</f>
        <v>0</v>
      </c>
      <c r="H883" s="1">
        <f>NMRResults[[#This Row],[Date Run]]</f>
        <v>0</v>
      </c>
    </row>
    <row r="884" spans="1:8" hidden="1" x14ac:dyDescent="0.25">
      <c r="A884" t="str" cm="1">
        <f t="array" ref="A884">IF(AND(ISBLANK(INDEX(SampleList[pH],ROW()-1)),ISBLANK(INDEX(SampleList[Conductivity],ROW()-1)),ISBLANK(INDEX(SampleList[Modification],ROW()-1))),"Not Requested",INDEX(SampleList[Experiment ID],ROW()-1))</f>
        <v>Not Requested</v>
      </c>
      <c r="B884">
        <f>SampleList[[#This Row],[Duration (Days)]]</f>
        <v>0</v>
      </c>
      <c r="G884">
        <f>NMRResults[[#This Row],['#]]</f>
        <v>0</v>
      </c>
      <c r="H884" s="1">
        <f>NMRResults[[#This Row],[Date Run]]</f>
        <v>0</v>
      </c>
    </row>
    <row r="885" spans="1:8" hidden="1" x14ac:dyDescent="0.25">
      <c r="A885" t="str" cm="1">
        <f t="array" ref="A885">IF(AND(ISBLANK(INDEX(SampleList[pH],ROW()-1)),ISBLANK(INDEX(SampleList[Conductivity],ROW()-1)),ISBLANK(INDEX(SampleList[Modification],ROW()-1))),"Not Requested",INDEX(SampleList[Experiment ID],ROW()-1))</f>
        <v>Not Requested</v>
      </c>
      <c r="B885">
        <f>SampleList[[#This Row],[Duration (Days)]]</f>
        <v>0</v>
      </c>
      <c r="G885">
        <f>NMRResults[[#This Row],['#]]</f>
        <v>0</v>
      </c>
      <c r="H885" s="1">
        <f>NMRResults[[#This Row],[Date Run]]</f>
        <v>0</v>
      </c>
    </row>
    <row r="886" spans="1:8" hidden="1" x14ac:dyDescent="0.25">
      <c r="A886" t="str" cm="1">
        <f t="array" ref="A886">IF(AND(ISBLANK(INDEX(SampleList[pH],ROW()-1)),ISBLANK(INDEX(SampleList[Conductivity],ROW()-1)),ISBLANK(INDEX(SampleList[Modification],ROW()-1))),"Not Requested",INDEX(SampleList[Experiment ID],ROW()-1))</f>
        <v>Not Requested</v>
      </c>
      <c r="B886">
        <f>SampleList[[#This Row],[Duration (Days)]]</f>
        <v>0</v>
      </c>
      <c r="G886">
        <f>NMRResults[[#This Row],['#]]</f>
        <v>0</v>
      </c>
      <c r="H886" s="1">
        <f>NMRResults[[#This Row],[Date Run]]</f>
        <v>0</v>
      </c>
    </row>
    <row r="887" spans="1:8" hidden="1" x14ac:dyDescent="0.25">
      <c r="A887" t="str" cm="1">
        <f t="array" ref="A887">IF(AND(ISBLANK(INDEX(SampleList[pH],ROW()-1)),ISBLANK(INDEX(SampleList[Conductivity],ROW()-1)),ISBLANK(INDEX(SampleList[Modification],ROW()-1))),"Not Requested",INDEX(SampleList[Experiment ID],ROW()-1))</f>
        <v>Not Requested</v>
      </c>
      <c r="B887">
        <f>SampleList[[#This Row],[Duration (Days)]]</f>
        <v>0</v>
      </c>
      <c r="G887">
        <f>NMRResults[[#This Row],['#]]</f>
        <v>0</v>
      </c>
      <c r="H887" s="1">
        <f>NMRResults[[#This Row],[Date Run]]</f>
        <v>0</v>
      </c>
    </row>
    <row r="888" spans="1:8" hidden="1" x14ac:dyDescent="0.25">
      <c r="A888" t="str" cm="1">
        <f t="array" ref="A888">IF(AND(ISBLANK(INDEX(SampleList[pH],ROW()-1)),ISBLANK(INDEX(SampleList[Conductivity],ROW()-1)),ISBLANK(INDEX(SampleList[Modification],ROW()-1))),"Not Requested",INDEX(SampleList[Experiment ID],ROW()-1))</f>
        <v>Not Requested</v>
      </c>
      <c r="B888">
        <f>SampleList[[#This Row],[Duration (Days)]]</f>
        <v>0</v>
      </c>
      <c r="G888">
        <f>NMRResults[[#This Row],['#]]</f>
        <v>0</v>
      </c>
      <c r="H888" s="1">
        <f>NMRResults[[#This Row],[Date Run]]</f>
        <v>0</v>
      </c>
    </row>
    <row r="889" spans="1:8" hidden="1" x14ac:dyDescent="0.25">
      <c r="A889" t="str" cm="1">
        <f t="array" ref="A889">IF(AND(ISBLANK(INDEX(SampleList[pH],ROW()-1)),ISBLANK(INDEX(SampleList[Conductivity],ROW()-1)),ISBLANK(INDEX(SampleList[Modification],ROW()-1))),"Not Requested",INDEX(SampleList[Experiment ID],ROW()-1))</f>
        <v>Not Requested</v>
      </c>
      <c r="B889">
        <f>SampleList[[#This Row],[Duration (Days)]]</f>
        <v>0</v>
      </c>
      <c r="G889">
        <f>NMRResults[[#This Row],['#]]</f>
        <v>0</v>
      </c>
      <c r="H889" s="1">
        <f>NMRResults[[#This Row],[Date Run]]</f>
        <v>0</v>
      </c>
    </row>
    <row r="890" spans="1:8" hidden="1" x14ac:dyDescent="0.25">
      <c r="A890" t="str" cm="1">
        <f t="array" ref="A890">IF(AND(ISBLANK(INDEX(SampleList[pH],ROW()-1)),ISBLANK(INDEX(SampleList[Conductivity],ROW()-1)),ISBLANK(INDEX(SampleList[Modification],ROW()-1))),"Not Requested",INDEX(SampleList[Experiment ID],ROW()-1))</f>
        <v>Not Requested</v>
      </c>
      <c r="B890">
        <f>SampleList[[#This Row],[Duration (Days)]]</f>
        <v>0</v>
      </c>
      <c r="G890">
        <f>NMRResults[[#This Row],['#]]</f>
        <v>0</v>
      </c>
      <c r="H890" s="1">
        <f>NMRResults[[#This Row],[Date Run]]</f>
        <v>0</v>
      </c>
    </row>
    <row r="891" spans="1:8" hidden="1" x14ac:dyDescent="0.25">
      <c r="A891" t="str" cm="1">
        <f t="array" ref="A891">IF(AND(ISBLANK(INDEX(SampleList[pH],ROW()-1)),ISBLANK(INDEX(SampleList[Conductivity],ROW()-1)),ISBLANK(INDEX(SampleList[Modification],ROW()-1))),"Not Requested",INDEX(SampleList[Experiment ID],ROW()-1))</f>
        <v>Not Requested</v>
      </c>
      <c r="B891">
        <f>SampleList[[#This Row],[Duration (Days)]]</f>
        <v>0</v>
      </c>
      <c r="G891">
        <f>NMRResults[[#This Row],['#]]</f>
        <v>6</v>
      </c>
      <c r="H891" s="1">
        <f>NMRResults[[#This Row],[Date Run]]</f>
        <v>0</v>
      </c>
    </row>
    <row r="892" spans="1:8" hidden="1" x14ac:dyDescent="0.25">
      <c r="A892" t="str" cm="1">
        <f t="array" ref="A892">IF(AND(ISBLANK(INDEX(SampleList[pH],ROW()-1)),ISBLANK(INDEX(SampleList[Conductivity],ROW()-1)),ISBLANK(INDEX(SampleList[Modification],ROW()-1))),"Not Requested",INDEX(SampleList[Experiment ID],ROW()-1))</f>
        <v>Not Requested</v>
      </c>
      <c r="B892">
        <f>SampleList[[#This Row],[Duration (Days)]]</f>
        <v>0</v>
      </c>
      <c r="G892">
        <f>NMRResults[[#This Row],['#]]</f>
        <v>1</v>
      </c>
      <c r="H892" s="1">
        <f>NMRResults[[#This Row],[Date Run]]</f>
        <v>0</v>
      </c>
    </row>
    <row r="893" spans="1:8" hidden="1" x14ac:dyDescent="0.25">
      <c r="A893" t="str" cm="1">
        <f t="array" ref="A893">IF(AND(ISBLANK(INDEX(SampleList[pH],ROW()-1)),ISBLANK(INDEX(SampleList[Conductivity],ROW()-1)),ISBLANK(INDEX(SampleList[Modification],ROW()-1))),"Not Requested",INDEX(SampleList[Experiment ID],ROW()-1))</f>
        <v>Not Requested</v>
      </c>
      <c r="B893">
        <f>SampleList[[#This Row],[Duration (Days)]]</f>
        <v>0</v>
      </c>
      <c r="G893">
        <f>NMRResults[[#This Row],['#]]</f>
        <v>2</v>
      </c>
      <c r="H893" s="1">
        <f>NMRResults[[#This Row],[Date Run]]</f>
        <v>0</v>
      </c>
    </row>
    <row r="894" spans="1:8" hidden="1" x14ac:dyDescent="0.25">
      <c r="A894" t="str" cm="1">
        <f t="array" ref="A894">IF(AND(ISBLANK(INDEX(SampleList[pH],ROW()-1)),ISBLANK(INDEX(SampleList[Conductivity],ROW()-1)),ISBLANK(INDEX(SampleList[Modification],ROW()-1))),"Not Requested",INDEX(SampleList[Experiment ID],ROW()-1))</f>
        <v>Not Requested</v>
      </c>
      <c r="B894">
        <f>SampleList[[#This Row],[Duration (Days)]]</f>
        <v>0</v>
      </c>
      <c r="G894">
        <f>NMRResults[[#This Row],['#]]</f>
        <v>5</v>
      </c>
      <c r="H894" s="1">
        <f>NMRResults[[#This Row],[Date Run]]</f>
        <v>0</v>
      </c>
    </row>
    <row r="895" spans="1:8" hidden="1" x14ac:dyDescent="0.25">
      <c r="A895" t="str" cm="1">
        <f t="array" ref="A895">IF(AND(ISBLANK(INDEX(SampleList[pH],ROW()-1)),ISBLANK(INDEX(SampleList[Conductivity],ROW()-1)),ISBLANK(INDEX(SampleList[Modification],ROW()-1))),"Not Requested",INDEX(SampleList[Experiment ID],ROW()-1))</f>
        <v>Not Requested</v>
      </c>
      <c r="B895">
        <f>SampleList[[#This Row],[Duration (Days)]]</f>
        <v>0</v>
      </c>
      <c r="G895">
        <f>NMRResults[[#This Row],['#]]</f>
        <v>7</v>
      </c>
      <c r="H895" s="1">
        <f>NMRResults[[#This Row],[Date Run]]</f>
        <v>0</v>
      </c>
    </row>
    <row r="896" spans="1:8" hidden="1" x14ac:dyDescent="0.25">
      <c r="A896" t="str" cm="1">
        <f t="array" ref="A896">IF(AND(ISBLANK(INDEX(SampleList[pH],ROW()-1)),ISBLANK(INDEX(SampleList[Conductivity],ROW()-1)),ISBLANK(INDEX(SampleList[Modification],ROW()-1))),"Not Requested",INDEX(SampleList[Experiment ID],ROW()-1))</f>
        <v>Not Requested</v>
      </c>
      <c r="B896">
        <f>SampleList[[#This Row],[Duration (Days)]]</f>
        <v>0</v>
      </c>
      <c r="G896">
        <f>NMRResults[[#This Row],['#]]</f>
        <v>0</v>
      </c>
      <c r="H896" s="1">
        <f>NMRResults[[#This Row],[Date Run]]</f>
        <v>0</v>
      </c>
    </row>
    <row r="897" spans="1:8" hidden="1" x14ac:dyDescent="0.25">
      <c r="A897" t="str" cm="1">
        <f t="array" ref="A897">IF(AND(ISBLANK(INDEX(SampleList[pH],ROW()-1)),ISBLANK(INDEX(SampleList[Conductivity],ROW()-1)),ISBLANK(INDEX(SampleList[Modification],ROW()-1))),"Not Requested",INDEX(SampleList[Experiment ID],ROW()-1))</f>
        <v>Not Requested</v>
      </c>
      <c r="B897">
        <f>SampleList[[#This Row],[Duration (Days)]]</f>
        <v>0</v>
      </c>
      <c r="G897">
        <f>NMRResults[[#This Row],['#]]</f>
        <v>0</v>
      </c>
      <c r="H897" s="1">
        <f>NMRResults[[#This Row],[Date Run]]</f>
        <v>0</v>
      </c>
    </row>
    <row r="898" spans="1:8" hidden="1" x14ac:dyDescent="0.25">
      <c r="A898" t="str" cm="1">
        <f t="array" ref="A898">IF(AND(ISBLANK(INDEX(SampleList[pH],ROW()-1)),ISBLANK(INDEX(SampleList[Conductivity],ROW()-1)),ISBLANK(INDEX(SampleList[Modification],ROW()-1))),"Not Requested",INDEX(SampleList[Experiment ID],ROW()-1))</f>
        <v>Not Requested</v>
      </c>
      <c r="B898">
        <f>SampleList[[#This Row],[Duration (Days)]]</f>
        <v>0</v>
      </c>
      <c r="G898">
        <f>NMRResults[[#This Row],['#]]</f>
        <v>1</v>
      </c>
      <c r="H898" s="1">
        <f>NMRResults[[#This Row],[Date Run]]</f>
        <v>0</v>
      </c>
    </row>
    <row r="899" spans="1:8" hidden="1" x14ac:dyDescent="0.25">
      <c r="A899" t="str" cm="1">
        <f t="array" ref="A899">IF(AND(ISBLANK(INDEX(SampleList[pH],ROW()-1)),ISBLANK(INDEX(SampleList[Conductivity],ROW()-1)),ISBLANK(INDEX(SampleList[Modification],ROW()-1))),"Not Requested",INDEX(SampleList[Experiment ID],ROW()-1))</f>
        <v>Not Requested</v>
      </c>
      <c r="B899">
        <f>SampleList[[#This Row],[Duration (Days)]]</f>
        <v>0</v>
      </c>
      <c r="G899">
        <f>NMRResults[[#This Row],['#]]</f>
        <v>2</v>
      </c>
      <c r="H899" s="1">
        <f>NMRResults[[#This Row],[Date Run]]</f>
        <v>0</v>
      </c>
    </row>
    <row r="900" spans="1:8" hidden="1" x14ac:dyDescent="0.25">
      <c r="A900" t="str" cm="1">
        <f t="array" ref="A900">IF(AND(ISBLANK(INDEX(SampleList[pH],ROW()-1)),ISBLANK(INDEX(SampleList[Conductivity],ROW()-1)),ISBLANK(INDEX(SampleList[Modification],ROW()-1))),"Not Requested",INDEX(SampleList[Experiment ID],ROW()-1))</f>
        <v>Not Requested</v>
      </c>
      <c r="B900">
        <f>SampleList[[#This Row],[Duration (Days)]]</f>
        <v>0</v>
      </c>
      <c r="G900">
        <f>NMRResults[[#This Row],['#]]</f>
        <v>3</v>
      </c>
      <c r="H900" s="1">
        <f>NMRResults[[#This Row],[Date Run]]</f>
        <v>0</v>
      </c>
    </row>
    <row r="901" spans="1:8" hidden="1" x14ac:dyDescent="0.25">
      <c r="A901" t="str" cm="1">
        <f t="array" ref="A901">IF(AND(ISBLANK(INDEX(SampleList[pH],ROW()-1)),ISBLANK(INDEX(SampleList[Conductivity],ROW()-1)),ISBLANK(INDEX(SampleList[Modification],ROW()-1))),"Not Requested",INDEX(SampleList[Experiment ID],ROW()-1))</f>
        <v>Not Requested</v>
      </c>
      <c r="B901">
        <f>SampleList[[#This Row],[Duration (Days)]]</f>
        <v>0</v>
      </c>
      <c r="G901">
        <f>NMRResults[[#This Row],['#]]</f>
        <v>4</v>
      </c>
      <c r="H901" s="1">
        <f>NMRResults[[#This Row],[Date Run]]</f>
        <v>0</v>
      </c>
    </row>
    <row r="902" spans="1:8" hidden="1" x14ac:dyDescent="0.25">
      <c r="A902" t="str" cm="1">
        <f t="array" ref="A902">IF(AND(ISBLANK(INDEX(SampleList[pH],ROW()-1)),ISBLANK(INDEX(SampleList[Conductivity],ROW()-1)),ISBLANK(INDEX(SampleList[Modification],ROW()-1))),"Not Requested",INDEX(SampleList[Experiment ID],ROW()-1))</f>
        <v>Not Requested</v>
      </c>
      <c r="B902">
        <f>SampleList[[#This Row],[Duration (Days)]]</f>
        <v>0</v>
      </c>
      <c r="G902">
        <f>NMRResults[[#This Row],['#]]</f>
        <v>6</v>
      </c>
      <c r="H902" s="1">
        <f>NMRResults[[#This Row],[Date Run]]</f>
        <v>0</v>
      </c>
    </row>
    <row r="903" spans="1:8" hidden="1" x14ac:dyDescent="0.25">
      <c r="A903" t="str" cm="1">
        <f t="array" ref="A903">IF(AND(ISBLANK(INDEX(SampleList[pH],ROW()-1)),ISBLANK(INDEX(SampleList[Conductivity],ROW()-1)),ISBLANK(INDEX(SampleList[Modification],ROW()-1))),"Not Requested",INDEX(SampleList[Experiment ID],ROW()-1))</f>
        <v>Not Requested</v>
      </c>
      <c r="B903">
        <f>SampleList[[#This Row],[Duration (Days)]]</f>
        <v>0</v>
      </c>
      <c r="G903">
        <f>NMRResults[[#This Row],['#]]</f>
        <v>5</v>
      </c>
      <c r="H903" s="1">
        <f>NMRResults[[#This Row],[Date Run]]</f>
        <v>0</v>
      </c>
    </row>
    <row r="904" spans="1:8" hidden="1" x14ac:dyDescent="0.25">
      <c r="A904" t="str" cm="1">
        <f t="array" ref="A904">IF(AND(ISBLANK(INDEX(SampleList[pH],ROW()-1)),ISBLANK(INDEX(SampleList[Conductivity],ROW()-1)),ISBLANK(INDEX(SampleList[Modification],ROW()-1))),"Not Requested",INDEX(SampleList[Experiment ID],ROW()-1))</f>
        <v>Not Requested</v>
      </c>
      <c r="B904">
        <f>SampleList[[#This Row],[Duration (Days)]]</f>
        <v>0</v>
      </c>
      <c r="G904">
        <f>NMRResults[[#This Row],['#]]</f>
        <v>7</v>
      </c>
      <c r="H904" s="1">
        <f>NMRResults[[#This Row],[Date Run]]</f>
        <v>0</v>
      </c>
    </row>
    <row r="905" spans="1:8" hidden="1" x14ac:dyDescent="0.25">
      <c r="A905" t="str" cm="1">
        <f t="array" ref="A905">IF(AND(ISBLANK(INDEX(SampleList[pH],ROW()-1)),ISBLANK(INDEX(SampleList[Conductivity],ROW()-1)),ISBLANK(INDEX(SampleList[Modification],ROW()-1))),"Not Requested",INDEX(SampleList[Experiment ID],ROW()-1))</f>
        <v>Not Requested</v>
      </c>
      <c r="B905">
        <f>SampleList[[#This Row],[Duration (Days)]]</f>
        <v>0</v>
      </c>
      <c r="G905">
        <f>NMRResults[[#This Row],['#]]</f>
        <v>8</v>
      </c>
      <c r="H905" s="1">
        <f>NMRResults[[#This Row],[Date Run]]</f>
        <v>0</v>
      </c>
    </row>
    <row r="906" spans="1:8" hidden="1" x14ac:dyDescent="0.25">
      <c r="A906" t="str" cm="1">
        <f t="array" ref="A906">IF(AND(ISBLANK(INDEX(SampleList[pH],ROW()-1)),ISBLANK(INDEX(SampleList[Conductivity],ROW()-1)),ISBLANK(INDEX(SampleList[Modification],ROW()-1))),"Not Requested",INDEX(SampleList[Experiment ID],ROW()-1))</f>
        <v>Not Requested</v>
      </c>
      <c r="B906">
        <f>SampleList[[#This Row],[Duration (Days)]]</f>
        <v>0</v>
      </c>
      <c r="G906">
        <f>NMRResults[[#This Row],['#]]</f>
        <v>9</v>
      </c>
      <c r="H906" s="1">
        <f>NMRResults[[#This Row],[Date Run]]</f>
        <v>0</v>
      </c>
    </row>
    <row r="907" spans="1:8" hidden="1" x14ac:dyDescent="0.25">
      <c r="A907" t="str" cm="1">
        <f t="array" ref="A907">IF(AND(ISBLANK(INDEX(SampleList[pH],ROW()-1)),ISBLANK(INDEX(SampleList[Conductivity],ROW()-1)),ISBLANK(INDEX(SampleList[Modification],ROW()-1))),"Not Requested",INDEX(SampleList[Experiment ID],ROW()-1))</f>
        <v>Not Requested</v>
      </c>
      <c r="B907">
        <f>SampleList[[#This Row],[Duration (Days)]]</f>
        <v>0</v>
      </c>
      <c r="G907">
        <f>NMRResults[[#This Row],['#]]</f>
        <v>10</v>
      </c>
      <c r="H907" s="1">
        <f>NMRResults[[#This Row],[Date Run]]</f>
        <v>0</v>
      </c>
    </row>
    <row r="908" spans="1:8" hidden="1" x14ac:dyDescent="0.25">
      <c r="A908" t="str" cm="1">
        <f t="array" ref="A908">IF(AND(ISBLANK(INDEX(SampleList[pH],ROW()-1)),ISBLANK(INDEX(SampleList[Conductivity],ROW()-1)),ISBLANK(INDEX(SampleList[Modification],ROW()-1))),"Not Requested",INDEX(SampleList[Experiment ID],ROW()-1))</f>
        <v>Not Requested</v>
      </c>
      <c r="B908">
        <f>SampleList[[#This Row],[Duration (Days)]]</f>
        <v>0</v>
      </c>
      <c r="G908">
        <f>NMRResults[[#This Row],['#]]</f>
        <v>11</v>
      </c>
      <c r="H908" s="1">
        <f>NMRResults[[#This Row],[Date Run]]</f>
        <v>0</v>
      </c>
    </row>
    <row r="909" spans="1:8" hidden="1" x14ac:dyDescent="0.25">
      <c r="A909" t="str" cm="1">
        <f t="array" ref="A909">IF(AND(ISBLANK(INDEX(SampleList[pH],ROW()-1)),ISBLANK(INDEX(SampleList[Conductivity],ROW()-1)),ISBLANK(INDEX(SampleList[Modification],ROW()-1))),"Not Requested",INDEX(SampleList[Experiment ID],ROW()-1))</f>
        <v>Not Requested</v>
      </c>
      <c r="B909">
        <f>SampleList[[#This Row],[Duration (Days)]]</f>
        <v>0</v>
      </c>
      <c r="G909">
        <f>NMRResults[[#This Row],['#]]</f>
        <v>12</v>
      </c>
      <c r="H909" s="1">
        <f>NMRResults[[#This Row],[Date Run]]</f>
        <v>0</v>
      </c>
    </row>
    <row r="910" spans="1:8" hidden="1" x14ac:dyDescent="0.25">
      <c r="A910" t="str" cm="1">
        <f t="array" ref="A910">IF(AND(ISBLANK(INDEX(SampleList[pH],ROW()-1)),ISBLANK(INDEX(SampleList[Conductivity],ROW()-1)),ISBLANK(INDEX(SampleList[Modification],ROW()-1))),"Not Requested",INDEX(SampleList[Experiment ID],ROW()-1))</f>
        <v>Not Requested</v>
      </c>
      <c r="B910">
        <f>SampleList[[#This Row],[Duration (Days)]]</f>
        <v>0</v>
      </c>
      <c r="G910">
        <f>NMRResults[[#This Row],['#]]</f>
        <v>1</v>
      </c>
      <c r="H910" s="1">
        <f>NMRResults[[#This Row],[Date Run]]</f>
        <v>0</v>
      </c>
    </row>
    <row r="911" spans="1:8" hidden="1" x14ac:dyDescent="0.25">
      <c r="A911" t="str" cm="1">
        <f t="array" ref="A911">IF(AND(ISBLANK(INDEX(SampleList[pH],ROW()-1)),ISBLANK(INDEX(SampleList[Conductivity],ROW()-1)),ISBLANK(INDEX(SampleList[Modification],ROW()-1))),"Not Requested",INDEX(SampleList[Experiment ID],ROW()-1))</f>
        <v>Not Requested</v>
      </c>
      <c r="B911">
        <f>SampleList[[#This Row],[Duration (Days)]]</f>
        <v>0</v>
      </c>
      <c r="G911">
        <f>NMRResults[[#This Row],['#]]</f>
        <v>5</v>
      </c>
      <c r="H911" s="1">
        <f>NMRResults[[#This Row],[Date Run]]</f>
        <v>0</v>
      </c>
    </row>
    <row r="912" spans="1:8" hidden="1" x14ac:dyDescent="0.25">
      <c r="A912" t="str" cm="1">
        <f t="array" ref="A912">IF(AND(ISBLANK(INDEX(SampleList[pH],ROW()-1)),ISBLANK(INDEX(SampleList[Conductivity],ROW()-1)),ISBLANK(INDEX(SampleList[Modification],ROW()-1))),"Not Requested",INDEX(SampleList[Experiment ID],ROW()-1))</f>
        <v>Not Requested</v>
      </c>
      <c r="B912">
        <f>SampleList[[#This Row],[Duration (Days)]]</f>
        <v>0</v>
      </c>
      <c r="G912">
        <f>NMRResults[[#This Row],['#]]</f>
        <v>2</v>
      </c>
      <c r="H912" s="1">
        <f>NMRResults[[#This Row],[Date Run]]</f>
        <v>0</v>
      </c>
    </row>
    <row r="913" spans="1:8" hidden="1" x14ac:dyDescent="0.25">
      <c r="A913" t="str" cm="1">
        <f t="array" ref="A913">IF(AND(ISBLANK(INDEX(SampleList[pH],ROW()-1)),ISBLANK(INDEX(SampleList[Conductivity],ROW()-1)),ISBLANK(INDEX(SampleList[Modification],ROW()-1))),"Not Requested",INDEX(SampleList[Experiment ID],ROW()-1))</f>
        <v>Not Requested</v>
      </c>
      <c r="B913">
        <f>SampleList[[#This Row],[Duration (Days)]]</f>
        <v>0</v>
      </c>
      <c r="G913">
        <f>NMRResults[[#This Row],['#]]</f>
        <v>3</v>
      </c>
      <c r="H913" s="1">
        <f>NMRResults[[#This Row],[Date Run]]</f>
        <v>0</v>
      </c>
    </row>
    <row r="914" spans="1:8" hidden="1" x14ac:dyDescent="0.25">
      <c r="A914" t="str" cm="1">
        <f t="array" ref="A914">IF(AND(ISBLANK(INDEX(SampleList[pH],ROW()-1)),ISBLANK(INDEX(SampleList[Conductivity],ROW()-1)),ISBLANK(INDEX(SampleList[Modification],ROW()-1))),"Not Requested",INDEX(SampleList[Experiment ID],ROW()-1))</f>
        <v>Not Requested</v>
      </c>
      <c r="B914">
        <f>SampleList[[#This Row],[Duration (Days)]]</f>
        <v>0</v>
      </c>
      <c r="G914">
        <f>NMRResults[[#This Row],['#]]</f>
        <v>4</v>
      </c>
      <c r="H914" s="1">
        <f>NMRResults[[#This Row],[Date Run]]</f>
        <v>0</v>
      </c>
    </row>
    <row r="915" spans="1:8" hidden="1" x14ac:dyDescent="0.25">
      <c r="A915" t="str" cm="1">
        <f t="array" ref="A915">IF(AND(ISBLANK(INDEX(SampleList[pH],ROW()-1)),ISBLANK(INDEX(SampleList[Conductivity],ROW()-1)),ISBLANK(INDEX(SampleList[Modification],ROW()-1))),"Not Requested",INDEX(SampleList[Experiment ID],ROW()-1))</f>
        <v>Not Requested</v>
      </c>
      <c r="B915">
        <f>SampleList[[#This Row],[Duration (Days)]]</f>
        <v>0</v>
      </c>
      <c r="G915">
        <f>NMRResults[[#This Row],['#]]</f>
        <v>6</v>
      </c>
      <c r="H915" s="1">
        <f>NMRResults[[#This Row],[Date Run]]</f>
        <v>0</v>
      </c>
    </row>
    <row r="916" spans="1:8" hidden="1" x14ac:dyDescent="0.25">
      <c r="A916" t="str" cm="1">
        <f t="array" ref="A916">IF(AND(ISBLANK(INDEX(SampleList[pH],ROW()-1)),ISBLANK(INDEX(SampleList[Conductivity],ROW()-1)),ISBLANK(INDEX(SampleList[Modification],ROW()-1))),"Not Requested",INDEX(SampleList[Experiment ID],ROW()-1))</f>
        <v>Not Requested</v>
      </c>
      <c r="B916">
        <f>SampleList[[#This Row],[Duration (Days)]]</f>
        <v>0</v>
      </c>
      <c r="G916">
        <f>NMRResults[[#This Row],['#]]</f>
        <v>7</v>
      </c>
      <c r="H916" s="1">
        <f>NMRResults[[#This Row],[Date Run]]</f>
        <v>0</v>
      </c>
    </row>
    <row r="917" spans="1:8" hidden="1" x14ac:dyDescent="0.25">
      <c r="A917" t="str" cm="1">
        <f t="array" ref="A917">IF(AND(ISBLANK(INDEX(SampleList[pH],ROW()-1)),ISBLANK(INDEX(SampleList[Conductivity],ROW()-1)),ISBLANK(INDEX(SampleList[Modification],ROW()-1))),"Not Requested",INDEX(SampleList[Experiment ID],ROW()-1))</f>
        <v>Not Requested</v>
      </c>
      <c r="B917">
        <f>SampleList[[#This Row],[Duration (Days)]]</f>
        <v>0</v>
      </c>
      <c r="G917">
        <f>NMRResults[[#This Row],['#]]</f>
        <v>0</v>
      </c>
      <c r="H917" s="1">
        <f>NMRResults[[#This Row],[Date Run]]</f>
        <v>0</v>
      </c>
    </row>
    <row r="918" spans="1:8" hidden="1" x14ac:dyDescent="0.25">
      <c r="A918" t="str" cm="1">
        <f t="array" ref="A918">IF(AND(ISBLANK(INDEX(SampleList[pH],ROW()-1)),ISBLANK(INDEX(SampleList[Conductivity],ROW()-1)),ISBLANK(INDEX(SampleList[Modification],ROW()-1))),"Not Requested",INDEX(SampleList[Experiment ID],ROW()-1))</f>
        <v>Not Requested</v>
      </c>
      <c r="B918">
        <f>SampleList[[#This Row],[Duration (Days)]]</f>
        <v>0</v>
      </c>
      <c r="G918">
        <f>NMRResults[[#This Row],['#]]</f>
        <v>0</v>
      </c>
      <c r="H918" s="1">
        <f>NMRResults[[#This Row],[Date Run]]</f>
        <v>0</v>
      </c>
    </row>
    <row r="919" spans="1:8" hidden="1" x14ac:dyDescent="0.25">
      <c r="A919" t="str" cm="1">
        <f t="array" ref="A919">IF(AND(ISBLANK(INDEX(SampleList[pH],ROW()-1)),ISBLANK(INDEX(SampleList[Conductivity],ROW()-1)),ISBLANK(INDEX(SampleList[Modification],ROW()-1))),"Not Requested",INDEX(SampleList[Experiment ID],ROW()-1))</f>
        <v>Not Requested</v>
      </c>
      <c r="B919">
        <f>SampleList[[#This Row],[Duration (Days)]]</f>
        <v>0</v>
      </c>
      <c r="G919">
        <f>NMRResults[[#This Row],['#]]</f>
        <v>0</v>
      </c>
      <c r="H919" s="1">
        <f>NMRResults[[#This Row],[Date Run]]</f>
        <v>0</v>
      </c>
    </row>
    <row r="920" spans="1:8" hidden="1" x14ac:dyDescent="0.25">
      <c r="A920" t="str" cm="1">
        <f t="array" ref="A920">IF(AND(ISBLANK(INDEX(SampleList[pH],ROW()-1)),ISBLANK(INDEX(SampleList[Conductivity],ROW()-1)),ISBLANK(INDEX(SampleList[Modification],ROW()-1))),"Not Requested",INDEX(SampleList[Experiment ID],ROW()-1))</f>
        <v>Not Requested</v>
      </c>
      <c r="B920">
        <f>SampleList[[#This Row],[Duration (Days)]]</f>
        <v>0</v>
      </c>
      <c r="G920">
        <f>NMRResults[[#This Row],['#]]</f>
        <v>0</v>
      </c>
      <c r="H920" s="1">
        <f>NMRResults[[#This Row],[Date Run]]</f>
        <v>0</v>
      </c>
    </row>
    <row r="921" spans="1:8" hidden="1" x14ac:dyDescent="0.25">
      <c r="A921" t="str" cm="1">
        <f t="array" ref="A921">IF(AND(ISBLANK(INDEX(SampleList[pH],ROW()-1)),ISBLANK(INDEX(SampleList[Conductivity],ROW()-1)),ISBLANK(INDEX(SampleList[Modification],ROW()-1))),"Not Requested",INDEX(SampleList[Experiment ID],ROW()-1))</f>
        <v>Not Requested</v>
      </c>
      <c r="B921">
        <f>SampleList[[#This Row],[Duration (Days)]]</f>
        <v>0</v>
      </c>
      <c r="G921">
        <f>NMRResults[[#This Row],['#]]</f>
        <v>0</v>
      </c>
      <c r="H921" s="1">
        <f>NMRResults[[#This Row],[Date Run]]</f>
        <v>0</v>
      </c>
    </row>
    <row r="922" spans="1:8" hidden="1" x14ac:dyDescent="0.25">
      <c r="A922" t="str" cm="1">
        <f t="array" ref="A922">IF(AND(ISBLANK(INDEX(SampleList[pH],ROW()-1)),ISBLANK(INDEX(SampleList[Conductivity],ROW()-1)),ISBLANK(INDEX(SampleList[Modification],ROW()-1))),"Not Requested",INDEX(SampleList[Experiment ID],ROW()-1))</f>
        <v>Not Requested</v>
      </c>
      <c r="B922">
        <f>SampleList[[#This Row],[Duration (Days)]]</f>
        <v>0</v>
      </c>
      <c r="G922">
        <f>NMRResults[[#This Row],['#]]</f>
        <v>0</v>
      </c>
      <c r="H922" s="1">
        <f>NMRResults[[#This Row],[Date Run]]</f>
        <v>0</v>
      </c>
    </row>
    <row r="923" spans="1:8" hidden="1" x14ac:dyDescent="0.25">
      <c r="A923" t="str" cm="1">
        <f t="array" ref="A923">IF(AND(ISBLANK(INDEX(SampleList[pH],ROW()-1)),ISBLANK(INDEX(SampleList[Conductivity],ROW()-1)),ISBLANK(INDEX(SampleList[Modification],ROW()-1))),"Not Requested",INDEX(SampleList[Experiment ID],ROW()-1))</f>
        <v>Not Requested</v>
      </c>
      <c r="B923">
        <f>SampleList[[#This Row],[Duration (Days)]]</f>
        <v>0</v>
      </c>
      <c r="G923">
        <f>NMRResults[[#This Row],['#]]</f>
        <v>0</v>
      </c>
      <c r="H923" s="1">
        <f>NMRResults[[#This Row],[Date Run]]</f>
        <v>0</v>
      </c>
    </row>
    <row r="924" spans="1:8" hidden="1" x14ac:dyDescent="0.25">
      <c r="A924" t="str" cm="1">
        <f t="array" ref="A924">IF(AND(ISBLANK(INDEX(SampleList[pH],ROW()-1)),ISBLANK(INDEX(SampleList[Conductivity],ROW()-1)),ISBLANK(INDEX(SampleList[Modification],ROW()-1))),"Not Requested",INDEX(SampleList[Experiment ID],ROW()-1))</f>
        <v>Not Requested</v>
      </c>
      <c r="B924">
        <f>SampleList[[#This Row],[Duration (Days)]]</f>
        <v>0</v>
      </c>
      <c r="G924">
        <f>NMRResults[[#This Row],['#]]</f>
        <v>0</v>
      </c>
      <c r="H924" s="1">
        <f>NMRResults[[#This Row],[Date Run]]</f>
        <v>0</v>
      </c>
    </row>
    <row r="925" spans="1:8" hidden="1" x14ac:dyDescent="0.25">
      <c r="A925" t="str" cm="1">
        <f t="array" ref="A925">IF(AND(ISBLANK(INDEX(SampleList[pH],ROW()-1)),ISBLANK(INDEX(SampleList[Conductivity],ROW()-1)),ISBLANK(INDEX(SampleList[Modification],ROW()-1))),"Not Requested",INDEX(SampleList[Experiment ID],ROW()-1))</f>
        <v>Not Requested</v>
      </c>
      <c r="B925">
        <f>SampleList[[#This Row],[Duration (Days)]]</f>
        <v>0</v>
      </c>
      <c r="G925">
        <f>NMRResults[[#This Row],['#]]</f>
        <v>0</v>
      </c>
      <c r="H925" s="1">
        <f>NMRResults[[#This Row],[Date Run]]</f>
        <v>0</v>
      </c>
    </row>
    <row r="926" spans="1:8" hidden="1" x14ac:dyDescent="0.25">
      <c r="A926" t="str" cm="1">
        <f t="array" ref="A926">IF(AND(ISBLANK(INDEX(SampleList[pH],ROW()-1)),ISBLANK(INDEX(SampleList[Conductivity],ROW()-1)),ISBLANK(INDEX(SampleList[Modification],ROW()-1))),"Not Requested",INDEX(SampleList[Experiment ID],ROW()-1))</f>
        <v>Not Requested</v>
      </c>
      <c r="B926">
        <f>SampleList[[#This Row],[Duration (Days)]]</f>
        <v>0</v>
      </c>
      <c r="G926">
        <f>NMRResults[[#This Row],['#]]</f>
        <v>0</v>
      </c>
      <c r="H926" s="1">
        <f>NMRResults[[#This Row],[Date Run]]</f>
        <v>0</v>
      </c>
    </row>
    <row r="927" spans="1:8" hidden="1" x14ac:dyDescent="0.25">
      <c r="A927" t="str" cm="1">
        <f t="array" ref="A927">IF(AND(ISBLANK(INDEX(SampleList[pH],ROW()-1)),ISBLANK(INDEX(SampleList[Conductivity],ROW()-1)),ISBLANK(INDEX(SampleList[Modification],ROW()-1))),"Not Requested",INDEX(SampleList[Experiment ID],ROW()-1))</f>
        <v>Not Requested</v>
      </c>
      <c r="B927">
        <f>SampleList[[#This Row],[Duration (Days)]]</f>
        <v>0</v>
      </c>
      <c r="G927">
        <f>NMRResults[[#This Row],['#]]</f>
        <v>0</v>
      </c>
      <c r="H927" s="1">
        <f>NMRResults[[#This Row],[Date Run]]</f>
        <v>0</v>
      </c>
    </row>
    <row r="928" spans="1:8" hidden="1" x14ac:dyDescent="0.25">
      <c r="A928" t="str" cm="1">
        <f t="array" ref="A928">IF(AND(ISBLANK(INDEX(SampleList[pH],ROW()-1)),ISBLANK(INDEX(SampleList[Conductivity],ROW()-1)),ISBLANK(INDEX(SampleList[Modification],ROW()-1))),"Not Requested",INDEX(SampleList[Experiment ID],ROW()-1))</f>
        <v>Not Requested</v>
      </c>
      <c r="B928">
        <f>SampleList[[#This Row],[Duration (Days)]]</f>
        <v>0</v>
      </c>
      <c r="G928">
        <f>NMRResults[[#This Row],['#]]</f>
        <v>0</v>
      </c>
      <c r="H928" s="1">
        <f>NMRResults[[#This Row],[Date Run]]</f>
        <v>0</v>
      </c>
    </row>
    <row r="929" spans="1:8" hidden="1" x14ac:dyDescent="0.25">
      <c r="A929" t="str" cm="1">
        <f t="array" ref="A929">IF(AND(ISBLANK(INDEX(SampleList[pH],ROW()-1)),ISBLANK(INDEX(SampleList[Conductivity],ROW()-1)),ISBLANK(INDEX(SampleList[Modification],ROW()-1))),"Not Requested",INDEX(SampleList[Experiment ID],ROW()-1))</f>
        <v>Not Requested</v>
      </c>
      <c r="B929">
        <f>SampleList[[#This Row],[Duration (Days)]]</f>
        <v>0</v>
      </c>
      <c r="G929">
        <f>NMRResults[[#This Row],['#]]</f>
        <v>0</v>
      </c>
      <c r="H929" s="1">
        <f>NMRResults[[#This Row],[Date Run]]</f>
        <v>0</v>
      </c>
    </row>
    <row r="930" spans="1:8" hidden="1" x14ac:dyDescent="0.25">
      <c r="A930" t="str" cm="1">
        <f t="array" ref="A930">IF(AND(ISBLANK(INDEX(SampleList[pH],ROW()-1)),ISBLANK(INDEX(SampleList[Conductivity],ROW()-1)),ISBLANK(INDEX(SampleList[Modification],ROW()-1))),"Not Requested",INDEX(SampleList[Experiment ID],ROW()-1))</f>
        <v>Not Requested</v>
      </c>
      <c r="B930">
        <f>SampleList[[#This Row],[Duration (Days)]]</f>
        <v>0</v>
      </c>
      <c r="G930">
        <f>NMRResults[[#This Row],['#]]</f>
        <v>0</v>
      </c>
      <c r="H930" s="1">
        <f>NMRResults[[#This Row],[Date Run]]</f>
        <v>0</v>
      </c>
    </row>
    <row r="931" spans="1:8" hidden="1" x14ac:dyDescent="0.25">
      <c r="A931" t="str" cm="1">
        <f t="array" ref="A931">IF(AND(ISBLANK(INDEX(SampleList[pH],ROW()-1)),ISBLANK(INDEX(SampleList[Conductivity],ROW()-1)),ISBLANK(INDEX(SampleList[Modification],ROW()-1))),"Not Requested",INDEX(SampleList[Experiment ID],ROW()-1))</f>
        <v>Not Requested</v>
      </c>
      <c r="B931">
        <f>SampleList[[#This Row],[Duration (Days)]]</f>
        <v>0</v>
      </c>
      <c r="G931">
        <f>NMRResults[[#This Row],['#]]</f>
        <v>0</v>
      </c>
      <c r="H931" s="1">
        <f>NMRResults[[#This Row],[Date Run]]</f>
        <v>0</v>
      </c>
    </row>
    <row r="932" spans="1:8" hidden="1" x14ac:dyDescent="0.25">
      <c r="A932" t="str" cm="1">
        <f t="array" ref="A932">IF(AND(ISBLANK(INDEX(SampleList[pH],ROW()-1)),ISBLANK(INDEX(SampleList[Conductivity],ROW()-1)),ISBLANK(INDEX(SampleList[Modification],ROW()-1))),"Not Requested",INDEX(SampleList[Experiment ID],ROW()-1))</f>
        <v>Not Requested</v>
      </c>
      <c r="B932">
        <f>SampleList[[#This Row],[Duration (Days)]]</f>
        <v>0</v>
      </c>
      <c r="G932">
        <f>NMRResults[[#This Row],['#]]</f>
        <v>0</v>
      </c>
      <c r="H932" s="1">
        <f>NMRResults[[#This Row],[Date Run]]</f>
        <v>0</v>
      </c>
    </row>
    <row r="933" spans="1:8" hidden="1" x14ac:dyDescent="0.25">
      <c r="A933" t="str" cm="1">
        <f t="array" ref="A933">IF(AND(ISBLANK(INDEX(SampleList[pH],ROW()-1)),ISBLANK(INDEX(SampleList[Conductivity],ROW()-1)),ISBLANK(INDEX(SampleList[Modification],ROW()-1))),"Not Requested",INDEX(SampleList[Experiment ID],ROW()-1))</f>
        <v>Not Requested</v>
      </c>
      <c r="B933">
        <f>SampleList[[#This Row],[Duration (Days)]]</f>
        <v>0</v>
      </c>
      <c r="G933">
        <f>NMRResults[[#This Row],['#]]</f>
        <v>0</v>
      </c>
      <c r="H933" s="1">
        <f>NMRResults[[#This Row],[Date Run]]</f>
        <v>0</v>
      </c>
    </row>
    <row r="934" spans="1:8" hidden="1" x14ac:dyDescent="0.25">
      <c r="A934" t="str" cm="1">
        <f t="array" ref="A934">IF(AND(ISBLANK(INDEX(SampleList[pH],ROW()-1)),ISBLANK(INDEX(SampleList[Conductivity],ROW()-1)),ISBLANK(INDEX(SampleList[Modification],ROW()-1))),"Not Requested",INDEX(SampleList[Experiment ID],ROW()-1))</f>
        <v>Not Requested</v>
      </c>
      <c r="B934">
        <f>SampleList[[#This Row],[Duration (Days)]]</f>
        <v>0</v>
      </c>
      <c r="G934">
        <f>NMRResults[[#This Row],['#]]</f>
        <v>0</v>
      </c>
      <c r="H934" s="1">
        <f>NMRResults[[#This Row],[Date Run]]</f>
        <v>0</v>
      </c>
    </row>
    <row r="935" spans="1:8" hidden="1" x14ac:dyDescent="0.25">
      <c r="A935" t="str" cm="1">
        <f t="array" ref="A935">IF(AND(ISBLANK(INDEX(SampleList[pH],ROW()-1)),ISBLANK(INDEX(SampleList[Conductivity],ROW()-1)),ISBLANK(INDEX(SampleList[Modification],ROW()-1))),"Not Requested",INDEX(SampleList[Experiment ID],ROW()-1))</f>
        <v>Not Requested</v>
      </c>
      <c r="B935">
        <f>SampleList[[#This Row],[Duration (Days)]]</f>
        <v>0</v>
      </c>
      <c r="G935">
        <f>NMRResults[[#This Row],['#]]</f>
        <v>0</v>
      </c>
      <c r="H935" s="1">
        <f>NMRResults[[#This Row],[Date Run]]</f>
        <v>0</v>
      </c>
    </row>
    <row r="936" spans="1:8" hidden="1" x14ac:dyDescent="0.25">
      <c r="A936" t="str" cm="1">
        <f t="array" ref="A936">IF(AND(ISBLANK(INDEX(SampleList[pH],ROW()-1)),ISBLANK(INDEX(SampleList[Conductivity],ROW()-1)),ISBLANK(INDEX(SampleList[Modification],ROW()-1))),"Not Requested",INDEX(SampleList[Experiment ID],ROW()-1))</f>
        <v>Not Requested</v>
      </c>
      <c r="B936">
        <f>SampleList[[#This Row],[Duration (Days)]]</f>
        <v>0</v>
      </c>
      <c r="G936">
        <f>NMRResults[[#This Row],['#]]</f>
        <v>0</v>
      </c>
      <c r="H936" s="1">
        <f>NMRResults[[#This Row],[Date Run]]</f>
        <v>0</v>
      </c>
    </row>
    <row r="937" spans="1:8" hidden="1" x14ac:dyDescent="0.25">
      <c r="A937" t="str" cm="1">
        <f t="array" ref="A937">IF(AND(ISBLANK(INDEX(SampleList[pH],ROW()-1)),ISBLANK(INDEX(SampleList[Conductivity],ROW()-1)),ISBLANK(INDEX(SampleList[Modification],ROW()-1))),"Not Requested",INDEX(SampleList[Experiment ID],ROW()-1))</f>
        <v>Not Requested</v>
      </c>
      <c r="B937">
        <f>SampleList[[#This Row],[Duration (Days)]]</f>
        <v>0</v>
      </c>
      <c r="G937">
        <f>NMRResults[[#This Row],['#]]</f>
        <v>0</v>
      </c>
      <c r="H937" s="1">
        <f>NMRResults[[#This Row],[Date Run]]</f>
        <v>0</v>
      </c>
    </row>
    <row r="938" spans="1:8" hidden="1" x14ac:dyDescent="0.25">
      <c r="A938" t="str" cm="1">
        <f t="array" ref="A938">IF(AND(ISBLANK(INDEX(SampleList[pH],ROW()-1)),ISBLANK(INDEX(SampleList[Conductivity],ROW()-1)),ISBLANK(INDEX(SampleList[Modification],ROW()-1))),"Not Requested",INDEX(SampleList[Experiment ID],ROW()-1))</f>
        <v>Not Requested</v>
      </c>
      <c r="B938">
        <f>SampleList[[#This Row],[Duration (Days)]]</f>
        <v>0</v>
      </c>
      <c r="G938">
        <f>NMRResults[[#This Row],['#]]</f>
        <v>0</v>
      </c>
      <c r="H938" s="1">
        <f>NMRResults[[#This Row],[Date Run]]</f>
        <v>0</v>
      </c>
    </row>
    <row r="939" spans="1:8" hidden="1" x14ac:dyDescent="0.25">
      <c r="A939" t="str" cm="1">
        <f t="array" ref="A939">IF(AND(ISBLANK(INDEX(SampleList[pH],ROW()-1)),ISBLANK(INDEX(SampleList[Conductivity],ROW()-1)),ISBLANK(INDEX(SampleList[Modification],ROW()-1))),"Not Requested",INDEX(SampleList[Experiment ID],ROW()-1))</f>
        <v>Not Requested</v>
      </c>
      <c r="B939">
        <f>SampleList[[#This Row],[Duration (Days)]]</f>
        <v>0</v>
      </c>
      <c r="G939">
        <f>NMRResults[[#This Row],['#]]</f>
        <v>0</v>
      </c>
      <c r="H939" s="1">
        <f>NMRResults[[#This Row],[Date Run]]</f>
        <v>0</v>
      </c>
    </row>
    <row r="940" spans="1:8" hidden="1" x14ac:dyDescent="0.25">
      <c r="A940" t="str" cm="1">
        <f t="array" ref="A940">IF(AND(ISBLANK(INDEX(SampleList[pH],ROW()-1)),ISBLANK(INDEX(SampleList[Conductivity],ROW()-1)),ISBLANK(INDEX(SampleList[Modification],ROW()-1))),"Not Requested",INDEX(SampleList[Experiment ID],ROW()-1))</f>
        <v>Not Requested</v>
      </c>
      <c r="B940">
        <f>SampleList[[#This Row],[Duration (Days)]]</f>
        <v>0</v>
      </c>
      <c r="G940">
        <f>NMRResults[[#This Row],['#]]</f>
        <v>0</v>
      </c>
      <c r="H940" s="1">
        <f>NMRResults[[#This Row],[Date Run]]</f>
        <v>0</v>
      </c>
    </row>
    <row r="941" spans="1:8" hidden="1" x14ac:dyDescent="0.25">
      <c r="A941" t="str" cm="1">
        <f t="array" ref="A941">IF(AND(ISBLANK(INDEX(SampleList[pH],ROW()-1)),ISBLANK(INDEX(SampleList[Conductivity],ROW()-1)),ISBLANK(INDEX(SampleList[Modification],ROW()-1))),"Not Requested",INDEX(SampleList[Experiment ID],ROW()-1))</f>
        <v>Not Requested</v>
      </c>
      <c r="B941">
        <f>SampleList[[#This Row],[Duration (Days)]]</f>
        <v>0</v>
      </c>
      <c r="G941">
        <f>NMRResults[[#This Row],['#]]</f>
        <v>0</v>
      </c>
      <c r="H941" s="1">
        <f>NMRResults[[#This Row],[Date Run]]</f>
        <v>0</v>
      </c>
    </row>
    <row r="942" spans="1:8" hidden="1" x14ac:dyDescent="0.25">
      <c r="A942" t="str" cm="1">
        <f t="array" ref="A942">IF(AND(ISBLANK(INDEX(SampleList[pH],ROW()-1)),ISBLANK(INDEX(SampleList[Conductivity],ROW()-1)),ISBLANK(INDEX(SampleList[Modification],ROW()-1))),"Not Requested",INDEX(SampleList[Experiment ID],ROW()-1))</f>
        <v>Not Requested</v>
      </c>
      <c r="B942">
        <f>SampleList[[#This Row],[Duration (Days)]]</f>
        <v>0</v>
      </c>
      <c r="G942">
        <f>NMRResults[[#This Row],['#]]</f>
        <v>0</v>
      </c>
      <c r="H942" s="1">
        <f>NMRResults[[#This Row],[Date Run]]</f>
        <v>0</v>
      </c>
    </row>
    <row r="943" spans="1:8" hidden="1" x14ac:dyDescent="0.25">
      <c r="A943" t="str" cm="1">
        <f t="array" ref="A943">IF(AND(ISBLANK(INDEX(SampleList[pH],ROW()-1)),ISBLANK(INDEX(SampleList[Conductivity],ROW()-1)),ISBLANK(INDEX(SampleList[Modification],ROW()-1))),"Not Requested",INDEX(SampleList[Experiment ID],ROW()-1))</f>
        <v>Not Requested</v>
      </c>
      <c r="B943">
        <f>SampleList[[#This Row],[Duration (Days)]]</f>
        <v>0</v>
      </c>
      <c r="G943">
        <f>NMRResults[[#This Row],['#]]</f>
        <v>0</v>
      </c>
      <c r="H943" s="1">
        <f>NMRResults[[#This Row],[Date Run]]</f>
        <v>0</v>
      </c>
    </row>
    <row r="944" spans="1:8" hidden="1" x14ac:dyDescent="0.25">
      <c r="A944" t="str" cm="1">
        <f t="array" ref="A944">IF(AND(ISBLANK(INDEX(SampleList[pH],ROW()-1)),ISBLANK(INDEX(SampleList[Conductivity],ROW()-1)),ISBLANK(INDEX(SampleList[Modification],ROW()-1))),"Not Requested",INDEX(SampleList[Experiment ID],ROW()-1))</f>
        <v>Not Requested</v>
      </c>
      <c r="B944">
        <f>SampleList[[#This Row],[Duration (Days)]]</f>
        <v>0</v>
      </c>
      <c r="G944">
        <f>NMRResults[[#This Row],['#]]</f>
        <v>0</v>
      </c>
      <c r="H944" s="1">
        <f>NMRResults[[#This Row],[Date Run]]</f>
        <v>0</v>
      </c>
    </row>
    <row r="945" spans="1:8" hidden="1" x14ac:dyDescent="0.25">
      <c r="A945" t="str" cm="1">
        <f t="array" ref="A945">IF(AND(ISBLANK(INDEX(SampleList[pH],ROW()-1)),ISBLANK(INDEX(SampleList[Conductivity],ROW()-1)),ISBLANK(INDEX(SampleList[Modification],ROW()-1))),"Not Requested",INDEX(SampleList[Experiment ID],ROW()-1))</f>
        <v>Not Requested</v>
      </c>
      <c r="B945">
        <f>SampleList[[#This Row],[Duration (Days)]]</f>
        <v>0</v>
      </c>
      <c r="G945">
        <f>NMRResults[[#This Row],['#]]</f>
        <v>0</v>
      </c>
      <c r="H945" s="1">
        <f>NMRResults[[#This Row],[Date Run]]</f>
        <v>0</v>
      </c>
    </row>
    <row r="946" spans="1:8" hidden="1" x14ac:dyDescent="0.25">
      <c r="A946" t="str" cm="1">
        <f t="array" ref="A946">IF(AND(ISBLANK(INDEX(SampleList[pH],ROW()-1)),ISBLANK(INDEX(SampleList[Conductivity],ROW()-1)),ISBLANK(INDEX(SampleList[Modification],ROW()-1))),"Not Requested",INDEX(SampleList[Experiment ID],ROW()-1))</f>
        <v>Not Requested</v>
      </c>
      <c r="B946">
        <f>SampleList[[#This Row],[Duration (Days)]]</f>
        <v>0</v>
      </c>
      <c r="G946">
        <f>NMRResults[[#This Row],['#]]</f>
        <v>0</v>
      </c>
      <c r="H946" s="1">
        <f>NMRResults[[#This Row],[Date Run]]</f>
        <v>0</v>
      </c>
    </row>
    <row r="947" spans="1:8" hidden="1" x14ac:dyDescent="0.25">
      <c r="A947" t="str" cm="1">
        <f t="array" ref="A947">IF(AND(ISBLANK(INDEX(SampleList[pH],ROW()-1)),ISBLANK(INDEX(SampleList[Conductivity],ROW()-1)),ISBLANK(INDEX(SampleList[Modification],ROW()-1))),"Not Requested",INDEX(SampleList[Experiment ID],ROW()-1))</f>
        <v>Not Requested</v>
      </c>
      <c r="B947">
        <f>SampleList[[#This Row],[Duration (Days)]]</f>
        <v>0</v>
      </c>
      <c r="G947">
        <f>NMRResults[[#This Row],['#]]</f>
        <v>0</v>
      </c>
      <c r="H947" s="1">
        <f>NMRResults[[#This Row],[Date Run]]</f>
        <v>0</v>
      </c>
    </row>
    <row r="948" spans="1:8" hidden="1" x14ac:dyDescent="0.25">
      <c r="A948" t="str" cm="1">
        <f t="array" ref="A948">IF(AND(ISBLANK(INDEX(SampleList[pH],ROW()-1)),ISBLANK(INDEX(SampleList[Conductivity],ROW()-1)),ISBLANK(INDEX(SampleList[Modification],ROW()-1))),"Not Requested",INDEX(SampleList[Experiment ID],ROW()-1))</f>
        <v>Not Requested</v>
      </c>
      <c r="B948">
        <f>SampleList[[#This Row],[Duration (Days)]]</f>
        <v>0</v>
      </c>
      <c r="G948">
        <f>NMRResults[[#This Row],['#]]</f>
        <v>0</v>
      </c>
      <c r="H948" s="1">
        <f>NMRResults[[#This Row],[Date Run]]</f>
        <v>0</v>
      </c>
    </row>
    <row r="949" spans="1:8" hidden="1" x14ac:dyDescent="0.25">
      <c r="A949" t="str" cm="1">
        <f t="array" ref="A949">IF(AND(ISBLANK(INDEX(SampleList[pH],ROW()-1)),ISBLANK(INDEX(SampleList[Conductivity],ROW()-1)),ISBLANK(INDEX(SampleList[Modification],ROW()-1))),"Not Requested",INDEX(SampleList[Experiment ID],ROW()-1))</f>
        <v>Not Requested</v>
      </c>
      <c r="B949">
        <f>SampleList[[#This Row],[Duration (Days)]]</f>
        <v>0</v>
      </c>
      <c r="G949">
        <f>NMRResults[[#This Row],['#]]</f>
        <v>0</v>
      </c>
      <c r="H949" s="1">
        <f>NMRResults[[#This Row],[Date Run]]</f>
        <v>0</v>
      </c>
    </row>
    <row r="950" spans="1:8" hidden="1" x14ac:dyDescent="0.25">
      <c r="A950" t="str" cm="1">
        <f t="array" ref="A950">IF(AND(ISBLANK(INDEX(SampleList[pH],ROW()-1)),ISBLANK(INDEX(SampleList[Conductivity],ROW()-1)),ISBLANK(INDEX(SampleList[Modification],ROW()-1))),"Not Requested",INDEX(SampleList[Experiment ID],ROW()-1))</f>
        <v>Not Requested</v>
      </c>
      <c r="B950">
        <f>SampleList[[#This Row],[Duration (Days)]]</f>
        <v>0</v>
      </c>
      <c r="G950">
        <f>NMRResults[[#This Row],['#]]</f>
        <v>0</v>
      </c>
      <c r="H950" s="1">
        <f>NMRResults[[#This Row],[Date Run]]</f>
        <v>0</v>
      </c>
    </row>
    <row r="951" spans="1:8" hidden="1" x14ac:dyDescent="0.25">
      <c r="A951" t="str" cm="1">
        <f t="array" ref="A951">IF(AND(ISBLANK(INDEX(SampleList[pH],ROW()-1)),ISBLANK(INDEX(SampleList[Conductivity],ROW()-1)),ISBLANK(INDEX(SampleList[Modification],ROW()-1))),"Not Requested",INDEX(SampleList[Experiment ID],ROW()-1))</f>
        <v>Not Requested</v>
      </c>
      <c r="B951">
        <f>SampleList[[#This Row],[Duration (Days)]]</f>
        <v>0</v>
      </c>
      <c r="G951">
        <f>NMRResults[[#This Row],['#]]</f>
        <v>0</v>
      </c>
      <c r="H951" s="1">
        <f>NMRResults[[#This Row],[Date Run]]</f>
        <v>0</v>
      </c>
    </row>
    <row r="952" spans="1:8" hidden="1" x14ac:dyDescent="0.25">
      <c r="A952" t="str" cm="1">
        <f t="array" ref="A952">IF(AND(ISBLANK(INDEX(SampleList[pH],ROW()-1)),ISBLANK(INDEX(SampleList[Conductivity],ROW()-1)),ISBLANK(INDEX(SampleList[Modification],ROW()-1))),"Not Requested",INDEX(SampleList[Experiment ID],ROW()-1))</f>
        <v>Not Requested</v>
      </c>
      <c r="B952">
        <f>SampleList[[#This Row],[Duration (Days)]]</f>
        <v>0</v>
      </c>
      <c r="G952">
        <f>NMRResults[[#This Row],['#]]</f>
        <v>0</v>
      </c>
      <c r="H952" s="1">
        <f>NMRResults[[#This Row],[Date Run]]</f>
        <v>0</v>
      </c>
    </row>
    <row r="953" spans="1:8" hidden="1" x14ac:dyDescent="0.25">
      <c r="A953" t="str" cm="1">
        <f t="array" ref="A953">IF(AND(ISBLANK(INDEX(SampleList[pH],ROW()-1)),ISBLANK(INDEX(SampleList[Conductivity],ROW()-1)),ISBLANK(INDEX(SampleList[Modification],ROW()-1))),"Not Requested",INDEX(SampleList[Experiment ID],ROW()-1))</f>
        <v>Not Requested</v>
      </c>
      <c r="B953">
        <f>SampleList[[#This Row],[Duration (Days)]]</f>
        <v>0</v>
      </c>
      <c r="G953">
        <f>NMRResults[[#This Row],['#]]</f>
        <v>0</v>
      </c>
      <c r="H953" s="1">
        <f>NMRResults[[#This Row],[Date Run]]</f>
        <v>0</v>
      </c>
    </row>
    <row r="954" spans="1:8" hidden="1" x14ac:dyDescent="0.25">
      <c r="A954" t="str" cm="1">
        <f t="array" ref="A954">IF(AND(ISBLANK(INDEX(SampleList[pH],ROW()-1)),ISBLANK(INDEX(SampleList[Conductivity],ROW()-1)),ISBLANK(INDEX(SampleList[Modification],ROW()-1))),"Not Requested",INDEX(SampleList[Experiment ID],ROW()-1))</f>
        <v>Not Requested</v>
      </c>
      <c r="B954">
        <f>SampleList[[#This Row],[Duration (Days)]]</f>
        <v>0</v>
      </c>
      <c r="G954">
        <f>NMRResults[[#This Row],['#]]</f>
        <v>0</v>
      </c>
      <c r="H954" s="1">
        <f>NMRResults[[#This Row],[Date Run]]</f>
        <v>0</v>
      </c>
    </row>
    <row r="955" spans="1:8" hidden="1" x14ac:dyDescent="0.25">
      <c r="A955" t="str" cm="1">
        <f t="array" ref="A955">IF(AND(ISBLANK(INDEX(SampleList[pH],ROW()-1)),ISBLANK(INDEX(SampleList[Conductivity],ROW()-1)),ISBLANK(INDEX(SampleList[Modification],ROW()-1))),"Not Requested",INDEX(SampleList[Experiment ID],ROW()-1))</f>
        <v>Not Requested</v>
      </c>
      <c r="B955">
        <f>SampleList[[#This Row],[Duration (Days)]]</f>
        <v>0</v>
      </c>
      <c r="G955">
        <f>NMRResults[[#This Row],['#]]</f>
        <v>0</v>
      </c>
      <c r="H955" s="1">
        <f>NMRResults[[#This Row],[Date Run]]</f>
        <v>0</v>
      </c>
    </row>
    <row r="956" spans="1:8" hidden="1" x14ac:dyDescent="0.25">
      <c r="A956" t="str" cm="1">
        <f t="array" ref="A956">IF(AND(ISBLANK(INDEX(SampleList[pH],ROW()-1)),ISBLANK(INDEX(SampleList[Conductivity],ROW()-1)),ISBLANK(INDEX(SampleList[Modification],ROW()-1))),"Not Requested",INDEX(SampleList[Experiment ID],ROW()-1))</f>
        <v>Not Requested</v>
      </c>
      <c r="B956">
        <f>SampleList[[#This Row],[Duration (Days)]]</f>
        <v>0</v>
      </c>
      <c r="G956">
        <f>NMRResults[[#This Row],['#]]</f>
        <v>0</v>
      </c>
      <c r="H956" s="1">
        <f>NMRResults[[#This Row],[Date Run]]</f>
        <v>0</v>
      </c>
    </row>
    <row r="957" spans="1:8" hidden="1" x14ac:dyDescent="0.25">
      <c r="A957" t="str" cm="1">
        <f t="array" ref="A957">IF(AND(ISBLANK(INDEX(SampleList[pH],ROW()-1)),ISBLANK(INDEX(SampleList[Conductivity],ROW()-1)),ISBLANK(INDEX(SampleList[Modification],ROW()-1))),"Not Requested",INDEX(SampleList[Experiment ID],ROW()-1))</f>
        <v>Not Requested</v>
      </c>
      <c r="B957">
        <f>SampleList[[#This Row],[Duration (Days)]]</f>
        <v>0</v>
      </c>
      <c r="G957">
        <f>NMRResults[[#This Row],['#]]</f>
        <v>0</v>
      </c>
      <c r="H957" s="1">
        <f>NMRResults[[#This Row],[Date Run]]</f>
        <v>0</v>
      </c>
    </row>
    <row r="958" spans="1:8" hidden="1" x14ac:dyDescent="0.25">
      <c r="A958" t="str" cm="1">
        <f t="array" ref="A958">IF(AND(ISBLANK(INDEX(SampleList[pH],ROW()-1)),ISBLANK(INDEX(SampleList[Conductivity],ROW()-1)),ISBLANK(INDEX(SampleList[Modification],ROW()-1))),"Not Requested",INDEX(SampleList[Experiment ID],ROW()-1))</f>
        <v>Not Requested</v>
      </c>
      <c r="B958">
        <f>SampleList[[#This Row],[Duration (Days)]]</f>
        <v>0</v>
      </c>
      <c r="G958">
        <f>NMRResults[[#This Row],['#]]</f>
        <v>0</v>
      </c>
      <c r="H958" s="1">
        <f>NMRResults[[#This Row],[Date Run]]</f>
        <v>0</v>
      </c>
    </row>
    <row r="959" spans="1:8" hidden="1" x14ac:dyDescent="0.25">
      <c r="A959" t="str" cm="1">
        <f t="array" ref="A959">IF(AND(ISBLANK(INDEX(SampleList[pH],ROW()-1)),ISBLANK(INDEX(SampleList[Conductivity],ROW()-1)),ISBLANK(INDEX(SampleList[Modification],ROW()-1))),"Not Requested",INDEX(SampleList[Experiment ID],ROW()-1))</f>
        <v>Not Requested</v>
      </c>
      <c r="B959">
        <f>SampleList[[#This Row],[Duration (Days)]]</f>
        <v>0</v>
      </c>
      <c r="G959">
        <f>NMRResults[[#This Row],['#]]</f>
        <v>0</v>
      </c>
      <c r="H959" s="1">
        <f>NMRResults[[#This Row],[Date Run]]</f>
        <v>0</v>
      </c>
    </row>
    <row r="960" spans="1:8" hidden="1" x14ac:dyDescent="0.25">
      <c r="A960" t="str" cm="1">
        <f t="array" ref="A960">IF(AND(ISBLANK(INDEX(SampleList[pH],ROW()-1)),ISBLANK(INDEX(SampleList[Conductivity],ROW()-1)),ISBLANK(INDEX(SampleList[Modification],ROW()-1))),"Not Requested",INDEX(SampleList[Experiment ID],ROW()-1))</f>
        <v>Not Requested</v>
      </c>
      <c r="B960">
        <f>SampleList[[#This Row],[Duration (Days)]]</f>
        <v>0</v>
      </c>
      <c r="G960">
        <f>NMRResults[[#This Row],['#]]</f>
        <v>0</v>
      </c>
      <c r="H960" s="1">
        <f>NMRResults[[#This Row],[Date Run]]</f>
        <v>0</v>
      </c>
    </row>
    <row r="961" spans="1:8" hidden="1" x14ac:dyDescent="0.25">
      <c r="A961" t="str" cm="1">
        <f t="array" ref="A961">IF(AND(ISBLANK(INDEX(SampleList[pH],ROW()-1)),ISBLANK(INDEX(SampleList[Conductivity],ROW()-1)),ISBLANK(INDEX(SampleList[Modification],ROW()-1))),"Not Requested",INDEX(SampleList[Experiment ID],ROW()-1))</f>
        <v>Not Requested</v>
      </c>
      <c r="B961">
        <f>SampleList[[#This Row],[Duration (Days)]]</f>
        <v>0</v>
      </c>
      <c r="G961">
        <f>NMRResults[[#This Row],['#]]</f>
        <v>0</v>
      </c>
      <c r="H961" s="1">
        <f>NMRResults[[#This Row],[Date Run]]</f>
        <v>0</v>
      </c>
    </row>
    <row r="962" spans="1:8" hidden="1" x14ac:dyDescent="0.25">
      <c r="A962" t="str" cm="1">
        <f t="array" ref="A962">IF(AND(ISBLANK(INDEX(SampleList[pH],ROW()-1)),ISBLANK(INDEX(SampleList[Conductivity],ROW()-1)),ISBLANK(INDEX(SampleList[Modification],ROW()-1))),"Not Requested",INDEX(SampleList[Experiment ID],ROW()-1))</f>
        <v>Not Requested</v>
      </c>
      <c r="B962">
        <f>SampleList[[#This Row],[Duration (Days)]]</f>
        <v>0</v>
      </c>
      <c r="G962">
        <f>NMRResults[[#This Row],['#]]</f>
        <v>0</v>
      </c>
      <c r="H962" s="1">
        <f>NMRResults[[#This Row],[Date Run]]</f>
        <v>0</v>
      </c>
    </row>
    <row r="963" spans="1:8" hidden="1" x14ac:dyDescent="0.25">
      <c r="A963" t="str" cm="1">
        <f t="array" ref="A963">IF(AND(ISBLANK(INDEX(SampleList[pH],ROW()-1)),ISBLANK(INDEX(SampleList[Conductivity],ROW()-1)),ISBLANK(INDEX(SampleList[Modification],ROW()-1))),"Not Requested",INDEX(SampleList[Experiment ID],ROW()-1))</f>
        <v>Not Requested</v>
      </c>
      <c r="B963">
        <f>SampleList[[#This Row],[Duration (Days)]]</f>
        <v>0</v>
      </c>
      <c r="G963">
        <f>NMRResults[[#This Row],['#]]</f>
        <v>0</v>
      </c>
      <c r="H963" s="1">
        <f>NMRResults[[#This Row],[Date Run]]</f>
        <v>0</v>
      </c>
    </row>
    <row r="964" spans="1:8" hidden="1" x14ac:dyDescent="0.25">
      <c r="A964" t="str" cm="1">
        <f t="array" ref="A964">IF(AND(ISBLANK(INDEX(SampleList[pH],ROW()-1)),ISBLANK(INDEX(SampleList[Conductivity],ROW()-1)),ISBLANK(INDEX(SampleList[Modification],ROW()-1))),"Not Requested",INDEX(SampleList[Experiment ID],ROW()-1))</f>
        <v>Not Requested</v>
      </c>
      <c r="B964">
        <f>SampleList[[#This Row],[Duration (Days)]]</f>
        <v>0</v>
      </c>
      <c r="G964">
        <f>NMRResults[[#This Row],['#]]</f>
        <v>0</v>
      </c>
      <c r="H964" s="1">
        <f>NMRResults[[#This Row],[Date Run]]</f>
        <v>0</v>
      </c>
    </row>
    <row r="965" spans="1:8" hidden="1" x14ac:dyDescent="0.25">
      <c r="A965" t="str" cm="1">
        <f t="array" ref="A965">IF(AND(ISBLANK(INDEX(SampleList[pH],ROW()-1)),ISBLANK(INDEX(SampleList[Conductivity],ROW()-1)),ISBLANK(INDEX(SampleList[Modification],ROW()-1))),"Not Requested",INDEX(SampleList[Experiment ID],ROW()-1))</f>
        <v>Not Requested</v>
      </c>
      <c r="B965">
        <f>SampleList[[#This Row],[Duration (Days)]]</f>
        <v>0</v>
      </c>
      <c r="G965">
        <f>NMRResults[[#This Row],['#]]</f>
        <v>0</v>
      </c>
      <c r="H965" s="1">
        <f>NMRResults[[#This Row],[Date Run]]</f>
        <v>0</v>
      </c>
    </row>
    <row r="966" spans="1:8" hidden="1" x14ac:dyDescent="0.25">
      <c r="A966" t="str" cm="1">
        <f t="array" ref="A966">IF(AND(ISBLANK(INDEX(SampleList[pH],ROW()-1)),ISBLANK(INDEX(SampleList[Conductivity],ROW()-1)),ISBLANK(INDEX(SampleList[Modification],ROW()-1))),"Not Requested",INDEX(SampleList[Experiment ID],ROW()-1))</f>
        <v>Not Requested</v>
      </c>
      <c r="B966">
        <f>SampleList[[#This Row],[Duration (Days)]]</f>
        <v>0</v>
      </c>
      <c r="G966">
        <f>NMRResults[[#This Row],['#]]</f>
        <v>0</v>
      </c>
      <c r="H966" s="1">
        <f>NMRResults[[#This Row],[Date Run]]</f>
        <v>0</v>
      </c>
    </row>
    <row r="967" spans="1:8" hidden="1" x14ac:dyDescent="0.25">
      <c r="A967" t="str" cm="1">
        <f t="array" ref="A967">IF(AND(ISBLANK(INDEX(SampleList[pH],ROW()-1)),ISBLANK(INDEX(SampleList[Conductivity],ROW()-1)),ISBLANK(INDEX(SampleList[Modification],ROW()-1))),"Not Requested",INDEX(SampleList[Experiment ID],ROW()-1))</f>
        <v>Not Requested</v>
      </c>
      <c r="B967">
        <f>SampleList[[#This Row],[Duration (Days)]]</f>
        <v>0</v>
      </c>
      <c r="G967">
        <f>NMRResults[[#This Row],['#]]</f>
        <v>0</v>
      </c>
      <c r="H967" s="1">
        <f>NMRResults[[#This Row],[Date Run]]</f>
        <v>0</v>
      </c>
    </row>
    <row r="968" spans="1:8" hidden="1" x14ac:dyDescent="0.25">
      <c r="A968" t="str" cm="1">
        <f t="array" ref="A968">IF(AND(ISBLANK(INDEX(SampleList[pH],ROW()-1)),ISBLANK(INDEX(SampleList[Conductivity],ROW()-1)),ISBLANK(INDEX(SampleList[Modification],ROW()-1))),"Not Requested",INDEX(SampleList[Experiment ID],ROW()-1))</f>
        <v>Not Requested</v>
      </c>
      <c r="B968">
        <f>SampleList[[#This Row],[Duration (Days)]]</f>
        <v>0</v>
      </c>
      <c r="G968">
        <f>NMRResults[[#This Row],['#]]</f>
        <v>0</v>
      </c>
      <c r="H968" s="1">
        <f>NMRResults[[#This Row],[Date Run]]</f>
        <v>0</v>
      </c>
    </row>
    <row r="969" spans="1:8" hidden="1" x14ac:dyDescent="0.25">
      <c r="A969" t="str" cm="1">
        <f t="array" ref="A969">IF(AND(ISBLANK(INDEX(SampleList[pH],ROW()-1)),ISBLANK(INDEX(SampleList[Conductivity],ROW()-1)),ISBLANK(INDEX(SampleList[Modification],ROW()-1))),"Not Requested",INDEX(SampleList[Experiment ID],ROW()-1))</f>
        <v>Not Requested</v>
      </c>
      <c r="B969">
        <f>SampleList[[#This Row],[Duration (Days)]]</f>
        <v>0</v>
      </c>
      <c r="G969">
        <f>NMRResults[[#This Row],['#]]</f>
        <v>0</v>
      </c>
      <c r="H969" s="1">
        <f>NMRResults[[#This Row],[Date Run]]</f>
        <v>0</v>
      </c>
    </row>
    <row r="970" spans="1:8" hidden="1" x14ac:dyDescent="0.25">
      <c r="A970" t="str" cm="1">
        <f t="array" ref="A970">IF(AND(ISBLANK(INDEX(SampleList[pH],ROW()-1)),ISBLANK(INDEX(SampleList[Conductivity],ROW()-1)),ISBLANK(INDEX(SampleList[Modification],ROW()-1))),"Not Requested",INDEX(SampleList[Experiment ID],ROW()-1))</f>
        <v>Not Requested</v>
      </c>
      <c r="B970">
        <f>SampleList[[#This Row],[Duration (Days)]]</f>
        <v>0</v>
      </c>
      <c r="G970">
        <f>NMRResults[[#This Row],['#]]</f>
        <v>0</v>
      </c>
      <c r="H970" s="1">
        <f>NMRResults[[#This Row],[Date Run]]</f>
        <v>0</v>
      </c>
    </row>
    <row r="971" spans="1:8" hidden="1" x14ac:dyDescent="0.25">
      <c r="A971" t="str" cm="1">
        <f t="array" ref="A971">IF(AND(ISBLANK(INDEX(SampleList[pH],ROW()-1)),ISBLANK(INDEX(SampleList[Conductivity],ROW()-1)),ISBLANK(INDEX(SampleList[Modification],ROW()-1))),"Not Requested",INDEX(SampleList[Experiment ID],ROW()-1))</f>
        <v>Not Requested</v>
      </c>
      <c r="B971">
        <f>SampleList[[#This Row],[Duration (Days)]]</f>
        <v>0</v>
      </c>
      <c r="G971">
        <f>NMRResults[[#This Row],['#]]</f>
        <v>0</v>
      </c>
      <c r="H971" s="1">
        <f>NMRResults[[#This Row],[Date Run]]</f>
        <v>0</v>
      </c>
    </row>
    <row r="972" spans="1:8" hidden="1" x14ac:dyDescent="0.25">
      <c r="A972" t="str" cm="1">
        <f t="array" ref="A972">IF(AND(ISBLANK(INDEX(SampleList[pH],ROW()-1)),ISBLANK(INDEX(SampleList[Conductivity],ROW()-1)),ISBLANK(INDEX(SampleList[Modification],ROW()-1))),"Not Requested",INDEX(SampleList[Experiment ID],ROW()-1))</f>
        <v>Not Requested</v>
      </c>
      <c r="B972">
        <f>SampleList[[#This Row],[Duration (Days)]]</f>
        <v>0</v>
      </c>
      <c r="G972">
        <f>NMRResults[[#This Row],['#]]</f>
        <v>0</v>
      </c>
      <c r="H972" s="1">
        <f>NMRResults[[#This Row],[Date Run]]</f>
        <v>0</v>
      </c>
    </row>
    <row r="973" spans="1:8" hidden="1" x14ac:dyDescent="0.25">
      <c r="A973" t="str" cm="1">
        <f t="array" ref="A973">IF(AND(ISBLANK(INDEX(SampleList[pH],ROW()-1)),ISBLANK(INDEX(SampleList[Conductivity],ROW()-1)),ISBLANK(INDEX(SampleList[Modification],ROW()-1))),"Not Requested",INDEX(SampleList[Experiment ID],ROW()-1))</f>
        <v>Not Requested</v>
      </c>
      <c r="B973">
        <f>SampleList[[#This Row],[Duration (Days)]]</f>
        <v>0</v>
      </c>
      <c r="G973">
        <f>NMRResults[[#This Row],['#]]</f>
        <v>0</v>
      </c>
      <c r="H973" s="1">
        <f>NMRResults[[#This Row],[Date Run]]</f>
        <v>0</v>
      </c>
    </row>
    <row r="974" spans="1:8" hidden="1" x14ac:dyDescent="0.25">
      <c r="A974" t="str" cm="1">
        <f t="array" ref="A974">IF(AND(ISBLANK(INDEX(SampleList[pH],ROW()-1)),ISBLANK(INDEX(SampleList[Conductivity],ROW()-1)),ISBLANK(INDEX(SampleList[Modification],ROW()-1))),"Not Requested",INDEX(SampleList[Experiment ID],ROW()-1))</f>
        <v>Not Requested</v>
      </c>
      <c r="B974">
        <f>SampleList[[#This Row],[Duration (Days)]]</f>
        <v>0</v>
      </c>
      <c r="G974">
        <f>NMRResults[[#This Row],['#]]</f>
        <v>0</v>
      </c>
      <c r="H974" s="1">
        <f>NMRResults[[#This Row],[Date Run]]</f>
        <v>0</v>
      </c>
    </row>
    <row r="975" spans="1:8" hidden="1" x14ac:dyDescent="0.25">
      <c r="A975" t="str" cm="1">
        <f t="array" ref="A975">IF(AND(ISBLANK(INDEX(SampleList[pH],ROW()-1)),ISBLANK(INDEX(SampleList[Conductivity],ROW()-1)),ISBLANK(INDEX(SampleList[Modification],ROW()-1))),"Not Requested",INDEX(SampleList[Experiment ID],ROW()-1))</f>
        <v>Not Requested</v>
      </c>
      <c r="B975">
        <f>SampleList[[#This Row],[Duration (Days)]]</f>
        <v>0</v>
      </c>
      <c r="G975">
        <f>NMRResults[[#This Row],['#]]</f>
        <v>0</v>
      </c>
      <c r="H975" s="1">
        <f>NMRResults[[#This Row],[Date Run]]</f>
        <v>0</v>
      </c>
    </row>
    <row r="976" spans="1:8" hidden="1" x14ac:dyDescent="0.25">
      <c r="A976" t="str" cm="1">
        <f t="array" ref="A976">IF(AND(ISBLANK(INDEX(SampleList[pH],ROW()-1)),ISBLANK(INDEX(SampleList[Conductivity],ROW()-1)),ISBLANK(INDEX(SampleList[Modification],ROW()-1))),"Not Requested",INDEX(SampleList[Experiment ID],ROW()-1))</f>
        <v>Not Requested</v>
      </c>
      <c r="B976">
        <f>SampleList[[#This Row],[Duration (Days)]]</f>
        <v>0</v>
      </c>
      <c r="G976">
        <f>NMRResults[[#This Row],['#]]</f>
        <v>0</v>
      </c>
      <c r="H976" s="1">
        <f>NMRResults[[#This Row],[Date Run]]</f>
        <v>0</v>
      </c>
    </row>
    <row r="977" spans="1:8" hidden="1" x14ac:dyDescent="0.25">
      <c r="A977" t="str" cm="1">
        <f t="array" ref="A977">IF(AND(ISBLANK(INDEX(SampleList[pH],ROW()-1)),ISBLANK(INDEX(SampleList[Conductivity],ROW()-1)),ISBLANK(INDEX(SampleList[Modification],ROW()-1))),"Not Requested",INDEX(SampleList[Experiment ID],ROW()-1))</f>
        <v>Not Requested</v>
      </c>
      <c r="B977">
        <f>SampleList[[#This Row],[Duration (Days)]]</f>
        <v>0</v>
      </c>
      <c r="G977">
        <f>NMRResults[[#This Row],['#]]</f>
        <v>0</v>
      </c>
      <c r="H977" s="1">
        <f>NMRResults[[#This Row],[Date Run]]</f>
        <v>0</v>
      </c>
    </row>
    <row r="978" spans="1:8" hidden="1" x14ac:dyDescent="0.25">
      <c r="A978" t="str" cm="1">
        <f t="array" ref="A978">IF(AND(ISBLANK(INDEX(SampleList[pH],ROW()-1)),ISBLANK(INDEX(SampleList[Conductivity],ROW()-1)),ISBLANK(INDEX(SampleList[Modification],ROW()-1))),"Not Requested",INDEX(SampleList[Experiment ID],ROW()-1))</f>
        <v>Not Requested</v>
      </c>
      <c r="B978">
        <f>SampleList[[#This Row],[Duration (Days)]]</f>
        <v>0</v>
      </c>
      <c r="G978">
        <f>NMRResults[[#This Row],['#]]</f>
        <v>0</v>
      </c>
      <c r="H978" s="1">
        <f>NMRResults[[#This Row],[Date Run]]</f>
        <v>0</v>
      </c>
    </row>
    <row r="979" spans="1:8" hidden="1" x14ac:dyDescent="0.25">
      <c r="A979" t="str" cm="1">
        <f t="array" ref="A979">IF(AND(ISBLANK(INDEX(SampleList[pH],ROW()-1)),ISBLANK(INDEX(SampleList[Conductivity],ROW()-1)),ISBLANK(INDEX(SampleList[Modification],ROW()-1))),"Not Requested",INDEX(SampleList[Experiment ID],ROW()-1))</f>
        <v>Not Requested</v>
      </c>
      <c r="B979">
        <f>SampleList[[#This Row],[Duration (Days)]]</f>
        <v>0</v>
      </c>
      <c r="G979">
        <f>NMRResults[[#This Row],['#]]</f>
        <v>0</v>
      </c>
      <c r="H979" s="1">
        <f>NMRResults[[#This Row],[Date Run]]</f>
        <v>0</v>
      </c>
    </row>
    <row r="980" spans="1:8" hidden="1" x14ac:dyDescent="0.25">
      <c r="A980" t="str" cm="1">
        <f t="array" ref="A980">IF(AND(ISBLANK(INDEX(SampleList[pH],ROW()-1)),ISBLANK(INDEX(SampleList[Conductivity],ROW()-1)),ISBLANK(INDEX(SampleList[Modification],ROW()-1))),"Not Requested",INDEX(SampleList[Experiment ID],ROW()-1))</f>
        <v>Not Requested</v>
      </c>
      <c r="B980">
        <f>SampleList[[#This Row],[Duration (Days)]]</f>
        <v>0</v>
      </c>
      <c r="G980">
        <f>NMRResults[[#This Row],['#]]</f>
        <v>0</v>
      </c>
      <c r="H980" s="1">
        <f>NMRResults[[#This Row],[Date Run]]</f>
        <v>0</v>
      </c>
    </row>
    <row r="981" spans="1:8" hidden="1" x14ac:dyDescent="0.25">
      <c r="A981" t="str" cm="1">
        <f t="array" ref="A981">IF(AND(ISBLANK(INDEX(SampleList[pH],ROW()-1)),ISBLANK(INDEX(SampleList[Conductivity],ROW()-1)),ISBLANK(INDEX(SampleList[Modification],ROW()-1))),"Not Requested",INDEX(SampleList[Experiment ID],ROW()-1))</f>
        <v>Not Requested</v>
      </c>
      <c r="B981">
        <f>SampleList[[#This Row],[Duration (Days)]]</f>
        <v>0</v>
      </c>
      <c r="G981">
        <f>NMRResults[[#This Row],['#]]</f>
        <v>0</v>
      </c>
      <c r="H981" s="1">
        <f>NMRResults[[#This Row],[Date Run]]</f>
        <v>0</v>
      </c>
    </row>
    <row r="982" spans="1:8" hidden="1" x14ac:dyDescent="0.25">
      <c r="A982" t="str" cm="1">
        <f t="array" ref="A982">IF(AND(ISBLANK(INDEX(SampleList[pH],ROW()-1)),ISBLANK(INDEX(SampleList[Conductivity],ROW()-1)),ISBLANK(INDEX(SampleList[Modification],ROW()-1))),"Not Requested",INDEX(SampleList[Experiment ID],ROW()-1))</f>
        <v>Not Requested</v>
      </c>
      <c r="B982">
        <f>SampleList[[#This Row],[Duration (Days)]]</f>
        <v>0</v>
      </c>
      <c r="G982">
        <f>NMRResults[[#This Row],['#]]</f>
        <v>0</v>
      </c>
      <c r="H982" s="1">
        <f>NMRResults[[#This Row],[Date Run]]</f>
        <v>0</v>
      </c>
    </row>
    <row r="983" spans="1:8" hidden="1" x14ac:dyDescent="0.25">
      <c r="A983" t="str" cm="1">
        <f t="array" ref="A983">IF(AND(ISBLANK(INDEX(SampleList[pH],ROW()-1)),ISBLANK(INDEX(SampleList[Conductivity],ROW()-1)),ISBLANK(INDEX(SampleList[Modification],ROW()-1))),"Not Requested",INDEX(SampleList[Experiment ID],ROW()-1))</f>
        <v>Not Requested</v>
      </c>
      <c r="B983">
        <f>SampleList[[#This Row],[Duration (Days)]]</f>
        <v>0</v>
      </c>
      <c r="G983">
        <f>NMRResults[[#This Row],['#]]</f>
        <v>0</v>
      </c>
      <c r="H983" s="1">
        <f>NMRResults[[#This Row],[Date Run]]</f>
        <v>0</v>
      </c>
    </row>
    <row r="984" spans="1:8" hidden="1" x14ac:dyDescent="0.25">
      <c r="A984" t="str" cm="1">
        <f t="array" ref="A984">IF(AND(ISBLANK(INDEX(SampleList[pH],ROW()-1)),ISBLANK(INDEX(SampleList[Conductivity],ROW()-1)),ISBLANK(INDEX(SampleList[Modification],ROW()-1))),"Not Requested",INDEX(SampleList[Experiment ID],ROW()-1))</f>
        <v>Not Requested</v>
      </c>
      <c r="B984">
        <f>SampleList[[#This Row],[Duration (Days)]]</f>
        <v>0</v>
      </c>
      <c r="G984">
        <f>NMRResults[[#This Row],['#]]</f>
        <v>0</v>
      </c>
      <c r="H984" s="1">
        <f>NMRResults[[#This Row],[Date Run]]</f>
        <v>0</v>
      </c>
    </row>
    <row r="985" spans="1:8" hidden="1" x14ac:dyDescent="0.25">
      <c r="A985" t="str" cm="1">
        <f t="array" ref="A985">IF(AND(ISBLANK(INDEX(SampleList[pH],ROW()-1)),ISBLANK(INDEX(SampleList[Conductivity],ROW()-1)),ISBLANK(INDEX(SampleList[Modification],ROW()-1))),"Not Requested",INDEX(SampleList[Experiment ID],ROW()-1))</f>
        <v>Not Requested</v>
      </c>
      <c r="B985">
        <f>SampleList[[#This Row],[Duration (Days)]]</f>
        <v>0</v>
      </c>
      <c r="G985">
        <f>NMRResults[[#This Row],['#]]</f>
        <v>0</v>
      </c>
      <c r="H985" s="1">
        <f>NMRResults[[#This Row],[Date Run]]</f>
        <v>0</v>
      </c>
    </row>
    <row r="986" spans="1:8" hidden="1" x14ac:dyDescent="0.25">
      <c r="A986" t="str" cm="1">
        <f t="array" ref="A986">IF(AND(ISBLANK(INDEX(SampleList[pH],ROW()-1)),ISBLANK(INDEX(SampleList[Conductivity],ROW()-1)),ISBLANK(INDEX(SampleList[Modification],ROW()-1))),"Not Requested",INDEX(SampleList[Experiment ID],ROW()-1))</f>
        <v>Not Requested</v>
      </c>
      <c r="B986">
        <f>SampleList[[#This Row],[Duration (Days)]]</f>
        <v>0</v>
      </c>
      <c r="G986">
        <f>NMRResults[[#This Row],['#]]</f>
        <v>0</v>
      </c>
      <c r="H986" s="1">
        <f>NMRResults[[#This Row],[Date Run]]</f>
        <v>0</v>
      </c>
    </row>
    <row r="987" spans="1:8" hidden="1" x14ac:dyDescent="0.25">
      <c r="A987" t="str" cm="1">
        <f t="array" ref="A987">IF(AND(ISBLANK(INDEX(SampleList[pH],ROW()-1)),ISBLANK(INDEX(SampleList[Conductivity],ROW()-1)),ISBLANK(INDEX(SampleList[Modification],ROW()-1))),"Not Requested",INDEX(SampleList[Experiment ID],ROW()-1))</f>
        <v>Not Requested</v>
      </c>
      <c r="B987">
        <f>SampleList[[#This Row],[Duration (Days)]]</f>
        <v>0</v>
      </c>
      <c r="G987">
        <f>NMRResults[[#This Row],['#]]</f>
        <v>0</v>
      </c>
      <c r="H987" s="1">
        <f>NMRResults[[#This Row],[Date Run]]</f>
        <v>0</v>
      </c>
    </row>
    <row r="988" spans="1:8" hidden="1" x14ac:dyDescent="0.25">
      <c r="A988" t="str" cm="1">
        <f t="array" ref="A988">IF(AND(ISBLANK(INDEX(SampleList[pH],ROW()-1)),ISBLANK(INDEX(SampleList[Conductivity],ROW()-1)),ISBLANK(INDEX(SampleList[Modification],ROW()-1))),"Not Requested",INDEX(SampleList[Experiment ID],ROW()-1))</f>
        <v>Not Requested</v>
      </c>
      <c r="B988">
        <f>SampleList[[#This Row],[Duration (Days)]]</f>
        <v>0</v>
      </c>
      <c r="G988">
        <f>NMRResults[[#This Row],['#]]</f>
        <v>0</v>
      </c>
      <c r="H988" s="1">
        <f>NMRResults[[#This Row],[Date Run]]</f>
        <v>0</v>
      </c>
    </row>
    <row r="989" spans="1:8" hidden="1" x14ac:dyDescent="0.25">
      <c r="A989" t="str" cm="1">
        <f t="array" ref="A989">IF(AND(ISBLANK(INDEX(SampleList[pH],ROW()-1)),ISBLANK(INDEX(SampleList[Conductivity],ROW()-1)),ISBLANK(INDEX(SampleList[Modification],ROW()-1))),"Not Requested",INDEX(SampleList[Experiment ID],ROW()-1))</f>
        <v>Not Requested</v>
      </c>
      <c r="B989">
        <f>SampleList[[#This Row],[Duration (Days)]]</f>
        <v>0</v>
      </c>
      <c r="G989">
        <f>NMRResults[[#This Row],['#]]</f>
        <v>0</v>
      </c>
      <c r="H989" s="1">
        <f>NMRResults[[#This Row],[Date Run]]</f>
        <v>0</v>
      </c>
    </row>
    <row r="990" spans="1:8" hidden="1" x14ac:dyDescent="0.25">
      <c r="A990" t="str" cm="1">
        <f t="array" ref="A990">IF(AND(ISBLANK(INDEX(SampleList[pH],ROW()-1)),ISBLANK(INDEX(SampleList[Conductivity],ROW()-1)),ISBLANK(INDEX(SampleList[Modification],ROW()-1))),"Not Requested",INDEX(SampleList[Experiment ID],ROW()-1))</f>
        <v>Not Requested</v>
      </c>
      <c r="B990">
        <f>SampleList[[#This Row],[Duration (Days)]]</f>
        <v>0</v>
      </c>
      <c r="G990">
        <f>NMRResults[[#This Row],['#]]</f>
        <v>0</v>
      </c>
      <c r="H990" s="1">
        <f>NMRResults[[#This Row],[Date Run]]</f>
        <v>0</v>
      </c>
    </row>
    <row r="991" spans="1:8" hidden="1" x14ac:dyDescent="0.25">
      <c r="A991" t="str" cm="1">
        <f t="array" ref="A991">IF(AND(ISBLANK(INDEX(SampleList[pH],ROW()-1)),ISBLANK(INDEX(SampleList[Conductivity],ROW()-1)),ISBLANK(INDEX(SampleList[Modification],ROW()-1))),"Not Requested",INDEX(SampleList[Experiment ID],ROW()-1))</f>
        <v>Not Requested</v>
      </c>
      <c r="B991">
        <f>SampleList[[#This Row],[Duration (Days)]]</f>
        <v>0</v>
      </c>
      <c r="G991">
        <f>NMRResults[[#This Row],['#]]</f>
        <v>0</v>
      </c>
      <c r="H991" s="1">
        <f>NMRResults[[#This Row],[Date Run]]</f>
        <v>0</v>
      </c>
    </row>
    <row r="992" spans="1:8" hidden="1" x14ac:dyDescent="0.25">
      <c r="A992" t="str" cm="1">
        <f t="array" ref="A992">IF(AND(ISBLANK(INDEX(SampleList[pH],ROW()-1)),ISBLANK(INDEX(SampleList[Conductivity],ROW()-1)),ISBLANK(INDEX(SampleList[Modification],ROW()-1))),"Not Requested",INDEX(SampleList[Experiment ID],ROW()-1))</f>
        <v>Not Requested</v>
      </c>
      <c r="B992">
        <f>SampleList[[#This Row],[Duration (Days)]]</f>
        <v>0</v>
      </c>
      <c r="G992">
        <f>NMRResults[[#This Row],['#]]</f>
        <v>0</v>
      </c>
      <c r="H992" s="1">
        <f>NMRResults[[#This Row],[Date Run]]</f>
        <v>0</v>
      </c>
    </row>
    <row r="993" spans="1:8" hidden="1" x14ac:dyDescent="0.25">
      <c r="A993" t="str" cm="1">
        <f t="array" ref="A993">IF(AND(ISBLANK(INDEX(SampleList[pH],ROW()-1)),ISBLANK(INDEX(SampleList[Conductivity],ROW()-1)),ISBLANK(INDEX(SampleList[Modification],ROW()-1))),"Not Requested",INDEX(SampleList[Experiment ID],ROW()-1))</f>
        <v>Not Requested</v>
      </c>
      <c r="B993">
        <f>SampleList[[#This Row],[Duration (Days)]]</f>
        <v>0</v>
      </c>
      <c r="G993">
        <f>NMRResults[[#This Row],['#]]</f>
        <v>0</v>
      </c>
      <c r="H993" s="1">
        <f>NMRResults[[#This Row],[Date Run]]</f>
        <v>0</v>
      </c>
    </row>
    <row r="994" spans="1:8" hidden="1" x14ac:dyDescent="0.25">
      <c r="A994" t="str" cm="1">
        <f t="array" ref="A994">IF(AND(ISBLANK(INDEX(SampleList[pH],ROW()-1)),ISBLANK(INDEX(SampleList[Conductivity],ROW()-1)),ISBLANK(INDEX(SampleList[Modification],ROW()-1))),"Not Requested",INDEX(SampleList[Experiment ID],ROW()-1))</f>
        <v>Not Requested</v>
      </c>
      <c r="B994">
        <f>SampleList[[#This Row],[Duration (Days)]]</f>
        <v>0</v>
      </c>
      <c r="G994">
        <f>NMRResults[[#This Row],['#]]</f>
        <v>0</v>
      </c>
      <c r="H994" s="1">
        <f>NMRResults[[#This Row],[Date Run]]</f>
        <v>0</v>
      </c>
    </row>
    <row r="995" spans="1:8" hidden="1" x14ac:dyDescent="0.25">
      <c r="A995" t="str" cm="1">
        <f t="array" ref="A995">IF(AND(ISBLANK(INDEX(SampleList[pH],ROW()-1)),ISBLANK(INDEX(SampleList[Conductivity],ROW()-1)),ISBLANK(INDEX(SampleList[Modification],ROW()-1))),"Not Requested",INDEX(SampleList[Experiment ID],ROW()-1))</f>
        <v>Not Requested</v>
      </c>
      <c r="B995">
        <f>SampleList[[#This Row],[Duration (Days)]]</f>
        <v>0</v>
      </c>
      <c r="G995">
        <f>NMRResults[[#This Row],['#]]</f>
        <v>0</v>
      </c>
      <c r="H995" s="1">
        <f>NMRResults[[#This Row],[Date Run]]</f>
        <v>0</v>
      </c>
    </row>
    <row r="996" spans="1:8" hidden="1" x14ac:dyDescent="0.25">
      <c r="A996" t="str" cm="1">
        <f t="array" ref="A996">IF(AND(ISBLANK(INDEX(SampleList[pH],ROW()-1)),ISBLANK(INDEX(SampleList[Conductivity],ROW()-1)),ISBLANK(INDEX(SampleList[Modification],ROW()-1))),"Not Requested",INDEX(SampleList[Experiment ID],ROW()-1))</f>
        <v>Not Requested</v>
      </c>
      <c r="B996">
        <f>SampleList[[#This Row],[Duration (Days)]]</f>
        <v>0</v>
      </c>
      <c r="G996">
        <f>NMRResults[[#This Row],['#]]</f>
        <v>0</v>
      </c>
      <c r="H996" s="1">
        <f>NMRResults[[#This Row],[Date Run]]</f>
        <v>0</v>
      </c>
    </row>
    <row r="997" spans="1:8" hidden="1" x14ac:dyDescent="0.25">
      <c r="A997" t="str" cm="1">
        <f t="array" ref="A997">IF(AND(ISBLANK(INDEX(SampleList[pH],ROW()-1)),ISBLANK(INDEX(SampleList[Conductivity],ROW()-1)),ISBLANK(INDEX(SampleList[Modification],ROW()-1))),"Not Requested",INDEX(SampleList[Experiment ID],ROW()-1))</f>
        <v>Not Requested</v>
      </c>
      <c r="B997">
        <f>SampleList[[#This Row],[Duration (Days)]]</f>
        <v>0</v>
      </c>
      <c r="G997">
        <f>NMRResults[[#This Row],['#]]</f>
        <v>0</v>
      </c>
      <c r="H997" s="1">
        <f>NMRResults[[#This Row],[Date Run]]</f>
        <v>0</v>
      </c>
    </row>
    <row r="998" spans="1:8" hidden="1" x14ac:dyDescent="0.25">
      <c r="A998" t="str" cm="1">
        <f t="array" ref="A998">IF(AND(ISBLANK(INDEX(SampleList[pH],ROW()-1)),ISBLANK(INDEX(SampleList[Conductivity],ROW()-1)),ISBLANK(INDEX(SampleList[Modification],ROW()-1))),"Not Requested",INDEX(SampleList[Experiment ID],ROW()-1))</f>
        <v>Not Requested</v>
      </c>
      <c r="B998">
        <f>SampleList[[#This Row],[Duration (Days)]]</f>
        <v>0</v>
      </c>
      <c r="G998">
        <f>NMRResults[[#This Row],['#]]</f>
        <v>0</v>
      </c>
      <c r="H998" s="1">
        <f>NMRResults[[#This Row],[Date Run]]</f>
        <v>0</v>
      </c>
    </row>
    <row r="999" spans="1:8" x14ac:dyDescent="0.25">
      <c r="A999" t="e" cm="1">
        <f t="array" ref="A999">IF(AND(ISBLANK(INDEX(SampleList[pH],ROW()-1)),ISBLANK(INDEX(SampleList[Conductivity],ROW()-1)),ISBLANK(INDEX(SampleList[Modification],ROW()-1))),"Not Requested",INDEX(SampleList[Experiment ID],ROW()-1))</f>
        <v>#REF!</v>
      </c>
      <c r="B999" t="e">
        <f>SampleList[[#This Row],[Duration (Days)]]</f>
        <v>#VALUE!</v>
      </c>
      <c r="G999">
        <f>NMRResults[[#This Row],['#]]</f>
        <v>0</v>
      </c>
      <c r="H999" s="1">
        <f>NMRResults[[#This Row],[Date Run]]</f>
        <v>0</v>
      </c>
    </row>
    <row r="1000" spans="1:8" x14ac:dyDescent="0.25">
      <c r="A1000" t="e" cm="1">
        <f t="array" ref="A1000">IF(AND(ISBLANK(INDEX(SampleList[pH],ROW()-1)),ISBLANK(INDEX(SampleList[Conductivity],ROW()-1)),ISBLANK(INDEX(SampleList[Modification],ROW()-1))),"Not Requested",INDEX(SampleList[Experiment ID],ROW()-1))</f>
        <v>#REF!</v>
      </c>
      <c r="B1000" t="e">
        <f>SampleList[[#This Row],[Duration (Days)]]</f>
        <v>#VALUE!</v>
      </c>
      <c r="G1000">
        <f>NMRResults[[#This Row],['#]]</f>
        <v>0</v>
      </c>
      <c r="H1000" s="1">
        <f>NMRResults[[#This Row],[Date Run]]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1B7A-200B-428B-ADFA-C8B40E433BB7}">
  <sheetPr>
    <tabColor theme="5" tint="0.39997558519241921"/>
  </sheetPr>
  <dimension ref="A1:G1000"/>
  <sheetViews>
    <sheetView workbookViewId="0">
      <selection activeCell="C14" sqref="C14"/>
    </sheetView>
  </sheetViews>
  <sheetFormatPr defaultRowHeight="15" x14ac:dyDescent="0.25"/>
  <cols>
    <col min="1" max="1" width="14.5703125" customWidth="1"/>
    <col min="2" max="2" width="14.7109375" customWidth="1"/>
    <col min="3" max="3" width="20.5703125" customWidth="1"/>
    <col min="4" max="4" width="16" customWidth="1"/>
    <col min="5" max="5" width="13.85546875" customWidth="1"/>
    <col min="6" max="6" width="21.7109375" customWidth="1"/>
    <col min="7" max="7" width="16" customWidth="1"/>
  </cols>
  <sheetData>
    <row r="1" spans="1:7" ht="45" customHeight="1" x14ac:dyDescent="0.25">
      <c r="A1" t="s">
        <v>2</v>
      </c>
      <c r="B1" t="s">
        <v>0</v>
      </c>
      <c r="C1" t="s">
        <v>78</v>
      </c>
      <c r="D1" t="s">
        <v>3</v>
      </c>
      <c r="E1" t="s">
        <v>31</v>
      </c>
      <c r="F1" t="s">
        <v>76</v>
      </c>
      <c r="G1" t="s">
        <v>77</v>
      </c>
    </row>
    <row r="2" spans="1:7" hidden="1" x14ac:dyDescent="0.25">
      <c r="A2" s="1">
        <v>46094</v>
      </c>
      <c r="B2" t="str" cm="1">
        <f t="array" ref="B2">IF(ISBLANK(INDEX(SampleList[XRD],ROW()-1)),"Not Requested",INDEX(SampleList[Experiment ID],ROW()-1))</f>
        <v>Not Requested</v>
      </c>
      <c r="C2" t="str">
        <f>SampleList[[#This Row],[Sample Description]]</f>
        <v>Liquid and Gas sample</v>
      </c>
      <c r="D2">
        <f>SampleList[[#This Row],[Duration (Days)]]</f>
        <v>1</v>
      </c>
    </row>
    <row r="3" spans="1:7" hidden="1" x14ac:dyDescent="0.25">
      <c r="A3" s="1">
        <v>46094</v>
      </c>
      <c r="B3" t="str" cm="1">
        <f t="array" ref="B3">IF(ISBLANK(INDEX(SampleList[XRD],ROW()-1)),"Not Requested",INDEX(SampleList[Experiment ID],ROW()-1))</f>
        <v>Not Requested</v>
      </c>
      <c r="C3" t="str">
        <f>SampleList[[#This Row],[Sample Description]]</f>
        <v>Final liquid + gas sample</v>
      </c>
      <c r="D3">
        <f>SampleList[[#This Row],[Duration (Days)]]</f>
        <v>60</v>
      </c>
    </row>
    <row r="4" spans="1:7" hidden="1" x14ac:dyDescent="0.25">
      <c r="A4" s="1">
        <v>46094</v>
      </c>
      <c r="B4" t="str" cm="1">
        <f t="array" ref="B4">IF(ISBLANK(INDEX(SampleList[XRD],ROW()-1)),"Not Requested",INDEX(SampleList[Experiment ID],ROW()-1))</f>
        <v>Not Requested</v>
      </c>
      <c r="C4" t="str">
        <f>SampleList[[#This Row],[Sample Description]]</f>
        <v>Pre-rxn brine check</v>
      </c>
      <c r="D4">
        <f>SampleList[[#This Row],[Duration (Days)]]</f>
        <v>0</v>
      </c>
    </row>
    <row r="5" spans="1:7" hidden="1" x14ac:dyDescent="0.25">
      <c r="A5" s="1">
        <v>46094</v>
      </c>
      <c r="B5" t="str" cm="1">
        <f t="array" ref="B5">IF(ISBLANK(INDEX(SampleList[XRD],ROW()-1)),"Not Requested",INDEX(SampleList[Experiment ID],ROW()-1))</f>
        <v>Not Requested</v>
      </c>
      <c r="C5" t="str">
        <f>SampleList[[#This Row],[Sample Description]]</f>
        <v>NH4 adsorption to teflon</v>
      </c>
      <c r="D5">
        <f>SampleList[[#This Row],[Duration (Days)]]</f>
        <v>0</v>
      </c>
    </row>
    <row r="6" spans="1:7" hidden="1" x14ac:dyDescent="0.25">
      <c r="A6" s="1"/>
      <c r="B6" t="str" cm="1">
        <f t="array" ref="B6">IF(ISBLANK(INDEX(SampleList[XRD],ROW()-1)),"Not Requested",INDEX(SampleList[Experiment ID],ROW()-1))</f>
        <v>Not Requested</v>
      </c>
      <c r="C6" t="str">
        <f>SampleList[[#This Row],[Sample Description]]</f>
        <v>NH4 adsorption to teflon</v>
      </c>
      <c r="D6">
        <f>SampleList[[#This Row],[Duration (Days)]]</f>
        <v>3</v>
      </c>
    </row>
    <row r="7" spans="1:7" hidden="1" x14ac:dyDescent="0.25">
      <c r="A7" s="1"/>
      <c r="B7" t="str" cm="1">
        <f t="array" ref="B7">IF(ISBLANK(INDEX(SampleList[XRD],ROW()-1)),"Not Requested",INDEX(SampleList[Experiment ID],ROW()-1))</f>
        <v>Not Requested</v>
      </c>
      <c r="C7" t="str">
        <f>SampleList[[#This Row],[Sample Description]]</f>
        <v>Initial desorption</v>
      </c>
      <c r="D7">
        <f>SampleList[[#This Row],[Duration (Days)]]</f>
        <v>0</v>
      </c>
    </row>
    <row r="8" spans="1:7" hidden="1" x14ac:dyDescent="0.25">
      <c r="A8" s="1"/>
      <c r="B8" t="str" cm="1">
        <f t="array" ref="B8">IF(ISBLANK(INDEX(SampleList[XRD],ROW()-1)),"Not Requested",INDEX(SampleList[Experiment ID],ROW()-1))</f>
        <v>Not Requested</v>
      </c>
      <c r="C8" t="str">
        <f>SampleList[[#This Row],[Sample Description]]</f>
        <v>Reactor 8 background</v>
      </c>
      <c r="D8">
        <f>SampleList[[#This Row],[Duration (Days)]]</f>
        <v>3</v>
      </c>
    </row>
    <row r="9" spans="1:7" hidden="1" x14ac:dyDescent="0.25">
      <c r="A9" s="1"/>
      <c r="B9" t="str" cm="1">
        <f t="array" ref="B9">IF(ISBLANK(INDEX(SampleList[XRD],ROW()-1)),"Not Requested",INDEX(SampleList[Experiment ID],ROW()-1))</f>
        <v>Not Requested</v>
      </c>
      <c r="C9" t="str">
        <f>SampleList[[#This Row],[Sample Description]]</f>
        <v>Reactor 9 background</v>
      </c>
      <c r="D9">
        <f>SampleList[[#This Row],[Duration (Days)]]</f>
        <v>3</v>
      </c>
    </row>
    <row r="10" spans="1:7" hidden="1" x14ac:dyDescent="0.25">
      <c r="A10" s="1"/>
      <c r="B10" t="str" cm="1">
        <f t="array" ref="B10">IF(ISBLANK(INDEX(SampleList[XRD],ROW()-1)),"Not Requested",INDEX(SampleList[Experiment ID],ROW()-1))</f>
        <v>Not Requested</v>
      </c>
      <c r="C10" t="str">
        <f>SampleList[[#This Row],[Sample Description]]</f>
        <v>Desorption test</v>
      </c>
      <c r="D10">
        <f>SampleList[[#This Row],[Duration (Days)]]</f>
        <v>3</v>
      </c>
    </row>
    <row r="11" spans="1:7" hidden="1" x14ac:dyDescent="0.25">
      <c r="A11" s="1"/>
      <c r="B11" t="str" cm="1">
        <f t="array" ref="B11">IF(ISBLANK(INDEX(SampleList[XRD],ROW()-1)),"Not Requested",INDEX(SampleList[Experiment ID],ROW()-1))</f>
        <v>Not Requested</v>
      </c>
      <c r="C11" t="str">
        <f>SampleList[[#This Row],[Sample Description]]</f>
        <v>CaI experiment day 3</v>
      </c>
      <c r="D11">
        <f>SampleList[[#This Row],[Duration (Days)]]</f>
        <v>4</v>
      </c>
    </row>
    <row r="12" spans="1:7" hidden="1" x14ac:dyDescent="0.25">
      <c r="A12" s="1"/>
      <c r="B12" t="str" cm="1">
        <f t="array" ref="B12">IF(ISBLANK(INDEX(SampleList[XRD],ROW()-1)),"Not Requested",INDEX(SampleList[Experiment ID],ROW()-1))</f>
        <v>Not Requested</v>
      </c>
      <c r="C12" t="str">
        <f>SampleList[[#This Row],[Sample Description]]</f>
        <v>150uL 1mM NH4Cl</v>
      </c>
      <c r="D12">
        <f>SampleList[[#This Row],[Duration (Days)]]</f>
        <v>0</v>
      </c>
    </row>
    <row r="13" spans="1:7" x14ac:dyDescent="0.25">
      <c r="A13" s="1">
        <v>46097</v>
      </c>
      <c r="B13" t="str" cm="1">
        <f t="array" ref="B13">IF(ISBLANK(INDEX(SampleList[XRD],ROW()-1)),"Not Requested",INDEX(SampleList[Experiment ID],ROW()-1))</f>
        <v>HPHT_096</v>
      </c>
      <c r="C13" t="str">
        <f>SampleList[[#This Row],[Sample Description]]</f>
        <v>Liquid and gas sample</v>
      </c>
      <c r="D13">
        <f>SampleList[[#This Row],[Duration (Days)]]</f>
        <v>10</v>
      </c>
      <c r="F13">
        <v>1.97</v>
      </c>
    </row>
    <row r="14" spans="1:7" x14ac:dyDescent="0.25">
      <c r="A14" s="1">
        <v>46098</v>
      </c>
      <c r="B14" t="str" cm="1">
        <f t="array" ref="B14">IF(ISBLANK(INDEX(SampleList[XRD],ROW()-1)),"Not Requested",INDEX(SampleList[Experiment ID],ROW()-1))</f>
        <v>HPHT_079</v>
      </c>
      <c r="C14" t="str">
        <f>SampleList[[#This Row],[Sample Description]]</f>
        <v>CaO Gas sample</v>
      </c>
      <c r="D14">
        <f>SampleList[[#This Row],[Duration (Days)]]</f>
        <v>39</v>
      </c>
      <c r="F14">
        <v>2.13</v>
      </c>
    </row>
    <row r="15" spans="1:7" x14ac:dyDescent="0.25">
      <c r="A15" s="1"/>
      <c r="B15" t="str" cm="1">
        <f t="array" ref="B15">IF(ISBLANK(INDEX(SampleList[XRD],ROW()-1)),"Not Requested",INDEX(SampleList[Experiment ID],ROW()-1))</f>
        <v>HPHT_097</v>
      </c>
      <c r="C15" t="str">
        <f>SampleList[[#This Row],[Sample Description]]</f>
        <v>CaI2 Gas, Liquid, Rock Sample</v>
      </c>
      <c r="D15">
        <f>SampleList[[#This Row],[Duration (Days)]]</f>
        <v>6</v>
      </c>
    </row>
    <row r="16" spans="1:7" hidden="1" x14ac:dyDescent="0.25">
      <c r="A16" s="1"/>
      <c r="B16" t="str" cm="1">
        <f t="array" ref="B16">IF(ISBLANK(INDEX(SampleList[XRD],ROW()-1)),"Not Requested",INDEX(SampleList[Experiment ID],ROW()-1))</f>
        <v>Not Requested</v>
      </c>
      <c r="C16" t="str">
        <f>SampleList[[#This Row],[Sample Description]]</f>
        <v>0.007mL/min at 220C for 2 days</v>
      </c>
      <c r="D16">
        <f>SampleList[[#This Row],[Duration (Days)]]</f>
        <v>6</v>
      </c>
    </row>
    <row r="17" spans="1:4" hidden="1" x14ac:dyDescent="0.25">
      <c r="A17" s="1"/>
      <c r="B17" t="str" cm="1">
        <f t="array" ref="B17">IF(ISBLANK(INDEX(SampleList[XRD],ROW()-1)),"Not Requested",INDEX(SampleList[Experiment ID],ROW()-1))</f>
        <v>Not Requested</v>
      </c>
      <c r="C17" t="str">
        <f>SampleList[[#This Row],[Sample Description]]</f>
        <v>Final liquid + gas sample</v>
      </c>
      <c r="D17">
        <f>SampleList[[#This Row],[Duration (Days)]]</f>
        <v>46</v>
      </c>
    </row>
    <row r="18" spans="1:4" hidden="1" x14ac:dyDescent="0.25">
      <c r="A18" s="1"/>
      <c r="B18" t="str" cm="1">
        <f t="array" ref="B18">IF(ISBLANK(INDEX(SampleList[XRD],ROW()-1)),"Not Requested",INDEX(SampleList[Experiment ID],ROW()-1))</f>
        <v>Not Requested</v>
      </c>
      <c r="C18" t="str">
        <f>SampleList[[#This Row],[Sample Description]]</f>
        <v>Acetate Buffer, contnued 18 days, liquid from gas port</v>
      </c>
      <c r="D18">
        <f>SampleList[[#This Row],[Duration (Days)]]</f>
        <v>18</v>
      </c>
    </row>
    <row r="19" spans="1:4" hidden="1" x14ac:dyDescent="0.25">
      <c r="A19" s="1"/>
      <c r="B19" t="str" cm="1">
        <f t="array" ref="B19">IF(ISBLANK(INDEX(SampleList[XRD],ROW()-1)),"Not Requested",INDEX(SampleList[Experiment ID],ROW()-1))</f>
        <v>Not Requested</v>
      </c>
      <c r="C19" t="str">
        <f>SampleList[[#This Row],[Sample Description]]</f>
        <v>CaO Gas sample</v>
      </c>
      <c r="D19">
        <f>SampleList[[#This Row],[Duration (Days)]]</f>
        <v>22</v>
      </c>
    </row>
    <row r="20" spans="1:4" hidden="1" x14ac:dyDescent="0.25">
      <c r="A20" s="1"/>
      <c r="B20" t="str" cm="1">
        <f t="array" ref="B20">IF(ISBLANK(INDEX(SampleList[XRD],ROW()-1)),"Not Requested",INDEX(SampleList[Experiment ID],ROW()-1))</f>
        <v>Not Requested</v>
      </c>
      <c r="C20" t="str">
        <f>SampleList[[#This Row],[Sample Description]]</f>
        <v>2 days at 20C, hydrogen generated, dip tube sample high peak</v>
      </c>
      <c r="D20">
        <f>SampleList[[#This Row],[Duration (Days)]]</f>
        <v>20</v>
      </c>
    </row>
    <row r="21" spans="1:4" hidden="1" x14ac:dyDescent="0.25">
      <c r="A21" s="1"/>
      <c r="B21" t="str" cm="1">
        <f t="array" ref="B21">IF(ISBLANK(INDEX(SampleList[XRD],ROW()-1)),"Not Requested",INDEX(SampleList[Experiment ID],ROW()-1))</f>
        <v>Not Requested</v>
      </c>
      <c r="C21" t="str">
        <f>SampleList[[#This Row],[Sample Description]]</f>
        <v>0.007mL/min at 300C for 2 days</v>
      </c>
      <c r="D21">
        <f>SampleList[[#This Row],[Duration (Days)]]</f>
        <v>8</v>
      </c>
    </row>
    <row r="22" spans="1:4" hidden="1" x14ac:dyDescent="0.25">
      <c r="A22" s="1"/>
      <c r="B22" t="str" cm="1">
        <f t="array" ref="B22">IF(ISBLANK(INDEX(SampleList[XRD],ROW()-1)),"Not Requested",INDEX(SampleList[Experiment ID],ROW()-1))</f>
        <v>Not Requested</v>
      </c>
      <c r="C22" t="str">
        <f>SampleList[[#This Row],[Sample Description]]</f>
        <v>Tamarack continued</v>
      </c>
      <c r="D22">
        <f>SampleList[[#This Row],[Duration (Days)]]</f>
        <v>10</v>
      </c>
    </row>
    <row r="23" spans="1:4" hidden="1" x14ac:dyDescent="0.25">
      <c r="A23" s="1"/>
      <c r="B23" t="str" cm="1">
        <f t="array" ref="B23">IF(ISBLANK(INDEX(SampleList[XRD],ROW()-1)),"Not Requested",INDEX(SampleList[Experiment ID],ROW()-1))</f>
        <v>Not Requested</v>
      </c>
      <c r="C23" t="str">
        <f>SampleList[[#This Row],[Sample Description]]</f>
        <v>Reactor 6 background</v>
      </c>
      <c r="D23">
        <f>SampleList[[#This Row],[Duration (Days)]]</f>
        <v>2</v>
      </c>
    </row>
    <row r="24" spans="1:4" hidden="1" x14ac:dyDescent="0.25">
      <c r="A24" s="1"/>
      <c r="B24" t="str" cm="1">
        <f t="array" ref="B24">IF(ISBLANK(INDEX(SampleList[XRD],ROW()-1)),"Not Requested",INDEX(SampleList[Experiment ID],ROW()-1))</f>
        <v>Not Requested</v>
      </c>
      <c r="C24" t="str">
        <f>SampleList[[#This Row],[Sample Description]]</f>
        <v>Final liquid + gas sample</v>
      </c>
      <c r="D24">
        <f>SampleList[[#This Row],[Duration (Days)]]</f>
        <v>52</v>
      </c>
    </row>
    <row r="25" spans="1:4" hidden="1" x14ac:dyDescent="0.25">
      <c r="A25" s="1"/>
      <c r="B25" t="str" cm="1">
        <f t="array" ref="B25">IF(ISBLANK(INDEX(SampleList[XRD],ROW()-1)),"Not Requested",INDEX(SampleList[Experiment ID],ROW()-1))</f>
        <v>Not Requested</v>
      </c>
      <c r="C25" t="str">
        <f>SampleList[[#This Row],[Sample Description]]</f>
        <v>2 days at 20C, hydrogen generated, final sample</v>
      </c>
      <c r="D25">
        <f>SampleList[[#This Row],[Duration (Days)]]</f>
        <v>22</v>
      </c>
    </row>
    <row r="26" spans="1:4" hidden="1" x14ac:dyDescent="0.25">
      <c r="A26" s="1"/>
      <c r="B26" t="str" cm="1">
        <f t="array" ref="B26">IF(ISBLANK(INDEX(SampleList[XRD],ROW()-1)),"Not Requested",INDEX(SampleList[Experiment ID],ROW()-1))</f>
        <v>Not Requested</v>
      </c>
      <c r="C26" t="str">
        <f>SampleList[[#This Row],[Sample Description]]</f>
        <v>CaO Gas sample</v>
      </c>
      <c r="D26">
        <f>SampleList[[#This Row],[Duration (Days)]]</f>
        <v>28</v>
      </c>
    </row>
    <row r="27" spans="1:4" hidden="1" x14ac:dyDescent="0.25">
      <c r="A27" s="1"/>
      <c r="B27" t="str" cm="1">
        <f t="array" ref="B27">IF(ISBLANK(INDEX(SampleList[XRD],ROW()-1)),"Not Requested",INDEX(SampleList[Experiment ID],ROW()-1))</f>
        <v>Not Requested</v>
      </c>
      <c r="C27" t="str">
        <f>SampleList[[#This Row],[Sample Description]]</f>
        <v>Pre-rxn brine check</v>
      </c>
      <c r="D27">
        <f>SampleList[[#This Row],[Duration (Days)]]</f>
        <v>0</v>
      </c>
    </row>
    <row r="28" spans="1:4" hidden="1" x14ac:dyDescent="0.25">
      <c r="A28" s="1"/>
      <c r="B28" t="str" cm="1">
        <f t="array" ref="B28">IF(ISBLANK(INDEX(SampleList[XRD],ROW()-1)),"Not Requested",INDEX(SampleList[Experiment ID],ROW()-1))</f>
        <v>Not Requested</v>
      </c>
      <c r="C28" t="str">
        <f>SampleList[[#This Row],[Sample Description]]</f>
        <v>300C @ 4800 PSI</v>
      </c>
      <c r="D28">
        <f>SampleList[[#This Row],[Duration (Days)]]</f>
        <v>10</v>
      </c>
    </row>
    <row r="29" spans="1:4" hidden="1" x14ac:dyDescent="0.25">
      <c r="A29" s="1"/>
      <c r="B29" t="str" cm="1">
        <f t="array" ref="B29">IF(ISBLANK(INDEX(SampleList[XRD],ROW()-1)),"Not Requested",INDEX(SampleList[Experiment ID],ROW()-1))</f>
        <v>Not Requested</v>
      </c>
      <c r="C29" t="str">
        <f>SampleList[[#This Row],[Sample Description]]</f>
        <v>Tamarack continued W:R 5:1</v>
      </c>
      <c r="D29">
        <f>SampleList[[#This Row],[Duration (Days)]]</f>
        <v>12</v>
      </c>
    </row>
    <row r="30" spans="1:4" hidden="1" x14ac:dyDescent="0.25">
      <c r="A30" s="1"/>
      <c r="B30" t="str" cm="1">
        <f t="array" ref="B30">IF(ISBLANK(INDEX(SampleList[XRD],ROW()-1)),"Not Requested",INDEX(SampleList[Experiment ID],ROW()-1))</f>
        <v>Not Requested</v>
      </c>
      <c r="C30" t="str">
        <f>SampleList[[#This Row],[Sample Description]]</f>
        <v>Pre-rxn brine check</v>
      </c>
      <c r="D30">
        <f>SampleList[[#This Row],[Duration (Days)]]</f>
        <v>0</v>
      </c>
    </row>
    <row r="31" spans="1:4" hidden="1" x14ac:dyDescent="0.25">
      <c r="A31" s="1"/>
      <c r="B31" t="str" cm="1">
        <f t="array" ref="B31">IF(ISBLANK(INDEX(SampleList[XRD],ROW()-1)),"Not Requested",INDEX(SampleList[Experiment ID],ROW()-1))</f>
        <v>Not Requested</v>
      </c>
      <c r="C31" t="str">
        <f>SampleList[[#This Row],[Sample Description]]</f>
        <v>CaO Gas sample</v>
      </c>
      <c r="D31">
        <f>SampleList[[#This Row],[Duration (Days)]]</f>
        <v>34</v>
      </c>
    </row>
    <row r="32" spans="1:4" hidden="1" x14ac:dyDescent="0.25">
      <c r="A32" s="1"/>
      <c r="B32" t="str" cm="1">
        <f t="array" ref="B32">IF(ISBLANK(INDEX(SampleList[XRD],ROW()-1)),"Not Requested",INDEX(SampleList[Experiment ID],ROW()-1))</f>
        <v>Not Requested</v>
      </c>
      <c r="C32" t="str">
        <f>SampleList[[#This Row],[Sample Description]]</f>
        <v>Flow through 300C +3 days</v>
      </c>
      <c r="D32">
        <f>SampleList[[#This Row],[Duration (Days)]]</f>
        <v>9</v>
      </c>
    </row>
    <row r="33" spans="1:6" hidden="1" x14ac:dyDescent="0.25">
      <c r="A33" s="1"/>
      <c r="B33" t="str" cm="1">
        <f t="array" ref="B33">IF(ISBLANK(INDEX(SampleList[XRD],ROW()-1)),"Not Requested",INDEX(SampleList[Experiment ID],ROW()-1))</f>
        <v>Not Requested</v>
      </c>
      <c r="C33" t="str">
        <f>SampleList[[#This Row],[Sample Description]]</f>
        <v>Flow throughfinal sampling</v>
      </c>
      <c r="D33">
        <f>SampleList[[#This Row],[Duration (Days)]]</f>
        <v>15</v>
      </c>
    </row>
    <row r="34" spans="1:6" hidden="1" x14ac:dyDescent="0.25">
      <c r="A34" s="1"/>
      <c r="B34" t="str" cm="1">
        <f t="array" ref="B34">IF(ISBLANK(INDEX(SampleList[XRD],ROW()-1)),"Not Requested",INDEX(SampleList[Experiment ID],ROW()-1))</f>
        <v>Not Requested</v>
      </c>
      <c r="C34" t="str">
        <f>SampleList[[#This Row],[Sample Description]]</f>
        <v>Liquid and gas sample</v>
      </c>
      <c r="D34">
        <f>SampleList[[#This Row],[Duration (Days)]]</f>
        <v>0</v>
      </c>
    </row>
    <row r="35" spans="1:6" hidden="1" x14ac:dyDescent="0.25">
      <c r="A35" s="1"/>
      <c r="B35" t="str" cm="1">
        <f t="array" ref="B35">IF(ISBLANK(INDEX(SampleList[XRD],ROW()-1)),"Not Requested",INDEX(SampleList[Experiment ID],ROW()-1))</f>
        <v>Not Requested</v>
      </c>
      <c r="C35" t="str">
        <f>SampleList[[#This Row],[Sample Description]]</f>
        <v>Tamarack W:R 5:1, low fluid level</v>
      </c>
      <c r="D35">
        <f>SampleList[[#This Row],[Duration (Days)]]</f>
        <v>15</v>
      </c>
    </row>
    <row r="36" spans="1:6" hidden="1" x14ac:dyDescent="0.25">
      <c r="A36" s="1"/>
      <c r="B36" t="str" cm="1">
        <f t="array" ref="B36">IF(ISBLANK(INDEX(SampleList[XRD],ROW()-1)),"Not Requested",INDEX(SampleList[Experiment ID],ROW()-1))</f>
        <v>Not Requested</v>
      </c>
      <c r="C36" t="str">
        <f>SampleList[[#This Row],[Sample Description]]</f>
        <v>Liquid and gas sample</v>
      </c>
      <c r="D36">
        <f>SampleList[[#This Row],[Duration (Days)]]</f>
        <v>5</v>
      </c>
    </row>
    <row r="37" spans="1:6" hidden="1" x14ac:dyDescent="0.25">
      <c r="A37" s="1"/>
      <c r="B37" t="str" cm="1">
        <f t="array" ref="B37">IF(ISBLANK(INDEX(SampleList[XRD],ROW()-1)),"Not Requested",INDEX(SampleList[Experiment ID],ROW()-1))</f>
        <v>Not Requested</v>
      </c>
      <c r="C37" t="str">
        <f>SampleList[[#This Row],[Sample Description]]</f>
        <v>Tamarack W:R 1:1, low fluid level</v>
      </c>
      <c r="D37">
        <f>SampleList[[#This Row],[Duration (Days)]]</f>
        <v>4</v>
      </c>
    </row>
    <row r="38" spans="1:6" hidden="1" x14ac:dyDescent="0.25">
      <c r="A38" s="1"/>
      <c r="B38" t="str" cm="1">
        <f t="array" ref="B38">IF(ISBLANK(INDEX(SampleList[XRD],ROW()-1)),"Not Requested",INDEX(SampleList[Experiment ID],ROW()-1))</f>
        <v>Not Requested</v>
      </c>
      <c r="C38" t="str">
        <f>SampleList[[#This Row],[Sample Description]]</f>
        <v>Pre-rxn brine check</v>
      </c>
      <c r="D38">
        <f>SampleList[[#This Row],[Duration (Days)]]</f>
        <v>0</v>
      </c>
    </row>
    <row r="39" spans="1:6" hidden="1" x14ac:dyDescent="0.25">
      <c r="A39" s="1"/>
      <c r="B39" t="str" cm="1">
        <f t="array" ref="B39">IF(ISBLANK(INDEX(SampleList[XRD],ROW()-1)),"Not Requested",INDEX(SampleList[Experiment ID],ROW()-1))</f>
        <v>Not Requested</v>
      </c>
      <c r="C39" t="str">
        <f>SampleList[[#This Row],[Sample Description]]</f>
        <v>Pre-rxn brine check</v>
      </c>
      <c r="D39">
        <f>SampleList[[#This Row],[Duration (Days)]]</f>
        <v>0</v>
      </c>
    </row>
    <row r="40" spans="1:6" hidden="1" x14ac:dyDescent="0.25">
      <c r="A40" s="1"/>
      <c r="B40" t="str" cm="1">
        <f t="array" ref="B40">IF(ISBLANK(INDEX(SampleList[XRD],ROW()-1)),"Not Requested",INDEX(SampleList[Experiment ID],ROW()-1))</f>
        <v>Not Requested</v>
      </c>
      <c r="C40" t="str">
        <f>SampleList[[#This Row],[Sample Description]]</f>
        <v>NMR tube 10 from 3/16/26</v>
      </c>
      <c r="D40">
        <f>SampleList[[#This Row],[Duration (Days)]]</f>
        <v>10</v>
      </c>
    </row>
    <row r="41" spans="1:6" hidden="1" x14ac:dyDescent="0.25">
      <c r="A41" s="1"/>
      <c r="B41" t="str" cm="1">
        <f t="array" ref="B41">IF(ISBLANK(INDEX(SampleList[XRD],ROW()-1)),"Not Requested",INDEX(SampleList[Experiment ID],ROW()-1))</f>
        <v>Not Requested</v>
      </c>
      <c r="C41" t="str">
        <f>SampleList[[#This Row],[Sample Description]]</f>
        <v>NH4 Standard NMR</v>
      </c>
      <c r="D41">
        <f>SampleList[[#This Row],[Duration (Days)]]</f>
        <v>0</v>
      </c>
    </row>
    <row r="42" spans="1:6" hidden="1" x14ac:dyDescent="0.25">
      <c r="A42" s="1"/>
      <c r="B42" t="str" cm="1">
        <f t="array" ref="B42">IF(ISBLANK(INDEX(SampleList[XRD],ROW()-1)),"Not Requested",INDEX(SampleList[Experiment ID],ROW()-1))</f>
        <v>Not Requested</v>
      </c>
      <c r="C42" t="str">
        <f>SampleList[[#This Row],[Sample Description]]</f>
        <v>Desorption test</v>
      </c>
      <c r="D42">
        <f>SampleList[[#This Row],[Duration (Days)]]</f>
        <v>5</v>
      </c>
    </row>
    <row r="43" spans="1:6" x14ac:dyDescent="0.25">
      <c r="A43" s="1">
        <v>46101</v>
      </c>
      <c r="B43" t="str" cm="1">
        <f t="array" ref="B43">IF(ISBLANK(INDEX(SampleList[XRD],ROW()-1)),"Not Requested",INDEX(SampleList[Experiment ID],ROW()-1))</f>
        <v>HPHT_089</v>
      </c>
      <c r="C43" t="str">
        <f>SampleList[[#This Row],[Sample Description]]</f>
        <v>Liquid and Gas sample</v>
      </c>
      <c r="D43">
        <f>SampleList[[#This Row],[Duration (Days)]]</f>
        <v>3</v>
      </c>
      <c r="F43">
        <v>1.67</v>
      </c>
    </row>
    <row r="44" spans="1:6" hidden="1" x14ac:dyDescent="0.25">
      <c r="A44" s="1"/>
      <c r="B44" t="str" cm="1">
        <f t="array" ref="B44">IF(ISBLANK(INDEX(SampleList[XRD],ROW()-1)),"Not Requested",INDEX(SampleList[Experiment ID],ROW()-1))</f>
        <v>Not Requested</v>
      </c>
      <c r="C44" t="str">
        <f>SampleList[[#This Row],[Sample Description]]</f>
        <v>Liquid and Gas sample</v>
      </c>
      <c r="D44">
        <f>SampleList[[#This Row],[Duration (Days)]]</f>
        <v>13</v>
      </c>
    </row>
    <row r="45" spans="1:6" hidden="1" x14ac:dyDescent="0.25">
      <c r="A45" s="1"/>
      <c r="B45" t="str" cm="1">
        <f t="array" ref="B45">IF(ISBLANK(INDEX(SampleList[XRD],ROW()-1)),"Not Requested",INDEX(SampleList[Experiment ID],ROW()-1))</f>
        <v>Not Requested</v>
      </c>
      <c r="C45" t="str">
        <f>SampleList[[#This Row],[Sample Description]]</f>
        <v>Gas sample</v>
      </c>
      <c r="D45">
        <f>SampleList[[#This Row],[Duration (Days)]]</f>
        <v>42</v>
      </c>
    </row>
    <row r="46" spans="1:6" x14ac:dyDescent="0.25">
      <c r="A46" s="1"/>
      <c r="B46" t="str" cm="1">
        <f t="array" ref="B46">IF(ISBLANK(INDEX(SampleList[XRD],ROW()-1)),"Not Requested",INDEX(SampleList[Experiment ID],ROW()-1))</f>
        <v>Not Requested</v>
      </c>
      <c r="C46" t="str">
        <f>SampleList[[#This Row],[Sample Description]]</f>
        <v>Liquid sample</v>
      </c>
      <c r="D46">
        <f>SampleList[[#This Row],[Duration (Days)]]</f>
        <v>8</v>
      </c>
    </row>
    <row r="47" spans="1:6" hidden="1" x14ac:dyDescent="0.25">
      <c r="A47" s="1"/>
      <c r="B47" t="str" cm="1">
        <f t="array" ref="B47">IF(ISBLANK(INDEX(SampleList[XRD],ROW()-1)),"Not Requested",INDEX(SampleList[Experiment ID],ROW()-1))</f>
        <v>Not Requested</v>
      </c>
      <c r="C47" t="str">
        <f>SampleList[[#This Row],[Sample Description]]</f>
        <v>Liquid and Gas sample</v>
      </c>
      <c r="D47">
        <f>SampleList[[#This Row],[Duration (Days)]]</f>
        <v>3</v>
      </c>
    </row>
    <row r="48" spans="1:6" hidden="1" x14ac:dyDescent="0.25">
      <c r="A48" s="1"/>
      <c r="B48" t="str" cm="1">
        <f t="array" ref="B48">IF(ISBLANK(INDEX(SampleList[XRD],ROW()-1)),"Not Requested",INDEX(SampleList[Experiment ID],ROW()-1))</f>
        <v>Not Requested</v>
      </c>
      <c r="C48" t="str">
        <f>SampleList[[#This Row],[Sample Description]]</f>
        <v>150uL 1mM NH4Cl</v>
      </c>
      <c r="D48">
        <f>SampleList[[#This Row],[Duration (Days)]]</f>
        <v>0</v>
      </c>
    </row>
    <row r="49" spans="1:4" hidden="1" x14ac:dyDescent="0.25">
      <c r="A49" s="1"/>
      <c r="B49" t="str" cm="1">
        <f t="array" ref="B49">IF(ISBLANK(INDEX(SampleList[XRD],ROW()-1)),"Not Requested",INDEX(SampleList[Experiment ID],ROW()-1))</f>
        <v>Not Requested</v>
      </c>
      <c r="C49" t="str">
        <f>SampleList[[#This Row],[Sample Description]]</f>
        <v>Liquid and gas sample, +450mg Pd</v>
      </c>
      <c r="D49">
        <f>SampleList[[#This Row],[Duration (Days)]]</f>
        <v>17</v>
      </c>
    </row>
    <row r="50" spans="1:4" hidden="1" x14ac:dyDescent="0.25">
      <c r="A50" s="1"/>
      <c r="B50" t="str" cm="1">
        <f t="array" ref="B50">IF(ISBLANK(INDEX(SampleList[XRD],ROW()-1)),"Not Requested",INDEX(SampleList[Experiment ID],ROW()-1))</f>
        <v>Not Requested</v>
      </c>
      <c r="C50" t="str">
        <f>SampleList[[#This Row],[Sample Description]]</f>
        <v>Liquid and gas sample, pH adjust</v>
      </c>
      <c r="D50">
        <f>SampleList[[#This Row],[Duration (Days)]]</f>
        <v>7</v>
      </c>
    </row>
    <row r="51" spans="1:4" hidden="1" x14ac:dyDescent="0.25">
      <c r="A51" s="1"/>
      <c r="B51" t="str" cm="1">
        <f t="array" ref="B51">IF(ISBLANK(INDEX(SampleList[XRD],ROW()-1)),"Not Requested",INDEX(SampleList[Experiment ID],ROW()-1))</f>
        <v>Not Requested</v>
      </c>
      <c r="C51" t="str">
        <f>SampleList[[#This Row],[Sample Description]]</f>
        <v>Gas sample only</v>
      </c>
      <c r="D51">
        <f>SampleList[[#This Row],[Duration (Days)]]</f>
        <v>46</v>
      </c>
    </row>
    <row r="52" spans="1:4" hidden="1" x14ac:dyDescent="0.25">
      <c r="A52" s="1"/>
      <c r="B52" t="str" cm="1">
        <f t="array" ref="B52">IF(ISBLANK(INDEX(SampleList[XRD],ROW()-1)),"Not Requested",INDEX(SampleList[Experiment ID],ROW()-1))</f>
        <v>Not Requested</v>
      </c>
      <c r="C52" t="str">
        <f>SampleList[[#This Row],[Sample Description]]</f>
        <v>Liquid and gas sample, pH adjust</v>
      </c>
      <c r="D52">
        <f>SampleList[[#This Row],[Duration (Days)]]</f>
        <v>11</v>
      </c>
    </row>
    <row r="53" spans="1:4" hidden="1" x14ac:dyDescent="0.25">
      <c r="A53" s="1"/>
      <c r="B53" t="str" cm="1">
        <f t="array" ref="B53">IF(ISBLANK(INDEX(SampleList[XRD],ROW()-1)),"Not Requested",INDEX(SampleList[Experiment ID],ROW()-1))</f>
        <v>Not Requested</v>
      </c>
      <c r="C53" t="str">
        <f>SampleList[[#This Row],[Sample Description]]</f>
        <v>Liquid sample only</v>
      </c>
      <c r="D53">
        <f>SampleList[[#This Row],[Duration (Days)]]</f>
        <v>3</v>
      </c>
    </row>
    <row r="54" spans="1:4" hidden="1" x14ac:dyDescent="0.25">
      <c r="A54" s="1"/>
      <c r="B54" t="str" cm="1">
        <f t="array" ref="B54">IF(ISBLANK(INDEX(SampleList[XRD],ROW()-1)),"Not Requested",INDEX(SampleList[Experiment ID],ROW()-1))</f>
        <v>Not Requested</v>
      </c>
      <c r="C54" t="str">
        <f>SampleList[[#This Row],[Sample Description]]</f>
        <v>Liquid sample only</v>
      </c>
      <c r="D54">
        <f>SampleList[[#This Row],[Duration (Days)]]</f>
        <v>3</v>
      </c>
    </row>
    <row r="55" spans="1:4" hidden="1" x14ac:dyDescent="0.25">
      <c r="A55" s="1"/>
      <c r="B55" t="str" cm="1">
        <f t="array" ref="B55">IF(ISBLANK(INDEX(SampleList[XRD],ROW()-1)),"Not Requested",INDEX(SampleList[Experiment ID],ROW()-1))</f>
        <v>Not Requested</v>
      </c>
      <c r="C55" t="str">
        <f>SampleList[[#This Row],[Sample Description]]</f>
        <v>Liquid and gas sample</v>
      </c>
      <c r="D55">
        <f>SampleList[[#This Row],[Duration (Days)]]</f>
        <v>3</v>
      </c>
    </row>
    <row r="56" spans="1:4" hidden="1" x14ac:dyDescent="0.25">
      <c r="A56" s="1"/>
      <c r="B56" t="str" cm="1">
        <f t="array" ref="B56">IF(ISBLANK(INDEX(SampleList[XRD],ROW()-1)),"Not Requested",INDEX(SampleList[Experiment ID],ROW()-1))</f>
        <v>Not Requested</v>
      </c>
      <c r="C56">
        <f>SampleList[[#This Row],[Sample Description]]</f>
        <v>0</v>
      </c>
      <c r="D56">
        <f>SampleList[[#This Row],[Duration (Days)]]</f>
        <v>0</v>
      </c>
    </row>
    <row r="57" spans="1:4" hidden="1" x14ac:dyDescent="0.25">
      <c r="A57" s="1"/>
      <c r="B57" t="str" cm="1">
        <f t="array" ref="B57">IF(ISBLANK(INDEX(SampleList[XRD],ROW()-1)),"Not Requested",INDEX(SampleList[Experiment ID],ROW()-1))</f>
        <v>Not Requested</v>
      </c>
      <c r="C57">
        <f>SampleList[[#This Row],[Sample Description]]</f>
        <v>0</v>
      </c>
      <c r="D57">
        <f>SampleList[[#This Row],[Duration (Days)]]</f>
        <v>0</v>
      </c>
    </row>
    <row r="58" spans="1:4" hidden="1" x14ac:dyDescent="0.25">
      <c r="A58" s="1"/>
      <c r="B58" t="str" cm="1">
        <f t="array" ref="B58">IF(ISBLANK(INDEX(SampleList[XRD],ROW()-1)),"Not Requested",INDEX(SampleList[Experiment ID],ROW()-1))</f>
        <v>Not Requested</v>
      </c>
      <c r="C58">
        <f>SampleList[[#This Row],[Sample Description]]</f>
        <v>0</v>
      </c>
      <c r="D58">
        <f>SampleList[[#This Row],[Duration (Days)]]</f>
        <v>0</v>
      </c>
    </row>
    <row r="59" spans="1:4" hidden="1" x14ac:dyDescent="0.25">
      <c r="A59" s="1"/>
      <c r="B59" t="str" cm="1">
        <f t="array" ref="B59">IF(ISBLANK(INDEX(SampleList[XRD],ROW()-1)),"Not Requested",INDEX(SampleList[Experiment ID],ROW()-1))</f>
        <v>Not Requested</v>
      </c>
      <c r="C59">
        <f>SampleList[[#This Row],[Sample Description]]</f>
        <v>0</v>
      </c>
      <c r="D59">
        <f>SampleList[[#This Row],[Duration (Days)]]</f>
        <v>0</v>
      </c>
    </row>
    <row r="60" spans="1:4" hidden="1" x14ac:dyDescent="0.25">
      <c r="A60" s="1"/>
      <c r="B60" t="str" cm="1">
        <f t="array" ref="B60">IF(ISBLANK(INDEX(SampleList[XRD],ROW()-1)),"Not Requested",INDEX(SampleList[Experiment ID],ROW()-1))</f>
        <v>Not Requested</v>
      </c>
      <c r="C60">
        <f>SampleList[[#This Row],[Sample Description]]</f>
        <v>0</v>
      </c>
      <c r="D60">
        <f>SampleList[[#This Row],[Duration (Days)]]</f>
        <v>0</v>
      </c>
    </row>
    <row r="61" spans="1:4" hidden="1" x14ac:dyDescent="0.25">
      <c r="A61" s="1"/>
      <c r="B61" t="str" cm="1">
        <f t="array" ref="B61">IF(ISBLANK(INDEX(SampleList[XRD],ROW()-1)),"Not Requested",INDEX(SampleList[Experiment ID],ROW()-1))</f>
        <v>Not Requested</v>
      </c>
      <c r="C61">
        <f>SampleList[[#This Row],[Sample Description]]</f>
        <v>0</v>
      </c>
      <c r="D61">
        <f>SampleList[[#This Row],[Duration (Days)]]</f>
        <v>0</v>
      </c>
    </row>
    <row r="62" spans="1:4" hidden="1" x14ac:dyDescent="0.25">
      <c r="A62" s="1"/>
      <c r="B62" t="str" cm="1">
        <f t="array" ref="B62">IF(ISBLANK(INDEX(SampleList[XRD],ROW()-1)),"Not Requested",INDEX(SampleList[Experiment ID],ROW()-1))</f>
        <v>Not Requested</v>
      </c>
      <c r="C62">
        <f>SampleList[[#This Row],[Sample Description]]</f>
        <v>0</v>
      </c>
      <c r="D62">
        <f>SampleList[[#This Row],[Duration (Days)]]</f>
        <v>0</v>
      </c>
    </row>
    <row r="63" spans="1:4" hidden="1" x14ac:dyDescent="0.25">
      <c r="A63" s="1"/>
      <c r="B63" t="str" cm="1">
        <f t="array" ref="B63">IF(ISBLANK(INDEX(SampleList[XRD],ROW()-1)),"Not Requested",INDEX(SampleList[Experiment ID],ROW()-1))</f>
        <v>Not Requested</v>
      </c>
      <c r="C63">
        <f>SampleList[[#This Row],[Sample Description]]</f>
        <v>0</v>
      </c>
      <c r="D63">
        <f>SampleList[[#This Row],[Duration (Days)]]</f>
        <v>0</v>
      </c>
    </row>
    <row r="64" spans="1:4" hidden="1" x14ac:dyDescent="0.25">
      <c r="A64" s="1"/>
      <c r="B64" t="str" cm="1">
        <f t="array" ref="B64">IF(ISBLANK(INDEX(SampleList[XRD],ROW()-1)),"Not Requested",INDEX(SampleList[Experiment ID],ROW()-1))</f>
        <v>Not Requested</v>
      </c>
      <c r="C64">
        <f>SampleList[[#This Row],[Sample Description]]</f>
        <v>0</v>
      </c>
      <c r="D64">
        <f>SampleList[[#This Row],[Duration (Days)]]</f>
        <v>0</v>
      </c>
    </row>
    <row r="65" spans="1:4" hidden="1" x14ac:dyDescent="0.25">
      <c r="A65" s="1"/>
      <c r="B65" t="str" cm="1">
        <f t="array" ref="B65">IF(ISBLANK(INDEX(SampleList[XRD],ROW()-1)),"Not Requested",INDEX(SampleList[Experiment ID],ROW()-1))</f>
        <v>Not Requested</v>
      </c>
      <c r="C65">
        <f>SampleList[[#This Row],[Sample Description]]</f>
        <v>0</v>
      </c>
      <c r="D65">
        <f>SampleList[[#This Row],[Duration (Days)]]</f>
        <v>0</v>
      </c>
    </row>
    <row r="66" spans="1:4" hidden="1" x14ac:dyDescent="0.25">
      <c r="A66" s="1"/>
      <c r="B66" t="str" cm="1">
        <f t="array" ref="B66">IF(ISBLANK(INDEX(SampleList[XRD],ROW()-1)),"Not Requested",INDEX(SampleList[Experiment ID],ROW()-1))</f>
        <v>Not Requested</v>
      </c>
      <c r="C66">
        <f>SampleList[[#This Row],[Sample Description]]</f>
        <v>0</v>
      </c>
      <c r="D66">
        <f>SampleList[[#This Row],[Duration (Days)]]</f>
        <v>0</v>
      </c>
    </row>
    <row r="67" spans="1:4" hidden="1" x14ac:dyDescent="0.25">
      <c r="A67" s="1"/>
      <c r="B67" t="str" cm="1">
        <f t="array" ref="B67">IF(ISBLANK(INDEX(SampleList[XRD],ROW()-1)),"Not Requested",INDEX(SampleList[Experiment ID],ROW()-1))</f>
        <v>Not Requested</v>
      </c>
      <c r="C67">
        <f>SampleList[[#This Row],[Sample Description]]</f>
        <v>0</v>
      </c>
      <c r="D67">
        <f>SampleList[[#This Row],[Duration (Days)]]</f>
        <v>0</v>
      </c>
    </row>
    <row r="68" spans="1:4" hidden="1" x14ac:dyDescent="0.25">
      <c r="A68" s="1"/>
      <c r="B68" t="str" cm="1">
        <f t="array" ref="B68">IF(ISBLANK(INDEX(SampleList[XRD],ROW()-1)),"Not Requested",INDEX(SampleList[Experiment ID],ROW()-1))</f>
        <v>Not Requested</v>
      </c>
      <c r="C68">
        <f>SampleList[[#This Row],[Sample Description]]</f>
        <v>0</v>
      </c>
      <c r="D68">
        <f>SampleList[[#This Row],[Duration (Days)]]</f>
        <v>0</v>
      </c>
    </row>
    <row r="69" spans="1:4" hidden="1" x14ac:dyDescent="0.25">
      <c r="A69" s="1"/>
      <c r="B69" t="str" cm="1">
        <f t="array" ref="B69">IF(ISBLANK(INDEX(SampleList[XRD],ROW()-1)),"Not Requested",INDEX(SampleList[Experiment ID],ROW()-1))</f>
        <v>Not Requested</v>
      </c>
      <c r="C69">
        <f>SampleList[[#This Row],[Sample Description]]</f>
        <v>0</v>
      </c>
      <c r="D69">
        <f>SampleList[[#This Row],[Duration (Days)]]</f>
        <v>0</v>
      </c>
    </row>
    <row r="70" spans="1:4" hidden="1" x14ac:dyDescent="0.25">
      <c r="A70" s="1"/>
      <c r="B70" t="str" cm="1">
        <f t="array" ref="B70">IF(ISBLANK(INDEX(SampleList[XRD],ROW()-1)),"Not Requested",INDEX(SampleList[Experiment ID],ROW()-1))</f>
        <v>Not Requested</v>
      </c>
      <c r="C70">
        <f>SampleList[[#This Row],[Sample Description]]</f>
        <v>0</v>
      </c>
      <c r="D70">
        <f>SampleList[[#This Row],[Duration (Days)]]</f>
        <v>0</v>
      </c>
    </row>
    <row r="71" spans="1:4" hidden="1" x14ac:dyDescent="0.25">
      <c r="A71" s="1"/>
      <c r="B71" t="str" cm="1">
        <f t="array" ref="B71">IF(ISBLANK(INDEX(SampleList[XRD],ROW()-1)),"Not Requested",INDEX(SampleList[Experiment ID],ROW()-1))</f>
        <v>Not Requested</v>
      </c>
      <c r="C71">
        <f>SampleList[[#This Row],[Sample Description]]</f>
        <v>0</v>
      </c>
      <c r="D71">
        <f>SampleList[[#This Row],[Duration (Days)]]</f>
        <v>0</v>
      </c>
    </row>
    <row r="72" spans="1:4" hidden="1" x14ac:dyDescent="0.25">
      <c r="A72" s="1"/>
      <c r="B72" t="str" cm="1">
        <f t="array" ref="B72">IF(ISBLANK(INDEX(SampleList[XRD],ROW()-1)),"Not Requested",INDEX(SampleList[Experiment ID],ROW()-1))</f>
        <v>Not Requested</v>
      </c>
      <c r="C72">
        <f>SampleList[[#This Row],[Sample Description]]</f>
        <v>0</v>
      </c>
      <c r="D72">
        <f>SampleList[[#This Row],[Duration (Days)]]</f>
        <v>0</v>
      </c>
    </row>
    <row r="73" spans="1:4" hidden="1" x14ac:dyDescent="0.25">
      <c r="A73" s="1"/>
      <c r="B73" t="str" cm="1">
        <f t="array" ref="B73">IF(ISBLANK(INDEX(SampleList[XRD],ROW()-1)),"Not Requested",INDEX(SampleList[Experiment ID],ROW()-1))</f>
        <v>Not Requested</v>
      </c>
      <c r="C73">
        <f>SampleList[[#This Row],[Sample Description]]</f>
        <v>0</v>
      </c>
      <c r="D73">
        <f>SampleList[[#This Row],[Duration (Days)]]</f>
        <v>0</v>
      </c>
    </row>
    <row r="74" spans="1:4" hidden="1" x14ac:dyDescent="0.25">
      <c r="A74" s="1"/>
      <c r="B74" t="str" cm="1">
        <f t="array" ref="B74">IF(ISBLANK(INDEX(SampleList[XRD],ROW()-1)),"Not Requested",INDEX(SampleList[Experiment ID],ROW()-1))</f>
        <v>Not Requested</v>
      </c>
      <c r="C74">
        <f>SampleList[[#This Row],[Sample Description]]</f>
        <v>0</v>
      </c>
      <c r="D74">
        <f>SampleList[[#This Row],[Duration (Days)]]</f>
        <v>0</v>
      </c>
    </row>
    <row r="75" spans="1:4" hidden="1" x14ac:dyDescent="0.25">
      <c r="A75" s="1"/>
      <c r="B75" t="str" cm="1">
        <f t="array" ref="B75">IF(ISBLANK(INDEX(SampleList[XRD],ROW()-1)),"Not Requested",INDEX(SampleList[Experiment ID],ROW()-1))</f>
        <v>Not Requested</v>
      </c>
      <c r="C75">
        <f>SampleList[[#This Row],[Sample Description]]</f>
        <v>0</v>
      </c>
      <c r="D75">
        <f>SampleList[[#This Row],[Duration (Days)]]</f>
        <v>0</v>
      </c>
    </row>
    <row r="76" spans="1:4" hidden="1" x14ac:dyDescent="0.25">
      <c r="A76" s="1"/>
      <c r="B76" t="str" cm="1">
        <f t="array" ref="B76">IF(ISBLANK(INDEX(SampleList[XRD],ROW()-1)),"Not Requested",INDEX(SampleList[Experiment ID],ROW()-1))</f>
        <v>Not Requested</v>
      </c>
      <c r="C76">
        <f>SampleList[[#This Row],[Sample Description]]</f>
        <v>0</v>
      </c>
      <c r="D76">
        <f>SampleList[[#This Row],[Duration (Days)]]</f>
        <v>0</v>
      </c>
    </row>
    <row r="77" spans="1:4" hidden="1" x14ac:dyDescent="0.25">
      <c r="A77" s="1"/>
      <c r="B77" t="str" cm="1">
        <f t="array" ref="B77">IF(ISBLANK(INDEX(SampleList[XRD],ROW()-1)),"Not Requested",INDEX(SampleList[Experiment ID],ROW()-1))</f>
        <v>Not Requested</v>
      </c>
      <c r="C77">
        <f>SampleList[[#This Row],[Sample Description]]</f>
        <v>0</v>
      </c>
      <c r="D77">
        <f>SampleList[[#This Row],[Duration (Days)]]</f>
        <v>0</v>
      </c>
    </row>
    <row r="78" spans="1:4" hidden="1" x14ac:dyDescent="0.25">
      <c r="A78" s="1"/>
      <c r="B78" t="str" cm="1">
        <f t="array" ref="B78">IF(ISBLANK(INDEX(SampleList[XRD],ROW()-1)),"Not Requested",INDEX(SampleList[Experiment ID],ROW()-1))</f>
        <v>Not Requested</v>
      </c>
      <c r="C78">
        <f>SampleList[[#This Row],[Sample Description]]</f>
        <v>0</v>
      </c>
      <c r="D78">
        <f>SampleList[[#This Row],[Duration (Days)]]</f>
        <v>0</v>
      </c>
    </row>
    <row r="79" spans="1:4" hidden="1" x14ac:dyDescent="0.25">
      <c r="A79" s="1"/>
      <c r="B79" t="str" cm="1">
        <f t="array" ref="B79">IF(ISBLANK(INDEX(SampleList[XRD],ROW()-1)),"Not Requested",INDEX(SampleList[Experiment ID],ROW()-1))</f>
        <v>Not Requested</v>
      </c>
      <c r="C79">
        <f>SampleList[[#This Row],[Sample Description]]</f>
        <v>0</v>
      </c>
      <c r="D79">
        <f>SampleList[[#This Row],[Duration (Days)]]</f>
        <v>0</v>
      </c>
    </row>
    <row r="80" spans="1:4" hidden="1" x14ac:dyDescent="0.25">
      <c r="A80" s="1"/>
      <c r="B80" t="str" cm="1">
        <f t="array" ref="B80">IF(ISBLANK(INDEX(SampleList[XRD],ROW()-1)),"Not Requested",INDEX(SampleList[Experiment ID],ROW()-1))</f>
        <v>Not Requested</v>
      </c>
      <c r="C80">
        <f>SampleList[[#This Row],[Sample Description]]</f>
        <v>0</v>
      </c>
      <c r="D80">
        <f>SampleList[[#This Row],[Duration (Days)]]</f>
        <v>0</v>
      </c>
    </row>
    <row r="81" spans="1:4" hidden="1" x14ac:dyDescent="0.25">
      <c r="A81" s="1"/>
      <c r="B81" t="str" cm="1">
        <f t="array" ref="B81">IF(ISBLANK(INDEX(SampleList[XRD],ROW()-1)),"Not Requested",INDEX(SampleList[Experiment ID],ROW()-1))</f>
        <v>Not Requested</v>
      </c>
      <c r="C81">
        <f>SampleList[[#This Row],[Sample Description]]</f>
        <v>0</v>
      </c>
      <c r="D81">
        <f>SampleList[[#This Row],[Duration (Days)]]</f>
        <v>0</v>
      </c>
    </row>
    <row r="82" spans="1:4" hidden="1" x14ac:dyDescent="0.25">
      <c r="A82" s="1"/>
      <c r="B82" t="str" cm="1">
        <f t="array" ref="B82">IF(ISBLANK(INDEX(SampleList[XRD],ROW()-1)),"Not Requested",INDEX(SampleList[Experiment ID],ROW()-1))</f>
        <v>Not Requested</v>
      </c>
      <c r="C82">
        <f>SampleList[[#This Row],[Sample Description]]</f>
        <v>0</v>
      </c>
      <c r="D82">
        <f>SampleList[[#This Row],[Duration (Days)]]</f>
        <v>0</v>
      </c>
    </row>
    <row r="83" spans="1:4" hidden="1" x14ac:dyDescent="0.25">
      <c r="A83" s="1"/>
      <c r="B83" t="str" cm="1">
        <f t="array" ref="B83">IF(ISBLANK(INDEX(SampleList[XRD],ROW()-1)),"Not Requested",INDEX(SampleList[Experiment ID],ROW()-1))</f>
        <v>Not Requested</v>
      </c>
      <c r="C83">
        <f>SampleList[[#This Row],[Sample Description]]</f>
        <v>0</v>
      </c>
      <c r="D83">
        <f>SampleList[[#This Row],[Duration (Days)]]</f>
        <v>0</v>
      </c>
    </row>
    <row r="84" spans="1:4" hidden="1" x14ac:dyDescent="0.25">
      <c r="A84" s="1"/>
      <c r="B84" t="str" cm="1">
        <f t="array" ref="B84">IF(ISBLANK(INDEX(SampleList[XRD],ROW()-1)),"Not Requested",INDEX(SampleList[Experiment ID],ROW()-1))</f>
        <v>Not Requested</v>
      </c>
      <c r="C84">
        <f>SampleList[[#This Row],[Sample Description]]</f>
        <v>0</v>
      </c>
      <c r="D84">
        <f>SampleList[[#This Row],[Duration (Days)]]</f>
        <v>0</v>
      </c>
    </row>
    <row r="85" spans="1:4" hidden="1" x14ac:dyDescent="0.25">
      <c r="A85" s="1"/>
      <c r="B85" t="str" cm="1">
        <f t="array" ref="B85">IF(ISBLANK(INDEX(SampleList[XRD],ROW()-1)),"Not Requested",INDEX(SampleList[Experiment ID],ROW()-1))</f>
        <v>Not Requested</v>
      </c>
      <c r="C85">
        <f>SampleList[[#This Row],[Sample Description]]</f>
        <v>0</v>
      </c>
      <c r="D85">
        <f>SampleList[[#This Row],[Duration (Days)]]</f>
        <v>0</v>
      </c>
    </row>
    <row r="86" spans="1:4" hidden="1" x14ac:dyDescent="0.25">
      <c r="A86" s="1"/>
      <c r="B86" t="str" cm="1">
        <f t="array" ref="B86">IF(ISBLANK(INDEX(SampleList[XRD],ROW()-1)),"Not Requested",INDEX(SampleList[Experiment ID],ROW()-1))</f>
        <v>Not Requested</v>
      </c>
      <c r="C86">
        <f>SampleList[[#This Row],[Sample Description]]</f>
        <v>0</v>
      </c>
      <c r="D86">
        <f>SampleList[[#This Row],[Duration (Days)]]</f>
        <v>0</v>
      </c>
    </row>
    <row r="87" spans="1:4" hidden="1" x14ac:dyDescent="0.25">
      <c r="A87" s="1"/>
      <c r="B87" t="str" cm="1">
        <f t="array" ref="B87">IF(ISBLANK(INDEX(SampleList[XRD],ROW()-1)),"Not Requested",INDEX(SampleList[Experiment ID],ROW()-1))</f>
        <v>Not Requested</v>
      </c>
      <c r="C87">
        <f>SampleList[[#This Row],[Sample Description]]</f>
        <v>0</v>
      </c>
      <c r="D87">
        <f>SampleList[[#This Row],[Duration (Days)]]</f>
        <v>0</v>
      </c>
    </row>
    <row r="88" spans="1:4" hidden="1" x14ac:dyDescent="0.25">
      <c r="A88" s="1"/>
      <c r="B88" t="str" cm="1">
        <f t="array" ref="B88">IF(ISBLANK(INDEX(SampleList[XRD],ROW()-1)),"Not Requested",INDEX(SampleList[Experiment ID],ROW()-1))</f>
        <v>Not Requested</v>
      </c>
      <c r="C88">
        <f>SampleList[[#This Row],[Sample Description]]</f>
        <v>0</v>
      </c>
      <c r="D88">
        <f>SampleList[[#This Row],[Duration (Days)]]</f>
        <v>0</v>
      </c>
    </row>
    <row r="89" spans="1:4" hidden="1" x14ac:dyDescent="0.25">
      <c r="A89" s="1"/>
      <c r="B89" t="str" cm="1">
        <f t="array" ref="B89">IF(ISBLANK(INDEX(SampleList[XRD],ROW()-1)),"Not Requested",INDEX(SampleList[Experiment ID],ROW()-1))</f>
        <v>Not Requested</v>
      </c>
      <c r="C89">
        <f>SampleList[[#This Row],[Sample Description]]</f>
        <v>0</v>
      </c>
      <c r="D89">
        <f>SampleList[[#This Row],[Duration (Days)]]</f>
        <v>0</v>
      </c>
    </row>
    <row r="90" spans="1:4" hidden="1" x14ac:dyDescent="0.25">
      <c r="A90" s="1"/>
      <c r="B90" t="str" cm="1">
        <f t="array" ref="B90">IF(ISBLANK(INDEX(SampleList[XRD],ROW()-1)),"Not Requested",INDEX(SampleList[Experiment ID],ROW()-1))</f>
        <v>Not Requested</v>
      </c>
      <c r="C90">
        <f>SampleList[[#This Row],[Sample Description]]</f>
        <v>0</v>
      </c>
      <c r="D90">
        <f>SampleList[[#This Row],[Duration (Days)]]</f>
        <v>0</v>
      </c>
    </row>
    <row r="91" spans="1:4" hidden="1" x14ac:dyDescent="0.25">
      <c r="A91" s="1"/>
      <c r="B91" t="str" cm="1">
        <f t="array" ref="B91">IF(ISBLANK(INDEX(SampleList[XRD],ROW()-1)),"Not Requested",INDEX(SampleList[Experiment ID],ROW()-1))</f>
        <v>Not Requested</v>
      </c>
      <c r="C91">
        <f>SampleList[[#This Row],[Sample Description]]</f>
        <v>0</v>
      </c>
      <c r="D91">
        <f>SampleList[[#This Row],[Duration (Days)]]</f>
        <v>0</v>
      </c>
    </row>
    <row r="92" spans="1:4" hidden="1" x14ac:dyDescent="0.25">
      <c r="A92" s="1"/>
      <c r="B92" t="str" cm="1">
        <f t="array" ref="B92">IF(ISBLANK(INDEX(SampleList[XRD],ROW()-1)),"Not Requested",INDEX(SampleList[Experiment ID],ROW()-1))</f>
        <v>Not Requested</v>
      </c>
      <c r="C92">
        <f>SampleList[[#This Row],[Sample Description]]</f>
        <v>0</v>
      </c>
      <c r="D92">
        <f>SampleList[[#This Row],[Duration (Days)]]</f>
        <v>0</v>
      </c>
    </row>
    <row r="93" spans="1:4" hidden="1" x14ac:dyDescent="0.25">
      <c r="A93" s="1"/>
      <c r="B93" t="str" cm="1">
        <f t="array" ref="B93">IF(ISBLANK(INDEX(SampleList[XRD],ROW()-1)),"Not Requested",INDEX(SampleList[Experiment ID],ROW()-1))</f>
        <v>Not Requested</v>
      </c>
      <c r="C93">
        <f>SampleList[[#This Row],[Sample Description]]</f>
        <v>0</v>
      </c>
      <c r="D93">
        <f>SampleList[[#This Row],[Duration (Days)]]</f>
        <v>0</v>
      </c>
    </row>
    <row r="94" spans="1:4" hidden="1" x14ac:dyDescent="0.25">
      <c r="A94" s="1"/>
      <c r="B94" t="str" cm="1">
        <f t="array" ref="B94">IF(ISBLANK(INDEX(SampleList[XRD],ROW()-1)),"Not Requested",INDEX(SampleList[Experiment ID],ROW()-1))</f>
        <v>Not Requested</v>
      </c>
      <c r="C94">
        <f>SampleList[[#This Row],[Sample Description]]</f>
        <v>0</v>
      </c>
      <c r="D94">
        <f>SampleList[[#This Row],[Duration (Days)]]</f>
        <v>0</v>
      </c>
    </row>
    <row r="95" spans="1:4" hidden="1" x14ac:dyDescent="0.25">
      <c r="A95" s="1"/>
      <c r="B95" t="str" cm="1">
        <f t="array" ref="B95">IF(ISBLANK(INDEX(SampleList[XRD],ROW()-1)),"Not Requested",INDEX(SampleList[Experiment ID],ROW()-1))</f>
        <v>Not Requested</v>
      </c>
      <c r="C95">
        <f>SampleList[[#This Row],[Sample Description]]</f>
        <v>0</v>
      </c>
      <c r="D95">
        <f>SampleList[[#This Row],[Duration (Days)]]</f>
        <v>0</v>
      </c>
    </row>
    <row r="96" spans="1:4" hidden="1" x14ac:dyDescent="0.25">
      <c r="A96" s="1"/>
      <c r="B96" t="str" cm="1">
        <f t="array" ref="B96">IF(ISBLANK(INDEX(SampleList[XRD],ROW()-1)),"Not Requested",INDEX(SampleList[Experiment ID],ROW()-1))</f>
        <v>Not Requested</v>
      </c>
      <c r="C96">
        <f>SampleList[[#This Row],[Sample Description]]</f>
        <v>0</v>
      </c>
      <c r="D96">
        <f>SampleList[[#This Row],[Duration (Days)]]</f>
        <v>0</v>
      </c>
    </row>
    <row r="97" spans="1:4" hidden="1" x14ac:dyDescent="0.25">
      <c r="A97" s="1"/>
      <c r="B97" t="str" cm="1">
        <f t="array" ref="B97">IF(ISBLANK(INDEX(SampleList[XRD],ROW()-1)),"Not Requested",INDEX(SampleList[Experiment ID],ROW()-1))</f>
        <v>Not Requested</v>
      </c>
      <c r="C97">
        <f>SampleList[[#This Row],[Sample Description]]</f>
        <v>0</v>
      </c>
      <c r="D97">
        <f>SampleList[[#This Row],[Duration (Days)]]</f>
        <v>0</v>
      </c>
    </row>
    <row r="98" spans="1:4" hidden="1" x14ac:dyDescent="0.25">
      <c r="A98" s="1"/>
      <c r="B98" t="str" cm="1">
        <f t="array" ref="B98">IF(ISBLANK(INDEX(SampleList[XRD],ROW()-1)),"Not Requested",INDEX(SampleList[Experiment ID],ROW()-1))</f>
        <v>Not Requested</v>
      </c>
      <c r="C98">
        <f>SampleList[[#This Row],[Sample Description]]</f>
        <v>0</v>
      </c>
      <c r="D98">
        <f>SampleList[[#This Row],[Duration (Days)]]</f>
        <v>0</v>
      </c>
    </row>
    <row r="99" spans="1:4" hidden="1" x14ac:dyDescent="0.25">
      <c r="A99" s="1"/>
      <c r="B99" t="str" cm="1">
        <f t="array" ref="B99">IF(ISBLANK(INDEX(SampleList[XRD],ROW()-1)),"Not Requested",INDEX(SampleList[Experiment ID],ROW()-1))</f>
        <v>Not Requested</v>
      </c>
      <c r="C99">
        <f>SampleList[[#This Row],[Sample Description]]</f>
        <v>0</v>
      </c>
      <c r="D99">
        <f>SampleList[[#This Row],[Duration (Days)]]</f>
        <v>0</v>
      </c>
    </row>
    <row r="100" spans="1:4" hidden="1" x14ac:dyDescent="0.25">
      <c r="A100" s="1"/>
      <c r="B100" t="str" cm="1">
        <f t="array" ref="B100">IF(ISBLANK(INDEX(SampleList[XRD],ROW()-1)),"Not Requested",INDEX(SampleList[Experiment ID],ROW()-1))</f>
        <v>Not Requested</v>
      </c>
      <c r="C100">
        <f>SampleList[[#This Row],[Sample Description]]</f>
        <v>0</v>
      </c>
      <c r="D100">
        <f>SampleList[[#This Row],[Duration (Days)]]</f>
        <v>0</v>
      </c>
    </row>
    <row r="101" spans="1:4" hidden="1" x14ac:dyDescent="0.25">
      <c r="A101" s="1"/>
      <c r="B101" t="str" cm="1">
        <f t="array" ref="B101">IF(ISBLANK(INDEX(SampleList[XRD],ROW()-1)),"Not Requested",INDEX(SampleList[Experiment ID],ROW()-1))</f>
        <v>Not Requested</v>
      </c>
      <c r="C101">
        <f>SampleList[[#This Row],[Sample Description]]</f>
        <v>0</v>
      </c>
      <c r="D101">
        <f>SampleList[[#This Row],[Duration (Days)]]</f>
        <v>0</v>
      </c>
    </row>
    <row r="102" spans="1:4" hidden="1" x14ac:dyDescent="0.25">
      <c r="A102" s="1"/>
      <c r="B102" t="str" cm="1">
        <f t="array" ref="B102">IF(ISBLANK(INDEX(SampleList[XRD],ROW()-1)),"Not Requested",INDEX(SampleList[Experiment ID],ROW()-1))</f>
        <v>Not Requested</v>
      </c>
      <c r="C102">
        <f>SampleList[[#This Row],[Sample Description]]</f>
        <v>0</v>
      </c>
      <c r="D102">
        <f>SampleList[[#This Row],[Duration (Days)]]</f>
        <v>0</v>
      </c>
    </row>
    <row r="103" spans="1:4" hidden="1" x14ac:dyDescent="0.25">
      <c r="A103" s="1"/>
      <c r="B103" t="str" cm="1">
        <f t="array" ref="B103">IF(ISBLANK(INDEX(SampleList[XRD],ROW()-1)),"Not Requested",INDEX(SampleList[Experiment ID],ROW()-1))</f>
        <v>Not Requested</v>
      </c>
      <c r="C103">
        <f>SampleList[[#This Row],[Sample Description]]</f>
        <v>0</v>
      </c>
      <c r="D103">
        <f>SampleList[[#This Row],[Duration (Days)]]</f>
        <v>0</v>
      </c>
    </row>
    <row r="104" spans="1:4" hidden="1" x14ac:dyDescent="0.25">
      <c r="A104" s="1"/>
      <c r="B104" t="str" cm="1">
        <f t="array" ref="B104">IF(ISBLANK(INDEX(SampleList[XRD],ROW()-1)),"Not Requested",INDEX(SampleList[Experiment ID],ROW()-1))</f>
        <v>Not Requested</v>
      </c>
      <c r="C104">
        <f>SampleList[[#This Row],[Sample Description]]</f>
        <v>0</v>
      </c>
      <c r="D104">
        <f>SampleList[[#This Row],[Duration (Days)]]</f>
        <v>0</v>
      </c>
    </row>
    <row r="105" spans="1:4" hidden="1" x14ac:dyDescent="0.25">
      <c r="A105" s="1"/>
      <c r="B105" t="str" cm="1">
        <f t="array" ref="B105">IF(ISBLANK(INDEX(SampleList[XRD],ROW()-1)),"Not Requested",INDEX(SampleList[Experiment ID],ROW()-1))</f>
        <v>Not Requested</v>
      </c>
      <c r="C105">
        <f>SampleList[[#This Row],[Sample Description]]</f>
        <v>0</v>
      </c>
      <c r="D105">
        <f>SampleList[[#This Row],[Duration (Days)]]</f>
        <v>0</v>
      </c>
    </row>
    <row r="106" spans="1:4" hidden="1" x14ac:dyDescent="0.25">
      <c r="A106" s="1"/>
      <c r="B106" t="str" cm="1">
        <f t="array" ref="B106">IF(ISBLANK(INDEX(SampleList[XRD],ROW()-1)),"Not Requested",INDEX(SampleList[Experiment ID],ROW()-1))</f>
        <v>Not Requested</v>
      </c>
      <c r="C106">
        <f>SampleList[[#This Row],[Sample Description]]</f>
        <v>0</v>
      </c>
      <c r="D106">
        <f>SampleList[[#This Row],[Duration (Days)]]</f>
        <v>0</v>
      </c>
    </row>
    <row r="107" spans="1:4" hidden="1" x14ac:dyDescent="0.25">
      <c r="A107" s="1"/>
      <c r="B107" t="str" cm="1">
        <f t="array" ref="B107">IF(ISBLANK(INDEX(SampleList[XRD],ROW()-1)),"Not Requested",INDEX(SampleList[Experiment ID],ROW()-1))</f>
        <v>Not Requested</v>
      </c>
      <c r="C107">
        <f>SampleList[[#This Row],[Sample Description]]</f>
        <v>0</v>
      </c>
      <c r="D107">
        <f>SampleList[[#This Row],[Duration (Days)]]</f>
        <v>0</v>
      </c>
    </row>
    <row r="108" spans="1:4" hidden="1" x14ac:dyDescent="0.25">
      <c r="A108" s="1"/>
      <c r="B108" t="str" cm="1">
        <f t="array" ref="B108">IF(ISBLANK(INDEX(SampleList[XRD],ROW()-1)),"Not Requested",INDEX(SampleList[Experiment ID],ROW()-1))</f>
        <v>Not Requested</v>
      </c>
      <c r="C108">
        <f>SampleList[[#This Row],[Sample Description]]</f>
        <v>0</v>
      </c>
      <c r="D108">
        <f>SampleList[[#This Row],[Duration (Days)]]</f>
        <v>0</v>
      </c>
    </row>
    <row r="109" spans="1:4" hidden="1" x14ac:dyDescent="0.25">
      <c r="A109" s="1"/>
      <c r="B109" t="str" cm="1">
        <f t="array" ref="B109">IF(ISBLANK(INDEX(SampleList[XRD],ROW()-1)),"Not Requested",INDEX(SampleList[Experiment ID],ROW()-1))</f>
        <v>Not Requested</v>
      </c>
      <c r="C109">
        <f>SampleList[[#This Row],[Sample Description]]</f>
        <v>0</v>
      </c>
      <c r="D109">
        <f>SampleList[[#This Row],[Duration (Days)]]</f>
        <v>0</v>
      </c>
    </row>
    <row r="110" spans="1:4" hidden="1" x14ac:dyDescent="0.25">
      <c r="A110" s="1"/>
      <c r="B110" t="str" cm="1">
        <f t="array" ref="B110">IF(ISBLANK(INDEX(SampleList[XRD],ROW()-1)),"Not Requested",INDEX(SampleList[Experiment ID],ROW()-1))</f>
        <v>Not Requested</v>
      </c>
      <c r="C110">
        <f>SampleList[[#This Row],[Sample Description]]</f>
        <v>0</v>
      </c>
      <c r="D110">
        <f>SampleList[[#This Row],[Duration (Days)]]</f>
        <v>0</v>
      </c>
    </row>
    <row r="111" spans="1:4" hidden="1" x14ac:dyDescent="0.25">
      <c r="A111" s="1"/>
      <c r="B111" t="str" cm="1">
        <f t="array" ref="B111">IF(ISBLANK(INDEX(SampleList[XRD],ROW()-1)),"Not Requested",INDEX(SampleList[Experiment ID],ROW()-1))</f>
        <v>Not Requested</v>
      </c>
      <c r="C111">
        <f>SampleList[[#This Row],[Sample Description]]</f>
        <v>0</v>
      </c>
      <c r="D111">
        <f>SampleList[[#This Row],[Duration (Days)]]</f>
        <v>0</v>
      </c>
    </row>
    <row r="112" spans="1:4" hidden="1" x14ac:dyDescent="0.25">
      <c r="A112" s="1"/>
      <c r="B112" t="str" cm="1">
        <f t="array" ref="B112">IF(ISBLANK(INDEX(SampleList[XRD],ROW()-1)),"Not Requested",INDEX(SampleList[Experiment ID],ROW()-1))</f>
        <v>Not Requested</v>
      </c>
      <c r="C112">
        <f>SampleList[[#This Row],[Sample Description]]</f>
        <v>0</v>
      </c>
      <c r="D112">
        <f>SampleList[[#This Row],[Duration (Days)]]</f>
        <v>0</v>
      </c>
    </row>
    <row r="113" spans="1:4" hidden="1" x14ac:dyDescent="0.25">
      <c r="A113" s="1"/>
      <c r="B113" t="str" cm="1">
        <f t="array" ref="B113">IF(ISBLANK(INDEX(SampleList[XRD],ROW()-1)),"Not Requested",INDEX(SampleList[Experiment ID],ROW()-1))</f>
        <v>Not Requested</v>
      </c>
      <c r="C113">
        <f>SampleList[[#This Row],[Sample Description]]</f>
        <v>0</v>
      </c>
      <c r="D113">
        <f>SampleList[[#This Row],[Duration (Days)]]</f>
        <v>0</v>
      </c>
    </row>
    <row r="114" spans="1:4" hidden="1" x14ac:dyDescent="0.25">
      <c r="A114" s="1"/>
      <c r="B114" t="str" cm="1">
        <f t="array" ref="B114">IF(ISBLANK(INDEX(SampleList[XRD],ROW()-1)),"Not Requested",INDEX(SampleList[Experiment ID],ROW()-1))</f>
        <v>Not Requested</v>
      </c>
      <c r="C114">
        <f>SampleList[[#This Row],[Sample Description]]</f>
        <v>0</v>
      </c>
      <c r="D114">
        <f>SampleList[[#This Row],[Duration (Days)]]</f>
        <v>0</v>
      </c>
    </row>
    <row r="115" spans="1:4" hidden="1" x14ac:dyDescent="0.25">
      <c r="A115" s="1"/>
      <c r="B115" t="str" cm="1">
        <f t="array" ref="B115">IF(ISBLANK(INDEX(SampleList[XRD],ROW()-1)),"Not Requested",INDEX(SampleList[Experiment ID],ROW()-1))</f>
        <v>Not Requested</v>
      </c>
      <c r="C115">
        <f>SampleList[[#This Row],[Sample Description]]</f>
        <v>0</v>
      </c>
      <c r="D115">
        <f>SampleList[[#This Row],[Duration (Days)]]</f>
        <v>0</v>
      </c>
    </row>
    <row r="116" spans="1:4" hidden="1" x14ac:dyDescent="0.25">
      <c r="A116" s="1"/>
      <c r="B116" t="str" cm="1">
        <f t="array" ref="B116">IF(ISBLANK(INDEX(SampleList[XRD],ROW()-1)),"Not Requested",INDEX(SampleList[Experiment ID],ROW()-1))</f>
        <v>Not Requested</v>
      </c>
      <c r="C116">
        <f>SampleList[[#This Row],[Sample Description]]</f>
        <v>0</v>
      </c>
      <c r="D116">
        <f>SampleList[[#This Row],[Duration (Days)]]</f>
        <v>0</v>
      </c>
    </row>
    <row r="117" spans="1:4" hidden="1" x14ac:dyDescent="0.25">
      <c r="A117" s="1"/>
      <c r="B117" t="str" cm="1">
        <f t="array" ref="B117">IF(ISBLANK(INDEX(SampleList[XRD],ROW()-1)),"Not Requested",INDEX(SampleList[Experiment ID],ROW()-1))</f>
        <v>Not Requested</v>
      </c>
      <c r="C117">
        <f>SampleList[[#This Row],[Sample Description]]</f>
        <v>0</v>
      </c>
      <c r="D117">
        <f>SampleList[[#This Row],[Duration (Days)]]</f>
        <v>0</v>
      </c>
    </row>
    <row r="118" spans="1:4" hidden="1" x14ac:dyDescent="0.25">
      <c r="A118" s="1"/>
      <c r="B118" t="str" cm="1">
        <f t="array" ref="B118">IF(ISBLANK(INDEX(SampleList[XRD],ROW()-1)),"Not Requested",INDEX(SampleList[Experiment ID],ROW()-1))</f>
        <v>Not Requested</v>
      </c>
      <c r="C118">
        <f>SampleList[[#This Row],[Sample Description]]</f>
        <v>0</v>
      </c>
      <c r="D118">
        <f>SampleList[[#This Row],[Duration (Days)]]</f>
        <v>0</v>
      </c>
    </row>
    <row r="119" spans="1:4" hidden="1" x14ac:dyDescent="0.25">
      <c r="A119" s="1"/>
      <c r="B119" t="str" cm="1">
        <f t="array" ref="B119">IF(ISBLANK(INDEX(SampleList[XRD],ROW()-1)),"Not Requested",INDEX(SampleList[Experiment ID],ROW()-1))</f>
        <v>Not Requested</v>
      </c>
      <c r="C119">
        <f>SampleList[[#This Row],[Sample Description]]</f>
        <v>0</v>
      </c>
      <c r="D119">
        <f>SampleList[[#This Row],[Duration (Days)]]</f>
        <v>0</v>
      </c>
    </row>
    <row r="120" spans="1:4" hidden="1" x14ac:dyDescent="0.25">
      <c r="A120" s="1"/>
      <c r="B120" t="str" cm="1">
        <f t="array" ref="B120">IF(ISBLANK(INDEX(SampleList[XRD],ROW()-1)),"Not Requested",INDEX(SampleList[Experiment ID],ROW()-1))</f>
        <v>Not Requested</v>
      </c>
      <c r="C120">
        <f>SampleList[[#This Row],[Sample Description]]</f>
        <v>0</v>
      </c>
      <c r="D120">
        <f>SampleList[[#This Row],[Duration (Days)]]</f>
        <v>0</v>
      </c>
    </row>
    <row r="121" spans="1:4" hidden="1" x14ac:dyDescent="0.25">
      <c r="A121" s="1"/>
      <c r="B121" t="str" cm="1">
        <f t="array" ref="B121">IF(ISBLANK(INDEX(SampleList[XRD],ROW()-1)),"Not Requested",INDEX(SampleList[Experiment ID],ROW()-1))</f>
        <v>Not Requested</v>
      </c>
      <c r="C121">
        <f>SampleList[[#This Row],[Sample Description]]</f>
        <v>0</v>
      </c>
      <c r="D121">
        <f>SampleList[[#This Row],[Duration (Days)]]</f>
        <v>0</v>
      </c>
    </row>
    <row r="122" spans="1:4" hidden="1" x14ac:dyDescent="0.25">
      <c r="A122" s="1"/>
      <c r="B122" t="str" cm="1">
        <f t="array" ref="B122">IF(ISBLANK(INDEX(SampleList[XRD],ROW()-1)),"Not Requested",INDEX(SampleList[Experiment ID],ROW()-1))</f>
        <v>Not Requested</v>
      </c>
      <c r="C122">
        <f>SampleList[[#This Row],[Sample Description]]</f>
        <v>0</v>
      </c>
      <c r="D122">
        <f>SampleList[[#This Row],[Duration (Days)]]</f>
        <v>0</v>
      </c>
    </row>
    <row r="123" spans="1:4" hidden="1" x14ac:dyDescent="0.25">
      <c r="A123" s="1"/>
      <c r="B123" t="str" cm="1">
        <f t="array" ref="B123">IF(ISBLANK(INDEX(SampleList[XRD],ROW()-1)),"Not Requested",INDEX(SampleList[Experiment ID],ROW()-1))</f>
        <v>Not Requested</v>
      </c>
      <c r="C123">
        <f>SampleList[[#This Row],[Sample Description]]</f>
        <v>0</v>
      </c>
      <c r="D123">
        <f>SampleList[[#This Row],[Duration (Days)]]</f>
        <v>0</v>
      </c>
    </row>
    <row r="124" spans="1:4" hidden="1" x14ac:dyDescent="0.25">
      <c r="A124" s="1"/>
      <c r="B124" t="str" cm="1">
        <f t="array" ref="B124">IF(ISBLANK(INDEX(SampleList[XRD],ROW()-1)),"Not Requested",INDEX(SampleList[Experiment ID],ROW()-1))</f>
        <v>Not Requested</v>
      </c>
      <c r="C124">
        <f>SampleList[[#This Row],[Sample Description]]</f>
        <v>0</v>
      </c>
      <c r="D124">
        <f>SampleList[[#This Row],[Duration (Days)]]</f>
        <v>0</v>
      </c>
    </row>
    <row r="125" spans="1:4" hidden="1" x14ac:dyDescent="0.25">
      <c r="A125" s="1"/>
      <c r="B125" t="str" cm="1">
        <f t="array" ref="B125">IF(ISBLANK(INDEX(SampleList[XRD],ROW()-1)),"Not Requested",INDEX(SampleList[Experiment ID],ROW()-1))</f>
        <v>Not Requested</v>
      </c>
      <c r="C125">
        <f>SampleList[[#This Row],[Sample Description]]</f>
        <v>0</v>
      </c>
      <c r="D125">
        <f>SampleList[[#This Row],[Duration (Days)]]</f>
        <v>0</v>
      </c>
    </row>
    <row r="126" spans="1:4" hidden="1" x14ac:dyDescent="0.25">
      <c r="A126" s="1"/>
      <c r="B126" t="str" cm="1">
        <f t="array" ref="B126">IF(ISBLANK(INDEX(SampleList[XRD],ROW()-1)),"Not Requested",INDEX(SampleList[Experiment ID],ROW()-1))</f>
        <v>Not Requested</v>
      </c>
      <c r="C126">
        <f>SampleList[[#This Row],[Sample Description]]</f>
        <v>0</v>
      </c>
      <c r="D126">
        <f>SampleList[[#This Row],[Duration (Days)]]</f>
        <v>0</v>
      </c>
    </row>
    <row r="127" spans="1:4" hidden="1" x14ac:dyDescent="0.25">
      <c r="A127" s="1"/>
      <c r="B127" t="str" cm="1">
        <f t="array" ref="B127">IF(ISBLANK(INDEX(SampleList[XRD],ROW()-1)),"Not Requested",INDEX(SampleList[Experiment ID],ROW()-1))</f>
        <v>Not Requested</v>
      </c>
      <c r="C127">
        <f>SampleList[[#This Row],[Sample Description]]</f>
        <v>0</v>
      </c>
      <c r="D127">
        <f>SampleList[[#This Row],[Duration (Days)]]</f>
        <v>0</v>
      </c>
    </row>
    <row r="128" spans="1:4" hidden="1" x14ac:dyDescent="0.25">
      <c r="A128" s="1"/>
      <c r="B128" t="str" cm="1">
        <f t="array" ref="B128">IF(ISBLANK(INDEX(SampleList[XRD],ROW()-1)),"Not Requested",INDEX(SampleList[Experiment ID],ROW()-1))</f>
        <v>Not Requested</v>
      </c>
      <c r="C128">
        <f>SampleList[[#This Row],[Sample Description]]</f>
        <v>0</v>
      </c>
      <c r="D128">
        <f>SampleList[[#This Row],[Duration (Days)]]</f>
        <v>0</v>
      </c>
    </row>
    <row r="129" spans="1:4" hidden="1" x14ac:dyDescent="0.25">
      <c r="A129" s="1"/>
      <c r="B129" t="str" cm="1">
        <f t="array" ref="B129">IF(ISBLANK(INDEX(SampleList[XRD],ROW()-1)),"Not Requested",INDEX(SampleList[Experiment ID],ROW()-1))</f>
        <v>Not Requested</v>
      </c>
      <c r="C129">
        <f>SampleList[[#This Row],[Sample Description]]</f>
        <v>0</v>
      </c>
      <c r="D129">
        <f>SampleList[[#This Row],[Duration (Days)]]</f>
        <v>0</v>
      </c>
    </row>
    <row r="130" spans="1:4" hidden="1" x14ac:dyDescent="0.25">
      <c r="A130" s="1"/>
      <c r="B130" t="str" cm="1">
        <f t="array" ref="B130">IF(ISBLANK(INDEX(SampleList[XRD],ROW()-1)),"Not Requested",INDEX(SampleList[Experiment ID],ROW()-1))</f>
        <v>Not Requested</v>
      </c>
      <c r="C130">
        <f>SampleList[[#This Row],[Sample Description]]</f>
        <v>0</v>
      </c>
      <c r="D130">
        <f>SampleList[[#This Row],[Duration (Days)]]</f>
        <v>0</v>
      </c>
    </row>
    <row r="131" spans="1:4" hidden="1" x14ac:dyDescent="0.25">
      <c r="A131" s="1"/>
      <c r="B131" t="str" cm="1">
        <f t="array" ref="B131">IF(ISBLANK(INDEX(SampleList[XRD],ROW()-1)),"Not Requested",INDEX(SampleList[Experiment ID],ROW()-1))</f>
        <v>Not Requested</v>
      </c>
      <c r="C131">
        <f>SampleList[[#This Row],[Sample Description]]</f>
        <v>0</v>
      </c>
      <c r="D131">
        <f>SampleList[[#This Row],[Duration (Days)]]</f>
        <v>0</v>
      </c>
    </row>
    <row r="132" spans="1:4" hidden="1" x14ac:dyDescent="0.25">
      <c r="A132" s="1"/>
      <c r="B132" t="str" cm="1">
        <f t="array" ref="B132">IF(ISBLANK(INDEX(SampleList[XRD],ROW()-1)),"Not Requested",INDEX(SampleList[Experiment ID],ROW()-1))</f>
        <v>Not Requested</v>
      </c>
      <c r="C132">
        <f>SampleList[[#This Row],[Sample Description]]</f>
        <v>0</v>
      </c>
      <c r="D132">
        <f>SampleList[[#This Row],[Duration (Days)]]</f>
        <v>0</v>
      </c>
    </row>
    <row r="133" spans="1:4" hidden="1" x14ac:dyDescent="0.25">
      <c r="A133" s="1"/>
      <c r="B133" t="str" cm="1">
        <f t="array" ref="B133">IF(ISBLANK(INDEX(SampleList[XRD],ROW()-1)),"Not Requested",INDEX(SampleList[Experiment ID],ROW()-1))</f>
        <v>Not Requested</v>
      </c>
      <c r="C133">
        <f>SampleList[[#This Row],[Sample Description]]</f>
        <v>0</v>
      </c>
      <c r="D133">
        <f>SampleList[[#This Row],[Duration (Days)]]</f>
        <v>0</v>
      </c>
    </row>
    <row r="134" spans="1:4" hidden="1" x14ac:dyDescent="0.25">
      <c r="A134" s="1"/>
      <c r="B134" t="str" cm="1">
        <f t="array" ref="B134">IF(ISBLANK(INDEX(SampleList[XRD],ROW()-1)),"Not Requested",INDEX(SampleList[Experiment ID],ROW()-1))</f>
        <v>Not Requested</v>
      </c>
      <c r="C134">
        <f>SampleList[[#This Row],[Sample Description]]</f>
        <v>0</v>
      </c>
      <c r="D134">
        <f>SampleList[[#This Row],[Duration (Days)]]</f>
        <v>0</v>
      </c>
    </row>
    <row r="135" spans="1:4" hidden="1" x14ac:dyDescent="0.25">
      <c r="A135" s="1"/>
      <c r="B135" t="str" cm="1">
        <f t="array" ref="B135">IF(ISBLANK(INDEX(SampleList[XRD],ROW()-1)),"Not Requested",INDEX(SampleList[Experiment ID],ROW()-1))</f>
        <v>Not Requested</v>
      </c>
      <c r="C135">
        <f>SampleList[[#This Row],[Sample Description]]</f>
        <v>0</v>
      </c>
      <c r="D135">
        <f>SampleList[[#This Row],[Duration (Days)]]</f>
        <v>0</v>
      </c>
    </row>
    <row r="136" spans="1:4" hidden="1" x14ac:dyDescent="0.25">
      <c r="A136" s="1"/>
      <c r="B136" t="str" cm="1">
        <f t="array" ref="B136">IF(ISBLANK(INDEX(SampleList[XRD],ROW()-1)),"Not Requested",INDEX(SampleList[Experiment ID],ROW()-1))</f>
        <v>Not Requested</v>
      </c>
      <c r="C136">
        <f>SampleList[[#This Row],[Sample Description]]</f>
        <v>0</v>
      </c>
      <c r="D136">
        <f>SampleList[[#This Row],[Duration (Days)]]</f>
        <v>0</v>
      </c>
    </row>
    <row r="137" spans="1:4" hidden="1" x14ac:dyDescent="0.25">
      <c r="A137" s="1"/>
      <c r="B137" t="str" cm="1">
        <f t="array" ref="B137">IF(ISBLANK(INDEX(SampleList[XRD],ROW()-1)),"Not Requested",INDEX(SampleList[Experiment ID],ROW()-1))</f>
        <v>Not Requested</v>
      </c>
      <c r="C137">
        <f>SampleList[[#This Row],[Sample Description]]</f>
        <v>0</v>
      </c>
      <c r="D137">
        <f>SampleList[[#This Row],[Duration (Days)]]</f>
        <v>0</v>
      </c>
    </row>
    <row r="138" spans="1:4" hidden="1" x14ac:dyDescent="0.25">
      <c r="A138" s="1"/>
      <c r="B138" t="str" cm="1">
        <f t="array" ref="B138">IF(ISBLANK(INDEX(SampleList[XRD],ROW()-1)),"Not Requested",INDEX(SampleList[Experiment ID],ROW()-1))</f>
        <v>Not Requested</v>
      </c>
      <c r="C138">
        <f>SampleList[[#This Row],[Sample Description]]</f>
        <v>0</v>
      </c>
      <c r="D138">
        <f>SampleList[[#This Row],[Duration (Days)]]</f>
        <v>0</v>
      </c>
    </row>
    <row r="139" spans="1:4" hidden="1" x14ac:dyDescent="0.25">
      <c r="A139" s="1"/>
      <c r="B139" t="str" cm="1">
        <f t="array" ref="B139">IF(ISBLANK(INDEX(SampleList[XRD],ROW()-1)),"Not Requested",INDEX(SampleList[Experiment ID],ROW()-1))</f>
        <v>Not Requested</v>
      </c>
      <c r="C139">
        <f>SampleList[[#This Row],[Sample Description]]</f>
        <v>0</v>
      </c>
      <c r="D139">
        <f>SampleList[[#This Row],[Duration (Days)]]</f>
        <v>0</v>
      </c>
    </row>
    <row r="140" spans="1:4" hidden="1" x14ac:dyDescent="0.25">
      <c r="A140" s="1"/>
      <c r="B140" t="str" cm="1">
        <f t="array" ref="B140">IF(ISBLANK(INDEX(SampleList[XRD],ROW()-1)),"Not Requested",INDEX(SampleList[Experiment ID],ROW()-1))</f>
        <v>Not Requested</v>
      </c>
      <c r="C140">
        <f>SampleList[[#This Row],[Sample Description]]</f>
        <v>0</v>
      </c>
      <c r="D140">
        <f>SampleList[[#This Row],[Duration (Days)]]</f>
        <v>0</v>
      </c>
    </row>
    <row r="141" spans="1:4" hidden="1" x14ac:dyDescent="0.25">
      <c r="A141" s="1"/>
      <c r="B141" t="str" cm="1">
        <f t="array" ref="B141">IF(ISBLANK(INDEX(SampleList[XRD],ROW()-1)),"Not Requested",INDEX(SampleList[Experiment ID],ROW()-1))</f>
        <v>Not Requested</v>
      </c>
      <c r="C141">
        <f>SampleList[[#This Row],[Sample Description]]</f>
        <v>0</v>
      </c>
      <c r="D141">
        <f>SampleList[[#This Row],[Duration (Days)]]</f>
        <v>0</v>
      </c>
    </row>
    <row r="142" spans="1:4" hidden="1" x14ac:dyDescent="0.25">
      <c r="A142" s="1"/>
      <c r="B142" t="str" cm="1">
        <f t="array" ref="B142">IF(ISBLANK(INDEX(SampleList[XRD],ROW()-1)),"Not Requested",INDEX(SampleList[Experiment ID],ROW()-1))</f>
        <v>Not Requested</v>
      </c>
      <c r="C142">
        <f>SampleList[[#This Row],[Sample Description]]</f>
        <v>0</v>
      </c>
      <c r="D142">
        <f>SampleList[[#This Row],[Duration (Days)]]</f>
        <v>0</v>
      </c>
    </row>
    <row r="143" spans="1:4" hidden="1" x14ac:dyDescent="0.25">
      <c r="A143" s="1"/>
      <c r="B143" t="str" cm="1">
        <f t="array" ref="B143">IF(ISBLANK(INDEX(SampleList[XRD],ROW()-1)),"Not Requested",INDEX(SampleList[Experiment ID],ROW()-1))</f>
        <v>Not Requested</v>
      </c>
      <c r="C143">
        <f>SampleList[[#This Row],[Sample Description]]</f>
        <v>0</v>
      </c>
      <c r="D143">
        <f>SampleList[[#This Row],[Duration (Days)]]</f>
        <v>0</v>
      </c>
    </row>
    <row r="144" spans="1:4" hidden="1" x14ac:dyDescent="0.25">
      <c r="A144" s="1"/>
      <c r="B144" t="str" cm="1">
        <f t="array" ref="B144">IF(ISBLANK(INDEX(SampleList[XRD],ROW()-1)),"Not Requested",INDEX(SampleList[Experiment ID],ROW()-1))</f>
        <v>Not Requested</v>
      </c>
      <c r="C144">
        <f>SampleList[[#This Row],[Sample Description]]</f>
        <v>0</v>
      </c>
      <c r="D144">
        <f>SampleList[[#This Row],[Duration (Days)]]</f>
        <v>0</v>
      </c>
    </row>
    <row r="145" spans="1:4" hidden="1" x14ac:dyDescent="0.25">
      <c r="A145" s="1"/>
      <c r="B145" t="str" cm="1">
        <f t="array" ref="B145">IF(ISBLANK(INDEX(SampleList[XRD],ROW()-1)),"Not Requested",INDEX(SampleList[Experiment ID],ROW()-1))</f>
        <v>Not Requested</v>
      </c>
      <c r="C145">
        <f>SampleList[[#This Row],[Sample Description]]</f>
        <v>0</v>
      </c>
      <c r="D145">
        <f>SampleList[[#This Row],[Duration (Days)]]</f>
        <v>0</v>
      </c>
    </row>
    <row r="146" spans="1:4" hidden="1" x14ac:dyDescent="0.25">
      <c r="A146" s="1"/>
      <c r="B146" t="str" cm="1">
        <f t="array" ref="B146">IF(ISBLANK(INDEX(SampleList[XRD],ROW()-1)),"Not Requested",INDEX(SampleList[Experiment ID],ROW()-1))</f>
        <v>Not Requested</v>
      </c>
      <c r="C146">
        <f>SampleList[[#This Row],[Sample Description]]</f>
        <v>0</v>
      </c>
      <c r="D146">
        <f>SampleList[[#This Row],[Duration (Days)]]</f>
        <v>0</v>
      </c>
    </row>
    <row r="147" spans="1:4" hidden="1" x14ac:dyDescent="0.25">
      <c r="A147" s="1"/>
      <c r="B147" t="str" cm="1">
        <f t="array" ref="B147">IF(ISBLANK(INDEX(SampleList[XRD],ROW()-1)),"Not Requested",INDEX(SampleList[Experiment ID],ROW()-1))</f>
        <v>Not Requested</v>
      </c>
      <c r="C147">
        <f>SampleList[[#This Row],[Sample Description]]</f>
        <v>0</v>
      </c>
      <c r="D147">
        <f>SampleList[[#This Row],[Duration (Days)]]</f>
        <v>0</v>
      </c>
    </row>
    <row r="148" spans="1:4" hidden="1" x14ac:dyDescent="0.25">
      <c r="A148" s="1"/>
      <c r="B148" t="str" cm="1">
        <f t="array" ref="B148">IF(ISBLANK(INDEX(SampleList[XRD],ROW()-1)),"Not Requested",INDEX(SampleList[Experiment ID],ROW()-1))</f>
        <v>Not Requested</v>
      </c>
      <c r="C148">
        <f>SampleList[[#This Row],[Sample Description]]</f>
        <v>0</v>
      </c>
      <c r="D148">
        <f>SampleList[[#This Row],[Duration (Days)]]</f>
        <v>0</v>
      </c>
    </row>
    <row r="149" spans="1:4" hidden="1" x14ac:dyDescent="0.25">
      <c r="A149" s="1"/>
      <c r="B149" t="str" cm="1">
        <f t="array" ref="B149">IF(ISBLANK(INDEX(SampleList[XRD],ROW()-1)),"Not Requested",INDEX(SampleList[Experiment ID],ROW()-1))</f>
        <v>Not Requested</v>
      </c>
      <c r="C149">
        <f>SampleList[[#This Row],[Sample Description]]</f>
        <v>0</v>
      </c>
      <c r="D149">
        <f>SampleList[[#This Row],[Duration (Days)]]</f>
        <v>0</v>
      </c>
    </row>
    <row r="150" spans="1:4" hidden="1" x14ac:dyDescent="0.25">
      <c r="A150" s="1"/>
      <c r="B150" t="str" cm="1">
        <f t="array" ref="B150">IF(ISBLANK(INDEX(SampleList[XRD],ROW()-1)),"Not Requested",INDEX(SampleList[Experiment ID],ROW()-1))</f>
        <v>Not Requested</v>
      </c>
      <c r="C150">
        <f>SampleList[[#This Row],[Sample Description]]</f>
        <v>0</v>
      </c>
      <c r="D150">
        <f>SampleList[[#This Row],[Duration (Days)]]</f>
        <v>0</v>
      </c>
    </row>
    <row r="151" spans="1:4" hidden="1" x14ac:dyDescent="0.25">
      <c r="A151" s="1"/>
      <c r="B151" t="str" cm="1">
        <f t="array" ref="B151">IF(ISBLANK(INDEX(SampleList[XRD],ROW()-1)),"Not Requested",INDEX(SampleList[Experiment ID],ROW()-1))</f>
        <v>Not Requested</v>
      </c>
      <c r="C151">
        <f>SampleList[[#This Row],[Sample Description]]</f>
        <v>0</v>
      </c>
      <c r="D151">
        <f>SampleList[[#This Row],[Duration (Days)]]</f>
        <v>0</v>
      </c>
    </row>
    <row r="152" spans="1:4" hidden="1" x14ac:dyDescent="0.25">
      <c r="A152" s="1"/>
      <c r="B152" t="str" cm="1">
        <f t="array" ref="B152">IF(ISBLANK(INDEX(SampleList[XRD],ROW()-1)),"Not Requested",INDEX(SampleList[Experiment ID],ROW()-1))</f>
        <v>Not Requested</v>
      </c>
      <c r="C152">
        <f>SampleList[[#This Row],[Sample Description]]</f>
        <v>0</v>
      </c>
      <c r="D152">
        <f>SampleList[[#This Row],[Duration (Days)]]</f>
        <v>0</v>
      </c>
    </row>
    <row r="153" spans="1:4" hidden="1" x14ac:dyDescent="0.25">
      <c r="A153" s="1"/>
      <c r="B153" t="str" cm="1">
        <f t="array" ref="B153">IF(ISBLANK(INDEX(SampleList[XRD],ROW()-1)),"Not Requested",INDEX(SampleList[Experiment ID],ROW()-1))</f>
        <v>Not Requested</v>
      </c>
      <c r="C153">
        <f>SampleList[[#This Row],[Sample Description]]</f>
        <v>0</v>
      </c>
      <c r="D153">
        <f>SampleList[[#This Row],[Duration (Days)]]</f>
        <v>0</v>
      </c>
    </row>
    <row r="154" spans="1:4" hidden="1" x14ac:dyDescent="0.25">
      <c r="A154" s="1"/>
      <c r="B154" t="str" cm="1">
        <f t="array" ref="B154">IF(ISBLANK(INDEX(SampleList[XRD],ROW()-1)),"Not Requested",INDEX(SampleList[Experiment ID],ROW()-1))</f>
        <v>Not Requested</v>
      </c>
      <c r="C154">
        <f>SampleList[[#This Row],[Sample Description]]</f>
        <v>0</v>
      </c>
      <c r="D154">
        <f>SampleList[[#This Row],[Duration (Days)]]</f>
        <v>0</v>
      </c>
    </row>
    <row r="155" spans="1:4" hidden="1" x14ac:dyDescent="0.25">
      <c r="A155" s="1"/>
      <c r="B155" t="str" cm="1">
        <f t="array" ref="B155">IF(ISBLANK(INDEX(SampleList[XRD],ROW()-1)),"Not Requested",INDEX(SampleList[Experiment ID],ROW()-1))</f>
        <v>Not Requested</v>
      </c>
      <c r="C155">
        <f>SampleList[[#This Row],[Sample Description]]</f>
        <v>0</v>
      </c>
      <c r="D155">
        <f>SampleList[[#This Row],[Duration (Days)]]</f>
        <v>0</v>
      </c>
    </row>
    <row r="156" spans="1:4" hidden="1" x14ac:dyDescent="0.25">
      <c r="A156" s="1"/>
      <c r="B156" t="str" cm="1">
        <f t="array" ref="B156">IF(ISBLANK(INDEX(SampleList[XRD],ROW()-1)),"Not Requested",INDEX(SampleList[Experiment ID],ROW()-1))</f>
        <v>Not Requested</v>
      </c>
      <c r="C156">
        <f>SampleList[[#This Row],[Sample Description]]</f>
        <v>0</v>
      </c>
      <c r="D156">
        <f>SampleList[[#This Row],[Duration (Days)]]</f>
        <v>0</v>
      </c>
    </row>
    <row r="157" spans="1:4" hidden="1" x14ac:dyDescent="0.25">
      <c r="A157" s="1"/>
      <c r="B157" t="str" cm="1">
        <f t="array" ref="B157">IF(ISBLANK(INDEX(SampleList[XRD],ROW()-1)),"Not Requested",INDEX(SampleList[Experiment ID],ROW()-1))</f>
        <v>Not Requested</v>
      </c>
      <c r="C157">
        <f>SampleList[[#This Row],[Sample Description]]</f>
        <v>0</v>
      </c>
      <c r="D157">
        <f>SampleList[[#This Row],[Duration (Days)]]</f>
        <v>0</v>
      </c>
    </row>
    <row r="158" spans="1:4" hidden="1" x14ac:dyDescent="0.25">
      <c r="A158" s="1"/>
      <c r="B158" t="str" cm="1">
        <f t="array" ref="B158">IF(ISBLANK(INDEX(SampleList[XRD],ROW()-1)),"Not Requested",INDEX(SampleList[Experiment ID],ROW()-1))</f>
        <v>Not Requested</v>
      </c>
      <c r="C158">
        <f>SampleList[[#This Row],[Sample Description]]</f>
        <v>0</v>
      </c>
      <c r="D158">
        <f>SampleList[[#This Row],[Duration (Days)]]</f>
        <v>0</v>
      </c>
    </row>
    <row r="159" spans="1:4" hidden="1" x14ac:dyDescent="0.25">
      <c r="A159" s="1"/>
      <c r="B159" t="str" cm="1">
        <f t="array" ref="B159">IF(ISBLANK(INDEX(SampleList[XRD],ROW()-1)),"Not Requested",INDEX(SampleList[Experiment ID],ROW()-1))</f>
        <v>Not Requested</v>
      </c>
      <c r="C159">
        <f>SampleList[[#This Row],[Sample Description]]</f>
        <v>0</v>
      </c>
      <c r="D159">
        <f>SampleList[[#This Row],[Duration (Days)]]</f>
        <v>0</v>
      </c>
    </row>
    <row r="160" spans="1:4" hidden="1" x14ac:dyDescent="0.25">
      <c r="A160" s="1"/>
      <c r="B160" t="str" cm="1">
        <f t="array" ref="B160">IF(ISBLANK(INDEX(SampleList[XRD],ROW()-1)),"Not Requested",INDEX(SampleList[Experiment ID],ROW()-1))</f>
        <v>Not Requested</v>
      </c>
      <c r="C160">
        <f>SampleList[[#This Row],[Sample Description]]</f>
        <v>0</v>
      </c>
      <c r="D160">
        <f>SampleList[[#This Row],[Duration (Days)]]</f>
        <v>0</v>
      </c>
    </row>
    <row r="161" spans="1:4" hidden="1" x14ac:dyDescent="0.25">
      <c r="A161" s="1"/>
      <c r="B161" t="str" cm="1">
        <f t="array" ref="B161">IF(ISBLANK(INDEX(SampleList[XRD],ROW()-1)),"Not Requested",INDEX(SampleList[Experiment ID],ROW()-1))</f>
        <v>Not Requested</v>
      </c>
      <c r="C161">
        <f>SampleList[[#This Row],[Sample Description]]</f>
        <v>0</v>
      </c>
      <c r="D161">
        <f>SampleList[[#This Row],[Duration (Days)]]</f>
        <v>0</v>
      </c>
    </row>
    <row r="162" spans="1:4" hidden="1" x14ac:dyDescent="0.25">
      <c r="A162" s="1"/>
      <c r="B162" t="str" cm="1">
        <f t="array" ref="B162">IF(ISBLANK(INDEX(SampleList[XRD],ROW()-1)),"Not Requested",INDEX(SampleList[Experiment ID],ROW()-1))</f>
        <v>Not Requested</v>
      </c>
      <c r="C162">
        <f>SampleList[[#This Row],[Sample Description]]</f>
        <v>0</v>
      </c>
      <c r="D162">
        <f>SampleList[[#This Row],[Duration (Days)]]</f>
        <v>0</v>
      </c>
    </row>
    <row r="163" spans="1:4" hidden="1" x14ac:dyDescent="0.25">
      <c r="A163" s="1"/>
      <c r="B163" t="str" cm="1">
        <f t="array" ref="B163">IF(ISBLANK(INDEX(SampleList[XRD],ROW()-1)),"Not Requested",INDEX(SampleList[Experiment ID],ROW()-1))</f>
        <v>Not Requested</v>
      </c>
      <c r="C163">
        <f>SampleList[[#This Row],[Sample Description]]</f>
        <v>0</v>
      </c>
      <c r="D163">
        <f>SampleList[[#This Row],[Duration (Days)]]</f>
        <v>0</v>
      </c>
    </row>
    <row r="164" spans="1:4" hidden="1" x14ac:dyDescent="0.25">
      <c r="A164" s="1"/>
      <c r="B164" t="str" cm="1">
        <f t="array" ref="B164">IF(ISBLANK(INDEX(SampleList[XRD],ROW()-1)),"Not Requested",INDEX(SampleList[Experiment ID],ROW()-1))</f>
        <v>Not Requested</v>
      </c>
      <c r="C164">
        <f>SampleList[[#This Row],[Sample Description]]</f>
        <v>0</v>
      </c>
      <c r="D164">
        <f>SampleList[[#This Row],[Duration (Days)]]</f>
        <v>0</v>
      </c>
    </row>
    <row r="165" spans="1:4" hidden="1" x14ac:dyDescent="0.25">
      <c r="A165" s="1"/>
      <c r="B165" t="str" cm="1">
        <f t="array" ref="B165">IF(ISBLANK(INDEX(SampleList[XRD],ROW()-1)),"Not Requested",INDEX(SampleList[Experiment ID],ROW()-1))</f>
        <v>Not Requested</v>
      </c>
      <c r="C165">
        <f>SampleList[[#This Row],[Sample Description]]</f>
        <v>0</v>
      </c>
      <c r="D165">
        <f>SampleList[[#This Row],[Duration (Days)]]</f>
        <v>0</v>
      </c>
    </row>
    <row r="166" spans="1:4" hidden="1" x14ac:dyDescent="0.25">
      <c r="A166" s="1"/>
      <c r="B166" t="str" cm="1">
        <f t="array" ref="B166">IF(ISBLANK(INDEX(SampleList[XRD],ROW()-1)),"Not Requested",INDEX(SampleList[Experiment ID],ROW()-1))</f>
        <v>Not Requested</v>
      </c>
      <c r="C166">
        <f>SampleList[[#This Row],[Sample Description]]</f>
        <v>0</v>
      </c>
      <c r="D166">
        <f>SampleList[[#This Row],[Duration (Days)]]</f>
        <v>0</v>
      </c>
    </row>
    <row r="167" spans="1:4" hidden="1" x14ac:dyDescent="0.25">
      <c r="A167" s="1"/>
      <c r="B167" t="str" cm="1">
        <f t="array" ref="B167">IF(ISBLANK(INDEX(SampleList[XRD],ROW()-1)),"Not Requested",INDEX(SampleList[Experiment ID],ROW()-1))</f>
        <v>Not Requested</v>
      </c>
      <c r="C167">
        <f>SampleList[[#This Row],[Sample Description]]</f>
        <v>0</v>
      </c>
      <c r="D167">
        <f>SampleList[[#This Row],[Duration (Days)]]</f>
        <v>0</v>
      </c>
    </row>
    <row r="168" spans="1:4" hidden="1" x14ac:dyDescent="0.25">
      <c r="A168" s="1"/>
      <c r="B168" t="str" cm="1">
        <f t="array" ref="B168">IF(ISBLANK(INDEX(SampleList[XRD],ROW()-1)),"Not Requested",INDEX(SampleList[Experiment ID],ROW()-1))</f>
        <v>Not Requested</v>
      </c>
      <c r="C168">
        <f>SampleList[[#This Row],[Sample Description]]</f>
        <v>0</v>
      </c>
      <c r="D168">
        <f>SampleList[[#This Row],[Duration (Days)]]</f>
        <v>0</v>
      </c>
    </row>
    <row r="169" spans="1:4" hidden="1" x14ac:dyDescent="0.25">
      <c r="A169" s="1"/>
      <c r="B169" t="str" cm="1">
        <f t="array" ref="B169">IF(ISBLANK(INDEX(SampleList[XRD],ROW()-1)),"Not Requested",INDEX(SampleList[Experiment ID],ROW()-1))</f>
        <v>Not Requested</v>
      </c>
      <c r="C169">
        <f>SampleList[[#This Row],[Sample Description]]</f>
        <v>0</v>
      </c>
      <c r="D169">
        <f>SampleList[[#This Row],[Duration (Days)]]</f>
        <v>0</v>
      </c>
    </row>
    <row r="170" spans="1:4" hidden="1" x14ac:dyDescent="0.25">
      <c r="A170" s="1"/>
      <c r="B170" t="str" cm="1">
        <f t="array" ref="B170">IF(ISBLANK(INDEX(SampleList[XRD],ROW()-1)),"Not Requested",INDEX(SampleList[Experiment ID],ROW()-1))</f>
        <v>Not Requested</v>
      </c>
      <c r="C170">
        <f>SampleList[[#This Row],[Sample Description]]</f>
        <v>0</v>
      </c>
      <c r="D170">
        <f>SampleList[[#This Row],[Duration (Days)]]</f>
        <v>0</v>
      </c>
    </row>
    <row r="171" spans="1:4" hidden="1" x14ac:dyDescent="0.25">
      <c r="A171" s="1"/>
      <c r="B171" t="str" cm="1">
        <f t="array" ref="B171">IF(ISBLANK(INDEX(SampleList[XRD],ROW()-1)),"Not Requested",INDEX(SampleList[Experiment ID],ROW()-1))</f>
        <v>Not Requested</v>
      </c>
      <c r="C171">
        <f>SampleList[[#This Row],[Sample Description]]</f>
        <v>0</v>
      </c>
      <c r="D171">
        <f>SampleList[[#This Row],[Duration (Days)]]</f>
        <v>0</v>
      </c>
    </row>
    <row r="172" spans="1:4" hidden="1" x14ac:dyDescent="0.25">
      <c r="A172" s="1"/>
      <c r="B172" t="str" cm="1">
        <f t="array" ref="B172">IF(ISBLANK(INDEX(SampleList[XRD],ROW()-1)),"Not Requested",INDEX(SampleList[Experiment ID],ROW()-1))</f>
        <v>Not Requested</v>
      </c>
      <c r="C172">
        <f>SampleList[[#This Row],[Sample Description]]</f>
        <v>0</v>
      </c>
      <c r="D172">
        <f>SampleList[[#This Row],[Duration (Days)]]</f>
        <v>0</v>
      </c>
    </row>
    <row r="173" spans="1:4" hidden="1" x14ac:dyDescent="0.25">
      <c r="A173" s="1"/>
      <c r="B173" t="str" cm="1">
        <f t="array" ref="B173">IF(ISBLANK(INDEX(SampleList[XRD],ROW()-1)),"Not Requested",INDEX(SampleList[Experiment ID],ROW()-1))</f>
        <v>Not Requested</v>
      </c>
      <c r="C173">
        <f>SampleList[[#This Row],[Sample Description]]</f>
        <v>0</v>
      </c>
      <c r="D173">
        <f>SampleList[[#This Row],[Duration (Days)]]</f>
        <v>0</v>
      </c>
    </row>
    <row r="174" spans="1:4" hidden="1" x14ac:dyDescent="0.25">
      <c r="A174" s="1"/>
      <c r="B174" t="str" cm="1">
        <f t="array" ref="B174">IF(ISBLANK(INDEX(SampleList[XRD],ROW()-1)),"Not Requested",INDEX(SampleList[Experiment ID],ROW()-1))</f>
        <v>Not Requested</v>
      </c>
      <c r="C174">
        <f>SampleList[[#This Row],[Sample Description]]</f>
        <v>0</v>
      </c>
      <c r="D174">
        <f>SampleList[[#This Row],[Duration (Days)]]</f>
        <v>0</v>
      </c>
    </row>
    <row r="175" spans="1:4" hidden="1" x14ac:dyDescent="0.25">
      <c r="A175" s="1"/>
      <c r="B175" t="str" cm="1">
        <f t="array" ref="B175">IF(ISBLANK(INDEX(SampleList[XRD],ROW()-1)),"Not Requested",INDEX(SampleList[Experiment ID],ROW()-1))</f>
        <v>Not Requested</v>
      </c>
      <c r="C175">
        <f>SampleList[[#This Row],[Sample Description]]</f>
        <v>0</v>
      </c>
      <c r="D175">
        <f>SampleList[[#This Row],[Duration (Days)]]</f>
        <v>0</v>
      </c>
    </row>
    <row r="176" spans="1:4" hidden="1" x14ac:dyDescent="0.25">
      <c r="A176" s="1"/>
      <c r="B176" t="str" cm="1">
        <f t="array" ref="B176">IF(ISBLANK(INDEX(SampleList[XRD],ROW()-1)),"Not Requested",INDEX(SampleList[Experiment ID],ROW()-1))</f>
        <v>Not Requested</v>
      </c>
      <c r="C176">
        <f>SampleList[[#This Row],[Sample Description]]</f>
        <v>0</v>
      </c>
      <c r="D176">
        <f>SampleList[[#This Row],[Duration (Days)]]</f>
        <v>0</v>
      </c>
    </row>
    <row r="177" spans="1:4" hidden="1" x14ac:dyDescent="0.25">
      <c r="A177" s="1"/>
      <c r="B177" t="str" cm="1">
        <f t="array" ref="B177">IF(ISBLANK(INDEX(SampleList[XRD],ROW()-1)),"Not Requested",INDEX(SampleList[Experiment ID],ROW()-1))</f>
        <v>Not Requested</v>
      </c>
      <c r="C177">
        <f>SampleList[[#This Row],[Sample Description]]</f>
        <v>0</v>
      </c>
      <c r="D177">
        <f>SampleList[[#This Row],[Duration (Days)]]</f>
        <v>0</v>
      </c>
    </row>
    <row r="178" spans="1:4" hidden="1" x14ac:dyDescent="0.25">
      <c r="A178" s="1"/>
      <c r="B178" t="str" cm="1">
        <f t="array" ref="B178">IF(ISBLANK(INDEX(SampleList[XRD],ROW()-1)),"Not Requested",INDEX(SampleList[Experiment ID],ROW()-1))</f>
        <v>Not Requested</v>
      </c>
      <c r="C178">
        <f>SampleList[[#This Row],[Sample Description]]</f>
        <v>0</v>
      </c>
      <c r="D178">
        <f>SampleList[[#This Row],[Duration (Days)]]</f>
        <v>0</v>
      </c>
    </row>
    <row r="179" spans="1:4" hidden="1" x14ac:dyDescent="0.25">
      <c r="A179" s="1"/>
      <c r="B179" t="str" cm="1">
        <f t="array" ref="B179">IF(ISBLANK(INDEX(SampleList[XRD],ROW()-1)),"Not Requested",INDEX(SampleList[Experiment ID],ROW()-1))</f>
        <v>Not Requested</v>
      </c>
      <c r="C179">
        <f>SampleList[[#This Row],[Sample Description]]</f>
        <v>0</v>
      </c>
      <c r="D179">
        <f>SampleList[[#This Row],[Duration (Days)]]</f>
        <v>0</v>
      </c>
    </row>
    <row r="180" spans="1:4" hidden="1" x14ac:dyDescent="0.25">
      <c r="A180" s="1"/>
      <c r="B180" t="str" cm="1">
        <f t="array" ref="B180">IF(ISBLANK(INDEX(SampleList[XRD],ROW()-1)),"Not Requested",INDEX(SampleList[Experiment ID],ROW()-1))</f>
        <v>Not Requested</v>
      </c>
      <c r="C180">
        <f>SampleList[[#This Row],[Sample Description]]</f>
        <v>0</v>
      </c>
      <c r="D180">
        <f>SampleList[[#This Row],[Duration (Days)]]</f>
        <v>0</v>
      </c>
    </row>
    <row r="181" spans="1:4" hidden="1" x14ac:dyDescent="0.25">
      <c r="A181" s="1"/>
      <c r="B181" t="str" cm="1">
        <f t="array" ref="B181">IF(ISBLANK(INDEX(SampleList[XRD],ROW()-1)),"Not Requested",INDEX(SampleList[Experiment ID],ROW()-1))</f>
        <v>Not Requested</v>
      </c>
      <c r="C181">
        <f>SampleList[[#This Row],[Sample Description]]</f>
        <v>0</v>
      </c>
      <c r="D181">
        <f>SampleList[[#This Row],[Duration (Days)]]</f>
        <v>0</v>
      </c>
    </row>
    <row r="182" spans="1:4" hidden="1" x14ac:dyDescent="0.25">
      <c r="A182" s="1"/>
      <c r="B182" t="str" cm="1">
        <f t="array" ref="B182">IF(ISBLANK(INDEX(SampleList[XRD],ROW()-1)),"Not Requested",INDEX(SampleList[Experiment ID],ROW()-1))</f>
        <v>Not Requested</v>
      </c>
      <c r="C182">
        <f>SampleList[[#This Row],[Sample Description]]</f>
        <v>0</v>
      </c>
      <c r="D182">
        <f>SampleList[[#This Row],[Duration (Days)]]</f>
        <v>0</v>
      </c>
    </row>
    <row r="183" spans="1:4" hidden="1" x14ac:dyDescent="0.25">
      <c r="A183" s="1"/>
      <c r="B183" t="str" cm="1">
        <f t="array" ref="B183">IF(ISBLANK(INDEX(SampleList[XRD],ROW()-1)),"Not Requested",INDEX(SampleList[Experiment ID],ROW()-1))</f>
        <v>Not Requested</v>
      </c>
      <c r="C183">
        <f>SampleList[[#This Row],[Sample Description]]</f>
        <v>0</v>
      </c>
      <c r="D183">
        <f>SampleList[[#This Row],[Duration (Days)]]</f>
        <v>0</v>
      </c>
    </row>
    <row r="184" spans="1:4" hidden="1" x14ac:dyDescent="0.25">
      <c r="A184" s="1"/>
      <c r="B184" t="str" cm="1">
        <f t="array" ref="B184">IF(ISBLANK(INDEX(SampleList[XRD],ROW()-1)),"Not Requested",INDEX(SampleList[Experiment ID],ROW()-1))</f>
        <v>Not Requested</v>
      </c>
      <c r="C184">
        <f>SampleList[[#This Row],[Sample Description]]</f>
        <v>0</v>
      </c>
      <c r="D184">
        <f>SampleList[[#This Row],[Duration (Days)]]</f>
        <v>0</v>
      </c>
    </row>
    <row r="185" spans="1:4" hidden="1" x14ac:dyDescent="0.25">
      <c r="A185" s="1"/>
      <c r="B185" t="str" cm="1">
        <f t="array" ref="B185">IF(ISBLANK(INDEX(SampleList[XRD],ROW()-1)),"Not Requested",INDEX(SampleList[Experiment ID],ROW()-1))</f>
        <v>Not Requested</v>
      </c>
      <c r="C185">
        <f>SampleList[[#This Row],[Sample Description]]</f>
        <v>0</v>
      </c>
      <c r="D185">
        <f>SampleList[[#This Row],[Duration (Days)]]</f>
        <v>0</v>
      </c>
    </row>
    <row r="186" spans="1:4" hidden="1" x14ac:dyDescent="0.25">
      <c r="A186" s="1"/>
      <c r="B186" t="str" cm="1">
        <f t="array" ref="B186">IF(ISBLANK(INDEX(SampleList[XRD],ROW()-1)),"Not Requested",INDEX(SampleList[Experiment ID],ROW()-1))</f>
        <v>Not Requested</v>
      </c>
      <c r="C186">
        <f>SampleList[[#This Row],[Sample Description]]</f>
        <v>0</v>
      </c>
      <c r="D186">
        <f>SampleList[[#This Row],[Duration (Days)]]</f>
        <v>0</v>
      </c>
    </row>
    <row r="187" spans="1:4" hidden="1" x14ac:dyDescent="0.25">
      <c r="A187" s="1"/>
      <c r="B187" t="str" cm="1">
        <f t="array" ref="B187">IF(ISBLANK(INDEX(SampleList[XRD],ROW()-1)),"Not Requested",INDEX(SampleList[Experiment ID],ROW()-1))</f>
        <v>Not Requested</v>
      </c>
      <c r="C187">
        <f>SampleList[[#This Row],[Sample Description]]</f>
        <v>0</v>
      </c>
      <c r="D187">
        <f>SampleList[[#This Row],[Duration (Days)]]</f>
        <v>0</v>
      </c>
    </row>
    <row r="188" spans="1:4" hidden="1" x14ac:dyDescent="0.25">
      <c r="A188" s="1"/>
      <c r="B188" t="str" cm="1">
        <f t="array" ref="B188">IF(ISBLANK(INDEX(SampleList[XRD],ROW()-1)),"Not Requested",INDEX(SampleList[Experiment ID],ROW()-1))</f>
        <v>Not Requested</v>
      </c>
      <c r="C188">
        <f>SampleList[[#This Row],[Sample Description]]</f>
        <v>0</v>
      </c>
      <c r="D188">
        <f>SampleList[[#This Row],[Duration (Days)]]</f>
        <v>0</v>
      </c>
    </row>
    <row r="189" spans="1:4" hidden="1" x14ac:dyDescent="0.25">
      <c r="A189" s="1"/>
      <c r="B189" t="str" cm="1">
        <f t="array" ref="B189">IF(ISBLANK(INDEX(SampleList[XRD],ROW()-1)),"Not Requested",INDEX(SampleList[Experiment ID],ROW()-1))</f>
        <v>Not Requested</v>
      </c>
      <c r="C189">
        <f>SampleList[[#This Row],[Sample Description]]</f>
        <v>0</v>
      </c>
      <c r="D189">
        <f>SampleList[[#This Row],[Duration (Days)]]</f>
        <v>0</v>
      </c>
    </row>
    <row r="190" spans="1:4" hidden="1" x14ac:dyDescent="0.25">
      <c r="A190" s="1"/>
      <c r="B190" t="str" cm="1">
        <f t="array" ref="B190">IF(ISBLANK(INDEX(SampleList[XRD],ROW()-1)),"Not Requested",INDEX(SampleList[Experiment ID],ROW()-1))</f>
        <v>Not Requested</v>
      </c>
      <c r="C190">
        <f>SampleList[[#This Row],[Sample Description]]</f>
        <v>0</v>
      </c>
      <c r="D190">
        <f>SampleList[[#This Row],[Duration (Days)]]</f>
        <v>0</v>
      </c>
    </row>
    <row r="191" spans="1:4" hidden="1" x14ac:dyDescent="0.25">
      <c r="A191" s="1"/>
      <c r="B191" t="str" cm="1">
        <f t="array" ref="B191">IF(ISBLANK(INDEX(SampleList[XRD],ROW()-1)),"Not Requested",INDEX(SampleList[Experiment ID],ROW()-1))</f>
        <v>Not Requested</v>
      </c>
      <c r="C191">
        <f>SampleList[[#This Row],[Sample Description]]</f>
        <v>0</v>
      </c>
      <c r="D191">
        <f>SampleList[[#This Row],[Duration (Days)]]</f>
        <v>0</v>
      </c>
    </row>
    <row r="192" spans="1:4" hidden="1" x14ac:dyDescent="0.25">
      <c r="A192" s="1"/>
      <c r="B192" t="str" cm="1">
        <f t="array" ref="B192">IF(ISBLANK(INDEX(SampleList[XRD],ROW()-1)),"Not Requested",INDEX(SampleList[Experiment ID],ROW()-1))</f>
        <v>Not Requested</v>
      </c>
      <c r="C192">
        <f>SampleList[[#This Row],[Sample Description]]</f>
        <v>0</v>
      </c>
      <c r="D192">
        <f>SampleList[[#This Row],[Duration (Days)]]</f>
        <v>0</v>
      </c>
    </row>
    <row r="193" spans="1:4" hidden="1" x14ac:dyDescent="0.25">
      <c r="A193" s="1"/>
      <c r="B193" t="str" cm="1">
        <f t="array" ref="B193">IF(ISBLANK(INDEX(SampleList[XRD],ROW()-1)),"Not Requested",INDEX(SampleList[Experiment ID],ROW()-1))</f>
        <v>Not Requested</v>
      </c>
      <c r="C193">
        <f>SampleList[[#This Row],[Sample Description]]</f>
        <v>0</v>
      </c>
      <c r="D193">
        <f>SampleList[[#This Row],[Duration (Days)]]</f>
        <v>0</v>
      </c>
    </row>
    <row r="194" spans="1:4" hidden="1" x14ac:dyDescent="0.25">
      <c r="A194" s="1"/>
      <c r="B194" t="str" cm="1">
        <f t="array" ref="B194">IF(ISBLANK(INDEX(SampleList[XRD],ROW()-1)),"Not Requested",INDEX(SampleList[Experiment ID],ROW()-1))</f>
        <v>Not Requested</v>
      </c>
      <c r="C194">
        <f>SampleList[[#This Row],[Sample Description]]</f>
        <v>0</v>
      </c>
      <c r="D194">
        <f>SampleList[[#This Row],[Duration (Days)]]</f>
        <v>0</v>
      </c>
    </row>
    <row r="195" spans="1:4" hidden="1" x14ac:dyDescent="0.25">
      <c r="A195" s="1"/>
      <c r="B195" t="str" cm="1">
        <f t="array" ref="B195">IF(ISBLANK(INDEX(SampleList[XRD],ROW()-1)),"Not Requested",INDEX(SampleList[Experiment ID],ROW()-1))</f>
        <v>Not Requested</v>
      </c>
      <c r="C195">
        <f>SampleList[[#This Row],[Sample Description]]</f>
        <v>0</v>
      </c>
      <c r="D195">
        <f>SampleList[[#This Row],[Duration (Days)]]</f>
        <v>0</v>
      </c>
    </row>
    <row r="196" spans="1:4" hidden="1" x14ac:dyDescent="0.25">
      <c r="A196" s="1"/>
      <c r="B196" t="str" cm="1">
        <f t="array" ref="B196">IF(ISBLANK(INDEX(SampleList[XRD],ROW()-1)),"Not Requested",INDEX(SampleList[Experiment ID],ROW()-1))</f>
        <v>Not Requested</v>
      </c>
      <c r="C196">
        <f>SampleList[[#This Row],[Sample Description]]</f>
        <v>0</v>
      </c>
      <c r="D196">
        <f>SampleList[[#This Row],[Duration (Days)]]</f>
        <v>0</v>
      </c>
    </row>
    <row r="197" spans="1:4" hidden="1" x14ac:dyDescent="0.25">
      <c r="A197" s="1"/>
      <c r="B197" t="str" cm="1">
        <f t="array" ref="B197">IF(ISBLANK(INDEX(SampleList[XRD],ROW()-1)),"Not Requested",INDEX(SampleList[Experiment ID],ROW()-1))</f>
        <v>Not Requested</v>
      </c>
      <c r="C197">
        <f>SampleList[[#This Row],[Sample Description]]</f>
        <v>0</v>
      </c>
      <c r="D197">
        <f>SampleList[[#This Row],[Duration (Days)]]</f>
        <v>0</v>
      </c>
    </row>
    <row r="198" spans="1:4" hidden="1" x14ac:dyDescent="0.25">
      <c r="A198" s="1"/>
      <c r="B198" t="str" cm="1">
        <f t="array" ref="B198">IF(ISBLANK(INDEX(SampleList[XRD],ROW()-1)),"Not Requested",INDEX(SampleList[Experiment ID],ROW()-1))</f>
        <v>Not Requested</v>
      </c>
      <c r="C198">
        <f>SampleList[[#This Row],[Sample Description]]</f>
        <v>0</v>
      </c>
      <c r="D198">
        <f>SampleList[[#This Row],[Duration (Days)]]</f>
        <v>0</v>
      </c>
    </row>
    <row r="199" spans="1:4" hidden="1" x14ac:dyDescent="0.25">
      <c r="A199" s="1"/>
      <c r="B199" t="str" cm="1">
        <f t="array" ref="B199">IF(ISBLANK(INDEX(SampleList[XRD],ROW()-1)),"Not Requested",INDEX(SampleList[Experiment ID],ROW()-1))</f>
        <v>Not Requested</v>
      </c>
      <c r="C199">
        <f>SampleList[[#This Row],[Sample Description]]</f>
        <v>0</v>
      </c>
      <c r="D199">
        <f>SampleList[[#This Row],[Duration (Days)]]</f>
        <v>0</v>
      </c>
    </row>
    <row r="200" spans="1:4" hidden="1" x14ac:dyDescent="0.25">
      <c r="A200" s="1"/>
      <c r="B200" t="str" cm="1">
        <f t="array" ref="B200">IF(ISBLANK(INDEX(SampleList[XRD],ROW()-1)),"Not Requested",INDEX(SampleList[Experiment ID],ROW()-1))</f>
        <v>Not Requested</v>
      </c>
      <c r="C200">
        <f>SampleList[[#This Row],[Sample Description]]</f>
        <v>0</v>
      </c>
      <c r="D200">
        <f>SampleList[[#This Row],[Duration (Days)]]</f>
        <v>0</v>
      </c>
    </row>
    <row r="201" spans="1:4" hidden="1" x14ac:dyDescent="0.25">
      <c r="A201" s="1"/>
      <c r="B201" t="str" cm="1">
        <f t="array" ref="B201">IF(ISBLANK(INDEX(SampleList[XRD],ROW()-1)),"Not Requested",INDEX(SampleList[Experiment ID],ROW()-1))</f>
        <v>Not Requested</v>
      </c>
      <c r="C201">
        <f>SampleList[[#This Row],[Sample Description]]</f>
        <v>0</v>
      </c>
      <c r="D201">
        <f>SampleList[[#This Row],[Duration (Days)]]</f>
        <v>0</v>
      </c>
    </row>
    <row r="202" spans="1:4" hidden="1" x14ac:dyDescent="0.25">
      <c r="A202" s="1"/>
      <c r="B202" t="str" cm="1">
        <f t="array" ref="B202">IF(ISBLANK(INDEX(SampleList[XRD],ROW()-1)),"Not Requested",INDEX(SampleList[Experiment ID],ROW()-1))</f>
        <v>Not Requested</v>
      </c>
      <c r="C202">
        <f>SampleList[[#This Row],[Sample Description]]</f>
        <v>0</v>
      </c>
      <c r="D202">
        <f>SampleList[[#This Row],[Duration (Days)]]</f>
        <v>0</v>
      </c>
    </row>
    <row r="203" spans="1:4" hidden="1" x14ac:dyDescent="0.25">
      <c r="A203" s="1"/>
      <c r="B203" t="str" cm="1">
        <f t="array" ref="B203">IF(ISBLANK(INDEX(SampleList[XRD],ROW()-1)),"Not Requested",INDEX(SampleList[Experiment ID],ROW()-1))</f>
        <v>Not Requested</v>
      </c>
      <c r="C203">
        <f>SampleList[[#This Row],[Sample Description]]</f>
        <v>0</v>
      </c>
      <c r="D203">
        <f>SampleList[[#This Row],[Duration (Days)]]</f>
        <v>0</v>
      </c>
    </row>
    <row r="204" spans="1:4" hidden="1" x14ac:dyDescent="0.25">
      <c r="A204" s="1"/>
      <c r="B204" t="str" cm="1">
        <f t="array" ref="B204">IF(ISBLANK(INDEX(SampleList[XRD],ROW()-1)),"Not Requested",INDEX(SampleList[Experiment ID],ROW()-1))</f>
        <v>Not Requested</v>
      </c>
      <c r="C204">
        <f>SampleList[[#This Row],[Sample Description]]</f>
        <v>0</v>
      </c>
      <c r="D204">
        <f>SampleList[[#This Row],[Duration (Days)]]</f>
        <v>0</v>
      </c>
    </row>
    <row r="205" spans="1:4" hidden="1" x14ac:dyDescent="0.25">
      <c r="A205" s="1"/>
      <c r="B205" t="str" cm="1">
        <f t="array" ref="B205">IF(ISBLANK(INDEX(SampleList[XRD],ROW()-1)),"Not Requested",INDEX(SampleList[Experiment ID],ROW()-1))</f>
        <v>Not Requested</v>
      </c>
      <c r="C205">
        <f>SampleList[[#This Row],[Sample Description]]</f>
        <v>0</v>
      </c>
      <c r="D205">
        <f>SampleList[[#This Row],[Duration (Days)]]</f>
        <v>0</v>
      </c>
    </row>
    <row r="206" spans="1:4" hidden="1" x14ac:dyDescent="0.25">
      <c r="A206" s="1"/>
      <c r="B206" t="str" cm="1">
        <f t="array" ref="B206">IF(ISBLANK(INDEX(SampleList[XRD],ROW()-1)),"Not Requested",INDEX(SampleList[Experiment ID],ROW()-1))</f>
        <v>Not Requested</v>
      </c>
      <c r="C206">
        <f>SampleList[[#This Row],[Sample Description]]</f>
        <v>0</v>
      </c>
      <c r="D206">
        <f>SampleList[[#This Row],[Duration (Days)]]</f>
        <v>0</v>
      </c>
    </row>
    <row r="207" spans="1:4" hidden="1" x14ac:dyDescent="0.25">
      <c r="A207" s="1"/>
      <c r="B207" t="str" cm="1">
        <f t="array" ref="B207">IF(ISBLANK(INDEX(SampleList[XRD],ROW()-1)),"Not Requested",INDEX(SampleList[Experiment ID],ROW()-1))</f>
        <v>Not Requested</v>
      </c>
      <c r="C207">
        <f>SampleList[[#This Row],[Sample Description]]</f>
        <v>0</v>
      </c>
      <c r="D207">
        <f>SampleList[[#This Row],[Duration (Days)]]</f>
        <v>0</v>
      </c>
    </row>
    <row r="208" spans="1:4" hidden="1" x14ac:dyDescent="0.25">
      <c r="A208" s="1"/>
      <c r="B208" t="str" cm="1">
        <f t="array" ref="B208">IF(ISBLANK(INDEX(SampleList[XRD],ROW()-1)),"Not Requested",INDEX(SampleList[Experiment ID],ROW()-1))</f>
        <v>Not Requested</v>
      </c>
      <c r="C208">
        <f>SampleList[[#This Row],[Sample Description]]</f>
        <v>0</v>
      </c>
      <c r="D208">
        <f>SampleList[[#This Row],[Duration (Days)]]</f>
        <v>0</v>
      </c>
    </row>
    <row r="209" spans="1:4" hidden="1" x14ac:dyDescent="0.25">
      <c r="A209" s="1"/>
      <c r="B209" t="str" cm="1">
        <f t="array" ref="B209">IF(ISBLANK(INDEX(SampleList[XRD],ROW()-1)),"Not Requested",INDEX(SampleList[Experiment ID],ROW()-1))</f>
        <v>Not Requested</v>
      </c>
      <c r="C209">
        <f>SampleList[[#This Row],[Sample Description]]</f>
        <v>0</v>
      </c>
      <c r="D209">
        <f>SampleList[[#This Row],[Duration (Days)]]</f>
        <v>0</v>
      </c>
    </row>
    <row r="210" spans="1:4" hidden="1" x14ac:dyDescent="0.25">
      <c r="A210" s="1"/>
      <c r="B210" t="str" cm="1">
        <f t="array" ref="B210">IF(ISBLANK(INDEX(SampleList[XRD],ROW()-1)),"Not Requested",INDEX(SampleList[Experiment ID],ROW()-1))</f>
        <v>Not Requested</v>
      </c>
      <c r="C210">
        <f>SampleList[[#This Row],[Sample Description]]</f>
        <v>0</v>
      </c>
      <c r="D210">
        <f>SampleList[[#This Row],[Duration (Days)]]</f>
        <v>0</v>
      </c>
    </row>
    <row r="211" spans="1:4" hidden="1" x14ac:dyDescent="0.25">
      <c r="A211" s="1"/>
      <c r="B211" t="str" cm="1">
        <f t="array" ref="B211">IF(ISBLANK(INDEX(SampleList[XRD],ROW()-1)),"Not Requested",INDEX(SampleList[Experiment ID],ROW()-1))</f>
        <v>Not Requested</v>
      </c>
      <c r="C211">
        <f>SampleList[[#This Row],[Sample Description]]</f>
        <v>0</v>
      </c>
      <c r="D211">
        <f>SampleList[[#This Row],[Duration (Days)]]</f>
        <v>0</v>
      </c>
    </row>
    <row r="212" spans="1:4" hidden="1" x14ac:dyDescent="0.25">
      <c r="A212" s="1"/>
      <c r="B212" t="str" cm="1">
        <f t="array" ref="B212">IF(ISBLANK(INDEX(SampleList[XRD],ROW()-1)),"Not Requested",INDEX(SampleList[Experiment ID],ROW()-1))</f>
        <v>Not Requested</v>
      </c>
      <c r="C212">
        <f>SampleList[[#This Row],[Sample Description]]</f>
        <v>0</v>
      </c>
      <c r="D212">
        <f>SampleList[[#This Row],[Duration (Days)]]</f>
        <v>0</v>
      </c>
    </row>
    <row r="213" spans="1:4" hidden="1" x14ac:dyDescent="0.25">
      <c r="A213" s="1"/>
      <c r="B213" t="str" cm="1">
        <f t="array" ref="B213">IF(ISBLANK(INDEX(SampleList[XRD],ROW()-1)),"Not Requested",INDEX(SampleList[Experiment ID],ROW()-1))</f>
        <v>Not Requested</v>
      </c>
      <c r="C213">
        <f>SampleList[[#This Row],[Sample Description]]</f>
        <v>0</v>
      </c>
      <c r="D213">
        <f>SampleList[[#This Row],[Duration (Days)]]</f>
        <v>0</v>
      </c>
    </row>
    <row r="214" spans="1:4" hidden="1" x14ac:dyDescent="0.25">
      <c r="A214" s="1"/>
      <c r="B214" t="str" cm="1">
        <f t="array" ref="B214">IF(ISBLANK(INDEX(SampleList[XRD],ROW()-1)),"Not Requested",INDEX(SampleList[Experiment ID],ROW()-1))</f>
        <v>Not Requested</v>
      </c>
      <c r="C214">
        <f>SampleList[[#This Row],[Sample Description]]</f>
        <v>0</v>
      </c>
      <c r="D214">
        <f>SampleList[[#This Row],[Duration (Days)]]</f>
        <v>0</v>
      </c>
    </row>
    <row r="215" spans="1:4" hidden="1" x14ac:dyDescent="0.25">
      <c r="A215" s="1"/>
      <c r="B215" t="str" cm="1">
        <f t="array" ref="B215">IF(ISBLANK(INDEX(SampleList[XRD],ROW()-1)),"Not Requested",INDEX(SampleList[Experiment ID],ROW()-1))</f>
        <v>Not Requested</v>
      </c>
      <c r="C215">
        <f>SampleList[[#This Row],[Sample Description]]</f>
        <v>0</v>
      </c>
      <c r="D215">
        <f>SampleList[[#This Row],[Duration (Days)]]</f>
        <v>0</v>
      </c>
    </row>
    <row r="216" spans="1:4" hidden="1" x14ac:dyDescent="0.25">
      <c r="A216" s="1"/>
      <c r="B216" t="str" cm="1">
        <f t="array" ref="B216">IF(ISBLANK(INDEX(SampleList[XRD],ROW()-1)),"Not Requested",INDEX(SampleList[Experiment ID],ROW()-1))</f>
        <v>Not Requested</v>
      </c>
      <c r="C216">
        <f>SampleList[[#This Row],[Sample Description]]</f>
        <v>0</v>
      </c>
      <c r="D216">
        <f>SampleList[[#This Row],[Duration (Days)]]</f>
        <v>0</v>
      </c>
    </row>
    <row r="217" spans="1:4" hidden="1" x14ac:dyDescent="0.25">
      <c r="A217" s="1"/>
      <c r="B217" t="str" cm="1">
        <f t="array" ref="B217">IF(ISBLANK(INDEX(SampleList[XRD],ROW()-1)),"Not Requested",INDEX(SampleList[Experiment ID],ROW()-1))</f>
        <v>Not Requested</v>
      </c>
      <c r="C217">
        <f>SampleList[[#This Row],[Sample Description]]</f>
        <v>0</v>
      </c>
      <c r="D217">
        <f>SampleList[[#This Row],[Duration (Days)]]</f>
        <v>0</v>
      </c>
    </row>
    <row r="218" spans="1:4" hidden="1" x14ac:dyDescent="0.25">
      <c r="A218" s="1"/>
      <c r="B218" t="str" cm="1">
        <f t="array" ref="B218">IF(ISBLANK(INDEX(SampleList[XRD],ROW()-1)),"Not Requested",INDEX(SampleList[Experiment ID],ROW()-1))</f>
        <v>Not Requested</v>
      </c>
      <c r="C218">
        <f>SampleList[[#This Row],[Sample Description]]</f>
        <v>0</v>
      </c>
      <c r="D218">
        <f>SampleList[[#This Row],[Duration (Days)]]</f>
        <v>0</v>
      </c>
    </row>
    <row r="219" spans="1:4" hidden="1" x14ac:dyDescent="0.25">
      <c r="A219" s="1"/>
      <c r="B219" t="str" cm="1">
        <f t="array" ref="B219">IF(ISBLANK(INDEX(SampleList[XRD],ROW()-1)),"Not Requested",INDEX(SampleList[Experiment ID],ROW()-1))</f>
        <v>Not Requested</v>
      </c>
      <c r="C219">
        <f>SampleList[[#This Row],[Sample Description]]</f>
        <v>0</v>
      </c>
      <c r="D219">
        <f>SampleList[[#This Row],[Duration (Days)]]</f>
        <v>0</v>
      </c>
    </row>
    <row r="220" spans="1:4" hidden="1" x14ac:dyDescent="0.25">
      <c r="A220" s="1"/>
      <c r="B220" t="str" cm="1">
        <f t="array" ref="B220">IF(ISBLANK(INDEX(SampleList[XRD],ROW()-1)),"Not Requested",INDEX(SampleList[Experiment ID],ROW()-1))</f>
        <v>Not Requested</v>
      </c>
      <c r="C220">
        <f>SampleList[[#This Row],[Sample Description]]</f>
        <v>0</v>
      </c>
      <c r="D220">
        <f>SampleList[[#This Row],[Duration (Days)]]</f>
        <v>0</v>
      </c>
    </row>
    <row r="221" spans="1:4" hidden="1" x14ac:dyDescent="0.25">
      <c r="A221" s="1"/>
      <c r="B221" t="str" cm="1">
        <f t="array" ref="B221">IF(ISBLANK(INDEX(SampleList[XRD],ROW()-1)),"Not Requested",INDEX(SampleList[Experiment ID],ROW()-1))</f>
        <v>Not Requested</v>
      </c>
      <c r="C221">
        <f>SampleList[[#This Row],[Sample Description]]</f>
        <v>0</v>
      </c>
      <c r="D221">
        <f>SampleList[[#This Row],[Duration (Days)]]</f>
        <v>0</v>
      </c>
    </row>
    <row r="222" spans="1:4" hidden="1" x14ac:dyDescent="0.25">
      <c r="A222" s="1"/>
      <c r="B222" t="str" cm="1">
        <f t="array" ref="B222">IF(ISBLANK(INDEX(SampleList[XRD],ROW()-1)),"Not Requested",INDEX(SampleList[Experiment ID],ROW()-1))</f>
        <v>Not Requested</v>
      </c>
      <c r="C222">
        <f>SampleList[[#This Row],[Sample Description]]</f>
        <v>0</v>
      </c>
      <c r="D222">
        <f>SampleList[[#This Row],[Duration (Days)]]</f>
        <v>0</v>
      </c>
    </row>
    <row r="223" spans="1:4" hidden="1" x14ac:dyDescent="0.25">
      <c r="A223" s="1"/>
      <c r="B223" t="str" cm="1">
        <f t="array" ref="B223">IF(ISBLANK(INDEX(SampleList[XRD],ROW()-1)),"Not Requested",INDEX(SampleList[Experiment ID],ROW()-1))</f>
        <v>Not Requested</v>
      </c>
      <c r="C223">
        <f>SampleList[[#This Row],[Sample Description]]</f>
        <v>0</v>
      </c>
      <c r="D223">
        <f>SampleList[[#This Row],[Duration (Days)]]</f>
        <v>0</v>
      </c>
    </row>
    <row r="224" spans="1:4" hidden="1" x14ac:dyDescent="0.25">
      <c r="A224" s="1"/>
      <c r="B224" t="str" cm="1">
        <f t="array" ref="B224">IF(ISBLANK(INDEX(SampleList[XRD],ROW()-1)),"Not Requested",INDEX(SampleList[Experiment ID],ROW()-1))</f>
        <v>Not Requested</v>
      </c>
      <c r="C224">
        <f>SampleList[[#This Row],[Sample Description]]</f>
        <v>0</v>
      </c>
      <c r="D224">
        <f>SampleList[[#This Row],[Duration (Days)]]</f>
        <v>0</v>
      </c>
    </row>
    <row r="225" spans="1:4" hidden="1" x14ac:dyDescent="0.25">
      <c r="A225" s="1"/>
      <c r="B225" t="str" cm="1">
        <f t="array" ref="B225">IF(ISBLANK(INDEX(SampleList[XRD],ROW()-1)),"Not Requested",INDEX(SampleList[Experiment ID],ROW()-1))</f>
        <v>Not Requested</v>
      </c>
      <c r="C225">
        <f>SampleList[[#This Row],[Sample Description]]</f>
        <v>0</v>
      </c>
      <c r="D225">
        <f>SampleList[[#This Row],[Duration (Days)]]</f>
        <v>0</v>
      </c>
    </row>
    <row r="226" spans="1:4" hidden="1" x14ac:dyDescent="0.25">
      <c r="A226" s="1"/>
      <c r="B226" t="str" cm="1">
        <f t="array" ref="B226">IF(ISBLANK(INDEX(SampleList[XRD],ROW()-1)),"Not Requested",INDEX(SampleList[Experiment ID],ROW()-1))</f>
        <v>Not Requested</v>
      </c>
      <c r="C226">
        <f>SampleList[[#This Row],[Sample Description]]</f>
        <v>0</v>
      </c>
      <c r="D226">
        <f>SampleList[[#This Row],[Duration (Days)]]</f>
        <v>0</v>
      </c>
    </row>
    <row r="227" spans="1:4" hidden="1" x14ac:dyDescent="0.25">
      <c r="A227" s="1"/>
      <c r="B227" t="str" cm="1">
        <f t="array" ref="B227">IF(ISBLANK(INDEX(SampleList[XRD],ROW()-1)),"Not Requested",INDEX(SampleList[Experiment ID],ROW()-1))</f>
        <v>Not Requested</v>
      </c>
      <c r="C227">
        <f>SampleList[[#This Row],[Sample Description]]</f>
        <v>0</v>
      </c>
      <c r="D227">
        <f>SampleList[[#This Row],[Duration (Days)]]</f>
        <v>0</v>
      </c>
    </row>
    <row r="228" spans="1:4" hidden="1" x14ac:dyDescent="0.25">
      <c r="A228" s="1"/>
      <c r="B228" t="str" cm="1">
        <f t="array" ref="B228">IF(ISBLANK(INDEX(SampleList[XRD],ROW()-1)),"Not Requested",INDEX(SampleList[Experiment ID],ROW()-1))</f>
        <v>Not Requested</v>
      </c>
      <c r="C228">
        <f>SampleList[[#This Row],[Sample Description]]</f>
        <v>0</v>
      </c>
      <c r="D228">
        <f>SampleList[[#This Row],[Duration (Days)]]</f>
        <v>0</v>
      </c>
    </row>
    <row r="229" spans="1:4" hidden="1" x14ac:dyDescent="0.25">
      <c r="A229" s="1"/>
      <c r="B229" t="str" cm="1">
        <f t="array" ref="B229">IF(ISBLANK(INDEX(SampleList[XRD],ROW()-1)),"Not Requested",INDEX(SampleList[Experiment ID],ROW()-1))</f>
        <v>Not Requested</v>
      </c>
      <c r="C229">
        <f>SampleList[[#This Row],[Sample Description]]</f>
        <v>0</v>
      </c>
      <c r="D229">
        <f>SampleList[[#This Row],[Duration (Days)]]</f>
        <v>0</v>
      </c>
    </row>
    <row r="230" spans="1:4" hidden="1" x14ac:dyDescent="0.25">
      <c r="A230" s="1"/>
      <c r="B230" t="str" cm="1">
        <f t="array" ref="B230">IF(ISBLANK(INDEX(SampleList[XRD],ROW()-1)),"Not Requested",INDEX(SampleList[Experiment ID],ROW()-1))</f>
        <v>Not Requested</v>
      </c>
      <c r="C230">
        <f>SampleList[[#This Row],[Sample Description]]</f>
        <v>0</v>
      </c>
      <c r="D230">
        <f>SampleList[[#This Row],[Duration (Days)]]</f>
        <v>0</v>
      </c>
    </row>
    <row r="231" spans="1:4" hidden="1" x14ac:dyDescent="0.25">
      <c r="A231" s="1"/>
      <c r="B231" t="str" cm="1">
        <f t="array" ref="B231">IF(ISBLANK(INDEX(SampleList[XRD],ROW()-1)),"Not Requested",INDEX(SampleList[Experiment ID],ROW()-1))</f>
        <v>Not Requested</v>
      </c>
      <c r="C231">
        <f>SampleList[[#This Row],[Sample Description]]</f>
        <v>0</v>
      </c>
      <c r="D231">
        <f>SampleList[[#This Row],[Duration (Days)]]</f>
        <v>0</v>
      </c>
    </row>
    <row r="232" spans="1:4" hidden="1" x14ac:dyDescent="0.25">
      <c r="A232" s="1"/>
      <c r="B232" t="str" cm="1">
        <f t="array" ref="B232">IF(ISBLANK(INDEX(SampleList[XRD],ROW()-1)),"Not Requested",INDEX(SampleList[Experiment ID],ROW()-1))</f>
        <v>Not Requested</v>
      </c>
      <c r="C232">
        <f>SampleList[[#This Row],[Sample Description]]</f>
        <v>0</v>
      </c>
      <c r="D232">
        <f>SampleList[[#This Row],[Duration (Days)]]</f>
        <v>0</v>
      </c>
    </row>
    <row r="233" spans="1:4" hidden="1" x14ac:dyDescent="0.25">
      <c r="A233" s="1"/>
      <c r="B233" t="str" cm="1">
        <f t="array" ref="B233">IF(ISBLANK(INDEX(SampleList[XRD],ROW()-1)),"Not Requested",INDEX(SampleList[Experiment ID],ROW()-1))</f>
        <v>Not Requested</v>
      </c>
      <c r="C233">
        <f>SampleList[[#This Row],[Sample Description]]</f>
        <v>0</v>
      </c>
      <c r="D233">
        <f>SampleList[[#This Row],[Duration (Days)]]</f>
        <v>0</v>
      </c>
    </row>
    <row r="234" spans="1:4" hidden="1" x14ac:dyDescent="0.25">
      <c r="A234" s="1"/>
      <c r="B234" t="str" cm="1">
        <f t="array" ref="B234">IF(ISBLANK(INDEX(SampleList[XRD],ROW()-1)),"Not Requested",INDEX(SampleList[Experiment ID],ROW()-1))</f>
        <v>Not Requested</v>
      </c>
      <c r="C234">
        <f>SampleList[[#This Row],[Sample Description]]</f>
        <v>0</v>
      </c>
      <c r="D234">
        <f>SampleList[[#This Row],[Duration (Days)]]</f>
        <v>0</v>
      </c>
    </row>
    <row r="235" spans="1:4" hidden="1" x14ac:dyDescent="0.25">
      <c r="A235" s="1"/>
      <c r="B235" t="str" cm="1">
        <f t="array" ref="B235">IF(ISBLANK(INDEX(SampleList[XRD],ROW()-1)),"Not Requested",INDEX(SampleList[Experiment ID],ROW()-1))</f>
        <v>Not Requested</v>
      </c>
      <c r="C235">
        <f>SampleList[[#This Row],[Sample Description]]</f>
        <v>0</v>
      </c>
      <c r="D235">
        <f>SampleList[[#This Row],[Duration (Days)]]</f>
        <v>0</v>
      </c>
    </row>
    <row r="236" spans="1:4" hidden="1" x14ac:dyDescent="0.25">
      <c r="A236" s="1"/>
      <c r="B236" t="str" cm="1">
        <f t="array" ref="B236">IF(ISBLANK(INDEX(SampleList[XRD],ROW()-1)),"Not Requested",INDEX(SampleList[Experiment ID],ROW()-1))</f>
        <v>Not Requested</v>
      </c>
      <c r="C236">
        <f>SampleList[[#This Row],[Sample Description]]</f>
        <v>0</v>
      </c>
      <c r="D236">
        <f>SampleList[[#This Row],[Duration (Days)]]</f>
        <v>0</v>
      </c>
    </row>
    <row r="237" spans="1:4" hidden="1" x14ac:dyDescent="0.25">
      <c r="A237" s="1"/>
      <c r="B237" t="str" cm="1">
        <f t="array" ref="B237">IF(ISBLANK(INDEX(SampleList[XRD],ROW()-1)),"Not Requested",INDEX(SampleList[Experiment ID],ROW()-1))</f>
        <v>Not Requested</v>
      </c>
      <c r="C237">
        <f>SampleList[[#This Row],[Sample Description]]</f>
        <v>0</v>
      </c>
      <c r="D237">
        <f>SampleList[[#This Row],[Duration (Days)]]</f>
        <v>0</v>
      </c>
    </row>
    <row r="238" spans="1:4" hidden="1" x14ac:dyDescent="0.25">
      <c r="A238" s="1"/>
      <c r="B238" t="str" cm="1">
        <f t="array" ref="B238">IF(ISBLANK(INDEX(SampleList[XRD],ROW()-1)),"Not Requested",INDEX(SampleList[Experiment ID],ROW()-1))</f>
        <v>Not Requested</v>
      </c>
      <c r="C238">
        <f>SampleList[[#This Row],[Sample Description]]</f>
        <v>0</v>
      </c>
      <c r="D238">
        <f>SampleList[[#This Row],[Duration (Days)]]</f>
        <v>0</v>
      </c>
    </row>
    <row r="239" spans="1:4" hidden="1" x14ac:dyDescent="0.25">
      <c r="A239" s="1"/>
      <c r="B239" t="str" cm="1">
        <f t="array" ref="B239">IF(ISBLANK(INDEX(SampleList[XRD],ROW()-1)),"Not Requested",INDEX(SampleList[Experiment ID],ROW()-1))</f>
        <v>Not Requested</v>
      </c>
      <c r="C239">
        <f>SampleList[[#This Row],[Sample Description]]</f>
        <v>0</v>
      </c>
      <c r="D239">
        <f>SampleList[[#This Row],[Duration (Days)]]</f>
        <v>0</v>
      </c>
    </row>
    <row r="240" spans="1:4" hidden="1" x14ac:dyDescent="0.25">
      <c r="A240" s="1"/>
      <c r="B240" t="str" cm="1">
        <f t="array" ref="B240">IF(ISBLANK(INDEX(SampleList[XRD],ROW()-1)),"Not Requested",INDEX(SampleList[Experiment ID],ROW()-1))</f>
        <v>Not Requested</v>
      </c>
      <c r="C240">
        <f>SampleList[[#This Row],[Sample Description]]</f>
        <v>0</v>
      </c>
      <c r="D240">
        <f>SampleList[[#This Row],[Duration (Days)]]</f>
        <v>0</v>
      </c>
    </row>
    <row r="241" spans="1:4" hidden="1" x14ac:dyDescent="0.25">
      <c r="A241" s="1"/>
      <c r="B241" t="str" cm="1">
        <f t="array" ref="B241">IF(ISBLANK(INDEX(SampleList[XRD],ROW()-1)),"Not Requested",INDEX(SampleList[Experiment ID],ROW()-1))</f>
        <v>Not Requested</v>
      </c>
      <c r="C241">
        <f>SampleList[[#This Row],[Sample Description]]</f>
        <v>0</v>
      </c>
      <c r="D241">
        <f>SampleList[[#This Row],[Duration (Days)]]</f>
        <v>0</v>
      </c>
    </row>
    <row r="242" spans="1:4" hidden="1" x14ac:dyDescent="0.25">
      <c r="A242" s="1"/>
      <c r="B242" t="str" cm="1">
        <f t="array" ref="B242">IF(ISBLANK(INDEX(SampleList[XRD],ROW()-1)),"Not Requested",INDEX(SampleList[Experiment ID],ROW()-1))</f>
        <v>Not Requested</v>
      </c>
      <c r="C242">
        <f>SampleList[[#This Row],[Sample Description]]</f>
        <v>0</v>
      </c>
      <c r="D242">
        <f>SampleList[[#This Row],[Duration (Days)]]</f>
        <v>0</v>
      </c>
    </row>
    <row r="243" spans="1:4" hidden="1" x14ac:dyDescent="0.25">
      <c r="A243" s="1"/>
      <c r="B243" t="str" cm="1">
        <f t="array" ref="B243">IF(ISBLANK(INDEX(SampleList[XRD],ROW()-1)),"Not Requested",INDEX(SampleList[Experiment ID],ROW()-1))</f>
        <v>Not Requested</v>
      </c>
      <c r="C243">
        <f>SampleList[[#This Row],[Sample Description]]</f>
        <v>0</v>
      </c>
      <c r="D243">
        <f>SampleList[[#This Row],[Duration (Days)]]</f>
        <v>0</v>
      </c>
    </row>
    <row r="244" spans="1:4" hidden="1" x14ac:dyDescent="0.25">
      <c r="A244" s="1"/>
      <c r="B244" t="str" cm="1">
        <f t="array" ref="B244">IF(ISBLANK(INDEX(SampleList[XRD],ROW()-1)),"Not Requested",INDEX(SampleList[Experiment ID],ROW()-1))</f>
        <v>Not Requested</v>
      </c>
      <c r="C244">
        <f>SampleList[[#This Row],[Sample Description]]</f>
        <v>0</v>
      </c>
      <c r="D244">
        <f>SampleList[[#This Row],[Duration (Days)]]</f>
        <v>0</v>
      </c>
    </row>
    <row r="245" spans="1:4" hidden="1" x14ac:dyDescent="0.25">
      <c r="A245" s="1"/>
      <c r="B245" t="str" cm="1">
        <f t="array" ref="B245">IF(ISBLANK(INDEX(SampleList[XRD],ROW()-1)),"Not Requested",INDEX(SampleList[Experiment ID],ROW()-1))</f>
        <v>Not Requested</v>
      </c>
      <c r="C245">
        <f>SampleList[[#This Row],[Sample Description]]</f>
        <v>0</v>
      </c>
      <c r="D245">
        <f>SampleList[[#This Row],[Duration (Days)]]</f>
        <v>0</v>
      </c>
    </row>
    <row r="246" spans="1:4" hidden="1" x14ac:dyDescent="0.25">
      <c r="A246" s="1"/>
      <c r="B246" t="str" cm="1">
        <f t="array" ref="B246">IF(ISBLANK(INDEX(SampleList[XRD],ROW()-1)),"Not Requested",INDEX(SampleList[Experiment ID],ROW()-1))</f>
        <v>Not Requested</v>
      </c>
      <c r="C246">
        <f>SampleList[[#This Row],[Sample Description]]</f>
        <v>0</v>
      </c>
      <c r="D246">
        <f>SampleList[[#This Row],[Duration (Days)]]</f>
        <v>0</v>
      </c>
    </row>
    <row r="247" spans="1:4" hidden="1" x14ac:dyDescent="0.25">
      <c r="A247" s="1"/>
      <c r="B247" t="str" cm="1">
        <f t="array" ref="B247">IF(ISBLANK(INDEX(SampleList[XRD],ROW()-1)),"Not Requested",INDEX(SampleList[Experiment ID],ROW()-1))</f>
        <v>Not Requested</v>
      </c>
      <c r="C247">
        <f>SampleList[[#This Row],[Sample Description]]</f>
        <v>0</v>
      </c>
      <c r="D247">
        <f>SampleList[[#This Row],[Duration (Days)]]</f>
        <v>0</v>
      </c>
    </row>
    <row r="248" spans="1:4" hidden="1" x14ac:dyDescent="0.25">
      <c r="A248" s="1"/>
      <c r="B248" t="str" cm="1">
        <f t="array" ref="B248">IF(ISBLANK(INDEX(SampleList[XRD],ROW()-1)),"Not Requested",INDEX(SampleList[Experiment ID],ROW()-1))</f>
        <v>Not Requested</v>
      </c>
      <c r="C248">
        <f>SampleList[[#This Row],[Sample Description]]</f>
        <v>0</v>
      </c>
      <c r="D248">
        <f>SampleList[[#This Row],[Duration (Days)]]</f>
        <v>0</v>
      </c>
    </row>
    <row r="249" spans="1:4" hidden="1" x14ac:dyDescent="0.25">
      <c r="A249" s="1"/>
      <c r="B249" t="str" cm="1">
        <f t="array" ref="B249">IF(ISBLANK(INDEX(SampleList[XRD],ROW()-1)),"Not Requested",INDEX(SampleList[Experiment ID],ROW()-1))</f>
        <v>Not Requested</v>
      </c>
      <c r="C249">
        <f>SampleList[[#This Row],[Sample Description]]</f>
        <v>0</v>
      </c>
      <c r="D249">
        <f>SampleList[[#This Row],[Duration (Days)]]</f>
        <v>0</v>
      </c>
    </row>
    <row r="250" spans="1:4" hidden="1" x14ac:dyDescent="0.25">
      <c r="A250" s="1"/>
      <c r="B250" t="str" cm="1">
        <f t="array" ref="B250">IF(ISBLANK(INDEX(SampleList[XRD],ROW()-1)),"Not Requested",INDEX(SampleList[Experiment ID],ROW()-1))</f>
        <v>Not Requested</v>
      </c>
      <c r="C250">
        <f>SampleList[[#This Row],[Sample Description]]</f>
        <v>0</v>
      </c>
      <c r="D250">
        <f>SampleList[[#This Row],[Duration (Days)]]</f>
        <v>0</v>
      </c>
    </row>
    <row r="251" spans="1:4" hidden="1" x14ac:dyDescent="0.25">
      <c r="A251" s="1"/>
      <c r="B251" t="str" cm="1">
        <f t="array" ref="B251">IF(ISBLANK(INDEX(SampleList[XRD],ROW()-1)),"Not Requested",INDEX(SampleList[Experiment ID],ROW()-1))</f>
        <v>Not Requested</v>
      </c>
      <c r="C251">
        <f>SampleList[[#This Row],[Sample Description]]</f>
        <v>0</v>
      </c>
      <c r="D251">
        <f>SampleList[[#This Row],[Duration (Days)]]</f>
        <v>0</v>
      </c>
    </row>
    <row r="252" spans="1:4" hidden="1" x14ac:dyDescent="0.25">
      <c r="A252" s="1"/>
      <c r="B252" t="str" cm="1">
        <f t="array" ref="B252">IF(ISBLANK(INDEX(SampleList[XRD],ROW()-1)),"Not Requested",INDEX(SampleList[Experiment ID],ROW()-1))</f>
        <v>Not Requested</v>
      </c>
      <c r="C252">
        <f>SampleList[[#This Row],[Sample Description]]</f>
        <v>0</v>
      </c>
      <c r="D252">
        <f>SampleList[[#This Row],[Duration (Days)]]</f>
        <v>0</v>
      </c>
    </row>
    <row r="253" spans="1:4" hidden="1" x14ac:dyDescent="0.25">
      <c r="A253" s="1"/>
      <c r="B253" t="str" cm="1">
        <f t="array" ref="B253">IF(ISBLANK(INDEX(SampleList[XRD],ROW()-1)),"Not Requested",INDEX(SampleList[Experiment ID],ROW()-1))</f>
        <v>Not Requested</v>
      </c>
      <c r="C253">
        <f>SampleList[[#This Row],[Sample Description]]</f>
        <v>0</v>
      </c>
      <c r="D253">
        <f>SampleList[[#This Row],[Duration (Days)]]</f>
        <v>0</v>
      </c>
    </row>
    <row r="254" spans="1:4" hidden="1" x14ac:dyDescent="0.25">
      <c r="A254" s="1"/>
      <c r="B254" t="str" cm="1">
        <f t="array" ref="B254">IF(ISBLANK(INDEX(SampleList[XRD],ROW()-1)),"Not Requested",INDEX(SampleList[Experiment ID],ROW()-1))</f>
        <v>Not Requested</v>
      </c>
      <c r="C254">
        <f>SampleList[[#This Row],[Sample Description]]</f>
        <v>0</v>
      </c>
      <c r="D254">
        <f>SampleList[[#This Row],[Duration (Days)]]</f>
        <v>0</v>
      </c>
    </row>
    <row r="255" spans="1:4" hidden="1" x14ac:dyDescent="0.25">
      <c r="A255" s="1"/>
      <c r="B255" t="str" cm="1">
        <f t="array" ref="B255">IF(ISBLANK(INDEX(SampleList[XRD],ROW()-1)),"Not Requested",INDEX(SampleList[Experiment ID],ROW()-1))</f>
        <v>Not Requested</v>
      </c>
      <c r="C255">
        <f>SampleList[[#This Row],[Sample Description]]</f>
        <v>0</v>
      </c>
      <c r="D255">
        <f>SampleList[[#This Row],[Duration (Days)]]</f>
        <v>0</v>
      </c>
    </row>
    <row r="256" spans="1:4" hidden="1" x14ac:dyDescent="0.25">
      <c r="A256" s="1"/>
      <c r="B256" t="str" cm="1">
        <f t="array" ref="B256">IF(ISBLANK(INDEX(SampleList[XRD],ROW()-1)),"Not Requested",INDEX(SampleList[Experiment ID],ROW()-1))</f>
        <v>Not Requested</v>
      </c>
      <c r="C256">
        <f>SampleList[[#This Row],[Sample Description]]</f>
        <v>0</v>
      </c>
      <c r="D256">
        <f>SampleList[[#This Row],[Duration (Days)]]</f>
        <v>0</v>
      </c>
    </row>
    <row r="257" spans="1:4" hidden="1" x14ac:dyDescent="0.25">
      <c r="A257" s="1"/>
      <c r="B257" t="str" cm="1">
        <f t="array" ref="B257">IF(ISBLANK(INDEX(SampleList[XRD],ROW()-1)),"Not Requested",INDEX(SampleList[Experiment ID],ROW()-1))</f>
        <v>Not Requested</v>
      </c>
      <c r="C257">
        <f>SampleList[[#This Row],[Sample Description]]</f>
        <v>0</v>
      </c>
      <c r="D257">
        <f>SampleList[[#This Row],[Duration (Days)]]</f>
        <v>0</v>
      </c>
    </row>
    <row r="258" spans="1:4" hidden="1" x14ac:dyDescent="0.25">
      <c r="A258" s="1"/>
      <c r="B258" t="str" cm="1">
        <f t="array" ref="B258">IF(ISBLANK(INDEX(SampleList[XRD],ROW()-1)),"Not Requested",INDEX(SampleList[Experiment ID],ROW()-1))</f>
        <v>Not Requested</v>
      </c>
      <c r="C258">
        <f>SampleList[[#This Row],[Sample Description]]</f>
        <v>0</v>
      </c>
      <c r="D258">
        <f>SampleList[[#This Row],[Duration (Days)]]</f>
        <v>0</v>
      </c>
    </row>
    <row r="259" spans="1:4" hidden="1" x14ac:dyDescent="0.25">
      <c r="A259" s="1"/>
      <c r="B259" t="str" cm="1">
        <f t="array" ref="B259">IF(ISBLANK(INDEX(SampleList[XRD],ROW()-1)),"Not Requested",INDEX(SampleList[Experiment ID],ROW()-1))</f>
        <v>Not Requested</v>
      </c>
      <c r="C259">
        <f>SampleList[[#This Row],[Sample Description]]</f>
        <v>0</v>
      </c>
      <c r="D259">
        <f>SampleList[[#This Row],[Duration (Days)]]</f>
        <v>0</v>
      </c>
    </row>
    <row r="260" spans="1:4" hidden="1" x14ac:dyDescent="0.25">
      <c r="A260" s="1"/>
      <c r="B260" t="str" cm="1">
        <f t="array" ref="B260">IF(ISBLANK(INDEX(SampleList[XRD],ROW()-1)),"Not Requested",INDEX(SampleList[Experiment ID],ROW()-1))</f>
        <v>Not Requested</v>
      </c>
      <c r="C260">
        <f>SampleList[[#This Row],[Sample Description]]</f>
        <v>0</v>
      </c>
      <c r="D260">
        <f>SampleList[[#This Row],[Duration (Days)]]</f>
        <v>0</v>
      </c>
    </row>
    <row r="261" spans="1:4" hidden="1" x14ac:dyDescent="0.25">
      <c r="A261" s="1"/>
      <c r="B261" t="str" cm="1">
        <f t="array" ref="B261">IF(ISBLANK(INDEX(SampleList[XRD],ROW()-1)),"Not Requested",INDEX(SampleList[Experiment ID],ROW()-1))</f>
        <v>Not Requested</v>
      </c>
      <c r="C261">
        <f>SampleList[[#This Row],[Sample Description]]</f>
        <v>0</v>
      </c>
      <c r="D261">
        <f>SampleList[[#This Row],[Duration (Days)]]</f>
        <v>0</v>
      </c>
    </row>
    <row r="262" spans="1:4" hidden="1" x14ac:dyDescent="0.25">
      <c r="A262" s="1"/>
      <c r="B262" t="str" cm="1">
        <f t="array" ref="B262">IF(ISBLANK(INDEX(SampleList[XRD],ROW()-1)),"Not Requested",INDEX(SampleList[Experiment ID],ROW()-1))</f>
        <v>Not Requested</v>
      </c>
      <c r="C262">
        <f>SampleList[[#This Row],[Sample Description]]</f>
        <v>0</v>
      </c>
      <c r="D262">
        <f>SampleList[[#This Row],[Duration (Days)]]</f>
        <v>0</v>
      </c>
    </row>
    <row r="263" spans="1:4" hidden="1" x14ac:dyDescent="0.25">
      <c r="A263" s="1"/>
      <c r="B263" t="str" cm="1">
        <f t="array" ref="B263">IF(ISBLANK(INDEX(SampleList[XRD],ROW()-1)),"Not Requested",INDEX(SampleList[Experiment ID],ROW()-1))</f>
        <v>Not Requested</v>
      </c>
      <c r="C263">
        <f>SampleList[[#This Row],[Sample Description]]</f>
        <v>0</v>
      </c>
      <c r="D263">
        <f>SampleList[[#This Row],[Duration (Days)]]</f>
        <v>0</v>
      </c>
    </row>
    <row r="264" spans="1:4" hidden="1" x14ac:dyDescent="0.25">
      <c r="A264" s="1"/>
      <c r="B264" t="str" cm="1">
        <f t="array" ref="B264">IF(ISBLANK(INDEX(SampleList[XRD],ROW()-1)),"Not Requested",INDEX(SampleList[Experiment ID],ROW()-1))</f>
        <v>Not Requested</v>
      </c>
      <c r="C264">
        <f>SampleList[[#This Row],[Sample Description]]</f>
        <v>0</v>
      </c>
      <c r="D264">
        <f>SampleList[[#This Row],[Duration (Days)]]</f>
        <v>0</v>
      </c>
    </row>
    <row r="265" spans="1:4" hidden="1" x14ac:dyDescent="0.25">
      <c r="A265" s="1"/>
      <c r="B265" t="str" cm="1">
        <f t="array" ref="B265">IF(ISBLANK(INDEX(SampleList[XRD],ROW()-1)),"Not Requested",INDEX(SampleList[Experiment ID],ROW()-1))</f>
        <v>Not Requested</v>
      </c>
      <c r="C265">
        <f>SampleList[[#This Row],[Sample Description]]</f>
        <v>0</v>
      </c>
      <c r="D265">
        <f>SampleList[[#This Row],[Duration (Days)]]</f>
        <v>0</v>
      </c>
    </row>
    <row r="266" spans="1:4" hidden="1" x14ac:dyDescent="0.25">
      <c r="A266" s="1"/>
      <c r="B266" t="str" cm="1">
        <f t="array" ref="B266">IF(ISBLANK(INDEX(SampleList[XRD],ROW()-1)),"Not Requested",INDEX(SampleList[Experiment ID],ROW()-1))</f>
        <v>Not Requested</v>
      </c>
      <c r="C266">
        <f>SampleList[[#This Row],[Sample Description]]</f>
        <v>0</v>
      </c>
      <c r="D266">
        <f>SampleList[[#This Row],[Duration (Days)]]</f>
        <v>0</v>
      </c>
    </row>
    <row r="267" spans="1:4" hidden="1" x14ac:dyDescent="0.25">
      <c r="A267" s="1"/>
      <c r="B267" t="str" cm="1">
        <f t="array" ref="B267">IF(ISBLANK(INDEX(SampleList[XRD],ROW()-1)),"Not Requested",INDEX(SampleList[Experiment ID],ROW()-1))</f>
        <v>Not Requested</v>
      </c>
      <c r="C267">
        <f>SampleList[[#This Row],[Sample Description]]</f>
        <v>0</v>
      </c>
      <c r="D267">
        <f>SampleList[[#This Row],[Duration (Days)]]</f>
        <v>0</v>
      </c>
    </row>
    <row r="268" spans="1:4" hidden="1" x14ac:dyDescent="0.25">
      <c r="A268" s="1"/>
      <c r="B268" t="str" cm="1">
        <f t="array" ref="B268">IF(ISBLANK(INDEX(SampleList[XRD],ROW()-1)),"Not Requested",INDEX(SampleList[Experiment ID],ROW()-1))</f>
        <v>Not Requested</v>
      </c>
      <c r="C268">
        <f>SampleList[[#This Row],[Sample Description]]</f>
        <v>0</v>
      </c>
      <c r="D268">
        <f>SampleList[[#This Row],[Duration (Days)]]</f>
        <v>0</v>
      </c>
    </row>
    <row r="269" spans="1:4" hidden="1" x14ac:dyDescent="0.25">
      <c r="A269" s="1"/>
      <c r="B269" t="str" cm="1">
        <f t="array" ref="B269">IF(ISBLANK(INDEX(SampleList[XRD],ROW()-1)),"Not Requested",INDEX(SampleList[Experiment ID],ROW()-1))</f>
        <v>Not Requested</v>
      </c>
      <c r="C269">
        <f>SampleList[[#This Row],[Sample Description]]</f>
        <v>0</v>
      </c>
      <c r="D269">
        <f>SampleList[[#This Row],[Duration (Days)]]</f>
        <v>0</v>
      </c>
    </row>
    <row r="270" spans="1:4" hidden="1" x14ac:dyDescent="0.25">
      <c r="A270" s="1"/>
      <c r="B270" t="str" cm="1">
        <f t="array" ref="B270">IF(ISBLANK(INDEX(SampleList[XRD],ROW()-1)),"Not Requested",INDEX(SampleList[Experiment ID],ROW()-1))</f>
        <v>Not Requested</v>
      </c>
      <c r="C270">
        <f>SampleList[[#This Row],[Sample Description]]</f>
        <v>0</v>
      </c>
      <c r="D270">
        <f>SampleList[[#This Row],[Duration (Days)]]</f>
        <v>0</v>
      </c>
    </row>
    <row r="271" spans="1:4" hidden="1" x14ac:dyDescent="0.25">
      <c r="A271" s="1"/>
      <c r="B271" t="str" cm="1">
        <f t="array" ref="B271">IF(ISBLANK(INDEX(SampleList[XRD],ROW()-1)),"Not Requested",INDEX(SampleList[Experiment ID],ROW()-1))</f>
        <v>Not Requested</v>
      </c>
      <c r="C271">
        <f>SampleList[[#This Row],[Sample Description]]</f>
        <v>0</v>
      </c>
      <c r="D271">
        <f>SampleList[[#This Row],[Duration (Days)]]</f>
        <v>0</v>
      </c>
    </row>
    <row r="272" spans="1:4" hidden="1" x14ac:dyDescent="0.25">
      <c r="A272" s="1"/>
      <c r="B272" t="str" cm="1">
        <f t="array" ref="B272">IF(ISBLANK(INDEX(SampleList[XRD],ROW()-1)),"Not Requested",INDEX(SampleList[Experiment ID],ROW()-1))</f>
        <v>Not Requested</v>
      </c>
      <c r="C272">
        <f>SampleList[[#This Row],[Sample Description]]</f>
        <v>0</v>
      </c>
      <c r="D272">
        <f>SampleList[[#This Row],[Duration (Days)]]</f>
        <v>0</v>
      </c>
    </row>
    <row r="273" spans="1:4" hidden="1" x14ac:dyDescent="0.25">
      <c r="A273" s="1"/>
      <c r="B273" t="str" cm="1">
        <f t="array" ref="B273">IF(ISBLANK(INDEX(SampleList[XRD],ROW()-1)),"Not Requested",INDEX(SampleList[Experiment ID],ROW()-1))</f>
        <v>Not Requested</v>
      </c>
      <c r="C273">
        <f>SampleList[[#This Row],[Sample Description]]</f>
        <v>0</v>
      </c>
      <c r="D273">
        <f>SampleList[[#This Row],[Duration (Days)]]</f>
        <v>0</v>
      </c>
    </row>
    <row r="274" spans="1:4" hidden="1" x14ac:dyDescent="0.25">
      <c r="A274" s="1"/>
      <c r="B274" t="str" cm="1">
        <f t="array" ref="B274">IF(ISBLANK(INDEX(SampleList[XRD],ROW()-1)),"Not Requested",INDEX(SampleList[Experiment ID],ROW()-1))</f>
        <v>Not Requested</v>
      </c>
      <c r="C274">
        <f>SampleList[[#This Row],[Sample Description]]</f>
        <v>0</v>
      </c>
      <c r="D274">
        <f>SampleList[[#This Row],[Duration (Days)]]</f>
        <v>0</v>
      </c>
    </row>
    <row r="275" spans="1:4" hidden="1" x14ac:dyDescent="0.25">
      <c r="A275" s="1"/>
      <c r="B275" t="str" cm="1">
        <f t="array" ref="B275">IF(ISBLANK(INDEX(SampleList[XRD],ROW()-1)),"Not Requested",INDEX(SampleList[Experiment ID],ROW()-1))</f>
        <v>Not Requested</v>
      </c>
      <c r="C275">
        <f>SampleList[[#This Row],[Sample Description]]</f>
        <v>0</v>
      </c>
      <c r="D275">
        <f>SampleList[[#This Row],[Duration (Days)]]</f>
        <v>0</v>
      </c>
    </row>
    <row r="276" spans="1:4" hidden="1" x14ac:dyDescent="0.25">
      <c r="A276" s="1"/>
      <c r="B276" t="str" cm="1">
        <f t="array" ref="B276">IF(ISBLANK(INDEX(SampleList[XRD],ROW()-1)),"Not Requested",INDEX(SampleList[Experiment ID],ROW()-1))</f>
        <v>Not Requested</v>
      </c>
      <c r="C276">
        <f>SampleList[[#This Row],[Sample Description]]</f>
        <v>0</v>
      </c>
      <c r="D276">
        <f>SampleList[[#This Row],[Duration (Days)]]</f>
        <v>0</v>
      </c>
    </row>
    <row r="277" spans="1:4" hidden="1" x14ac:dyDescent="0.25">
      <c r="A277" s="1"/>
      <c r="B277" t="str" cm="1">
        <f t="array" ref="B277">IF(ISBLANK(INDEX(SampleList[XRD],ROW()-1)),"Not Requested",INDEX(SampleList[Experiment ID],ROW()-1))</f>
        <v>Not Requested</v>
      </c>
      <c r="C277">
        <f>SampleList[[#This Row],[Sample Description]]</f>
        <v>0</v>
      </c>
      <c r="D277">
        <f>SampleList[[#This Row],[Duration (Days)]]</f>
        <v>0</v>
      </c>
    </row>
    <row r="278" spans="1:4" hidden="1" x14ac:dyDescent="0.25">
      <c r="A278" s="1"/>
      <c r="B278" t="str" cm="1">
        <f t="array" ref="B278">IF(ISBLANK(INDEX(SampleList[XRD],ROW()-1)),"Not Requested",INDEX(SampleList[Experiment ID],ROW()-1))</f>
        <v>Not Requested</v>
      </c>
      <c r="C278">
        <f>SampleList[[#This Row],[Sample Description]]</f>
        <v>0</v>
      </c>
      <c r="D278">
        <f>SampleList[[#This Row],[Duration (Days)]]</f>
        <v>0</v>
      </c>
    </row>
    <row r="279" spans="1:4" hidden="1" x14ac:dyDescent="0.25">
      <c r="A279" s="1"/>
      <c r="B279" t="str" cm="1">
        <f t="array" ref="B279">IF(ISBLANK(INDEX(SampleList[XRD],ROW()-1)),"Not Requested",INDEX(SampleList[Experiment ID],ROW()-1))</f>
        <v>Not Requested</v>
      </c>
      <c r="C279">
        <f>SampleList[[#This Row],[Sample Description]]</f>
        <v>0</v>
      </c>
      <c r="D279">
        <f>SampleList[[#This Row],[Duration (Days)]]</f>
        <v>0</v>
      </c>
    </row>
    <row r="280" spans="1:4" hidden="1" x14ac:dyDescent="0.25">
      <c r="A280" s="1"/>
      <c r="B280" t="str" cm="1">
        <f t="array" ref="B280">IF(ISBLANK(INDEX(SampleList[XRD],ROW()-1)),"Not Requested",INDEX(SampleList[Experiment ID],ROW()-1))</f>
        <v>Not Requested</v>
      </c>
      <c r="C280">
        <f>SampleList[[#This Row],[Sample Description]]</f>
        <v>0</v>
      </c>
      <c r="D280">
        <f>SampleList[[#This Row],[Duration (Days)]]</f>
        <v>0</v>
      </c>
    </row>
    <row r="281" spans="1:4" hidden="1" x14ac:dyDescent="0.25">
      <c r="A281" s="1"/>
      <c r="B281" t="str" cm="1">
        <f t="array" ref="B281">IF(ISBLANK(INDEX(SampleList[XRD],ROW()-1)),"Not Requested",INDEX(SampleList[Experiment ID],ROW()-1))</f>
        <v>Not Requested</v>
      </c>
      <c r="C281">
        <f>SampleList[[#This Row],[Sample Description]]</f>
        <v>0</v>
      </c>
      <c r="D281">
        <f>SampleList[[#This Row],[Duration (Days)]]</f>
        <v>0</v>
      </c>
    </row>
    <row r="282" spans="1:4" hidden="1" x14ac:dyDescent="0.25">
      <c r="A282" s="1"/>
      <c r="B282" t="str" cm="1">
        <f t="array" ref="B282">IF(ISBLANK(INDEX(SampleList[XRD],ROW()-1)),"Not Requested",INDEX(SampleList[Experiment ID],ROW()-1))</f>
        <v>Not Requested</v>
      </c>
      <c r="C282">
        <f>SampleList[[#This Row],[Sample Description]]</f>
        <v>0</v>
      </c>
      <c r="D282">
        <f>SampleList[[#This Row],[Duration (Days)]]</f>
        <v>0</v>
      </c>
    </row>
    <row r="283" spans="1:4" hidden="1" x14ac:dyDescent="0.25">
      <c r="A283" s="1"/>
      <c r="B283" t="str" cm="1">
        <f t="array" ref="B283">IF(ISBLANK(INDEX(SampleList[XRD],ROW()-1)),"Not Requested",INDEX(SampleList[Experiment ID],ROW()-1))</f>
        <v>Not Requested</v>
      </c>
      <c r="C283">
        <f>SampleList[[#This Row],[Sample Description]]</f>
        <v>0</v>
      </c>
      <c r="D283">
        <f>SampleList[[#This Row],[Duration (Days)]]</f>
        <v>0</v>
      </c>
    </row>
    <row r="284" spans="1:4" hidden="1" x14ac:dyDescent="0.25">
      <c r="A284" s="1"/>
      <c r="B284" t="str" cm="1">
        <f t="array" ref="B284">IF(ISBLANK(INDEX(SampleList[XRD],ROW()-1)),"Not Requested",INDEX(SampleList[Experiment ID],ROW()-1))</f>
        <v>Not Requested</v>
      </c>
      <c r="C284">
        <f>SampleList[[#This Row],[Sample Description]]</f>
        <v>0</v>
      </c>
      <c r="D284">
        <f>SampleList[[#This Row],[Duration (Days)]]</f>
        <v>0</v>
      </c>
    </row>
    <row r="285" spans="1:4" hidden="1" x14ac:dyDescent="0.25">
      <c r="A285" s="1"/>
      <c r="B285" t="str" cm="1">
        <f t="array" ref="B285">IF(ISBLANK(INDEX(SampleList[XRD],ROW()-1)),"Not Requested",INDEX(SampleList[Experiment ID],ROW()-1))</f>
        <v>Not Requested</v>
      </c>
      <c r="C285">
        <f>SampleList[[#This Row],[Sample Description]]</f>
        <v>0</v>
      </c>
      <c r="D285">
        <f>SampleList[[#This Row],[Duration (Days)]]</f>
        <v>0</v>
      </c>
    </row>
    <row r="286" spans="1:4" hidden="1" x14ac:dyDescent="0.25">
      <c r="A286" s="1"/>
      <c r="B286" t="str" cm="1">
        <f t="array" ref="B286">IF(ISBLANK(INDEX(SampleList[XRD],ROW()-1)),"Not Requested",INDEX(SampleList[Experiment ID],ROW()-1))</f>
        <v>Not Requested</v>
      </c>
      <c r="C286">
        <f>SampleList[[#This Row],[Sample Description]]</f>
        <v>0</v>
      </c>
      <c r="D286">
        <f>SampleList[[#This Row],[Duration (Days)]]</f>
        <v>0</v>
      </c>
    </row>
    <row r="287" spans="1:4" hidden="1" x14ac:dyDescent="0.25">
      <c r="A287" s="1"/>
      <c r="B287" t="str" cm="1">
        <f t="array" ref="B287">IF(ISBLANK(INDEX(SampleList[XRD],ROW()-1)),"Not Requested",INDEX(SampleList[Experiment ID],ROW()-1))</f>
        <v>Not Requested</v>
      </c>
      <c r="C287">
        <f>SampleList[[#This Row],[Sample Description]]</f>
        <v>0</v>
      </c>
      <c r="D287">
        <f>SampleList[[#This Row],[Duration (Days)]]</f>
        <v>0</v>
      </c>
    </row>
    <row r="288" spans="1:4" hidden="1" x14ac:dyDescent="0.25">
      <c r="A288" s="1"/>
      <c r="B288" t="str" cm="1">
        <f t="array" ref="B288">IF(ISBLANK(INDEX(SampleList[XRD],ROW()-1)),"Not Requested",INDEX(SampleList[Experiment ID],ROW()-1))</f>
        <v>Not Requested</v>
      </c>
      <c r="C288">
        <f>SampleList[[#This Row],[Sample Description]]</f>
        <v>0</v>
      </c>
      <c r="D288">
        <f>SampleList[[#This Row],[Duration (Days)]]</f>
        <v>0</v>
      </c>
    </row>
    <row r="289" spans="1:4" hidden="1" x14ac:dyDescent="0.25">
      <c r="A289" s="1"/>
      <c r="B289" t="str" cm="1">
        <f t="array" ref="B289">IF(ISBLANK(INDEX(SampleList[XRD],ROW()-1)),"Not Requested",INDEX(SampleList[Experiment ID],ROW()-1))</f>
        <v>Not Requested</v>
      </c>
      <c r="C289">
        <f>SampleList[[#This Row],[Sample Description]]</f>
        <v>0</v>
      </c>
      <c r="D289">
        <f>SampleList[[#This Row],[Duration (Days)]]</f>
        <v>0</v>
      </c>
    </row>
    <row r="290" spans="1:4" hidden="1" x14ac:dyDescent="0.25">
      <c r="A290" s="1"/>
      <c r="B290" t="str" cm="1">
        <f t="array" ref="B290">IF(ISBLANK(INDEX(SampleList[XRD],ROW()-1)),"Not Requested",INDEX(SampleList[Experiment ID],ROW()-1))</f>
        <v>Not Requested</v>
      </c>
      <c r="C290">
        <f>SampleList[[#This Row],[Sample Description]]</f>
        <v>0</v>
      </c>
      <c r="D290">
        <f>SampleList[[#This Row],[Duration (Days)]]</f>
        <v>0</v>
      </c>
    </row>
    <row r="291" spans="1:4" hidden="1" x14ac:dyDescent="0.25">
      <c r="A291" s="1"/>
      <c r="B291" t="str" cm="1">
        <f t="array" ref="B291">IF(ISBLANK(INDEX(SampleList[XRD],ROW()-1)),"Not Requested",INDEX(SampleList[Experiment ID],ROW()-1))</f>
        <v>Not Requested</v>
      </c>
      <c r="C291">
        <f>SampleList[[#This Row],[Sample Description]]</f>
        <v>0</v>
      </c>
      <c r="D291">
        <f>SampleList[[#This Row],[Duration (Days)]]</f>
        <v>0</v>
      </c>
    </row>
    <row r="292" spans="1:4" hidden="1" x14ac:dyDescent="0.25">
      <c r="A292" s="1"/>
      <c r="B292" t="str" cm="1">
        <f t="array" ref="B292">IF(ISBLANK(INDEX(SampleList[XRD],ROW()-1)),"Not Requested",INDEX(SampleList[Experiment ID],ROW()-1))</f>
        <v>Not Requested</v>
      </c>
      <c r="C292">
        <f>SampleList[[#This Row],[Sample Description]]</f>
        <v>0</v>
      </c>
      <c r="D292">
        <f>SampleList[[#This Row],[Duration (Days)]]</f>
        <v>0</v>
      </c>
    </row>
    <row r="293" spans="1:4" hidden="1" x14ac:dyDescent="0.25">
      <c r="A293" s="1"/>
      <c r="B293" t="str" cm="1">
        <f t="array" ref="B293">IF(ISBLANK(INDEX(SampleList[XRD],ROW()-1)),"Not Requested",INDEX(SampleList[Experiment ID],ROW()-1))</f>
        <v>Not Requested</v>
      </c>
      <c r="C293">
        <f>SampleList[[#This Row],[Sample Description]]</f>
        <v>0</v>
      </c>
      <c r="D293">
        <f>SampleList[[#This Row],[Duration (Days)]]</f>
        <v>0</v>
      </c>
    </row>
    <row r="294" spans="1:4" hidden="1" x14ac:dyDescent="0.25">
      <c r="A294" s="1"/>
      <c r="B294" t="str" cm="1">
        <f t="array" ref="B294">IF(ISBLANK(INDEX(SampleList[XRD],ROW()-1)),"Not Requested",INDEX(SampleList[Experiment ID],ROW()-1))</f>
        <v>Not Requested</v>
      </c>
      <c r="C294">
        <f>SampleList[[#This Row],[Sample Description]]</f>
        <v>0</v>
      </c>
      <c r="D294">
        <f>SampleList[[#This Row],[Duration (Days)]]</f>
        <v>0</v>
      </c>
    </row>
    <row r="295" spans="1:4" hidden="1" x14ac:dyDescent="0.25">
      <c r="A295" s="1"/>
      <c r="B295" t="str" cm="1">
        <f t="array" ref="B295">IF(ISBLANK(INDEX(SampleList[XRD],ROW()-1)),"Not Requested",INDEX(SampleList[Experiment ID],ROW()-1))</f>
        <v>Not Requested</v>
      </c>
      <c r="C295">
        <f>SampleList[[#This Row],[Sample Description]]</f>
        <v>0</v>
      </c>
      <c r="D295">
        <f>SampleList[[#This Row],[Duration (Days)]]</f>
        <v>0</v>
      </c>
    </row>
    <row r="296" spans="1:4" hidden="1" x14ac:dyDescent="0.25">
      <c r="A296" s="1"/>
      <c r="B296" t="str" cm="1">
        <f t="array" ref="B296">IF(ISBLANK(INDEX(SampleList[XRD],ROW()-1)),"Not Requested",INDEX(SampleList[Experiment ID],ROW()-1))</f>
        <v>Not Requested</v>
      </c>
      <c r="C296">
        <f>SampleList[[#This Row],[Sample Description]]</f>
        <v>0</v>
      </c>
      <c r="D296">
        <f>SampleList[[#This Row],[Duration (Days)]]</f>
        <v>0</v>
      </c>
    </row>
    <row r="297" spans="1:4" hidden="1" x14ac:dyDescent="0.25">
      <c r="A297" s="1"/>
      <c r="B297" t="str" cm="1">
        <f t="array" ref="B297">IF(ISBLANK(INDEX(SampleList[XRD],ROW()-1)),"Not Requested",INDEX(SampleList[Experiment ID],ROW()-1))</f>
        <v>Not Requested</v>
      </c>
      <c r="C297">
        <f>SampleList[[#This Row],[Sample Description]]</f>
        <v>0</v>
      </c>
      <c r="D297">
        <f>SampleList[[#This Row],[Duration (Days)]]</f>
        <v>0</v>
      </c>
    </row>
    <row r="298" spans="1:4" hidden="1" x14ac:dyDescent="0.25">
      <c r="A298" s="1"/>
      <c r="B298" t="str" cm="1">
        <f t="array" ref="B298">IF(ISBLANK(INDEX(SampleList[XRD],ROW()-1)),"Not Requested",INDEX(SampleList[Experiment ID],ROW()-1))</f>
        <v>Not Requested</v>
      </c>
      <c r="C298">
        <f>SampleList[[#This Row],[Sample Description]]</f>
        <v>0</v>
      </c>
      <c r="D298">
        <f>SampleList[[#This Row],[Duration (Days)]]</f>
        <v>0</v>
      </c>
    </row>
    <row r="299" spans="1:4" hidden="1" x14ac:dyDescent="0.25">
      <c r="A299" s="1"/>
      <c r="B299" t="str" cm="1">
        <f t="array" ref="B299">IF(ISBLANK(INDEX(SampleList[XRD],ROW()-1)),"Not Requested",INDEX(SampleList[Experiment ID],ROW()-1))</f>
        <v>Not Requested</v>
      </c>
      <c r="C299">
        <f>SampleList[[#This Row],[Sample Description]]</f>
        <v>0</v>
      </c>
      <c r="D299">
        <f>SampleList[[#This Row],[Duration (Days)]]</f>
        <v>0</v>
      </c>
    </row>
    <row r="300" spans="1:4" hidden="1" x14ac:dyDescent="0.25">
      <c r="A300" s="1"/>
      <c r="B300" t="str" cm="1">
        <f t="array" ref="B300">IF(ISBLANK(INDEX(SampleList[XRD],ROW()-1)),"Not Requested",INDEX(SampleList[Experiment ID],ROW()-1))</f>
        <v>Not Requested</v>
      </c>
      <c r="C300">
        <f>SampleList[[#This Row],[Sample Description]]</f>
        <v>0</v>
      </c>
      <c r="D300">
        <f>SampleList[[#This Row],[Duration (Days)]]</f>
        <v>0</v>
      </c>
    </row>
    <row r="301" spans="1:4" hidden="1" x14ac:dyDescent="0.25">
      <c r="A301" s="1"/>
      <c r="B301" t="str" cm="1">
        <f t="array" ref="B301">IF(ISBLANK(INDEX(SampleList[XRD],ROW()-1)),"Not Requested",INDEX(SampleList[Experiment ID],ROW()-1))</f>
        <v>Not Requested</v>
      </c>
      <c r="C301">
        <f>SampleList[[#This Row],[Sample Description]]</f>
        <v>0</v>
      </c>
      <c r="D301">
        <f>SampleList[[#This Row],[Duration (Days)]]</f>
        <v>0</v>
      </c>
    </row>
    <row r="302" spans="1:4" hidden="1" x14ac:dyDescent="0.25">
      <c r="A302" s="1"/>
      <c r="B302" t="str" cm="1">
        <f t="array" ref="B302">IF(ISBLANK(INDEX(SampleList[XRD],ROW()-1)),"Not Requested",INDEX(SampleList[Experiment ID],ROW()-1))</f>
        <v>Not Requested</v>
      </c>
      <c r="C302">
        <f>SampleList[[#This Row],[Sample Description]]</f>
        <v>0</v>
      </c>
      <c r="D302">
        <f>SampleList[[#This Row],[Duration (Days)]]</f>
        <v>0</v>
      </c>
    </row>
    <row r="303" spans="1:4" hidden="1" x14ac:dyDescent="0.25">
      <c r="A303" s="1"/>
      <c r="B303" t="str" cm="1">
        <f t="array" ref="B303">IF(ISBLANK(INDEX(SampleList[XRD],ROW()-1)),"Not Requested",INDEX(SampleList[Experiment ID],ROW()-1))</f>
        <v>Not Requested</v>
      </c>
      <c r="C303">
        <f>SampleList[[#This Row],[Sample Description]]</f>
        <v>0</v>
      </c>
      <c r="D303">
        <f>SampleList[[#This Row],[Duration (Days)]]</f>
        <v>0</v>
      </c>
    </row>
    <row r="304" spans="1:4" hidden="1" x14ac:dyDescent="0.25">
      <c r="A304" s="1"/>
      <c r="B304" t="str" cm="1">
        <f t="array" ref="B304">IF(ISBLANK(INDEX(SampleList[XRD],ROW()-1)),"Not Requested",INDEX(SampleList[Experiment ID],ROW()-1))</f>
        <v>Not Requested</v>
      </c>
      <c r="C304">
        <f>SampleList[[#This Row],[Sample Description]]</f>
        <v>0</v>
      </c>
      <c r="D304">
        <f>SampleList[[#This Row],[Duration (Days)]]</f>
        <v>0</v>
      </c>
    </row>
    <row r="305" spans="1:4" hidden="1" x14ac:dyDescent="0.25">
      <c r="A305" s="1"/>
      <c r="B305" t="str" cm="1">
        <f t="array" ref="B305">IF(ISBLANK(INDEX(SampleList[XRD],ROW()-1)),"Not Requested",INDEX(SampleList[Experiment ID],ROW()-1))</f>
        <v>Not Requested</v>
      </c>
      <c r="C305">
        <f>SampleList[[#This Row],[Sample Description]]</f>
        <v>0</v>
      </c>
      <c r="D305">
        <f>SampleList[[#This Row],[Duration (Days)]]</f>
        <v>0</v>
      </c>
    </row>
    <row r="306" spans="1:4" hidden="1" x14ac:dyDescent="0.25">
      <c r="A306" s="1"/>
      <c r="B306" t="str" cm="1">
        <f t="array" ref="B306">IF(ISBLANK(INDEX(SampleList[XRD],ROW()-1)),"Not Requested",INDEX(SampleList[Experiment ID],ROW()-1))</f>
        <v>Not Requested</v>
      </c>
      <c r="C306">
        <f>SampleList[[#This Row],[Sample Description]]</f>
        <v>0</v>
      </c>
      <c r="D306">
        <f>SampleList[[#This Row],[Duration (Days)]]</f>
        <v>0</v>
      </c>
    </row>
    <row r="307" spans="1:4" hidden="1" x14ac:dyDescent="0.25">
      <c r="A307" s="1"/>
      <c r="B307" t="str" cm="1">
        <f t="array" ref="B307">IF(ISBLANK(INDEX(SampleList[XRD],ROW()-1)),"Not Requested",INDEX(SampleList[Experiment ID],ROW()-1))</f>
        <v>Not Requested</v>
      </c>
      <c r="C307">
        <f>SampleList[[#This Row],[Sample Description]]</f>
        <v>0</v>
      </c>
      <c r="D307">
        <f>SampleList[[#This Row],[Duration (Days)]]</f>
        <v>0</v>
      </c>
    </row>
    <row r="308" spans="1:4" hidden="1" x14ac:dyDescent="0.25">
      <c r="A308" s="1"/>
      <c r="B308" t="str" cm="1">
        <f t="array" ref="B308">IF(ISBLANK(INDEX(SampleList[XRD],ROW()-1)),"Not Requested",INDEX(SampleList[Experiment ID],ROW()-1))</f>
        <v>Not Requested</v>
      </c>
      <c r="C308">
        <f>SampleList[[#This Row],[Sample Description]]</f>
        <v>0</v>
      </c>
      <c r="D308">
        <f>SampleList[[#This Row],[Duration (Days)]]</f>
        <v>0</v>
      </c>
    </row>
    <row r="309" spans="1:4" hidden="1" x14ac:dyDescent="0.25">
      <c r="A309" s="1"/>
      <c r="B309" t="str" cm="1">
        <f t="array" ref="B309">IF(ISBLANK(INDEX(SampleList[XRD],ROW()-1)),"Not Requested",INDEX(SampleList[Experiment ID],ROW()-1))</f>
        <v>Not Requested</v>
      </c>
      <c r="C309">
        <f>SampleList[[#This Row],[Sample Description]]</f>
        <v>0</v>
      </c>
      <c r="D309">
        <f>SampleList[[#This Row],[Duration (Days)]]</f>
        <v>0</v>
      </c>
    </row>
    <row r="310" spans="1:4" hidden="1" x14ac:dyDescent="0.25">
      <c r="A310" s="1"/>
      <c r="B310" t="str" cm="1">
        <f t="array" ref="B310">IF(ISBLANK(INDEX(SampleList[XRD],ROW()-1)),"Not Requested",INDEX(SampleList[Experiment ID],ROW()-1))</f>
        <v>Not Requested</v>
      </c>
      <c r="C310">
        <f>SampleList[[#This Row],[Sample Description]]</f>
        <v>0</v>
      </c>
      <c r="D310">
        <f>SampleList[[#This Row],[Duration (Days)]]</f>
        <v>0</v>
      </c>
    </row>
    <row r="311" spans="1:4" hidden="1" x14ac:dyDescent="0.25">
      <c r="A311" s="1"/>
      <c r="B311" t="str" cm="1">
        <f t="array" ref="B311">IF(ISBLANK(INDEX(SampleList[XRD],ROW()-1)),"Not Requested",INDEX(SampleList[Experiment ID],ROW()-1))</f>
        <v>Not Requested</v>
      </c>
      <c r="C311">
        <f>SampleList[[#This Row],[Sample Description]]</f>
        <v>0</v>
      </c>
      <c r="D311">
        <f>SampleList[[#This Row],[Duration (Days)]]</f>
        <v>0</v>
      </c>
    </row>
    <row r="312" spans="1:4" hidden="1" x14ac:dyDescent="0.25">
      <c r="A312" s="1"/>
      <c r="B312" t="str" cm="1">
        <f t="array" ref="B312">IF(ISBLANK(INDEX(SampleList[XRD],ROW()-1)),"Not Requested",INDEX(SampleList[Experiment ID],ROW()-1))</f>
        <v>Not Requested</v>
      </c>
      <c r="C312">
        <f>SampleList[[#This Row],[Sample Description]]</f>
        <v>0</v>
      </c>
      <c r="D312">
        <f>SampleList[[#This Row],[Duration (Days)]]</f>
        <v>0</v>
      </c>
    </row>
    <row r="313" spans="1:4" hidden="1" x14ac:dyDescent="0.25">
      <c r="A313" s="1"/>
      <c r="B313" t="str" cm="1">
        <f t="array" ref="B313">IF(ISBLANK(INDEX(SampleList[XRD],ROW()-1)),"Not Requested",INDEX(SampleList[Experiment ID],ROW()-1))</f>
        <v>Not Requested</v>
      </c>
      <c r="C313">
        <f>SampleList[[#This Row],[Sample Description]]</f>
        <v>0</v>
      </c>
      <c r="D313">
        <f>SampleList[[#This Row],[Duration (Days)]]</f>
        <v>0</v>
      </c>
    </row>
    <row r="314" spans="1:4" hidden="1" x14ac:dyDescent="0.25">
      <c r="A314" s="1"/>
      <c r="B314" t="str" cm="1">
        <f t="array" ref="B314">IF(ISBLANK(INDEX(SampleList[XRD],ROW()-1)),"Not Requested",INDEX(SampleList[Experiment ID],ROW()-1))</f>
        <v>Not Requested</v>
      </c>
      <c r="C314">
        <f>SampleList[[#This Row],[Sample Description]]</f>
        <v>0</v>
      </c>
      <c r="D314">
        <f>SampleList[[#This Row],[Duration (Days)]]</f>
        <v>0</v>
      </c>
    </row>
    <row r="315" spans="1:4" hidden="1" x14ac:dyDescent="0.25">
      <c r="A315" s="1"/>
      <c r="B315" t="str" cm="1">
        <f t="array" ref="B315">IF(ISBLANK(INDEX(SampleList[XRD],ROW()-1)),"Not Requested",INDEX(SampleList[Experiment ID],ROW()-1))</f>
        <v>Not Requested</v>
      </c>
      <c r="C315">
        <f>SampleList[[#This Row],[Sample Description]]</f>
        <v>0</v>
      </c>
      <c r="D315">
        <f>SampleList[[#This Row],[Duration (Days)]]</f>
        <v>0</v>
      </c>
    </row>
    <row r="316" spans="1:4" hidden="1" x14ac:dyDescent="0.25">
      <c r="A316" s="1"/>
      <c r="B316" t="str" cm="1">
        <f t="array" ref="B316">IF(ISBLANK(INDEX(SampleList[XRD],ROW()-1)),"Not Requested",INDEX(SampleList[Experiment ID],ROW()-1))</f>
        <v>Not Requested</v>
      </c>
      <c r="C316">
        <f>SampleList[[#This Row],[Sample Description]]</f>
        <v>0</v>
      </c>
      <c r="D316">
        <f>SampleList[[#This Row],[Duration (Days)]]</f>
        <v>0</v>
      </c>
    </row>
    <row r="317" spans="1:4" hidden="1" x14ac:dyDescent="0.25">
      <c r="A317" s="1"/>
      <c r="B317" t="str" cm="1">
        <f t="array" ref="B317">IF(ISBLANK(INDEX(SampleList[XRD],ROW()-1)),"Not Requested",INDEX(SampleList[Experiment ID],ROW()-1))</f>
        <v>Not Requested</v>
      </c>
      <c r="C317">
        <f>SampleList[[#This Row],[Sample Description]]</f>
        <v>0</v>
      </c>
      <c r="D317">
        <f>SampleList[[#This Row],[Duration (Days)]]</f>
        <v>0</v>
      </c>
    </row>
    <row r="318" spans="1:4" hidden="1" x14ac:dyDescent="0.25">
      <c r="A318" s="1"/>
      <c r="B318" t="str" cm="1">
        <f t="array" ref="B318">IF(ISBLANK(INDEX(SampleList[XRD],ROW()-1)),"Not Requested",INDEX(SampleList[Experiment ID],ROW()-1))</f>
        <v>Not Requested</v>
      </c>
      <c r="C318">
        <f>SampleList[[#This Row],[Sample Description]]</f>
        <v>0</v>
      </c>
      <c r="D318">
        <f>SampleList[[#This Row],[Duration (Days)]]</f>
        <v>0</v>
      </c>
    </row>
    <row r="319" spans="1:4" hidden="1" x14ac:dyDescent="0.25">
      <c r="A319" s="1"/>
      <c r="B319" t="str" cm="1">
        <f t="array" ref="B319">IF(ISBLANK(INDEX(SampleList[XRD],ROW()-1)),"Not Requested",INDEX(SampleList[Experiment ID],ROW()-1))</f>
        <v>Not Requested</v>
      </c>
      <c r="C319">
        <f>SampleList[[#This Row],[Sample Description]]</f>
        <v>0</v>
      </c>
      <c r="D319">
        <f>SampleList[[#This Row],[Duration (Days)]]</f>
        <v>0</v>
      </c>
    </row>
    <row r="320" spans="1:4" hidden="1" x14ac:dyDescent="0.25">
      <c r="A320" s="1"/>
      <c r="B320" t="str" cm="1">
        <f t="array" ref="B320">IF(ISBLANK(INDEX(SampleList[XRD],ROW()-1)),"Not Requested",INDEX(SampleList[Experiment ID],ROW()-1))</f>
        <v>Not Requested</v>
      </c>
      <c r="C320">
        <f>SampleList[[#This Row],[Sample Description]]</f>
        <v>0</v>
      </c>
      <c r="D320">
        <f>SampleList[[#This Row],[Duration (Days)]]</f>
        <v>0</v>
      </c>
    </row>
    <row r="321" spans="1:4" hidden="1" x14ac:dyDescent="0.25">
      <c r="A321" s="1"/>
      <c r="B321" t="str" cm="1">
        <f t="array" ref="B321">IF(ISBLANK(INDEX(SampleList[XRD],ROW()-1)),"Not Requested",INDEX(SampleList[Experiment ID],ROW()-1))</f>
        <v>Not Requested</v>
      </c>
      <c r="C321">
        <f>SampleList[[#This Row],[Sample Description]]</f>
        <v>0</v>
      </c>
      <c r="D321">
        <f>SampleList[[#This Row],[Duration (Days)]]</f>
        <v>0</v>
      </c>
    </row>
    <row r="322" spans="1:4" hidden="1" x14ac:dyDescent="0.25">
      <c r="A322" s="1"/>
      <c r="B322" t="str" cm="1">
        <f t="array" ref="B322">IF(ISBLANK(INDEX(SampleList[XRD],ROW()-1)),"Not Requested",INDEX(SampleList[Experiment ID],ROW()-1))</f>
        <v>Not Requested</v>
      </c>
      <c r="C322">
        <f>SampleList[[#This Row],[Sample Description]]</f>
        <v>0</v>
      </c>
      <c r="D322">
        <f>SampleList[[#This Row],[Duration (Days)]]</f>
        <v>0</v>
      </c>
    </row>
    <row r="323" spans="1:4" hidden="1" x14ac:dyDescent="0.25">
      <c r="A323" s="1"/>
      <c r="B323" t="str" cm="1">
        <f t="array" ref="B323">IF(ISBLANK(INDEX(SampleList[XRD],ROW()-1)),"Not Requested",INDEX(SampleList[Experiment ID],ROW()-1))</f>
        <v>Not Requested</v>
      </c>
      <c r="C323">
        <f>SampleList[[#This Row],[Sample Description]]</f>
        <v>0</v>
      </c>
      <c r="D323">
        <f>SampleList[[#This Row],[Duration (Days)]]</f>
        <v>0</v>
      </c>
    </row>
    <row r="324" spans="1:4" hidden="1" x14ac:dyDescent="0.25">
      <c r="A324" s="1"/>
      <c r="B324" t="str" cm="1">
        <f t="array" ref="B324">IF(ISBLANK(INDEX(SampleList[XRD],ROW()-1)),"Not Requested",INDEX(SampleList[Experiment ID],ROW()-1))</f>
        <v>Not Requested</v>
      </c>
      <c r="C324">
        <f>SampleList[[#This Row],[Sample Description]]</f>
        <v>0</v>
      </c>
      <c r="D324">
        <f>SampleList[[#This Row],[Duration (Days)]]</f>
        <v>0</v>
      </c>
    </row>
    <row r="325" spans="1:4" hidden="1" x14ac:dyDescent="0.25">
      <c r="A325" s="1"/>
      <c r="B325" t="str" cm="1">
        <f t="array" ref="B325">IF(ISBLANK(INDEX(SampleList[XRD],ROW()-1)),"Not Requested",INDEX(SampleList[Experiment ID],ROW()-1))</f>
        <v>Not Requested</v>
      </c>
      <c r="C325">
        <f>SampleList[[#This Row],[Sample Description]]</f>
        <v>0</v>
      </c>
      <c r="D325">
        <f>SampleList[[#This Row],[Duration (Days)]]</f>
        <v>0</v>
      </c>
    </row>
    <row r="326" spans="1:4" hidden="1" x14ac:dyDescent="0.25">
      <c r="A326" s="1"/>
      <c r="B326" t="str" cm="1">
        <f t="array" ref="B326">IF(ISBLANK(INDEX(SampleList[XRD],ROW()-1)),"Not Requested",INDEX(SampleList[Experiment ID],ROW()-1))</f>
        <v>Not Requested</v>
      </c>
      <c r="C326">
        <f>SampleList[[#This Row],[Sample Description]]</f>
        <v>0</v>
      </c>
      <c r="D326">
        <f>SampleList[[#This Row],[Duration (Days)]]</f>
        <v>0</v>
      </c>
    </row>
    <row r="327" spans="1:4" hidden="1" x14ac:dyDescent="0.25">
      <c r="A327" s="1"/>
      <c r="B327" t="str" cm="1">
        <f t="array" ref="B327">IF(ISBLANK(INDEX(SampleList[XRD],ROW()-1)),"Not Requested",INDEX(SampleList[Experiment ID],ROW()-1))</f>
        <v>Not Requested</v>
      </c>
      <c r="C327">
        <f>SampleList[[#This Row],[Sample Description]]</f>
        <v>0</v>
      </c>
      <c r="D327">
        <f>SampleList[[#This Row],[Duration (Days)]]</f>
        <v>0</v>
      </c>
    </row>
    <row r="328" spans="1:4" hidden="1" x14ac:dyDescent="0.25">
      <c r="A328" s="1"/>
      <c r="B328" t="str" cm="1">
        <f t="array" ref="B328">IF(ISBLANK(INDEX(SampleList[XRD],ROW()-1)),"Not Requested",INDEX(SampleList[Experiment ID],ROW()-1))</f>
        <v>Not Requested</v>
      </c>
      <c r="C328">
        <f>SampleList[[#This Row],[Sample Description]]</f>
        <v>0</v>
      </c>
      <c r="D328">
        <f>SampleList[[#This Row],[Duration (Days)]]</f>
        <v>0</v>
      </c>
    </row>
    <row r="329" spans="1:4" hidden="1" x14ac:dyDescent="0.25">
      <c r="A329" s="1"/>
      <c r="B329" t="str" cm="1">
        <f t="array" ref="B329">IF(ISBLANK(INDEX(SampleList[XRD],ROW()-1)),"Not Requested",INDEX(SampleList[Experiment ID],ROW()-1))</f>
        <v>Not Requested</v>
      </c>
      <c r="C329">
        <f>SampleList[[#This Row],[Sample Description]]</f>
        <v>0</v>
      </c>
      <c r="D329">
        <f>SampleList[[#This Row],[Duration (Days)]]</f>
        <v>0</v>
      </c>
    </row>
    <row r="330" spans="1:4" hidden="1" x14ac:dyDescent="0.25">
      <c r="A330" s="1"/>
      <c r="B330" t="str" cm="1">
        <f t="array" ref="B330">IF(ISBLANK(INDEX(SampleList[XRD],ROW()-1)),"Not Requested",INDEX(SampleList[Experiment ID],ROW()-1))</f>
        <v>Not Requested</v>
      </c>
      <c r="C330">
        <f>SampleList[[#This Row],[Sample Description]]</f>
        <v>0</v>
      </c>
      <c r="D330">
        <f>SampleList[[#This Row],[Duration (Days)]]</f>
        <v>0</v>
      </c>
    </row>
    <row r="331" spans="1:4" hidden="1" x14ac:dyDescent="0.25">
      <c r="A331" s="1"/>
      <c r="B331" t="str" cm="1">
        <f t="array" ref="B331">IF(ISBLANK(INDEX(SampleList[XRD],ROW()-1)),"Not Requested",INDEX(SampleList[Experiment ID],ROW()-1))</f>
        <v>Not Requested</v>
      </c>
      <c r="C331">
        <f>SampleList[[#This Row],[Sample Description]]</f>
        <v>0</v>
      </c>
      <c r="D331">
        <f>SampleList[[#This Row],[Duration (Days)]]</f>
        <v>0</v>
      </c>
    </row>
    <row r="332" spans="1:4" hidden="1" x14ac:dyDescent="0.25">
      <c r="A332" s="1"/>
      <c r="B332" t="str" cm="1">
        <f t="array" ref="B332">IF(ISBLANK(INDEX(SampleList[XRD],ROW()-1)),"Not Requested",INDEX(SampleList[Experiment ID],ROW()-1))</f>
        <v>Not Requested</v>
      </c>
      <c r="C332">
        <f>SampleList[[#This Row],[Sample Description]]</f>
        <v>0</v>
      </c>
      <c r="D332">
        <f>SampleList[[#This Row],[Duration (Days)]]</f>
        <v>0</v>
      </c>
    </row>
    <row r="333" spans="1:4" hidden="1" x14ac:dyDescent="0.25">
      <c r="A333" s="1"/>
      <c r="B333" t="str" cm="1">
        <f t="array" ref="B333">IF(ISBLANK(INDEX(SampleList[XRD],ROW()-1)),"Not Requested",INDEX(SampleList[Experiment ID],ROW()-1))</f>
        <v>Not Requested</v>
      </c>
      <c r="C333">
        <f>SampleList[[#This Row],[Sample Description]]</f>
        <v>0</v>
      </c>
      <c r="D333">
        <f>SampleList[[#This Row],[Duration (Days)]]</f>
        <v>0</v>
      </c>
    </row>
    <row r="334" spans="1:4" hidden="1" x14ac:dyDescent="0.25">
      <c r="A334" s="1"/>
      <c r="B334" t="str" cm="1">
        <f t="array" ref="B334">IF(ISBLANK(INDEX(SampleList[XRD],ROW()-1)),"Not Requested",INDEX(SampleList[Experiment ID],ROW()-1))</f>
        <v>Not Requested</v>
      </c>
      <c r="C334">
        <f>SampleList[[#This Row],[Sample Description]]</f>
        <v>0</v>
      </c>
      <c r="D334">
        <f>SampleList[[#This Row],[Duration (Days)]]</f>
        <v>0</v>
      </c>
    </row>
    <row r="335" spans="1:4" hidden="1" x14ac:dyDescent="0.25">
      <c r="A335" s="1"/>
      <c r="B335" t="str" cm="1">
        <f t="array" ref="B335">IF(ISBLANK(INDEX(SampleList[XRD],ROW()-1)),"Not Requested",INDEX(SampleList[Experiment ID],ROW()-1))</f>
        <v>Not Requested</v>
      </c>
      <c r="C335">
        <f>SampleList[[#This Row],[Sample Description]]</f>
        <v>0</v>
      </c>
      <c r="D335">
        <f>SampleList[[#This Row],[Duration (Days)]]</f>
        <v>0</v>
      </c>
    </row>
    <row r="336" spans="1:4" hidden="1" x14ac:dyDescent="0.25">
      <c r="A336" s="1"/>
      <c r="B336" t="str" cm="1">
        <f t="array" ref="B336">IF(ISBLANK(INDEX(SampleList[XRD],ROW()-1)),"Not Requested",INDEX(SampleList[Experiment ID],ROW()-1))</f>
        <v>Not Requested</v>
      </c>
      <c r="C336">
        <f>SampleList[[#This Row],[Sample Description]]</f>
        <v>0</v>
      </c>
      <c r="D336">
        <f>SampleList[[#This Row],[Duration (Days)]]</f>
        <v>0</v>
      </c>
    </row>
    <row r="337" spans="1:4" hidden="1" x14ac:dyDescent="0.25">
      <c r="A337" s="1"/>
      <c r="B337" t="str" cm="1">
        <f t="array" ref="B337">IF(ISBLANK(INDEX(SampleList[XRD],ROW()-1)),"Not Requested",INDEX(SampleList[Experiment ID],ROW()-1))</f>
        <v>Not Requested</v>
      </c>
      <c r="C337">
        <f>SampleList[[#This Row],[Sample Description]]</f>
        <v>0</v>
      </c>
      <c r="D337">
        <f>SampleList[[#This Row],[Duration (Days)]]</f>
        <v>0</v>
      </c>
    </row>
    <row r="338" spans="1:4" hidden="1" x14ac:dyDescent="0.25">
      <c r="A338" s="1"/>
      <c r="B338" t="str" cm="1">
        <f t="array" ref="B338">IF(ISBLANK(INDEX(SampleList[XRD],ROW()-1)),"Not Requested",INDEX(SampleList[Experiment ID],ROW()-1))</f>
        <v>Not Requested</v>
      </c>
      <c r="C338">
        <f>SampleList[[#This Row],[Sample Description]]</f>
        <v>0</v>
      </c>
      <c r="D338">
        <f>SampleList[[#This Row],[Duration (Days)]]</f>
        <v>0</v>
      </c>
    </row>
    <row r="339" spans="1:4" hidden="1" x14ac:dyDescent="0.25">
      <c r="A339" s="1"/>
      <c r="B339" t="str" cm="1">
        <f t="array" ref="B339">IF(ISBLANK(INDEX(SampleList[XRD],ROW()-1)),"Not Requested",INDEX(SampleList[Experiment ID],ROW()-1))</f>
        <v>Not Requested</v>
      </c>
      <c r="C339">
        <f>SampleList[[#This Row],[Sample Description]]</f>
        <v>0</v>
      </c>
      <c r="D339">
        <f>SampleList[[#This Row],[Duration (Days)]]</f>
        <v>0</v>
      </c>
    </row>
    <row r="340" spans="1:4" hidden="1" x14ac:dyDescent="0.25">
      <c r="A340" s="1"/>
      <c r="B340" t="str" cm="1">
        <f t="array" ref="B340">IF(ISBLANK(INDEX(SampleList[XRD],ROW()-1)),"Not Requested",INDEX(SampleList[Experiment ID],ROW()-1))</f>
        <v>Not Requested</v>
      </c>
      <c r="C340">
        <f>SampleList[[#This Row],[Sample Description]]</f>
        <v>0</v>
      </c>
      <c r="D340">
        <f>SampleList[[#This Row],[Duration (Days)]]</f>
        <v>0</v>
      </c>
    </row>
    <row r="341" spans="1:4" hidden="1" x14ac:dyDescent="0.25">
      <c r="A341" s="1"/>
      <c r="B341" t="str" cm="1">
        <f t="array" ref="B341">IF(ISBLANK(INDEX(SampleList[XRD],ROW()-1)),"Not Requested",INDEX(SampleList[Experiment ID],ROW()-1))</f>
        <v>Not Requested</v>
      </c>
      <c r="C341">
        <f>SampleList[[#This Row],[Sample Description]]</f>
        <v>0</v>
      </c>
      <c r="D341">
        <f>SampleList[[#This Row],[Duration (Days)]]</f>
        <v>0</v>
      </c>
    </row>
    <row r="342" spans="1:4" hidden="1" x14ac:dyDescent="0.25">
      <c r="A342" s="1"/>
      <c r="B342" t="str" cm="1">
        <f t="array" ref="B342">IF(ISBLANK(INDEX(SampleList[XRD],ROW()-1)),"Not Requested",INDEX(SampleList[Experiment ID],ROW()-1))</f>
        <v>Not Requested</v>
      </c>
      <c r="C342">
        <f>SampleList[[#This Row],[Sample Description]]</f>
        <v>0</v>
      </c>
      <c r="D342">
        <f>SampleList[[#This Row],[Duration (Days)]]</f>
        <v>0</v>
      </c>
    </row>
    <row r="343" spans="1:4" hidden="1" x14ac:dyDescent="0.25">
      <c r="A343" s="1"/>
      <c r="B343" t="str" cm="1">
        <f t="array" ref="B343">IF(ISBLANK(INDEX(SampleList[XRD],ROW()-1)),"Not Requested",INDEX(SampleList[Experiment ID],ROW()-1))</f>
        <v>Not Requested</v>
      </c>
      <c r="C343">
        <f>SampleList[[#This Row],[Sample Description]]</f>
        <v>0</v>
      </c>
      <c r="D343">
        <f>SampleList[[#This Row],[Duration (Days)]]</f>
        <v>0</v>
      </c>
    </row>
    <row r="344" spans="1:4" hidden="1" x14ac:dyDescent="0.25">
      <c r="A344" s="1"/>
      <c r="B344" t="str" cm="1">
        <f t="array" ref="B344">IF(ISBLANK(INDEX(SampleList[XRD],ROW()-1)),"Not Requested",INDEX(SampleList[Experiment ID],ROW()-1))</f>
        <v>Not Requested</v>
      </c>
      <c r="C344">
        <f>SampleList[[#This Row],[Sample Description]]</f>
        <v>0</v>
      </c>
      <c r="D344">
        <f>SampleList[[#This Row],[Duration (Days)]]</f>
        <v>0</v>
      </c>
    </row>
    <row r="345" spans="1:4" hidden="1" x14ac:dyDescent="0.25">
      <c r="A345" s="1"/>
      <c r="B345" t="str" cm="1">
        <f t="array" ref="B345">IF(ISBLANK(INDEX(SampleList[XRD],ROW()-1)),"Not Requested",INDEX(SampleList[Experiment ID],ROW()-1))</f>
        <v>Not Requested</v>
      </c>
      <c r="C345">
        <f>SampleList[[#This Row],[Sample Description]]</f>
        <v>0</v>
      </c>
      <c r="D345">
        <f>SampleList[[#This Row],[Duration (Days)]]</f>
        <v>0</v>
      </c>
    </row>
    <row r="346" spans="1:4" hidden="1" x14ac:dyDescent="0.25">
      <c r="A346" s="1"/>
      <c r="B346" t="str" cm="1">
        <f t="array" ref="B346">IF(ISBLANK(INDEX(SampleList[XRD],ROW()-1)),"Not Requested",INDEX(SampleList[Experiment ID],ROW()-1))</f>
        <v>Not Requested</v>
      </c>
      <c r="C346">
        <f>SampleList[[#This Row],[Sample Description]]</f>
        <v>0</v>
      </c>
      <c r="D346">
        <f>SampleList[[#This Row],[Duration (Days)]]</f>
        <v>0</v>
      </c>
    </row>
    <row r="347" spans="1:4" hidden="1" x14ac:dyDescent="0.25">
      <c r="A347" s="1"/>
      <c r="B347" t="str" cm="1">
        <f t="array" ref="B347">IF(ISBLANK(INDEX(SampleList[XRD],ROW()-1)),"Not Requested",INDEX(SampleList[Experiment ID],ROW()-1))</f>
        <v>Not Requested</v>
      </c>
      <c r="C347">
        <f>SampleList[[#This Row],[Sample Description]]</f>
        <v>0</v>
      </c>
      <c r="D347">
        <f>SampleList[[#This Row],[Duration (Days)]]</f>
        <v>0</v>
      </c>
    </row>
    <row r="348" spans="1:4" hidden="1" x14ac:dyDescent="0.25">
      <c r="A348" s="1"/>
      <c r="B348" t="str" cm="1">
        <f t="array" ref="B348">IF(ISBLANK(INDEX(SampleList[XRD],ROW()-1)),"Not Requested",INDEX(SampleList[Experiment ID],ROW()-1))</f>
        <v>Not Requested</v>
      </c>
      <c r="C348">
        <f>SampleList[[#This Row],[Sample Description]]</f>
        <v>0</v>
      </c>
      <c r="D348">
        <f>SampleList[[#This Row],[Duration (Days)]]</f>
        <v>0</v>
      </c>
    </row>
    <row r="349" spans="1:4" hidden="1" x14ac:dyDescent="0.25">
      <c r="A349" s="1"/>
      <c r="B349" t="str" cm="1">
        <f t="array" ref="B349">IF(ISBLANK(INDEX(SampleList[XRD],ROW()-1)),"Not Requested",INDEX(SampleList[Experiment ID],ROW()-1))</f>
        <v>Not Requested</v>
      </c>
      <c r="C349">
        <f>SampleList[[#This Row],[Sample Description]]</f>
        <v>0</v>
      </c>
      <c r="D349">
        <f>SampleList[[#This Row],[Duration (Days)]]</f>
        <v>0</v>
      </c>
    </row>
    <row r="350" spans="1:4" hidden="1" x14ac:dyDescent="0.25">
      <c r="A350" s="1"/>
      <c r="B350" t="str" cm="1">
        <f t="array" ref="B350">IF(ISBLANK(INDEX(SampleList[XRD],ROW()-1)),"Not Requested",INDEX(SampleList[Experiment ID],ROW()-1))</f>
        <v>Not Requested</v>
      </c>
      <c r="C350">
        <f>SampleList[[#This Row],[Sample Description]]</f>
        <v>0</v>
      </c>
      <c r="D350">
        <f>SampleList[[#This Row],[Duration (Days)]]</f>
        <v>0</v>
      </c>
    </row>
    <row r="351" spans="1:4" hidden="1" x14ac:dyDescent="0.25">
      <c r="A351" s="1"/>
      <c r="B351" t="str" cm="1">
        <f t="array" ref="B351">IF(ISBLANK(INDEX(SampleList[XRD],ROW()-1)),"Not Requested",INDEX(SampleList[Experiment ID],ROW()-1))</f>
        <v>Not Requested</v>
      </c>
      <c r="C351">
        <f>SampleList[[#This Row],[Sample Description]]</f>
        <v>0</v>
      </c>
      <c r="D351">
        <f>SampleList[[#This Row],[Duration (Days)]]</f>
        <v>0</v>
      </c>
    </row>
    <row r="352" spans="1:4" hidden="1" x14ac:dyDescent="0.25">
      <c r="A352" s="1"/>
      <c r="B352" t="str" cm="1">
        <f t="array" ref="B352">IF(ISBLANK(INDEX(SampleList[XRD],ROW()-1)),"Not Requested",INDEX(SampleList[Experiment ID],ROW()-1))</f>
        <v>Not Requested</v>
      </c>
      <c r="C352">
        <f>SampleList[[#This Row],[Sample Description]]</f>
        <v>0</v>
      </c>
      <c r="D352">
        <f>SampleList[[#This Row],[Duration (Days)]]</f>
        <v>0</v>
      </c>
    </row>
    <row r="353" spans="1:4" hidden="1" x14ac:dyDescent="0.25">
      <c r="A353" s="1"/>
      <c r="B353" t="str" cm="1">
        <f t="array" ref="B353">IF(ISBLANK(INDEX(SampleList[XRD],ROW()-1)),"Not Requested",INDEX(SampleList[Experiment ID],ROW()-1))</f>
        <v>Not Requested</v>
      </c>
      <c r="C353">
        <f>SampleList[[#This Row],[Sample Description]]</f>
        <v>0</v>
      </c>
      <c r="D353">
        <f>SampleList[[#This Row],[Duration (Days)]]</f>
        <v>0</v>
      </c>
    </row>
    <row r="354" spans="1:4" hidden="1" x14ac:dyDescent="0.25">
      <c r="A354" s="1"/>
      <c r="B354" t="str" cm="1">
        <f t="array" ref="B354">IF(ISBLANK(INDEX(SampleList[XRD],ROW()-1)),"Not Requested",INDEX(SampleList[Experiment ID],ROW()-1))</f>
        <v>Not Requested</v>
      </c>
      <c r="C354">
        <f>SampleList[[#This Row],[Sample Description]]</f>
        <v>0</v>
      </c>
      <c r="D354">
        <f>SampleList[[#This Row],[Duration (Days)]]</f>
        <v>0</v>
      </c>
    </row>
    <row r="355" spans="1:4" hidden="1" x14ac:dyDescent="0.25">
      <c r="A355" s="1"/>
      <c r="B355" t="str" cm="1">
        <f t="array" ref="B355">IF(ISBLANK(INDEX(SampleList[XRD],ROW()-1)),"Not Requested",INDEX(SampleList[Experiment ID],ROW()-1))</f>
        <v>Not Requested</v>
      </c>
      <c r="C355">
        <f>SampleList[[#This Row],[Sample Description]]</f>
        <v>0</v>
      </c>
      <c r="D355">
        <f>SampleList[[#This Row],[Duration (Days)]]</f>
        <v>0</v>
      </c>
    </row>
    <row r="356" spans="1:4" hidden="1" x14ac:dyDescent="0.25">
      <c r="A356" s="1"/>
      <c r="B356" t="str" cm="1">
        <f t="array" ref="B356">IF(ISBLANK(INDEX(SampleList[XRD],ROW()-1)),"Not Requested",INDEX(SampleList[Experiment ID],ROW()-1))</f>
        <v>Not Requested</v>
      </c>
      <c r="C356">
        <f>SampleList[[#This Row],[Sample Description]]</f>
        <v>0</v>
      </c>
      <c r="D356">
        <f>SampleList[[#This Row],[Duration (Days)]]</f>
        <v>0</v>
      </c>
    </row>
    <row r="357" spans="1:4" hidden="1" x14ac:dyDescent="0.25">
      <c r="A357" s="1"/>
      <c r="B357" t="str" cm="1">
        <f t="array" ref="B357">IF(ISBLANK(INDEX(SampleList[XRD],ROW()-1)),"Not Requested",INDEX(SampleList[Experiment ID],ROW()-1))</f>
        <v>Not Requested</v>
      </c>
      <c r="C357">
        <f>SampleList[[#This Row],[Sample Description]]</f>
        <v>0</v>
      </c>
      <c r="D357">
        <f>SampleList[[#This Row],[Duration (Days)]]</f>
        <v>0</v>
      </c>
    </row>
    <row r="358" spans="1:4" hidden="1" x14ac:dyDescent="0.25">
      <c r="A358" s="1"/>
      <c r="B358" t="str" cm="1">
        <f t="array" ref="B358">IF(ISBLANK(INDEX(SampleList[XRD],ROW()-1)),"Not Requested",INDEX(SampleList[Experiment ID],ROW()-1))</f>
        <v>Not Requested</v>
      </c>
      <c r="C358">
        <f>SampleList[[#This Row],[Sample Description]]</f>
        <v>0</v>
      </c>
      <c r="D358">
        <f>SampleList[[#This Row],[Duration (Days)]]</f>
        <v>0</v>
      </c>
    </row>
    <row r="359" spans="1:4" hidden="1" x14ac:dyDescent="0.25">
      <c r="A359" s="1"/>
      <c r="B359" t="str" cm="1">
        <f t="array" ref="B359">IF(ISBLANK(INDEX(SampleList[XRD],ROW()-1)),"Not Requested",INDEX(SampleList[Experiment ID],ROW()-1))</f>
        <v>Not Requested</v>
      </c>
      <c r="C359">
        <f>SampleList[[#This Row],[Sample Description]]</f>
        <v>0</v>
      </c>
      <c r="D359">
        <f>SampleList[[#This Row],[Duration (Days)]]</f>
        <v>0</v>
      </c>
    </row>
    <row r="360" spans="1:4" hidden="1" x14ac:dyDescent="0.25">
      <c r="A360" s="1"/>
      <c r="B360" t="str" cm="1">
        <f t="array" ref="B360">IF(ISBLANK(INDEX(SampleList[XRD],ROW()-1)),"Not Requested",INDEX(SampleList[Experiment ID],ROW()-1))</f>
        <v>Not Requested</v>
      </c>
      <c r="C360">
        <f>SampleList[[#This Row],[Sample Description]]</f>
        <v>0</v>
      </c>
      <c r="D360">
        <f>SampleList[[#This Row],[Duration (Days)]]</f>
        <v>0</v>
      </c>
    </row>
    <row r="361" spans="1:4" hidden="1" x14ac:dyDescent="0.25">
      <c r="A361" s="1"/>
      <c r="B361" t="str" cm="1">
        <f t="array" ref="B361">IF(ISBLANK(INDEX(SampleList[XRD],ROW()-1)),"Not Requested",INDEX(SampleList[Experiment ID],ROW()-1))</f>
        <v>Not Requested</v>
      </c>
      <c r="C361">
        <f>SampleList[[#This Row],[Sample Description]]</f>
        <v>0</v>
      </c>
      <c r="D361">
        <f>SampleList[[#This Row],[Duration (Days)]]</f>
        <v>0</v>
      </c>
    </row>
    <row r="362" spans="1:4" hidden="1" x14ac:dyDescent="0.25">
      <c r="A362" s="1"/>
      <c r="B362" t="str" cm="1">
        <f t="array" ref="B362">IF(ISBLANK(INDEX(SampleList[XRD],ROW()-1)),"Not Requested",INDEX(SampleList[Experiment ID],ROW()-1))</f>
        <v>Not Requested</v>
      </c>
      <c r="C362">
        <f>SampleList[[#This Row],[Sample Description]]</f>
        <v>0</v>
      </c>
      <c r="D362">
        <f>SampleList[[#This Row],[Duration (Days)]]</f>
        <v>0</v>
      </c>
    </row>
    <row r="363" spans="1:4" hidden="1" x14ac:dyDescent="0.25">
      <c r="A363" s="1"/>
      <c r="B363" t="str" cm="1">
        <f t="array" ref="B363">IF(ISBLANK(INDEX(SampleList[XRD],ROW()-1)),"Not Requested",INDEX(SampleList[Experiment ID],ROW()-1))</f>
        <v>Not Requested</v>
      </c>
      <c r="C363">
        <f>SampleList[[#This Row],[Sample Description]]</f>
        <v>0</v>
      </c>
      <c r="D363">
        <f>SampleList[[#This Row],[Duration (Days)]]</f>
        <v>0</v>
      </c>
    </row>
    <row r="364" spans="1:4" hidden="1" x14ac:dyDescent="0.25">
      <c r="A364" s="1"/>
      <c r="B364" t="str" cm="1">
        <f t="array" ref="B364">IF(ISBLANK(INDEX(SampleList[XRD],ROW()-1)),"Not Requested",INDEX(SampleList[Experiment ID],ROW()-1))</f>
        <v>Not Requested</v>
      </c>
      <c r="C364">
        <f>SampleList[[#This Row],[Sample Description]]</f>
        <v>0</v>
      </c>
      <c r="D364">
        <f>SampleList[[#This Row],[Duration (Days)]]</f>
        <v>0</v>
      </c>
    </row>
    <row r="365" spans="1:4" hidden="1" x14ac:dyDescent="0.25">
      <c r="A365" s="1"/>
      <c r="B365" t="str" cm="1">
        <f t="array" ref="B365">IF(ISBLANK(INDEX(SampleList[XRD],ROW()-1)),"Not Requested",INDEX(SampleList[Experiment ID],ROW()-1))</f>
        <v>Not Requested</v>
      </c>
      <c r="C365">
        <f>SampleList[[#This Row],[Sample Description]]</f>
        <v>0</v>
      </c>
      <c r="D365">
        <f>SampleList[[#This Row],[Duration (Days)]]</f>
        <v>0</v>
      </c>
    </row>
    <row r="366" spans="1:4" hidden="1" x14ac:dyDescent="0.25">
      <c r="A366" s="1"/>
      <c r="B366" t="str" cm="1">
        <f t="array" ref="B366">IF(ISBLANK(INDEX(SampleList[XRD],ROW()-1)),"Not Requested",INDEX(SampleList[Experiment ID],ROW()-1))</f>
        <v>Not Requested</v>
      </c>
      <c r="C366">
        <f>SampleList[[#This Row],[Sample Description]]</f>
        <v>0</v>
      </c>
      <c r="D366">
        <f>SampleList[[#This Row],[Duration (Days)]]</f>
        <v>0</v>
      </c>
    </row>
    <row r="367" spans="1:4" hidden="1" x14ac:dyDescent="0.25">
      <c r="A367" s="1"/>
      <c r="B367" t="str" cm="1">
        <f t="array" ref="B367">IF(ISBLANK(INDEX(SampleList[XRD],ROW()-1)),"Not Requested",INDEX(SampleList[Experiment ID],ROW()-1))</f>
        <v>Not Requested</v>
      </c>
      <c r="C367">
        <f>SampleList[[#This Row],[Sample Description]]</f>
        <v>0</v>
      </c>
      <c r="D367">
        <f>SampleList[[#This Row],[Duration (Days)]]</f>
        <v>0</v>
      </c>
    </row>
    <row r="368" spans="1:4" hidden="1" x14ac:dyDescent="0.25">
      <c r="A368" s="1"/>
      <c r="B368" t="str" cm="1">
        <f t="array" ref="B368">IF(ISBLANK(INDEX(SampleList[XRD],ROW()-1)),"Not Requested",INDEX(SampleList[Experiment ID],ROW()-1))</f>
        <v>Not Requested</v>
      </c>
      <c r="C368">
        <f>SampleList[[#This Row],[Sample Description]]</f>
        <v>0</v>
      </c>
      <c r="D368">
        <f>SampleList[[#This Row],[Duration (Days)]]</f>
        <v>0</v>
      </c>
    </row>
    <row r="369" spans="1:4" hidden="1" x14ac:dyDescent="0.25">
      <c r="A369" s="1"/>
      <c r="B369" t="str" cm="1">
        <f t="array" ref="B369">IF(ISBLANK(INDEX(SampleList[XRD],ROW()-1)),"Not Requested",INDEX(SampleList[Experiment ID],ROW()-1))</f>
        <v>Not Requested</v>
      </c>
      <c r="C369">
        <f>SampleList[[#This Row],[Sample Description]]</f>
        <v>0</v>
      </c>
      <c r="D369">
        <f>SampleList[[#This Row],[Duration (Days)]]</f>
        <v>0</v>
      </c>
    </row>
    <row r="370" spans="1:4" hidden="1" x14ac:dyDescent="0.25">
      <c r="A370" s="1"/>
      <c r="B370" t="str" cm="1">
        <f t="array" ref="B370">IF(ISBLANK(INDEX(SampleList[XRD],ROW()-1)),"Not Requested",INDEX(SampleList[Experiment ID],ROW()-1))</f>
        <v>Not Requested</v>
      </c>
      <c r="C370">
        <f>SampleList[[#This Row],[Sample Description]]</f>
        <v>0</v>
      </c>
      <c r="D370">
        <f>SampleList[[#This Row],[Duration (Days)]]</f>
        <v>0</v>
      </c>
    </row>
    <row r="371" spans="1:4" hidden="1" x14ac:dyDescent="0.25">
      <c r="A371" s="1"/>
      <c r="B371" t="str" cm="1">
        <f t="array" ref="B371">IF(ISBLANK(INDEX(SampleList[XRD],ROW()-1)),"Not Requested",INDEX(SampleList[Experiment ID],ROW()-1))</f>
        <v>Not Requested</v>
      </c>
      <c r="C371">
        <f>SampleList[[#This Row],[Sample Description]]</f>
        <v>0</v>
      </c>
      <c r="D371">
        <f>SampleList[[#This Row],[Duration (Days)]]</f>
        <v>0</v>
      </c>
    </row>
    <row r="372" spans="1:4" hidden="1" x14ac:dyDescent="0.25">
      <c r="A372" s="1"/>
      <c r="B372" t="str" cm="1">
        <f t="array" ref="B372">IF(ISBLANK(INDEX(SampleList[XRD],ROW()-1)),"Not Requested",INDEX(SampleList[Experiment ID],ROW()-1))</f>
        <v>Not Requested</v>
      </c>
      <c r="C372">
        <f>SampleList[[#This Row],[Sample Description]]</f>
        <v>0</v>
      </c>
      <c r="D372">
        <f>SampleList[[#This Row],[Duration (Days)]]</f>
        <v>0</v>
      </c>
    </row>
    <row r="373" spans="1:4" hidden="1" x14ac:dyDescent="0.25">
      <c r="A373" s="1"/>
      <c r="B373" t="str" cm="1">
        <f t="array" ref="B373">IF(ISBLANK(INDEX(SampleList[XRD],ROW()-1)),"Not Requested",INDEX(SampleList[Experiment ID],ROW()-1))</f>
        <v>Not Requested</v>
      </c>
      <c r="C373">
        <f>SampleList[[#This Row],[Sample Description]]</f>
        <v>0</v>
      </c>
      <c r="D373">
        <f>SampleList[[#This Row],[Duration (Days)]]</f>
        <v>0</v>
      </c>
    </row>
    <row r="374" spans="1:4" hidden="1" x14ac:dyDescent="0.25">
      <c r="A374" s="1"/>
      <c r="B374" t="str" cm="1">
        <f t="array" ref="B374">IF(ISBLANK(INDEX(SampleList[XRD],ROW()-1)),"Not Requested",INDEX(SampleList[Experiment ID],ROW()-1))</f>
        <v>Not Requested</v>
      </c>
      <c r="C374">
        <f>SampleList[[#This Row],[Sample Description]]</f>
        <v>0</v>
      </c>
      <c r="D374">
        <f>SampleList[[#This Row],[Duration (Days)]]</f>
        <v>0</v>
      </c>
    </row>
    <row r="375" spans="1:4" hidden="1" x14ac:dyDescent="0.25">
      <c r="A375" s="1"/>
      <c r="B375" t="str" cm="1">
        <f t="array" ref="B375">IF(ISBLANK(INDEX(SampleList[XRD],ROW()-1)),"Not Requested",INDEX(SampleList[Experiment ID],ROW()-1))</f>
        <v>Not Requested</v>
      </c>
      <c r="C375">
        <f>SampleList[[#This Row],[Sample Description]]</f>
        <v>0</v>
      </c>
      <c r="D375">
        <f>SampleList[[#This Row],[Duration (Days)]]</f>
        <v>0</v>
      </c>
    </row>
    <row r="376" spans="1:4" hidden="1" x14ac:dyDescent="0.25">
      <c r="A376" s="1"/>
      <c r="B376" t="str" cm="1">
        <f t="array" ref="B376">IF(ISBLANK(INDEX(SampleList[XRD],ROW()-1)),"Not Requested",INDEX(SampleList[Experiment ID],ROW()-1))</f>
        <v>Not Requested</v>
      </c>
      <c r="C376">
        <f>SampleList[[#This Row],[Sample Description]]</f>
        <v>0</v>
      </c>
      <c r="D376">
        <f>SampleList[[#This Row],[Duration (Days)]]</f>
        <v>0</v>
      </c>
    </row>
    <row r="377" spans="1:4" hidden="1" x14ac:dyDescent="0.25">
      <c r="A377" s="1"/>
      <c r="B377" t="str" cm="1">
        <f t="array" ref="B377">IF(ISBLANK(INDEX(SampleList[XRD],ROW()-1)),"Not Requested",INDEX(SampleList[Experiment ID],ROW()-1))</f>
        <v>Not Requested</v>
      </c>
      <c r="C377">
        <f>SampleList[[#This Row],[Sample Description]]</f>
        <v>0</v>
      </c>
      <c r="D377">
        <f>SampleList[[#This Row],[Duration (Days)]]</f>
        <v>0</v>
      </c>
    </row>
    <row r="378" spans="1:4" hidden="1" x14ac:dyDescent="0.25">
      <c r="A378" s="1"/>
      <c r="B378" t="str" cm="1">
        <f t="array" ref="B378">IF(ISBLANK(INDEX(SampleList[XRD],ROW()-1)),"Not Requested",INDEX(SampleList[Experiment ID],ROW()-1))</f>
        <v>Not Requested</v>
      </c>
      <c r="C378">
        <f>SampleList[[#This Row],[Sample Description]]</f>
        <v>0</v>
      </c>
      <c r="D378">
        <f>SampleList[[#This Row],[Duration (Days)]]</f>
        <v>0</v>
      </c>
    </row>
    <row r="379" spans="1:4" hidden="1" x14ac:dyDescent="0.25">
      <c r="A379" s="1"/>
      <c r="B379" t="str" cm="1">
        <f t="array" ref="B379">IF(ISBLANK(INDEX(SampleList[XRD],ROW()-1)),"Not Requested",INDEX(SampleList[Experiment ID],ROW()-1))</f>
        <v>Not Requested</v>
      </c>
      <c r="C379">
        <f>SampleList[[#This Row],[Sample Description]]</f>
        <v>0</v>
      </c>
      <c r="D379">
        <f>SampleList[[#This Row],[Duration (Days)]]</f>
        <v>0</v>
      </c>
    </row>
    <row r="380" spans="1:4" hidden="1" x14ac:dyDescent="0.25">
      <c r="A380" s="1"/>
      <c r="B380" t="str" cm="1">
        <f t="array" ref="B380">IF(ISBLANK(INDEX(SampleList[XRD],ROW()-1)),"Not Requested",INDEX(SampleList[Experiment ID],ROW()-1))</f>
        <v>Not Requested</v>
      </c>
      <c r="C380">
        <f>SampleList[[#This Row],[Sample Description]]</f>
        <v>0</v>
      </c>
      <c r="D380">
        <f>SampleList[[#This Row],[Duration (Days)]]</f>
        <v>0</v>
      </c>
    </row>
    <row r="381" spans="1:4" hidden="1" x14ac:dyDescent="0.25">
      <c r="A381" s="1"/>
      <c r="B381" t="str" cm="1">
        <f t="array" ref="B381">IF(ISBLANK(INDEX(SampleList[XRD],ROW()-1)),"Not Requested",INDEX(SampleList[Experiment ID],ROW()-1))</f>
        <v>Not Requested</v>
      </c>
      <c r="C381">
        <f>SampleList[[#This Row],[Sample Description]]</f>
        <v>0</v>
      </c>
      <c r="D381">
        <f>SampleList[[#This Row],[Duration (Days)]]</f>
        <v>0</v>
      </c>
    </row>
    <row r="382" spans="1:4" hidden="1" x14ac:dyDescent="0.25">
      <c r="A382" s="1"/>
      <c r="B382" t="str" cm="1">
        <f t="array" ref="B382">IF(ISBLANK(INDEX(SampleList[XRD],ROW()-1)),"Not Requested",INDEX(SampleList[Experiment ID],ROW()-1))</f>
        <v>Not Requested</v>
      </c>
      <c r="C382">
        <f>SampleList[[#This Row],[Sample Description]]</f>
        <v>0</v>
      </c>
      <c r="D382">
        <f>SampleList[[#This Row],[Duration (Days)]]</f>
        <v>0</v>
      </c>
    </row>
    <row r="383" spans="1:4" hidden="1" x14ac:dyDescent="0.25">
      <c r="A383" s="1"/>
      <c r="B383" t="str" cm="1">
        <f t="array" ref="B383">IF(ISBLANK(INDEX(SampleList[XRD],ROW()-1)),"Not Requested",INDEX(SampleList[Experiment ID],ROW()-1))</f>
        <v>Not Requested</v>
      </c>
      <c r="C383">
        <f>SampleList[[#This Row],[Sample Description]]</f>
        <v>0</v>
      </c>
      <c r="D383">
        <f>SampleList[[#This Row],[Duration (Days)]]</f>
        <v>0</v>
      </c>
    </row>
    <row r="384" spans="1:4" hidden="1" x14ac:dyDescent="0.25">
      <c r="A384" s="1"/>
      <c r="B384" t="str" cm="1">
        <f t="array" ref="B384">IF(ISBLANK(INDEX(SampleList[XRD],ROW()-1)),"Not Requested",INDEX(SampleList[Experiment ID],ROW()-1))</f>
        <v>Not Requested</v>
      </c>
      <c r="C384">
        <f>SampleList[[#This Row],[Sample Description]]</f>
        <v>0</v>
      </c>
      <c r="D384">
        <f>SampleList[[#This Row],[Duration (Days)]]</f>
        <v>0</v>
      </c>
    </row>
    <row r="385" spans="1:4" hidden="1" x14ac:dyDescent="0.25">
      <c r="A385" s="1"/>
      <c r="B385" t="str" cm="1">
        <f t="array" ref="B385">IF(ISBLANK(INDEX(SampleList[XRD],ROW()-1)),"Not Requested",INDEX(SampleList[Experiment ID],ROW()-1))</f>
        <v>Not Requested</v>
      </c>
      <c r="C385">
        <f>SampleList[[#This Row],[Sample Description]]</f>
        <v>0</v>
      </c>
      <c r="D385">
        <f>SampleList[[#This Row],[Duration (Days)]]</f>
        <v>0</v>
      </c>
    </row>
    <row r="386" spans="1:4" hidden="1" x14ac:dyDescent="0.25">
      <c r="A386" s="1"/>
      <c r="B386" t="str" cm="1">
        <f t="array" ref="B386">IF(ISBLANK(INDEX(SampleList[XRD],ROW()-1)),"Not Requested",INDEX(SampleList[Experiment ID],ROW()-1))</f>
        <v>Not Requested</v>
      </c>
      <c r="C386">
        <f>SampleList[[#This Row],[Sample Description]]</f>
        <v>0</v>
      </c>
      <c r="D386">
        <f>SampleList[[#This Row],[Duration (Days)]]</f>
        <v>0</v>
      </c>
    </row>
    <row r="387" spans="1:4" hidden="1" x14ac:dyDescent="0.25">
      <c r="A387" s="1"/>
      <c r="B387" t="str" cm="1">
        <f t="array" ref="B387">IF(ISBLANK(INDEX(SampleList[XRD],ROW()-1)),"Not Requested",INDEX(SampleList[Experiment ID],ROW()-1))</f>
        <v>Not Requested</v>
      </c>
      <c r="C387">
        <f>SampleList[[#This Row],[Sample Description]]</f>
        <v>0</v>
      </c>
      <c r="D387">
        <f>SampleList[[#This Row],[Duration (Days)]]</f>
        <v>0</v>
      </c>
    </row>
    <row r="388" spans="1:4" hidden="1" x14ac:dyDescent="0.25">
      <c r="A388" s="1"/>
      <c r="B388" t="str" cm="1">
        <f t="array" ref="B388">IF(ISBLANK(INDEX(SampleList[XRD],ROW()-1)),"Not Requested",INDEX(SampleList[Experiment ID],ROW()-1))</f>
        <v>Not Requested</v>
      </c>
      <c r="C388">
        <f>SampleList[[#This Row],[Sample Description]]</f>
        <v>0</v>
      </c>
      <c r="D388">
        <f>SampleList[[#This Row],[Duration (Days)]]</f>
        <v>0</v>
      </c>
    </row>
    <row r="389" spans="1:4" hidden="1" x14ac:dyDescent="0.25">
      <c r="A389" s="1"/>
      <c r="B389" t="str" cm="1">
        <f t="array" ref="B389">IF(ISBLANK(INDEX(SampleList[XRD],ROW()-1)),"Not Requested",INDEX(SampleList[Experiment ID],ROW()-1))</f>
        <v>Not Requested</v>
      </c>
      <c r="C389">
        <f>SampleList[[#This Row],[Sample Description]]</f>
        <v>0</v>
      </c>
      <c r="D389">
        <f>SampleList[[#This Row],[Duration (Days)]]</f>
        <v>0</v>
      </c>
    </row>
    <row r="390" spans="1:4" hidden="1" x14ac:dyDescent="0.25">
      <c r="A390" s="1"/>
      <c r="B390" t="str" cm="1">
        <f t="array" ref="B390">IF(ISBLANK(INDEX(SampleList[XRD],ROW()-1)),"Not Requested",INDEX(SampleList[Experiment ID],ROW()-1))</f>
        <v>Not Requested</v>
      </c>
      <c r="C390">
        <f>SampleList[[#This Row],[Sample Description]]</f>
        <v>0</v>
      </c>
      <c r="D390">
        <f>SampleList[[#This Row],[Duration (Days)]]</f>
        <v>0</v>
      </c>
    </row>
    <row r="391" spans="1:4" hidden="1" x14ac:dyDescent="0.25">
      <c r="A391" s="1"/>
      <c r="B391" t="str" cm="1">
        <f t="array" ref="B391">IF(ISBLANK(INDEX(SampleList[XRD],ROW()-1)),"Not Requested",INDEX(SampleList[Experiment ID],ROW()-1))</f>
        <v>Not Requested</v>
      </c>
      <c r="C391">
        <f>SampleList[[#This Row],[Sample Description]]</f>
        <v>0</v>
      </c>
      <c r="D391">
        <f>SampleList[[#This Row],[Duration (Days)]]</f>
        <v>0</v>
      </c>
    </row>
    <row r="392" spans="1:4" hidden="1" x14ac:dyDescent="0.25">
      <c r="A392" s="1"/>
      <c r="B392" t="str" cm="1">
        <f t="array" ref="B392">IF(ISBLANK(INDEX(SampleList[XRD],ROW()-1)),"Not Requested",INDEX(SampleList[Experiment ID],ROW()-1))</f>
        <v>Not Requested</v>
      </c>
      <c r="C392">
        <f>SampleList[[#This Row],[Sample Description]]</f>
        <v>0</v>
      </c>
      <c r="D392">
        <f>SampleList[[#This Row],[Duration (Days)]]</f>
        <v>0</v>
      </c>
    </row>
    <row r="393" spans="1:4" hidden="1" x14ac:dyDescent="0.25">
      <c r="A393" s="1"/>
      <c r="B393" t="str" cm="1">
        <f t="array" ref="B393">IF(ISBLANK(INDEX(SampleList[XRD],ROW()-1)),"Not Requested",INDEX(SampleList[Experiment ID],ROW()-1))</f>
        <v>Not Requested</v>
      </c>
      <c r="C393">
        <f>SampleList[[#This Row],[Sample Description]]</f>
        <v>0</v>
      </c>
      <c r="D393">
        <f>SampleList[[#This Row],[Duration (Days)]]</f>
        <v>0</v>
      </c>
    </row>
    <row r="394" spans="1:4" hidden="1" x14ac:dyDescent="0.25">
      <c r="A394" s="1"/>
      <c r="B394" t="str" cm="1">
        <f t="array" ref="B394">IF(ISBLANK(INDEX(SampleList[XRD],ROW()-1)),"Not Requested",INDEX(SampleList[Experiment ID],ROW()-1))</f>
        <v>Not Requested</v>
      </c>
      <c r="C394">
        <f>SampleList[[#This Row],[Sample Description]]</f>
        <v>0</v>
      </c>
      <c r="D394">
        <f>SampleList[[#This Row],[Duration (Days)]]</f>
        <v>0</v>
      </c>
    </row>
    <row r="395" spans="1:4" hidden="1" x14ac:dyDescent="0.25">
      <c r="A395" s="1"/>
      <c r="B395" t="str" cm="1">
        <f t="array" ref="B395">IF(ISBLANK(INDEX(SampleList[XRD],ROW()-1)),"Not Requested",INDEX(SampleList[Experiment ID],ROW()-1))</f>
        <v>Not Requested</v>
      </c>
      <c r="C395">
        <f>SampleList[[#This Row],[Sample Description]]</f>
        <v>0</v>
      </c>
      <c r="D395">
        <f>SampleList[[#This Row],[Duration (Days)]]</f>
        <v>0</v>
      </c>
    </row>
    <row r="396" spans="1:4" hidden="1" x14ac:dyDescent="0.25">
      <c r="A396" s="1"/>
      <c r="B396" t="str" cm="1">
        <f t="array" ref="B396">IF(ISBLANK(INDEX(SampleList[XRD],ROW()-1)),"Not Requested",INDEX(SampleList[Experiment ID],ROW()-1))</f>
        <v>Not Requested</v>
      </c>
      <c r="C396">
        <f>SampleList[[#This Row],[Sample Description]]</f>
        <v>0</v>
      </c>
      <c r="D396">
        <f>SampleList[[#This Row],[Duration (Days)]]</f>
        <v>0</v>
      </c>
    </row>
    <row r="397" spans="1:4" hidden="1" x14ac:dyDescent="0.25">
      <c r="A397" s="1"/>
      <c r="B397" t="str" cm="1">
        <f t="array" ref="B397">IF(ISBLANK(INDEX(SampleList[XRD],ROW()-1)),"Not Requested",INDEX(SampleList[Experiment ID],ROW()-1))</f>
        <v>Not Requested</v>
      </c>
      <c r="C397">
        <f>SampleList[[#This Row],[Sample Description]]</f>
        <v>0</v>
      </c>
      <c r="D397">
        <f>SampleList[[#This Row],[Duration (Days)]]</f>
        <v>0</v>
      </c>
    </row>
    <row r="398" spans="1:4" hidden="1" x14ac:dyDescent="0.25">
      <c r="A398" s="1"/>
      <c r="B398" t="str" cm="1">
        <f t="array" ref="B398">IF(ISBLANK(INDEX(SampleList[XRD],ROW()-1)),"Not Requested",INDEX(SampleList[Experiment ID],ROW()-1))</f>
        <v>Not Requested</v>
      </c>
      <c r="C398">
        <f>SampleList[[#This Row],[Sample Description]]</f>
        <v>0</v>
      </c>
      <c r="D398">
        <f>SampleList[[#This Row],[Duration (Days)]]</f>
        <v>0</v>
      </c>
    </row>
    <row r="399" spans="1:4" hidden="1" x14ac:dyDescent="0.25">
      <c r="A399" s="1"/>
      <c r="B399" t="str" cm="1">
        <f t="array" ref="B399">IF(ISBLANK(INDEX(SampleList[XRD],ROW()-1)),"Not Requested",INDEX(SampleList[Experiment ID],ROW()-1))</f>
        <v>Not Requested</v>
      </c>
      <c r="C399">
        <f>SampleList[[#This Row],[Sample Description]]</f>
        <v>0</v>
      </c>
      <c r="D399">
        <f>SampleList[[#This Row],[Duration (Days)]]</f>
        <v>0</v>
      </c>
    </row>
    <row r="400" spans="1:4" hidden="1" x14ac:dyDescent="0.25">
      <c r="A400" s="1"/>
      <c r="B400" t="str" cm="1">
        <f t="array" ref="B400">IF(ISBLANK(INDEX(SampleList[XRD],ROW()-1)),"Not Requested",INDEX(SampleList[Experiment ID],ROW()-1))</f>
        <v>Not Requested</v>
      </c>
      <c r="C400">
        <f>SampleList[[#This Row],[Sample Description]]</f>
        <v>0</v>
      </c>
      <c r="D400">
        <f>SampleList[[#This Row],[Duration (Days)]]</f>
        <v>0</v>
      </c>
    </row>
    <row r="401" spans="1:4" hidden="1" x14ac:dyDescent="0.25">
      <c r="A401" s="1"/>
      <c r="B401" t="str" cm="1">
        <f t="array" ref="B401">IF(ISBLANK(INDEX(SampleList[XRD],ROW()-1)),"Not Requested",INDEX(SampleList[Experiment ID],ROW()-1))</f>
        <v>Not Requested</v>
      </c>
      <c r="C401">
        <f>SampleList[[#This Row],[Sample Description]]</f>
        <v>0</v>
      </c>
      <c r="D401">
        <f>SampleList[[#This Row],[Duration (Days)]]</f>
        <v>0</v>
      </c>
    </row>
    <row r="402" spans="1:4" hidden="1" x14ac:dyDescent="0.25">
      <c r="A402" s="1"/>
      <c r="B402" t="str" cm="1">
        <f t="array" ref="B402">IF(ISBLANK(INDEX(SampleList[XRD],ROW()-1)),"Not Requested",INDEX(SampleList[Experiment ID],ROW()-1))</f>
        <v>Not Requested</v>
      </c>
      <c r="C402">
        <f>SampleList[[#This Row],[Sample Description]]</f>
        <v>0</v>
      </c>
      <c r="D402">
        <f>SampleList[[#This Row],[Duration (Days)]]</f>
        <v>0</v>
      </c>
    </row>
    <row r="403" spans="1:4" hidden="1" x14ac:dyDescent="0.25">
      <c r="A403" s="1"/>
      <c r="B403" t="str" cm="1">
        <f t="array" ref="B403">IF(ISBLANK(INDEX(SampleList[XRD],ROW()-1)),"Not Requested",INDEX(SampleList[Experiment ID],ROW()-1))</f>
        <v>Not Requested</v>
      </c>
      <c r="C403">
        <f>SampleList[[#This Row],[Sample Description]]</f>
        <v>0</v>
      </c>
      <c r="D403">
        <f>SampleList[[#This Row],[Duration (Days)]]</f>
        <v>0</v>
      </c>
    </row>
    <row r="404" spans="1:4" hidden="1" x14ac:dyDescent="0.25">
      <c r="A404" s="1"/>
      <c r="B404" t="str" cm="1">
        <f t="array" ref="B404">IF(ISBLANK(INDEX(SampleList[XRD],ROW()-1)),"Not Requested",INDEX(SampleList[Experiment ID],ROW()-1))</f>
        <v>Not Requested</v>
      </c>
      <c r="C404">
        <f>SampleList[[#This Row],[Sample Description]]</f>
        <v>0</v>
      </c>
      <c r="D404">
        <f>SampleList[[#This Row],[Duration (Days)]]</f>
        <v>0</v>
      </c>
    </row>
    <row r="405" spans="1:4" hidden="1" x14ac:dyDescent="0.25">
      <c r="A405" s="1"/>
      <c r="B405" t="str" cm="1">
        <f t="array" ref="B405">IF(ISBLANK(INDEX(SampleList[XRD],ROW()-1)),"Not Requested",INDEX(SampleList[Experiment ID],ROW()-1))</f>
        <v>Not Requested</v>
      </c>
      <c r="C405">
        <f>SampleList[[#This Row],[Sample Description]]</f>
        <v>0</v>
      </c>
      <c r="D405">
        <f>SampleList[[#This Row],[Duration (Days)]]</f>
        <v>0</v>
      </c>
    </row>
    <row r="406" spans="1:4" hidden="1" x14ac:dyDescent="0.25">
      <c r="A406" s="1"/>
      <c r="B406" t="str" cm="1">
        <f t="array" ref="B406">IF(ISBLANK(INDEX(SampleList[XRD],ROW()-1)),"Not Requested",INDEX(SampleList[Experiment ID],ROW()-1))</f>
        <v>Not Requested</v>
      </c>
      <c r="C406">
        <f>SampleList[[#This Row],[Sample Description]]</f>
        <v>0</v>
      </c>
      <c r="D406">
        <f>SampleList[[#This Row],[Duration (Days)]]</f>
        <v>0</v>
      </c>
    </row>
    <row r="407" spans="1:4" hidden="1" x14ac:dyDescent="0.25">
      <c r="A407" s="1"/>
      <c r="B407" t="str" cm="1">
        <f t="array" ref="B407">IF(ISBLANK(INDEX(SampleList[XRD],ROW()-1)),"Not Requested",INDEX(SampleList[Experiment ID],ROW()-1))</f>
        <v>Not Requested</v>
      </c>
      <c r="C407">
        <f>SampleList[[#This Row],[Sample Description]]</f>
        <v>0</v>
      </c>
      <c r="D407">
        <f>SampleList[[#This Row],[Duration (Days)]]</f>
        <v>0</v>
      </c>
    </row>
    <row r="408" spans="1:4" hidden="1" x14ac:dyDescent="0.25">
      <c r="A408" s="1"/>
      <c r="B408" t="str" cm="1">
        <f t="array" ref="B408">IF(ISBLANK(INDEX(SampleList[XRD],ROW()-1)),"Not Requested",INDEX(SampleList[Experiment ID],ROW()-1))</f>
        <v>Not Requested</v>
      </c>
      <c r="C408">
        <f>SampleList[[#This Row],[Sample Description]]</f>
        <v>0</v>
      </c>
      <c r="D408">
        <f>SampleList[[#This Row],[Duration (Days)]]</f>
        <v>0</v>
      </c>
    </row>
    <row r="409" spans="1:4" hidden="1" x14ac:dyDescent="0.25">
      <c r="A409" s="1"/>
      <c r="B409" t="str" cm="1">
        <f t="array" ref="B409">IF(ISBLANK(INDEX(SampleList[XRD],ROW()-1)),"Not Requested",INDEX(SampleList[Experiment ID],ROW()-1))</f>
        <v>Not Requested</v>
      </c>
      <c r="C409">
        <f>SampleList[[#This Row],[Sample Description]]</f>
        <v>0</v>
      </c>
      <c r="D409">
        <f>SampleList[[#This Row],[Duration (Days)]]</f>
        <v>0</v>
      </c>
    </row>
    <row r="410" spans="1:4" hidden="1" x14ac:dyDescent="0.25">
      <c r="A410" s="1"/>
      <c r="B410" t="str" cm="1">
        <f t="array" ref="B410">IF(ISBLANK(INDEX(SampleList[XRD],ROW()-1)),"Not Requested",INDEX(SampleList[Experiment ID],ROW()-1))</f>
        <v>Not Requested</v>
      </c>
      <c r="C410">
        <f>SampleList[[#This Row],[Sample Description]]</f>
        <v>0</v>
      </c>
      <c r="D410">
        <f>SampleList[[#This Row],[Duration (Days)]]</f>
        <v>0</v>
      </c>
    </row>
    <row r="411" spans="1:4" hidden="1" x14ac:dyDescent="0.25">
      <c r="A411" s="1"/>
      <c r="B411" t="str" cm="1">
        <f t="array" ref="B411">IF(ISBLANK(INDEX(SampleList[XRD],ROW()-1)),"Not Requested",INDEX(SampleList[Experiment ID],ROW()-1))</f>
        <v>Not Requested</v>
      </c>
      <c r="C411">
        <f>SampleList[[#This Row],[Sample Description]]</f>
        <v>0</v>
      </c>
      <c r="D411">
        <f>SampleList[[#This Row],[Duration (Days)]]</f>
        <v>0</v>
      </c>
    </row>
    <row r="412" spans="1:4" hidden="1" x14ac:dyDescent="0.25">
      <c r="A412" s="1"/>
      <c r="B412" t="str" cm="1">
        <f t="array" ref="B412">IF(ISBLANK(INDEX(SampleList[XRD],ROW()-1)),"Not Requested",INDEX(SampleList[Experiment ID],ROW()-1))</f>
        <v>Not Requested</v>
      </c>
      <c r="C412">
        <f>SampleList[[#This Row],[Sample Description]]</f>
        <v>0</v>
      </c>
      <c r="D412">
        <f>SampleList[[#This Row],[Duration (Days)]]</f>
        <v>0</v>
      </c>
    </row>
    <row r="413" spans="1:4" hidden="1" x14ac:dyDescent="0.25">
      <c r="A413" s="1"/>
      <c r="B413" t="str" cm="1">
        <f t="array" ref="B413">IF(ISBLANK(INDEX(SampleList[XRD],ROW()-1)),"Not Requested",INDEX(SampleList[Experiment ID],ROW()-1))</f>
        <v>Not Requested</v>
      </c>
      <c r="C413">
        <f>SampleList[[#This Row],[Sample Description]]</f>
        <v>0</v>
      </c>
      <c r="D413">
        <f>SampleList[[#This Row],[Duration (Days)]]</f>
        <v>0</v>
      </c>
    </row>
    <row r="414" spans="1:4" hidden="1" x14ac:dyDescent="0.25">
      <c r="A414" s="1"/>
      <c r="B414" t="str" cm="1">
        <f t="array" ref="B414">IF(ISBLANK(INDEX(SampleList[XRD],ROW()-1)),"Not Requested",INDEX(SampleList[Experiment ID],ROW()-1))</f>
        <v>Not Requested</v>
      </c>
      <c r="C414">
        <f>SampleList[[#This Row],[Sample Description]]</f>
        <v>0</v>
      </c>
      <c r="D414">
        <f>SampleList[[#This Row],[Duration (Days)]]</f>
        <v>0</v>
      </c>
    </row>
    <row r="415" spans="1:4" hidden="1" x14ac:dyDescent="0.25">
      <c r="A415" s="1"/>
      <c r="B415" t="str" cm="1">
        <f t="array" ref="B415">IF(ISBLANK(INDEX(SampleList[XRD],ROW()-1)),"Not Requested",INDEX(SampleList[Experiment ID],ROW()-1))</f>
        <v>Not Requested</v>
      </c>
      <c r="C415">
        <f>SampleList[[#This Row],[Sample Description]]</f>
        <v>0</v>
      </c>
      <c r="D415">
        <f>SampleList[[#This Row],[Duration (Days)]]</f>
        <v>0</v>
      </c>
    </row>
    <row r="416" spans="1:4" hidden="1" x14ac:dyDescent="0.25">
      <c r="A416" s="1"/>
      <c r="B416" t="str" cm="1">
        <f t="array" ref="B416">IF(ISBLANK(INDEX(SampleList[XRD],ROW()-1)),"Not Requested",INDEX(SampleList[Experiment ID],ROW()-1))</f>
        <v>Not Requested</v>
      </c>
      <c r="C416">
        <f>SampleList[[#This Row],[Sample Description]]</f>
        <v>0</v>
      </c>
      <c r="D416">
        <f>SampleList[[#This Row],[Duration (Days)]]</f>
        <v>0</v>
      </c>
    </row>
    <row r="417" spans="1:4" hidden="1" x14ac:dyDescent="0.25">
      <c r="A417" s="1"/>
      <c r="B417" t="str" cm="1">
        <f t="array" ref="B417">IF(ISBLANK(INDEX(SampleList[XRD],ROW()-1)),"Not Requested",INDEX(SampleList[Experiment ID],ROW()-1))</f>
        <v>Not Requested</v>
      </c>
      <c r="C417">
        <f>SampleList[[#This Row],[Sample Description]]</f>
        <v>0</v>
      </c>
      <c r="D417">
        <f>SampleList[[#This Row],[Duration (Days)]]</f>
        <v>0</v>
      </c>
    </row>
    <row r="418" spans="1:4" hidden="1" x14ac:dyDescent="0.25">
      <c r="A418" s="1"/>
      <c r="B418" t="str" cm="1">
        <f t="array" ref="B418">IF(ISBLANK(INDEX(SampleList[XRD],ROW()-1)),"Not Requested",INDEX(SampleList[Experiment ID],ROW()-1))</f>
        <v>Not Requested</v>
      </c>
      <c r="C418">
        <f>SampleList[[#This Row],[Sample Description]]</f>
        <v>0</v>
      </c>
      <c r="D418">
        <f>SampleList[[#This Row],[Duration (Days)]]</f>
        <v>0</v>
      </c>
    </row>
    <row r="419" spans="1:4" hidden="1" x14ac:dyDescent="0.25">
      <c r="A419" s="1"/>
      <c r="B419" t="str" cm="1">
        <f t="array" ref="B419">IF(ISBLANK(INDEX(SampleList[XRD],ROW()-1)),"Not Requested",INDEX(SampleList[Experiment ID],ROW()-1))</f>
        <v>Not Requested</v>
      </c>
      <c r="C419">
        <f>SampleList[[#This Row],[Sample Description]]</f>
        <v>0</v>
      </c>
      <c r="D419">
        <f>SampleList[[#This Row],[Duration (Days)]]</f>
        <v>0</v>
      </c>
    </row>
    <row r="420" spans="1:4" hidden="1" x14ac:dyDescent="0.25">
      <c r="A420" s="1"/>
      <c r="B420" t="str" cm="1">
        <f t="array" ref="B420">IF(ISBLANK(INDEX(SampleList[XRD],ROW()-1)),"Not Requested",INDEX(SampleList[Experiment ID],ROW()-1))</f>
        <v>Not Requested</v>
      </c>
      <c r="C420">
        <f>SampleList[[#This Row],[Sample Description]]</f>
        <v>0</v>
      </c>
      <c r="D420">
        <f>SampleList[[#This Row],[Duration (Days)]]</f>
        <v>0</v>
      </c>
    </row>
    <row r="421" spans="1:4" hidden="1" x14ac:dyDescent="0.25">
      <c r="A421" s="1"/>
      <c r="B421" t="str" cm="1">
        <f t="array" ref="B421">IF(ISBLANK(INDEX(SampleList[XRD],ROW()-1)),"Not Requested",INDEX(SampleList[Experiment ID],ROW()-1))</f>
        <v>Not Requested</v>
      </c>
      <c r="C421">
        <f>SampleList[[#This Row],[Sample Description]]</f>
        <v>0</v>
      </c>
      <c r="D421">
        <f>SampleList[[#This Row],[Duration (Days)]]</f>
        <v>0</v>
      </c>
    </row>
    <row r="422" spans="1:4" hidden="1" x14ac:dyDescent="0.25">
      <c r="A422" s="1"/>
      <c r="B422" t="str" cm="1">
        <f t="array" ref="B422">IF(ISBLANK(INDEX(SampleList[XRD],ROW()-1)),"Not Requested",INDEX(SampleList[Experiment ID],ROW()-1))</f>
        <v>Not Requested</v>
      </c>
      <c r="C422">
        <f>SampleList[[#This Row],[Sample Description]]</f>
        <v>0</v>
      </c>
      <c r="D422">
        <f>SampleList[[#This Row],[Duration (Days)]]</f>
        <v>0</v>
      </c>
    </row>
    <row r="423" spans="1:4" hidden="1" x14ac:dyDescent="0.25">
      <c r="A423" s="1"/>
      <c r="B423" t="str" cm="1">
        <f t="array" ref="B423">IF(ISBLANK(INDEX(SampleList[XRD],ROW()-1)),"Not Requested",INDEX(SampleList[Experiment ID],ROW()-1))</f>
        <v>Not Requested</v>
      </c>
      <c r="C423">
        <f>SampleList[[#This Row],[Sample Description]]</f>
        <v>0</v>
      </c>
      <c r="D423">
        <f>SampleList[[#This Row],[Duration (Days)]]</f>
        <v>0</v>
      </c>
    </row>
    <row r="424" spans="1:4" hidden="1" x14ac:dyDescent="0.25">
      <c r="A424" s="1"/>
      <c r="B424" t="str" cm="1">
        <f t="array" ref="B424">IF(ISBLANK(INDEX(SampleList[XRD],ROW()-1)),"Not Requested",INDEX(SampleList[Experiment ID],ROW()-1))</f>
        <v>Not Requested</v>
      </c>
      <c r="C424">
        <f>SampleList[[#This Row],[Sample Description]]</f>
        <v>0</v>
      </c>
      <c r="D424">
        <f>SampleList[[#This Row],[Duration (Days)]]</f>
        <v>0</v>
      </c>
    </row>
    <row r="425" spans="1:4" hidden="1" x14ac:dyDescent="0.25">
      <c r="A425" s="1"/>
      <c r="B425" t="str" cm="1">
        <f t="array" ref="B425">IF(ISBLANK(INDEX(SampleList[XRD],ROW()-1)),"Not Requested",INDEX(SampleList[Experiment ID],ROW()-1))</f>
        <v>Not Requested</v>
      </c>
      <c r="C425">
        <f>SampleList[[#This Row],[Sample Description]]</f>
        <v>0</v>
      </c>
      <c r="D425">
        <f>SampleList[[#This Row],[Duration (Days)]]</f>
        <v>0</v>
      </c>
    </row>
    <row r="426" spans="1:4" hidden="1" x14ac:dyDescent="0.25">
      <c r="A426" s="1"/>
      <c r="B426" t="str" cm="1">
        <f t="array" ref="B426">IF(ISBLANK(INDEX(SampleList[XRD],ROW()-1)),"Not Requested",INDEX(SampleList[Experiment ID],ROW()-1))</f>
        <v>Not Requested</v>
      </c>
      <c r="C426">
        <f>SampleList[[#This Row],[Sample Description]]</f>
        <v>0</v>
      </c>
      <c r="D426">
        <f>SampleList[[#This Row],[Duration (Days)]]</f>
        <v>0</v>
      </c>
    </row>
    <row r="427" spans="1:4" hidden="1" x14ac:dyDescent="0.25">
      <c r="A427" s="1"/>
      <c r="B427" t="str" cm="1">
        <f t="array" ref="B427">IF(ISBLANK(INDEX(SampleList[XRD],ROW()-1)),"Not Requested",INDEX(SampleList[Experiment ID],ROW()-1))</f>
        <v>Not Requested</v>
      </c>
      <c r="C427">
        <f>SampleList[[#This Row],[Sample Description]]</f>
        <v>0</v>
      </c>
      <c r="D427">
        <f>SampleList[[#This Row],[Duration (Days)]]</f>
        <v>0</v>
      </c>
    </row>
    <row r="428" spans="1:4" hidden="1" x14ac:dyDescent="0.25">
      <c r="A428" s="1"/>
      <c r="B428" t="str" cm="1">
        <f t="array" ref="B428">IF(ISBLANK(INDEX(SampleList[XRD],ROW()-1)),"Not Requested",INDEX(SampleList[Experiment ID],ROW()-1))</f>
        <v>Not Requested</v>
      </c>
      <c r="C428">
        <f>SampleList[[#This Row],[Sample Description]]</f>
        <v>0</v>
      </c>
      <c r="D428">
        <f>SampleList[[#This Row],[Duration (Days)]]</f>
        <v>0</v>
      </c>
    </row>
    <row r="429" spans="1:4" hidden="1" x14ac:dyDescent="0.25">
      <c r="A429" s="1"/>
      <c r="B429" t="str" cm="1">
        <f t="array" ref="B429">IF(ISBLANK(INDEX(SampleList[XRD],ROW()-1)),"Not Requested",INDEX(SampleList[Experiment ID],ROW()-1))</f>
        <v>Not Requested</v>
      </c>
      <c r="C429">
        <f>SampleList[[#This Row],[Sample Description]]</f>
        <v>0</v>
      </c>
      <c r="D429">
        <f>SampleList[[#This Row],[Duration (Days)]]</f>
        <v>0</v>
      </c>
    </row>
    <row r="430" spans="1:4" hidden="1" x14ac:dyDescent="0.25">
      <c r="A430" s="1"/>
      <c r="B430" t="str" cm="1">
        <f t="array" ref="B430">IF(ISBLANK(INDEX(SampleList[XRD],ROW()-1)),"Not Requested",INDEX(SampleList[Experiment ID],ROW()-1))</f>
        <v>Not Requested</v>
      </c>
      <c r="C430">
        <f>SampleList[[#This Row],[Sample Description]]</f>
        <v>0</v>
      </c>
      <c r="D430">
        <f>SampleList[[#This Row],[Duration (Days)]]</f>
        <v>0</v>
      </c>
    </row>
    <row r="431" spans="1:4" hidden="1" x14ac:dyDescent="0.25">
      <c r="A431" s="1"/>
      <c r="B431" t="str" cm="1">
        <f t="array" ref="B431">IF(ISBLANK(INDEX(SampleList[XRD],ROW()-1)),"Not Requested",INDEX(SampleList[Experiment ID],ROW()-1))</f>
        <v>Not Requested</v>
      </c>
      <c r="C431">
        <f>SampleList[[#This Row],[Sample Description]]</f>
        <v>0</v>
      </c>
      <c r="D431">
        <f>SampleList[[#This Row],[Duration (Days)]]</f>
        <v>0</v>
      </c>
    </row>
    <row r="432" spans="1:4" hidden="1" x14ac:dyDescent="0.25">
      <c r="A432" s="1"/>
      <c r="B432" t="str" cm="1">
        <f t="array" ref="B432">IF(ISBLANK(INDEX(SampleList[XRD],ROW()-1)),"Not Requested",INDEX(SampleList[Experiment ID],ROW()-1))</f>
        <v>Not Requested</v>
      </c>
      <c r="C432">
        <f>SampleList[[#This Row],[Sample Description]]</f>
        <v>0</v>
      </c>
      <c r="D432">
        <f>SampleList[[#This Row],[Duration (Days)]]</f>
        <v>0</v>
      </c>
    </row>
    <row r="433" spans="1:4" hidden="1" x14ac:dyDescent="0.25">
      <c r="A433" s="1"/>
      <c r="B433" t="str" cm="1">
        <f t="array" ref="B433">IF(ISBLANK(INDEX(SampleList[XRD],ROW()-1)),"Not Requested",INDEX(SampleList[Experiment ID],ROW()-1))</f>
        <v>Not Requested</v>
      </c>
      <c r="C433">
        <f>SampleList[[#This Row],[Sample Description]]</f>
        <v>0</v>
      </c>
      <c r="D433">
        <f>SampleList[[#This Row],[Duration (Days)]]</f>
        <v>0</v>
      </c>
    </row>
    <row r="434" spans="1:4" hidden="1" x14ac:dyDescent="0.25">
      <c r="A434" s="1"/>
      <c r="B434" t="str" cm="1">
        <f t="array" ref="B434">IF(ISBLANK(INDEX(SampleList[XRD],ROW()-1)),"Not Requested",INDEX(SampleList[Experiment ID],ROW()-1))</f>
        <v>Not Requested</v>
      </c>
      <c r="C434">
        <f>SampleList[[#This Row],[Sample Description]]</f>
        <v>0</v>
      </c>
      <c r="D434">
        <f>SampleList[[#This Row],[Duration (Days)]]</f>
        <v>0</v>
      </c>
    </row>
    <row r="435" spans="1:4" hidden="1" x14ac:dyDescent="0.25">
      <c r="A435" s="1"/>
      <c r="B435" t="str" cm="1">
        <f t="array" ref="B435">IF(ISBLANK(INDEX(SampleList[XRD],ROW()-1)),"Not Requested",INDEX(SampleList[Experiment ID],ROW()-1))</f>
        <v>Not Requested</v>
      </c>
      <c r="C435">
        <f>SampleList[[#This Row],[Sample Description]]</f>
        <v>0</v>
      </c>
      <c r="D435">
        <f>SampleList[[#This Row],[Duration (Days)]]</f>
        <v>0</v>
      </c>
    </row>
    <row r="436" spans="1:4" hidden="1" x14ac:dyDescent="0.25">
      <c r="A436" s="1"/>
      <c r="B436" t="str" cm="1">
        <f t="array" ref="B436">IF(ISBLANK(INDEX(SampleList[XRD],ROW()-1)),"Not Requested",INDEX(SampleList[Experiment ID],ROW()-1))</f>
        <v>Not Requested</v>
      </c>
      <c r="C436">
        <f>SampleList[[#This Row],[Sample Description]]</f>
        <v>0</v>
      </c>
      <c r="D436">
        <f>SampleList[[#This Row],[Duration (Days)]]</f>
        <v>0</v>
      </c>
    </row>
    <row r="437" spans="1:4" hidden="1" x14ac:dyDescent="0.25">
      <c r="A437" s="1"/>
      <c r="B437" t="str" cm="1">
        <f t="array" ref="B437">IF(ISBLANK(INDEX(SampleList[XRD],ROW()-1)),"Not Requested",INDEX(SampleList[Experiment ID],ROW()-1))</f>
        <v>Not Requested</v>
      </c>
      <c r="C437">
        <f>SampleList[[#This Row],[Sample Description]]</f>
        <v>0</v>
      </c>
      <c r="D437">
        <f>SampleList[[#This Row],[Duration (Days)]]</f>
        <v>0</v>
      </c>
    </row>
    <row r="438" spans="1:4" hidden="1" x14ac:dyDescent="0.25">
      <c r="A438" s="1"/>
      <c r="B438" t="str" cm="1">
        <f t="array" ref="B438">IF(ISBLANK(INDEX(SampleList[XRD],ROW()-1)),"Not Requested",INDEX(SampleList[Experiment ID],ROW()-1))</f>
        <v>Not Requested</v>
      </c>
      <c r="C438">
        <f>SampleList[[#This Row],[Sample Description]]</f>
        <v>0</v>
      </c>
      <c r="D438">
        <f>SampleList[[#This Row],[Duration (Days)]]</f>
        <v>0</v>
      </c>
    </row>
    <row r="439" spans="1:4" hidden="1" x14ac:dyDescent="0.25">
      <c r="A439" s="1"/>
      <c r="B439" t="str" cm="1">
        <f t="array" ref="B439">IF(ISBLANK(INDEX(SampleList[XRD],ROW()-1)),"Not Requested",INDEX(SampleList[Experiment ID],ROW()-1))</f>
        <v>Not Requested</v>
      </c>
      <c r="C439">
        <f>SampleList[[#This Row],[Sample Description]]</f>
        <v>0</v>
      </c>
      <c r="D439">
        <f>SampleList[[#This Row],[Duration (Days)]]</f>
        <v>0</v>
      </c>
    </row>
    <row r="440" spans="1:4" hidden="1" x14ac:dyDescent="0.25">
      <c r="A440" s="1"/>
      <c r="B440" t="str" cm="1">
        <f t="array" ref="B440">IF(ISBLANK(INDEX(SampleList[XRD],ROW()-1)),"Not Requested",INDEX(SampleList[Experiment ID],ROW()-1))</f>
        <v>Not Requested</v>
      </c>
      <c r="C440">
        <f>SampleList[[#This Row],[Sample Description]]</f>
        <v>0</v>
      </c>
      <c r="D440">
        <f>SampleList[[#This Row],[Duration (Days)]]</f>
        <v>0</v>
      </c>
    </row>
    <row r="441" spans="1:4" hidden="1" x14ac:dyDescent="0.25">
      <c r="A441" s="1"/>
      <c r="B441" t="str" cm="1">
        <f t="array" ref="B441">IF(ISBLANK(INDEX(SampleList[XRD],ROW()-1)),"Not Requested",INDEX(SampleList[Experiment ID],ROW()-1))</f>
        <v>Not Requested</v>
      </c>
      <c r="C441">
        <f>SampleList[[#This Row],[Sample Description]]</f>
        <v>0</v>
      </c>
      <c r="D441">
        <f>SampleList[[#This Row],[Duration (Days)]]</f>
        <v>0</v>
      </c>
    </row>
    <row r="442" spans="1:4" hidden="1" x14ac:dyDescent="0.25">
      <c r="A442" s="1"/>
      <c r="B442" t="str" cm="1">
        <f t="array" ref="B442">IF(ISBLANK(INDEX(SampleList[XRD],ROW()-1)),"Not Requested",INDEX(SampleList[Experiment ID],ROW()-1))</f>
        <v>Not Requested</v>
      </c>
      <c r="C442">
        <f>SampleList[[#This Row],[Sample Description]]</f>
        <v>0</v>
      </c>
      <c r="D442">
        <f>SampleList[[#This Row],[Duration (Days)]]</f>
        <v>0</v>
      </c>
    </row>
    <row r="443" spans="1:4" hidden="1" x14ac:dyDescent="0.25">
      <c r="A443" s="1"/>
      <c r="B443" t="str" cm="1">
        <f t="array" ref="B443">IF(ISBLANK(INDEX(SampleList[XRD],ROW()-1)),"Not Requested",INDEX(SampleList[Experiment ID],ROW()-1))</f>
        <v>Not Requested</v>
      </c>
      <c r="C443">
        <f>SampleList[[#This Row],[Sample Description]]</f>
        <v>0</v>
      </c>
      <c r="D443">
        <f>SampleList[[#This Row],[Duration (Days)]]</f>
        <v>0</v>
      </c>
    </row>
    <row r="444" spans="1:4" hidden="1" x14ac:dyDescent="0.25">
      <c r="A444" s="1"/>
      <c r="B444" t="str" cm="1">
        <f t="array" ref="B444">IF(ISBLANK(INDEX(SampleList[XRD],ROW()-1)),"Not Requested",INDEX(SampleList[Experiment ID],ROW()-1))</f>
        <v>Not Requested</v>
      </c>
      <c r="C444">
        <f>SampleList[[#This Row],[Sample Description]]</f>
        <v>0</v>
      </c>
      <c r="D444">
        <f>SampleList[[#This Row],[Duration (Days)]]</f>
        <v>0</v>
      </c>
    </row>
    <row r="445" spans="1:4" hidden="1" x14ac:dyDescent="0.25">
      <c r="A445" s="1"/>
      <c r="B445" t="str" cm="1">
        <f t="array" ref="B445">IF(ISBLANK(INDEX(SampleList[XRD],ROW()-1)),"Not Requested",INDEX(SampleList[Experiment ID],ROW()-1))</f>
        <v>Not Requested</v>
      </c>
      <c r="C445">
        <f>SampleList[[#This Row],[Sample Description]]</f>
        <v>0</v>
      </c>
      <c r="D445">
        <f>SampleList[[#This Row],[Duration (Days)]]</f>
        <v>0</v>
      </c>
    </row>
    <row r="446" spans="1:4" hidden="1" x14ac:dyDescent="0.25">
      <c r="A446" s="1"/>
      <c r="B446" t="str" cm="1">
        <f t="array" ref="B446">IF(ISBLANK(INDEX(SampleList[XRD],ROW()-1)),"Not Requested",INDEX(SampleList[Experiment ID],ROW()-1))</f>
        <v>Not Requested</v>
      </c>
      <c r="C446">
        <f>SampleList[[#This Row],[Sample Description]]</f>
        <v>0</v>
      </c>
      <c r="D446">
        <f>SampleList[[#This Row],[Duration (Days)]]</f>
        <v>0</v>
      </c>
    </row>
    <row r="447" spans="1:4" hidden="1" x14ac:dyDescent="0.25">
      <c r="A447" s="1"/>
      <c r="B447" t="str" cm="1">
        <f t="array" ref="B447">IF(ISBLANK(INDEX(SampleList[XRD],ROW()-1)),"Not Requested",INDEX(SampleList[Experiment ID],ROW()-1))</f>
        <v>Not Requested</v>
      </c>
      <c r="C447">
        <f>SampleList[[#This Row],[Sample Description]]</f>
        <v>0</v>
      </c>
      <c r="D447">
        <f>SampleList[[#This Row],[Duration (Days)]]</f>
        <v>0</v>
      </c>
    </row>
    <row r="448" spans="1:4" hidden="1" x14ac:dyDescent="0.25">
      <c r="A448" s="1"/>
      <c r="B448" t="str" cm="1">
        <f t="array" ref="B448">IF(ISBLANK(INDEX(SampleList[XRD],ROW()-1)),"Not Requested",INDEX(SampleList[Experiment ID],ROW()-1))</f>
        <v>Not Requested</v>
      </c>
      <c r="C448">
        <f>SampleList[[#This Row],[Sample Description]]</f>
        <v>0</v>
      </c>
      <c r="D448">
        <f>SampleList[[#This Row],[Duration (Days)]]</f>
        <v>0</v>
      </c>
    </row>
    <row r="449" spans="1:4" hidden="1" x14ac:dyDescent="0.25">
      <c r="A449" s="1"/>
      <c r="B449" t="str" cm="1">
        <f t="array" ref="B449">IF(ISBLANK(INDEX(SampleList[XRD],ROW()-1)),"Not Requested",INDEX(SampleList[Experiment ID],ROW()-1))</f>
        <v>Not Requested</v>
      </c>
      <c r="C449">
        <f>SampleList[[#This Row],[Sample Description]]</f>
        <v>0</v>
      </c>
      <c r="D449">
        <f>SampleList[[#This Row],[Duration (Days)]]</f>
        <v>0</v>
      </c>
    </row>
    <row r="450" spans="1:4" hidden="1" x14ac:dyDescent="0.25">
      <c r="A450" s="1"/>
      <c r="B450" t="str" cm="1">
        <f t="array" ref="B450">IF(ISBLANK(INDEX(SampleList[XRD],ROW()-1)),"Not Requested",INDEX(SampleList[Experiment ID],ROW()-1))</f>
        <v>Not Requested</v>
      </c>
      <c r="C450">
        <f>SampleList[[#This Row],[Sample Description]]</f>
        <v>0</v>
      </c>
      <c r="D450">
        <f>SampleList[[#This Row],[Duration (Days)]]</f>
        <v>0</v>
      </c>
    </row>
    <row r="451" spans="1:4" hidden="1" x14ac:dyDescent="0.25">
      <c r="A451" s="1"/>
      <c r="B451" t="str" cm="1">
        <f t="array" ref="B451">IF(ISBLANK(INDEX(SampleList[XRD],ROW()-1)),"Not Requested",INDEX(SampleList[Experiment ID],ROW()-1))</f>
        <v>Not Requested</v>
      </c>
      <c r="C451">
        <f>SampleList[[#This Row],[Sample Description]]</f>
        <v>0</v>
      </c>
      <c r="D451">
        <f>SampleList[[#This Row],[Duration (Days)]]</f>
        <v>0</v>
      </c>
    </row>
    <row r="452" spans="1:4" hidden="1" x14ac:dyDescent="0.25">
      <c r="A452" s="1"/>
      <c r="B452" t="str" cm="1">
        <f t="array" ref="B452">IF(ISBLANK(INDEX(SampleList[XRD],ROW()-1)),"Not Requested",INDEX(SampleList[Experiment ID],ROW()-1))</f>
        <v>Not Requested</v>
      </c>
      <c r="C452">
        <f>SampleList[[#This Row],[Sample Description]]</f>
        <v>0</v>
      </c>
      <c r="D452">
        <f>SampleList[[#This Row],[Duration (Days)]]</f>
        <v>0</v>
      </c>
    </row>
    <row r="453" spans="1:4" hidden="1" x14ac:dyDescent="0.25">
      <c r="A453" s="1"/>
      <c r="B453" t="str" cm="1">
        <f t="array" ref="B453">IF(ISBLANK(INDEX(SampleList[XRD],ROW()-1)),"Not Requested",INDEX(SampleList[Experiment ID],ROW()-1))</f>
        <v>Not Requested</v>
      </c>
      <c r="C453">
        <f>SampleList[[#This Row],[Sample Description]]</f>
        <v>0</v>
      </c>
      <c r="D453">
        <f>SampleList[[#This Row],[Duration (Days)]]</f>
        <v>0</v>
      </c>
    </row>
    <row r="454" spans="1:4" hidden="1" x14ac:dyDescent="0.25">
      <c r="A454" s="1"/>
      <c r="B454" t="str" cm="1">
        <f t="array" ref="B454">IF(ISBLANK(INDEX(SampleList[XRD],ROW()-1)),"Not Requested",INDEX(SampleList[Experiment ID],ROW()-1))</f>
        <v>Not Requested</v>
      </c>
      <c r="C454">
        <f>SampleList[[#This Row],[Sample Description]]</f>
        <v>0</v>
      </c>
      <c r="D454">
        <f>SampleList[[#This Row],[Duration (Days)]]</f>
        <v>0</v>
      </c>
    </row>
    <row r="455" spans="1:4" hidden="1" x14ac:dyDescent="0.25">
      <c r="A455" s="1"/>
      <c r="B455" t="str" cm="1">
        <f t="array" ref="B455">IF(ISBLANK(INDEX(SampleList[XRD],ROW()-1)),"Not Requested",INDEX(SampleList[Experiment ID],ROW()-1))</f>
        <v>Not Requested</v>
      </c>
      <c r="C455">
        <f>SampleList[[#This Row],[Sample Description]]</f>
        <v>0</v>
      </c>
      <c r="D455">
        <f>SampleList[[#This Row],[Duration (Days)]]</f>
        <v>0</v>
      </c>
    </row>
    <row r="456" spans="1:4" hidden="1" x14ac:dyDescent="0.25">
      <c r="A456" s="1"/>
      <c r="B456" t="str" cm="1">
        <f t="array" ref="B456">IF(ISBLANK(INDEX(SampleList[XRD],ROW()-1)),"Not Requested",INDEX(SampleList[Experiment ID],ROW()-1))</f>
        <v>Not Requested</v>
      </c>
      <c r="C456">
        <f>SampleList[[#This Row],[Sample Description]]</f>
        <v>0</v>
      </c>
      <c r="D456">
        <f>SampleList[[#This Row],[Duration (Days)]]</f>
        <v>0</v>
      </c>
    </row>
    <row r="457" spans="1:4" hidden="1" x14ac:dyDescent="0.25">
      <c r="A457" s="1"/>
      <c r="B457" t="str" cm="1">
        <f t="array" ref="B457">IF(ISBLANK(INDEX(SampleList[XRD],ROW()-1)),"Not Requested",INDEX(SampleList[Experiment ID],ROW()-1))</f>
        <v>Not Requested</v>
      </c>
      <c r="C457">
        <f>SampleList[[#This Row],[Sample Description]]</f>
        <v>0</v>
      </c>
      <c r="D457">
        <f>SampleList[[#This Row],[Duration (Days)]]</f>
        <v>0</v>
      </c>
    </row>
    <row r="458" spans="1:4" hidden="1" x14ac:dyDescent="0.25">
      <c r="A458" s="1"/>
      <c r="B458" t="str" cm="1">
        <f t="array" ref="B458">IF(ISBLANK(INDEX(SampleList[XRD],ROW()-1)),"Not Requested",INDEX(SampleList[Experiment ID],ROW()-1))</f>
        <v>Not Requested</v>
      </c>
      <c r="C458">
        <f>SampleList[[#This Row],[Sample Description]]</f>
        <v>0</v>
      </c>
      <c r="D458">
        <f>SampleList[[#This Row],[Duration (Days)]]</f>
        <v>0</v>
      </c>
    </row>
    <row r="459" spans="1:4" hidden="1" x14ac:dyDescent="0.25">
      <c r="A459" s="1"/>
      <c r="B459" t="str" cm="1">
        <f t="array" ref="B459">IF(ISBLANK(INDEX(SampleList[XRD],ROW()-1)),"Not Requested",INDEX(SampleList[Experiment ID],ROW()-1))</f>
        <v>Not Requested</v>
      </c>
      <c r="C459">
        <f>SampleList[[#This Row],[Sample Description]]</f>
        <v>0</v>
      </c>
      <c r="D459">
        <f>SampleList[[#This Row],[Duration (Days)]]</f>
        <v>0</v>
      </c>
    </row>
    <row r="460" spans="1:4" hidden="1" x14ac:dyDescent="0.25">
      <c r="A460" s="1"/>
      <c r="B460" t="str" cm="1">
        <f t="array" ref="B460">IF(ISBLANK(INDEX(SampleList[XRD],ROW()-1)),"Not Requested",INDEX(SampleList[Experiment ID],ROW()-1))</f>
        <v>Not Requested</v>
      </c>
      <c r="C460">
        <f>SampleList[[#This Row],[Sample Description]]</f>
        <v>0</v>
      </c>
      <c r="D460">
        <f>SampleList[[#This Row],[Duration (Days)]]</f>
        <v>0</v>
      </c>
    </row>
    <row r="461" spans="1:4" hidden="1" x14ac:dyDescent="0.25">
      <c r="A461" s="1"/>
      <c r="B461" t="str" cm="1">
        <f t="array" ref="B461">IF(ISBLANK(INDEX(SampleList[XRD],ROW()-1)),"Not Requested",INDEX(SampleList[Experiment ID],ROW()-1))</f>
        <v>Not Requested</v>
      </c>
      <c r="C461">
        <f>SampleList[[#This Row],[Sample Description]]</f>
        <v>0</v>
      </c>
      <c r="D461">
        <f>SampleList[[#This Row],[Duration (Days)]]</f>
        <v>0</v>
      </c>
    </row>
    <row r="462" spans="1:4" hidden="1" x14ac:dyDescent="0.25">
      <c r="A462" s="1"/>
      <c r="B462" t="str" cm="1">
        <f t="array" ref="B462">IF(ISBLANK(INDEX(SampleList[XRD],ROW()-1)),"Not Requested",INDEX(SampleList[Experiment ID],ROW()-1))</f>
        <v>Not Requested</v>
      </c>
      <c r="C462">
        <f>SampleList[[#This Row],[Sample Description]]</f>
        <v>0</v>
      </c>
      <c r="D462">
        <f>SampleList[[#This Row],[Duration (Days)]]</f>
        <v>0</v>
      </c>
    </row>
    <row r="463" spans="1:4" hidden="1" x14ac:dyDescent="0.25">
      <c r="A463" s="1"/>
      <c r="B463" t="str" cm="1">
        <f t="array" ref="B463">IF(ISBLANK(INDEX(SampleList[XRD],ROW()-1)),"Not Requested",INDEX(SampleList[Experiment ID],ROW()-1))</f>
        <v>Not Requested</v>
      </c>
      <c r="C463">
        <f>SampleList[[#This Row],[Sample Description]]</f>
        <v>0</v>
      </c>
      <c r="D463">
        <f>SampleList[[#This Row],[Duration (Days)]]</f>
        <v>0</v>
      </c>
    </row>
    <row r="464" spans="1:4" hidden="1" x14ac:dyDescent="0.25">
      <c r="A464" s="1"/>
      <c r="B464" t="str" cm="1">
        <f t="array" ref="B464">IF(ISBLANK(INDEX(SampleList[XRD],ROW()-1)),"Not Requested",INDEX(SampleList[Experiment ID],ROW()-1))</f>
        <v>Not Requested</v>
      </c>
      <c r="C464">
        <f>SampleList[[#This Row],[Sample Description]]</f>
        <v>0</v>
      </c>
      <c r="D464">
        <f>SampleList[[#This Row],[Duration (Days)]]</f>
        <v>0</v>
      </c>
    </row>
    <row r="465" spans="1:4" hidden="1" x14ac:dyDescent="0.25">
      <c r="A465" s="1"/>
      <c r="B465" t="str" cm="1">
        <f t="array" ref="B465">IF(ISBLANK(INDEX(SampleList[XRD],ROW()-1)),"Not Requested",INDEX(SampleList[Experiment ID],ROW()-1))</f>
        <v>Not Requested</v>
      </c>
      <c r="C465">
        <f>SampleList[[#This Row],[Sample Description]]</f>
        <v>0</v>
      </c>
      <c r="D465">
        <f>SampleList[[#This Row],[Duration (Days)]]</f>
        <v>0</v>
      </c>
    </row>
    <row r="466" spans="1:4" hidden="1" x14ac:dyDescent="0.25">
      <c r="A466" s="1"/>
      <c r="B466" t="str" cm="1">
        <f t="array" ref="B466">IF(ISBLANK(INDEX(SampleList[XRD],ROW()-1)),"Not Requested",INDEX(SampleList[Experiment ID],ROW()-1))</f>
        <v>Not Requested</v>
      </c>
      <c r="C466">
        <f>SampleList[[#This Row],[Sample Description]]</f>
        <v>0</v>
      </c>
      <c r="D466">
        <f>SampleList[[#This Row],[Duration (Days)]]</f>
        <v>0</v>
      </c>
    </row>
    <row r="467" spans="1:4" hidden="1" x14ac:dyDescent="0.25">
      <c r="A467" s="1"/>
      <c r="B467" t="str" cm="1">
        <f t="array" ref="B467">IF(ISBLANK(INDEX(SampleList[XRD],ROW()-1)),"Not Requested",INDEX(SampleList[Experiment ID],ROW()-1))</f>
        <v>Not Requested</v>
      </c>
      <c r="C467">
        <f>SampleList[[#This Row],[Sample Description]]</f>
        <v>0</v>
      </c>
      <c r="D467">
        <f>SampleList[[#This Row],[Duration (Days)]]</f>
        <v>0</v>
      </c>
    </row>
    <row r="468" spans="1:4" hidden="1" x14ac:dyDescent="0.25">
      <c r="A468" s="1"/>
      <c r="B468" t="str" cm="1">
        <f t="array" ref="B468">IF(ISBLANK(INDEX(SampleList[XRD],ROW()-1)),"Not Requested",INDEX(SampleList[Experiment ID],ROW()-1))</f>
        <v>Not Requested</v>
      </c>
      <c r="C468">
        <f>SampleList[[#This Row],[Sample Description]]</f>
        <v>0</v>
      </c>
      <c r="D468">
        <f>SampleList[[#This Row],[Duration (Days)]]</f>
        <v>0</v>
      </c>
    </row>
    <row r="469" spans="1:4" hidden="1" x14ac:dyDescent="0.25">
      <c r="A469" s="1"/>
      <c r="B469" t="str" cm="1">
        <f t="array" ref="B469">IF(ISBLANK(INDEX(SampleList[XRD],ROW()-1)),"Not Requested",INDEX(SampleList[Experiment ID],ROW()-1))</f>
        <v>Not Requested</v>
      </c>
      <c r="C469">
        <f>SampleList[[#This Row],[Sample Description]]</f>
        <v>0</v>
      </c>
      <c r="D469">
        <f>SampleList[[#This Row],[Duration (Days)]]</f>
        <v>0</v>
      </c>
    </row>
    <row r="470" spans="1:4" hidden="1" x14ac:dyDescent="0.25">
      <c r="A470" s="1"/>
      <c r="B470" t="str" cm="1">
        <f t="array" ref="B470">IF(ISBLANK(INDEX(SampleList[XRD],ROW()-1)),"Not Requested",INDEX(SampleList[Experiment ID],ROW()-1))</f>
        <v>Not Requested</v>
      </c>
      <c r="C470">
        <f>SampleList[[#This Row],[Sample Description]]</f>
        <v>0</v>
      </c>
      <c r="D470">
        <f>SampleList[[#This Row],[Duration (Days)]]</f>
        <v>0</v>
      </c>
    </row>
    <row r="471" spans="1:4" hidden="1" x14ac:dyDescent="0.25">
      <c r="A471" s="1"/>
      <c r="B471" t="str" cm="1">
        <f t="array" ref="B471">IF(ISBLANK(INDEX(SampleList[XRD],ROW()-1)),"Not Requested",INDEX(SampleList[Experiment ID],ROW()-1))</f>
        <v>Not Requested</v>
      </c>
      <c r="C471">
        <f>SampleList[[#This Row],[Sample Description]]</f>
        <v>0</v>
      </c>
      <c r="D471">
        <f>SampleList[[#This Row],[Duration (Days)]]</f>
        <v>0</v>
      </c>
    </row>
    <row r="472" spans="1:4" hidden="1" x14ac:dyDescent="0.25">
      <c r="A472" s="1"/>
      <c r="B472" t="str" cm="1">
        <f t="array" ref="B472">IF(ISBLANK(INDEX(SampleList[XRD],ROW()-1)),"Not Requested",INDEX(SampleList[Experiment ID],ROW()-1))</f>
        <v>Not Requested</v>
      </c>
      <c r="C472">
        <f>SampleList[[#This Row],[Sample Description]]</f>
        <v>0</v>
      </c>
      <c r="D472">
        <f>SampleList[[#This Row],[Duration (Days)]]</f>
        <v>0</v>
      </c>
    </row>
    <row r="473" spans="1:4" hidden="1" x14ac:dyDescent="0.25">
      <c r="A473" s="1"/>
      <c r="B473" t="str" cm="1">
        <f t="array" ref="B473">IF(ISBLANK(INDEX(SampleList[XRD],ROW()-1)),"Not Requested",INDEX(SampleList[Experiment ID],ROW()-1))</f>
        <v>Not Requested</v>
      </c>
      <c r="C473">
        <f>SampleList[[#This Row],[Sample Description]]</f>
        <v>0</v>
      </c>
      <c r="D473">
        <f>SampleList[[#This Row],[Duration (Days)]]</f>
        <v>0</v>
      </c>
    </row>
    <row r="474" spans="1:4" hidden="1" x14ac:dyDescent="0.25">
      <c r="A474" s="1"/>
      <c r="B474" t="str" cm="1">
        <f t="array" ref="B474">IF(ISBLANK(INDEX(SampleList[XRD],ROW()-1)),"Not Requested",INDEX(SampleList[Experiment ID],ROW()-1))</f>
        <v>Not Requested</v>
      </c>
      <c r="C474">
        <f>SampleList[[#This Row],[Sample Description]]</f>
        <v>0</v>
      </c>
      <c r="D474">
        <f>SampleList[[#This Row],[Duration (Days)]]</f>
        <v>0</v>
      </c>
    </row>
    <row r="475" spans="1:4" hidden="1" x14ac:dyDescent="0.25">
      <c r="A475" s="1"/>
      <c r="B475" t="str" cm="1">
        <f t="array" ref="B475">IF(ISBLANK(INDEX(SampleList[XRD],ROW()-1)),"Not Requested",INDEX(SampleList[Experiment ID],ROW()-1))</f>
        <v>Not Requested</v>
      </c>
      <c r="C475">
        <f>SampleList[[#This Row],[Sample Description]]</f>
        <v>0</v>
      </c>
      <c r="D475">
        <f>SampleList[[#This Row],[Duration (Days)]]</f>
        <v>0</v>
      </c>
    </row>
    <row r="476" spans="1:4" hidden="1" x14ac:dyDescent="0.25">
      <c r="A476" s="1"/>
      <c r="B476" t="str" cm="1">
        <f t="array" ref="B476">IF(ISBLANK(INDEX(SampleList[XRD],ROW()-1)),"Not Requested",INDEX(SampleList[Experiment ID],ROW()-1))</f>
        <v>Not Requested</v>
      </c>
      <c r="C476">
        <f>SampleList[[#This Row],[Sample Description]]</f>
        <v>0</v>
      </c>
      <c r="D476">
        <f>SampleList[[#This Row],[Duration (Days)]]</f>
        <v>0</v>
      </c>
    </row>
    <row r="477" spans="1:4" hidden="1" x14ac:dyDescent="0.25">
      <c r="A477" s="1"/>
      <c r="B477" t="str" cm="1">
        <f t="array" ref="B477">IF(ISBLANK(INDEX(SampleList[XRD],ROW()-1)),"Not Requested",INDEX(SampleList[Experiment ID],ROW()-1))</f>
        <v>Not Requested</v>
      </c>
      <c r="C477">
        <f>SampleList[[#This Row],[Sample Description]]</f>
        <v>0</v>
      </c>
      <c r="D477">
        <f>SampleList[[#This Row],[Duration (Days)]]</f>
        <v>0</v>
      </c>
    </row>
    <row r="478" spans="1:4" hidden="1" x14ac:dyDescent="0.25">
      <c r="A478" s="1"/>
      <c r="B478" t="str" cm="1">
        <f t="array" ref="B478">IF(ISBLANK(INDEX(SampleList[XRD],ROW()-1)),"Not Requested",INDEX(SampleList[Experiment ID],ROW()-1))</f>
        <v>Not Requested</v>
      </c>
      <c r="C478">
        <f>SampleList[[#This Row],[Sample Description]]</f>
        <v>0</v>
      </c>
      <c r="D478">
        <f>SampleList[[#This Row],[Duration (Days)]]</f>
        <v>0</v>
      </c>
    </row>
    <row r="479" spans="1:4" hidden="1" x14ac:dyDescent="0.25">
      <c r="A479" s="1"/>
      <c r="B479" t="str" cm="1">
        <f t="array" ref="B479">IF(ISBLANK(INDEX(SampleList[XRD],ROW()-1)),"Not Requested",INDEX(SampleList[Experiment ID],ROW()-1))</f>
        <v>Not Requested</v>
      </c>
      <c r="C479">
        <f>SampleList[[#This Row],[Sample Description]]</f>
        <v>0</v>
      </c>
      <c r="D479">
        <f>SampleList[[#This Row],[Duration (Days)]]</f>
        <v>0</v>
      </c>
    </row>
    <row r="480" spans="1:4" hidden="1" x14ac:dyDescent="0.25">
      <c r="A480" s="1"/>
      <c r="B480" t="str" cm="1">
        <f t="array" ref="B480">IF(ISBLANK(INDEX(SampleList[XRD],ROW()-1)),"Not Requested",INDEX(SampleList[Experiment ID],ROW()-1))</f>
        <v>Not Requested</v>
      </c>
      <c r="C480">
        <f>SampleList[[#This Row],[Sample Description]]</f>
        <v>0</v>
      </c>
      <c r="D480">
        <f>SampleList[[#This Row],[Duration (Days)]]</f>
        <v>0</v>
      </c>
    </row>
    <row r="481" spans="1:4" hidden="1" x14ac:dyDescent="0.25">
      <c r="A481" s="1"/>
      <c r="B481" t="str" cm="1">
        <f t="array" ref="B481">IF(ISBLANK(INDEX(SampleList[XRD],ROW()-1)),"Not Requested",INDEX(SampleList[Experiment ID],ROW()-1))</f>
        <v>Not Requested</v>
      </c>
      <c r="C481">
        <f>SampleList[[#This Row],[Sample Description]]</f>
        <v>0</v>
      </c>
      <c r="D481">
        <f>SampleList[[#This Row],[Duration (Days)]]</f>
        <v>0</v>
      </c>
    </row>
    <row r="482" spans="1:4" hidden="1" x14ac:dyDescent="0.25">
      <c r="A482" s="1"/>
      <c r="B482" t="str" cm="1">
        <f t="array" ref="B482">IF(ISBLANK(INDEX(SampleList[XRD],ROW()-1)),"Not Requested",INDEX(SampleList[Experiment ID],ROW()-1))</f>
        <v>Not Requested</v>
      </c>
      <c r="C482">
        <f>SampleList[[#This Row],[Sample Description]]</f>
        <v>0</v>
      </c>
      <c r="D482">
        <f>SampleList[[#This Row],[Duration (Days)]]</f>
        <v>0</v>
      </c>
    </row>
    <row r="483" spans="1:4" hidden="1" x14ac:dyDescent="0.25">
      <c r="A483" s="1"/>
      <c r="B483" t="str" cm="1">
        <f t="array" ref="B483">IF(ISBLANK(INDEX(SampleList[XRD],ROW()-1)),"Not Requested",INDEX(SampleList[Experiment ID],ROW()-1))</f>
        <v>Not Requested</v>
      </c>
      <c r="C483">
        <f>SampleList[[#This Row],[Sample Description]]</f>
        <v>0</v>
      </c>
      <c r="D483">
        <f>SampleList[[#This Row],[Duration (Days)]]</f>
        <v>0</v>
      </c>
    </row>
    <row r="484" spans="1:4" hidden="1" x14ac:dyDescent="0.25">
      <c r="A484" s="1"/>
      <c r="B484" t="str" cm="1">
        <f t="array" ref="B484">IF(ISBLANK(INDEX(SampleList[XRD],ROW()-1)),"Not Requested",INDEX(SampleList[Experiment ID],ROW()-1))</f>
        <v>Not Requested</v>
      </c>
      <c r="C484">
        <f>SampleList[[#This Row],[Sample Description]]</f>
        <v>0</v>
      </c>
      <c r="D484">
        <f>SampleList[[#This Row],[Duration (Days)]]</f>
        <v>0</v>
      </c>
    </row>
    <row r="485" spans="1:4" hidden="1" x14ac:dyDescent="0.25">
      <c r="A485" s="1"/>
      <c r="B485" t="str" cm="1">
        <f t="array" ref="B485">IF(ISBLANK(INDEX(SampleList[XRD],ROW()-1)),"Not Requested",INDEX(SampleList[Experiment ID],ROW()-1))</f>
        <v>Not Requested</v>
      </c>
      <c r="C485">
        <f>SampleList[[#This Row],[Sample Description]]</f>
        <v>0</v>
      </c>
      <c r="D485">
        <f>SampleList[[#This Row],[Duration (Days)]]</f>
        <v>0</v>
      </c>
    </row>
    <row r="486" spans="1:4" hidden="1" x14ac:dyDescent="0.25">
      <c r="A486" s="1"/>
      <c r="B486" t="str" cm="1">
        <f t="array" ref="B486">IF(ISBLANK(INDEX(SampleList[XRD],ROW()-1)),"Not Requested",INDEX(SampleList[Experiment ID],ROW()-1))</f>
        <v>Not Requested</v>
      </c>
      <c r="C486">
        <f>SampleList[[#This Row],[Sample Description]]</f>
        <v>0</v>
      </c>
      <c r="D486">
        <f>SampleList[[#This Row],[Duration (Days)]]</f>
        <v>0</v>
      </c>
    </row>
    <row r="487" spans="1:4" hidden="1" x14ac:dyDescent="0.25">
      <c r="A487" s="1"/>
      <c r="B487" t="str" cm="1">
        <f t="array" ref="B487">IF(ISBLANK(INDEX(SampleList[XRD],ROW()-1)),"Not Requested",INDEX(SampleList[Experiment ID],ROW()-1))</f>
        <v>Not Requested</v>
      </c>
      <c r="C487">
        <f>SampleList[[#This Row],[Sample Description]]</f>
        <v>0</v>
      </c>
      <c r="D487">
        <f>SampleList[[#This Row],[Duration (Days)]]</f>
        <v>0</v>
      </c>
    </row>
    <row r="488" spans="1:4" hidden="1" x14ac:dyDescent="0.25">
      <c r="A488" s="1"/>
      <c r="B488" t="str" cm="1">
        <f t="array" ref="B488">IF(ISBLANK(INDEX(SampleList[XRD],ROW()-1)),"Not Requested",INDEX(SampleList[Experiment ID],ROW()-1))</f>
        <v>Not Requested</v>
      </c>
      <c r="C488">
        <f>SampleList[[#This Row],[Sample Description]]</f>
        <v>0</v>
      </c>
      <c r="D488">
        <f>SampleList[[#This Row],[Duration (Days)]]</f>
        <v>0</v>
      </c>
    </row>
    <row r="489" spans="1:4" hidden="1" x14ac:dyDescent="0.25">
      <c r="A489" s="1"/>
      <c r="B489" t="str" cm="1">
        <f t="array" ref="B489">IF(ISBLANK(INDEX(SampleList[XRD],ROW()-1)),"Not Requested",INDEX(SampleList[Experiment ID],ROW()-1))</f>
        <v>Not Requested</v>
      </c>
      <c r="C489">
        <f>SampleList[[#This Row],[Sample Description]]</f>
        <v>0</v>
      </c>
      <c r="D489">
        <f>SampleList[[#This Row],[Duration (Days)]]</f>
        <v>0</v>
      </c>
    </row>
    <row r="490" spans="1:4" hidden="1" x14ac:dyDescent="0.25">
      <c r="A490" s="1"/>
      <c r="B490" t="str" cm="1">
        <f t="array" ref="B490">IF(ISBLANK(INDEX(SampleList[XRD],ROW()-1)),"Not Requested",INDEX(SampleList[Experiment ID],ROW()-1))</f>
        <v>Not Requested</v>
      </c>
      <c r="C490">
        <f>SampleList[[#This Row],[Sample Description]]</f>
        <v>0</v>
      </c>
      <c r="D490">
        <f>SampleList[[#This Row],[Duration (Days)]]</f>
        <v>0</v>
      </c>
    </row>
    <row r="491" spans="1:4" hidden="1" x14ac:dyDescent="0.25">
      <c r="A491" s="1"/>
      <c r="B491" t="str" cm="1">
        <f t="array" ref="B491">IF(ISBLANK(INDEX(SampleList[XRD],ROW()-1)),"Not Requested",INDEX(SampleList[Experiment ID],ROW()-1))</f>
        <v>Not Requested</v>
      </c>
      <c r="C491">
        <f>SampleList[[#This Row],[Sample Description]]</f>
        <v>0</v>
      </c>
      <c r="D491">
        <f>SampleList[[#This Row],[Duration (Days)]]</f>
        <v>0</v>
      </c>
    </row>
    <row r="492" spans="1:4" hidden="1" x14ac:dyDescent="0.25">
      <c r="A492" s="1"/>
      <c r="B492" t="str" cm="1">
        <f t="array" ref="B492">IF(ISBLANK(INDEX(SampleList[XRD],ROW()-1)),"Not Requested",INDEX(SampleList[Experiment ID],ROW()-1))</f>
        <v>Not Requested</v>
      </c>
      <c r="C492">
        <f>SampleList[[#This Row],[Sample Description]]</f>
        <v>0</v>
      </c>
      <c r="D492">
        <f>SampleList[[#This Row],[Duration (Days)]]</f>
        <v>0</v>
      </c>
    </row>
    <row r="493" spans="1:4" hidden="1" x14ac:dyDescent="0.25">
      <c r="A493" s="1"/>
      <c r="B493" t="str" cm="1">
        <f t="array" ref="B493">IF(ISBLANK(INDEX(SampleList[XRD],ROW()-1)),"Not Requested",INDEX(SampleList[Experiment ID],ROW()-1))</f>
        <v>Not Requested</v>
      </c>
      <c r="C493">
        <f>SampleList[[#This Row],[Sample Description]]</f>
        <v>0</v>
      </c>
      <c r="D493">
        <f>SampleList[[#This Row],[Duration (Days)]]</f>
        <v>0</v>
      </c>
    </row>
    <row r="494" spans="1:4" hidden="1" x14ac:dyDescent="0.25">
      <c r="A494" s="1"/>
      <c r="B494" t="str" cm="1">
        <f t="array" ref="B494">IF(ISBLANK(INDEX(SampleList[XRD],ROW()-1)),"Not Requested",INDEX(SampleList[Experiment ID],ROW()-1))</f>
        <v>Not Requested</v>
      </c>
      <c r="C494">
        <f>SampleList[[#This Row],[Sample Description]]</f>
        <v>0</v>
      </c>
      <c r="D494">
        <f>SampleList[[#This Row],[Duration (Days)]]</f>
        <v>0</v>
      </c>
    </row>
    <row r="495" spans="1:4" hidden="1" x14ac:dyDescent="0.25">
      <c r="A495" s="1"/>
      <c r="B495" t="str" cm="1">
        <f t="array" ref="B495">IF(ISBLANK(INDEX(SampleList[XRD],ROW()-1)),"Not Requested",INDEX(SampleList[Experiment ID],ROW()-1))</f>
        <v>Not Requested</v>
      </c>
      <c r="C495">
        <f>SampleList[[#This Row],[Sample Description]]</f>
        <v>0</v>
      </c>
      <c r="D495">
        <f>SampleList[[#This Row],[Duration (Days)]]</f>
        <v>0</v>
      </c>
    </row>
    <row r="496" spans="1:4" hidden="1" x14ac:dyDescent="0.25">
      <c r="A496" s="1"/>
      <c r="B496" t="str" cm="1">
        <f t="array" ref="B496">IF(ISBLANK(INDEX(SampleList[XRD],ROW()-1)),"Not Requested",INDEX(SampleList[Experiment ID],ROW()-1))</f>
        <v>Not Requested</v>
      </c>
      <c r="C496">
        <f>SampleList[[#This Row],[Sample Description]]</f>
        <v>0</v>
      </c>
      <c r="D496">
        <f>SampleList[[#This Row],[Duration (Days)]]</f>
        <v>0</v>
      </c>
    </row>
    <row r="497" spans="1:4" hidden="1" x14ac:dyDescent="0.25">
      <c r="A497" s="1"/>
      <c r="B497" t="str" cm="1">
        <f t="array" ref="B497">IF(ISBLANK(INDEX(SampleList[XRD],ROW()-1)),"Not Requested",INDEX(SampleList[Experiment ID],ROW()-1))</f>
        <v>Not Requested</v>
      </c>
      <c r="C497">
        <f>SampleList[[#This Row],[Sample Description]]</f>
        <v>0</v>
      </c>
      <c r="D497">
        <f>SampleList[[#This Row],[Duration (Days)]]</f>
        <v>0</v>
      </c>
    </row>
    <row r="498" spans="1:4" hidden="1" x14ac:dyDescent="0.25">
      <c r="A498" s="1"/>
      <c r="B498" t="str" cm="1">
        <f t="array" ref="B498">IF(ISBLANK(INDEX(SampleList[XRD],ROW()-1)),"Not Requested",INDEX(SampleList[Experiment ID],ROW()-1))</f>
        <v>Not Requested</v>
      </c>
      <c r="C498">
        <f>SampleList[[#This Row],[Sample Description]]</f>
        <v>0</v>
      </c>
      <c r="D498">
        <f>SampleList[[#This Row],[Duration (Days)]]</f>
        <v>0</v>
      </c>
    </row>
    <row r="499" spans="1:4" hidden="1" x14ac:dyDescent="0.25">
      <c r="A499" s="1"/>
      <c r="B499" t="str" cm="1">
        <f t="array" ref="B499">IF(ISBLANK(INDEX(SampleList[XRD],ROW()-1)),"Not Requested",INDEX(SampleList[Experiment ID],ROW()-1))</f>
        <v>Not Requested</v>
      </c>
      <c r="C499">
        <f>SampleList[[#This Row],[Sample Description]]</f>
        <v>0</v>
      </c>
      <c r="D499">
        <f>SampleList[[#This Row],[Duration (Days)]]</f>
        <v>0</v>
      </c>
    </row>
    <row r="500" spans="1:4" hidden="1" x14ac:dyDescent="0.25">
      <c r="A500" s="1"/>
      <c r="B500" t="str" cm="1">
        <f t="array" ref="B500">IF(ISBLANK(INDEX(SampleList[XRD],ROW()-1)),"Not Requested",INDEX(SampleList[Experiment ID],ROW()-1))</f>
        <v>Not Requested</v>
      </c>
      <c r="C500">
        <f>SampleList[[#This Row],[Sample Description]]</f>
        <v>0</v>
      </c>
      <c r="D500">
        <f>SampleList[[#This Row],[Duration (Days)]]</f>
        <v>0</v>
      </c>
    </row>
    <row r="501" spans="1:4" hidden="1" x14ac:dyDescent="0.25">
      <c r="A501" s="1"/>
      <c r="B501" t="str" cm="1">
        <f t="array" ref="B501">IF(ISBLANK(INDEX(SampleList[XRD],ROW()-1)),"Not Requested",INDEX(SampleList[Experiment ID],ROW()-1))</f>
        <v>Not Requested</v>
      </c>
      <c r="C501">
        <f>SampleList[[#This Row],[Sample Description]]</f>
        <v>0</v>
      </c>
      <c r="D501">
        <f>SampleList[[#This Row],[Duration (Days)]]</f>
        <v>0</v>
      </c>
    </row>
    <row r="502" spans="1:4" hidden="1" x14ac:dyDescent="0.25">
      <c r="A502" s="1"/>
      <c r="B502" t="str" cm="1">
        <f t="array" ref="B502">IF(ISBLANK(INDEX(SampleList[XRD],ROW()-1)),"Not Requested",INDEX(SampleList[Experiment ID],ROW()-1))</f>
        <v>Not Requested</v>
      </c>
      <c r="C502">
        <f>SampleList[[#This Row],[Sample Description]]</f>
        <v>0</v>
      </c>
      <c r="D502">
        <f>SampleList[[#This Row],[Duration (Days)]]</f>
        <v>0</v>
      </c>
    </row>
    <row r="503" spans="1:4" hidden="1" x14ac:dyDescent="0.25">
      <c r="A503" s="1"/>
      <c r="B503" t="str" cm="1">
        <f t="array" ref="B503">IF(ISBLANK(INDEX(SampleList[XRD],ROW()-1)),"Not Requested",INDEX(SampleList[Experiment ID],ROW()-1))</f>
        <v>Not Requested</v>
      </c>
      <c r="C503">
        <f>SampleList[[#This Row],[Sample Description]]</f>
        <v>0</v>
      </c>
      <c r="D503">
        <f>SampleList[[#This Row],[Duration (Days)]]</f>
        <v>0</v>
      </c>
    </row>
    <row r="504" spans="1:4" hidden="1" x14ac:dyDescent="0.25">
      <c r="A504" s="1"/>
      <c r="B504" t="str" cm="1">
        <f t="array" ref="B504">IF(ISBLANK(INDEX(SampleList[XRD],ROW()-1)),"Not Requested",INDEX(SampleList[Experiment ID],ROW()-1))</f>
        <v>Not Requested</v>
      </c>
      <c r="C504">
        <f>SampleList[[#This Row],[Sample Description]]</f>
        <v>0</v>
      </c>
      <c r="D504">
        <f>SampleList[[#This Row],[Duration (Days)]]</f>
        <v>0</v>
      </c>
    </row>
    <row r="505" spans="1:4" hidden="1" x14ac:dyDescent="0.25">
      <c r="A505" s="1"/>
      <c r="B505" t="str" cm="1">
        <f t="array" ref="B505">IF(ISBLANK(INDEX(SampleList[XRD],ROW()-1)),"Not Requested",INDEX(SampleList[Experiment ID],ROW()-1))</f>
        <v>Not Requested</v>
      </c>
      <c r="C505">
        <f>SampleList[[#This Row],[Sample Description]]</f>
        <v>0</v>
      </c>
      <c r="D505">
        <f>SampleList[[#This Row],[Duration (Days)]]</f>
        <v>0</v>
      </c>
    </row>
    <row r="506" spans="1:4" hidden="1" x14ac:dyDescent="0.25">
      <c r="A506" s="1"/>
      <c r="B506" t="str" cm="1">
        <f t="array" ref="B506">IF(ISBLANK(INDEX(SampleList[XRD],ROW()-1)),"Not Requested",INDEX(SampleList[Experiment ID],ROW()-1))</f>
        <v>Not Requested</v>
      </c>
      <c r="C506">
        <f>SampleList[[#This Row],[Sample Description]]</f>
        <v>0</v>
      </c>
      <c r="D506">
        <f>SampleList[[#This Row],[Duration (Days)]]</f>
        <v>0</v>
      </c>
    </row>
    <row r="507" spans="1:4" hidden="1" x14ac:dyDescent="0.25">
      <c r="A507" s="1"/>
      <c r="B507" t="str" cm="1">
        <f t="array" ref="B507">IF(ISBLANK(INDEX(SampleList[XRD],ROW()-1)),"Not Requested",INDEX(SampleList[Experiment ID],ROW()-1))</f>
        <v>Not Requested</v>
      </c>
      <c r="C507">
        <f>SampleList[[#This Row],[Sample Description]]</f>
        <v>0</v>
      </c>
      <c r="D507">
        <f>SampleList[[#This Row],[Duration (Days)]]</f>
        <v>0</v>
      </c>
    </row>
    <row r="508" spans="1:4" hidden="1" x14ac:dyDescent="0.25">
      <c r="A508" s="1"/>
      <c r="B508" t="str" cm="1">
        <f t="array" ref="B508">IF(ISBLANK(INDEX(SampleList[XRD],ROW()-1)),"Not Requested",INDEX(SampleList[Experiment ID],ROW()-1))</f>
        <v>Not Requested</v>
      </c>
      <c r="C508">
        <f>SampleList[[#This Row],[Sample Description]]</f>
        <v>0</v>
      </c>
      <c r="D508">
        <f>SampleList[[#This Row],[Duration (Days)]]</f>
        <v>0</v>
      </c>
    </row>
    <row r="509" spans="1:4" hidden="1" x14ac:dyDescent="0.25">
      <c r="A509" s="1"/>
      <c r="B509" t="str" cm="1">
        <f t="array" ref="B509">IF(ISBLANK(INDEX(SampleList[XRD],ROW()-1)),"Not Requested",INDEX(SampleList[Experiment ID],ROW()-1))</f>
        <v>Not Requested</v>
      </c>
      <c r="C509">
        <f>SampleList[[#This Row],[Sample Description]]</f>
        <v>0</v>
      </c>
      <c r="D509">
        <f>SampleList[[#This Row],[Duration (Days)]]</f>
        <v>0</v>
      </c>
    </row>
    <row r="510" spans="1:4" hidden="1" x14ac:dyDescent="0.25">
      <c r="A510" s="1"/>
      <c r="B510" t="str" cm="1">
        <f t="array" ref="B510">IF(ISBLANK(INDEX(SampleList[XRD],ROW()-1)),"Not Requested",INDEX(SampleList[Experiment ID],ROW()-1))</f>
        <v>Not Requested</v>
      </c>
      <c r="C510">
        <f>SampleList[[#This Row],[Sample Description]]</f>
        <v>0</v>
      </c>
      <c r="D510">
        <f>SampleList[[#This Row],[Duration (Days)]]</f>
        <v>0</v>
      </c>
    </row>
    <row r="511" spans="1:4" hidden="1" x14ac:dyDescent="0.25">
      <c r="A511" s="1"/>
      <c r="B511" t="str" cm="1">
        <f t="array" ref="B511">IF(ISBLANK(INDEX(SampleList[XRD],ROW()-1)),"Not Requested",INDEX(SampleList[Experiment ID],ROW()-1))</f>
        <v>Not Requested</v>
      </c>
      <c r="C511">
        <f>SampleList[[#This Row],[Sample Description]]</f>
        <v>0</v>
      </c>
      <c r="D511">
        <f>SampleList[[#This Row],[Duration (Days)]]</f>
        <v>0</v>
      </c>
    </row>
    <row r="512" spans="1:4" hidden="1" x14ac:dyDescent="0.25">
      <c r="A512" s="1"/>
      <c r="B512" t="str" cm="1">
        <f t="array" ref="B512">IF(ISBLANK(INDEX(SampleList[XRD],ROW()-1)),"Not Requested",INDEX(SampleList[Experiment ID],ROW()-1))</f>
        <v>Not Requested</v>
      </c>
      <c r="C512">
        <f>SampleList[[#This Row],[Sample Description]]</f>
        <v>0</v>
      </c>
      <c r="D512">
        <f>SampleList[[#This Row],[Duration (Days)]]</f>
        <v>0</v>
      </c>
    </row>
    <row r="513" spans="1:4" hidden="1" x14ac:dyDescent="0.25">
      <c r="A513" s="1"/>
      <c r="B513" t="str" cm="1">
        <f t="array" ref="B513">IF(ISBLANK(INDEX(SampleList[XRD],ROW()-1)),"Not Requested",INDEX(SampleList[Experiment ID],ROW()-1))</f>
        <v>Not Requested</v>
      </c>
      <c r="C513">
        <f>SampleList[[#This Row],[Sample Description]]</f>
        <v>0</v>
      </c>
      <c r="D513">
        <f>SampleList[[#This Row],[Duration (Days)]]</f>
        <v>0</v>
      </c>
    </row>
    <row r="514" spans="1:4" hidden="1" x14ac:dyDescent="0.25">
      <c r="A514" s="1"/>
      <c r="B514" t="str" cm="1">
        <f t="array" ref="B514">IF(ISBLANK(INDEX(SampleList[XRD],ROW()-1)),"Not Requested",INDEX(SampleList[Experiment ID],ROW()-1))</f>
        <v>Not Requested</v>
      </c>
      <c r="C514">
        <f>SampleList[[#This Row],[Sample Description]]</f>
        <v>0</v>
      </c>
      <c r="D514">
        <f>SampleList[[#This Row],[Duration (Days)]]</f>
        <v>0</v>
      </c>
    </row>
    <row r="515" spans="1:4" hidden="1" x14ac:dyDescent="0.25">
      <c r="A515" s="1"/>
      <c r="B515" t="str" cm="1">
        <f t="array" ref="B515">IF(ISBLANK(INDEX(SampleList[XRD],ROW()-1)),"Not Requested",INDEX(SampleList[Experiment ID],ROW()-1))</f>
        <v>Not Requested</v>
      </c>
      <c r="C515">
        <f>SampleList[[#This Row],[Sample Description]]</f>
        <v>0</v>
      </c>
      <c r="D515">
        <f>SampleList[[#This Row],[Duration (Days)]]</f>
        <v>0</v>
      </c>
    </row>
    <row r="516" spans="1:4" hidden="1" x14ac:dyDescent="0.25">
      <c r="A516" s="1"/>
      <c r="B516" t="str" cm="1">
        <f t="array" ref="B516">IF(ISBLANK(INDEX(SampleList[XRD],ROW()-1)),"Not Requested",INDEX(SampleList[Experiment ID],ROW()-1))</f>
        <v>Not Requested</v>
      </c>
      <c r="C516">
        <f>SampleList[[#This Row],[Sample Description]]</f>
        <v>0</v>
      </c>
      <c r="D516">
        <f>SampleList[[#This Row],[Duration (Days)]]</f>
        <v>0</v>
      </c>
    </row>
    <row r="517" spans="1:4" hidden="1" x14ac:dyDescent="0.25">
      <c r="A517" s="1"/>
      <c r="B517" t="str" cm="1">
        <f t="array" ref="B517">IF(ISBLANK(INDEX(SampleList[XRD],ROW()-1)),"Not Requested",INDEX(SampleList[Experiment ID],ROW()-1))</f>
        <v>Not Requested</v>
      </c>
      <c r="C517">
        <f>SampleList[[#This Row],[Sample Description]]</f>
        <v>0</v>
      </c>
      <c r="D517">
        <f>SampleList[[#This Row],[Duration (Days)]]</f>
        <v>0</v>
      </c>
    </row>
    <row r="518" spans="1:4" hidden="1" x14ac:dyDescent="0.25">
      <c r="A518" s="1"/>
      <c r="B518" t="str" cm="1">
        <f t="array" ref="B518">IF(ISBLANK(INDEX(SampleList[XRD],ROW()-1)),"Not Requested",INDEX(SampleList[Experiment ID],ROW()-1))</f>
        <v>Not Requested</v>
      </c>
      <c r="C518">
        <f>SampleList[[#This Row],[Sample Description]]</f>
        <v>0</v>
      </c>
      <c r="D518">
        <f>SampleList[[#This Row],[Duration (Days)]]</f>
        <v>0</v>
      </c>
    </row>
    <row r="519" spans="1:4" hidden="1" x14ac:dyDescent="0.25">
      <c r="A519" s="1"/>
      <c r="B519" t="str" cm="1">
        <f t="array" ref="B519">IF(ISBLANK(INDEX(SampleList[XRD],ROW()-1)),"Not Requested",INDEX(SampleList[Experiment ID],ROW()-1))</f>
        <v>Not Requested</v>
      </c>
      <c r="C519">
        <f>SampleList[[#This Row],[Sample Description]]</f>
        <v>0</v>
      </c>
      <c r="D519">
        <f>SampleList[[#This Row],[Duration (Days)]]</f>
        <v>0</v>
      </c>
    </row>
    <row r="520" spans="1:4" hidden="1" x14ac:dyDescent="0.25">
      <c r="A520" s="1"/>
      <c r="B520" t="str" cm="1">
        <f t="array" ref="B520">IF(ISBLANK(INDEX(SampleList[XRD],ROW()-1)),"Not Requested",INDEX(SampleList[Experiment ID],ROW()-1))</f>
        <v>Not Requested</v>
      </c>
      <c r="C520">
        <f>SampleList[[#This Row],[Sample Description]]</f>
        <v>0</v>
      </c>
      <c r="D520">
        <f>SampleList[[#This Row],[Duration (Days)]]</f>
        <v>0</v>
      </c>
    </row>
    <row r="521" spans="1:4" hidden="1" x14ac:dyDescent="0.25">
      <c r="A521" s="1"/>
      <c r="B521" t="str" cm="1">
        <f t="array" ref="B521">IF(ISBLANK(INDEX(SampleList[XRD],ROW()-1)),"Not Requested",INDEX(SampleList[Experiment ID],ROW()-1))</f>
        <v>Not Requested</v>
      </c>
      <c r="C521">
        <f>SampleList[[#This Row],[Sample Description]]</f>
        <v>0</v>
      </c>
      <c r="D521">
        <f>SampleList[[#This Row],[Duration (Days)]]</f>
        <v>0</v>
      </c>
    </row>
    <row r="522" spans="1:4" hidden="1" x14ac:dyDescent="0.25">
      <c r="A522" s="1"/>
      <c r="B522" t="str" cm="1">
        <f t="array" ref="B522">IF(ISBLANK(INDEX(SampleList[XRD],ROW()-1)),"Not Requested",INDEX(SampleList[Experiment ID],ROW()-1))</f>
        <v>Not Requested</v>
      </c>
      <c r="C522">
        <f>SampleList[[#This Row],[Sample Description]]</f>
        <v>0</v>
      </c>
      <c r="D522">
        <f>SampleList[[#This Row],[Duration (Days)]]</f>
        <v>0</v>
      </c>
    </row>
    <row r="523" spans="1:4" hidden="1" x14ac:dyDescent="0.25">
      <c r="A523" s="1"/>
      <c r="B523" t="str" cm="1">
        <f t="array" ref="B523">IF(ISBLANK(INDEX(SampleList[XRD],ROW()-1)),"Not Requested",INDEX(SampleList[Experiment ID],ROW()-1))</f>
        <v>Not Requested</v>
      </c>
      <c r="C523">
        <f>SampleList[[#This Row],[Sample Description]]</f>
        <v>0</v>
      </c>
      <c r="D523">
        <f>SampleList[[#This Row],[Duration (Days)]]</f>
        <v>0</v>
      </c>
    </row>
    <row r="524" spans="1:4" hidden="1" x14ac:dyDescent="0.25">
      <c r="A524" s="1"/>
      <c r="B524" t="str" cm="1">
        <f t="array" ref="B524">IF(ISBLANK(INDEX(SampleList[XRD],ROW()-1)),"Not Requested",INDEX(SampleList[Experiment ID],ROW()-1))</f>
        <v>Not Requested</v>
      </c>
      <c r="C524">
        <f>SampleList[[#This Row],[Sample Description]]</f>
        <v>0</v>
      </c>
      <c r="D524">
        <f>SampleList[[#This Row],[Duration (Days)]]</f>
        <v>0</v>
      </c>
    </row>
    <row r="525" spans="1:4" hidden="1" x14ac:dyDescent="0.25">
      <c r="A525" s="1"/>
      <c r="B525" t="str" cm="1">
        <f t="array" ref="B525">IF(ISBLANK(INDEX(SampleList[XRD],ROW()-1)),"Not Requested",INDEX(SampleList[Experiment ID],ROW()-1))</f>
        <v>Not Requested</v>
      </c>
      <c r="C525">
        <f>SampleList[[#This Row],[Sample Description]]</f>
        <v>0</v>
      </c>
      <c r="D525">
        <f>SampleList[[#This Row],[Duration (Days)]]</f>
        <v>0</v>
      </c>
    </row>
    <row r="526" spans="1:4" hidden="1" x14ac:dyDescent="0.25">
      <c r="A526" s="1"/>
      <c r="B526" t="str" cm="1">
        <f t="array" ref="B526">IF(ISBLANK(INDEX(SampleList[XRD],ROW()-1)),"Not Requested",INDEX(SampleList[Experiment ID],ROW()-1))</f>
        <v>Not Requested</v>
      </c>
      <c r="C526">
        <f>SampleList[[#This Row],[Sample Description]]</f>
        <v>0</v>
      </c>
      <c r="D526">
        <f>SampleList[[#This Row],[Duration (Days)]]</f>
        <v>0</v>
      </c>
    </row>
    <row r="527" spans="1:4" hidden="1" x14ac:dyDescent="0.25">
      <c r="A527" s="1"/>
      <c r="B527" t="str" cm="1">
        <f t="array" ref="B527">IF(ISBLANK(INDEX(SampleList[XRD],ROW()-1)),"Not Requested",INDEX(SampleList[Experiment ID],ROW()-1))</f>
        <v>Not Requested</v>
      </c>
      <c r="C527">
        <f>SampleList[[#This Row],[Sample Description]]</f>
        <v>0</v>
      </c>
      <c r="D527">
        <f>SampleList[[#This Row],[Duration (Days)]]</f>
        <v>0</v>
      </c>
    </row>
    <row r="528" spans="1:4" hidden="1" x14ac:dyDescent="0.25">
      <c r="A528" s="1"/>
      <c r="B528" t="str" cm="1">
        <f t="array" ref="B528">IF(ISBLANK(INDEX(SampleList[XRD],ROW()-1)),"Not Requested",INDEX(SampleList[Experiment ID],ROW()-1))</f>
        <v>Not Requested</v>
      </c>
      <c r="C528">
        <f>SampleList[[#This Row],[Sample Description]]</f>
        <v>0</v>
      </c>
      <c r="D528">
        <f>SampleList[[#This Row],[Duration (Days)]]</f>
        <v>0</v>
      </c>
    </row>
    <row r="529" spans="1:4" hidden="1" x14ac:dyDescent="0.25">
      <c r="A529" s="1"/>
      <c r="B529" t="str" cm="1">
        <f t="array" ref="B529">IF(ISBLANK(INDEX(SampleList[XRD],ROW()-1)),"Not Requested",INDEX(SampleList[Experiment ID],ROW()-1))</f>
        <v>Not Requested</v>
      </c>
      <c r="C529">
        <f>SampleList[[#This Row],[Sample Description]]</f>
        <v>0</v>
      </c>
      <c r="D529">
        <f>SampleList[[#This Row],[Duration (Days)]]</f>
        <v>0</v>
      </c>
    </row>
    <row r="530" spans="1:4" hidden="1" x14ac:dyDescent="0.25">
      <c r="A530" s="1"/>
      <c r="B530" t="str" cm="1">
        <f t="array" ref="B530">IF(ISBLANK(INDEX(SampleList[XRD],ROW()-1)),"Not Requested",INDEX(SampleList[Experiment ID],ROW()-1))</f>
        <v>Not Requested</v>
      </c>
      <c r="C530">
        <f>SampleList[[#This Row],[Sample Description]]</f>
        <v>0</v>
      </c>
      <c r="D530">
        <f>SampleList[[#This Row],[Duration (Days)]]</f>
        <v>0</v>
      </c>
    </row>
    <row r="531" spans="1:4" hidden="1" x14ac:dyDescent="0.25">
      <c r="A531" s="1"/>
      <c r="B531" t="str" cm="1">
        <f t="array" ref="B531">IF(ISBLANK(INDEX(SampleList[XRD],ROW()-1)),"Not Requested",INDEX(SampleList[Experiment ID],ROW()-1))</f>
        <v>Not Requested</v>
      </c>
      <c r="C531">
        <f>SampleList[[#This Row],[Sample Description]]</f>
        <v>0</v>
      </c>
      <c r="D531">
        <f>SampleList[[#This Row],[Duration (Days)]]</f>
        <v>0</v>
      </c>
    </row>
    <row r="532" spans="1:4" hidden="1" x14ac:dyDescent="0.25">
      <c r="A532" s="1"/>
      <c r="B532" t="str" cm="1">
        <f t="array" ref="B532">IF(ISBLANK(INDEX(SampleList[XRD],ROW()-1)),"Not Requested",INDEX(SampleList[Experiment ID],ROW()-1))</f>
        <v>Not Requested</v>
      </c>
      <c r="C532">
        <f>SampleList[[#This Row],[Sample Description]]</f>
        <v>0</v>
      </c>
      <c r="D532">
        <f>SampleList[[#This Row],[Duration (Days)]]</f>
        <v>0</v>
      </c>
    </row>
    <row r="533" spans="1:4" hidden="1" x14ac:dyDescent="0.25">
      <c r="A533" s="1"/>
      <c r="B533" t="str" cm="1">
        <f t="array" ref="B533">IF(ISBLANK(INDEX(SampleList[XRD],ROW()-1)),"Not Requested",INDEX(SampleList[Experiment ID],ROW()-1))</f>
        <v>Not Requested</v>
      </c>
      <c r="C533">
        <f>SampleList[[#This Row],[Sample Description]]</f>
        <v>0</v>
      </c>
      <c r="D533">
        <f>SampleList[[#This Row],[Duration (Days)]]</f>
        <v>0</v>
      </c>
    </row>
    <row r="534" spans="1:4" hidden="1" x14ac:dyDescent="0.25">
      <c r="A534" s="1"/>
      <c r="B534" t="str" cm="1">
        <f t="array" ref="B534">IF(ISBLANK(INDEX(SampleList[XRD],ROW()-1)),"Not Requested",INDEX(SampleList[Experiment ID],ROW()-1))</f>
        <v>Not Requested</v>
      </c>
      <c r="C534">
        <f>SampleList[[#This Row],[Sample Description]]</f>
        <v>0</v>
      </c>
      <c r="D534">
        <f>SampleList[[#This Row],[Duration (Days)]]</f>
        <v>0</v>
      </c>
    </row>
    <row r="535" spans="1:4" hidden="1" x14ac:dyDescent="0.25">
      <c r="A535" s="1"/>
      <c r="B535" t="str" cm="1">
        <f t="array" ref="B535">IF(ISBLANK(INDEX(SampleList[XRD],ROW()-1)),"Not Requested",INDEX(SampleList[Experiment ID],ROW()-1))</f>
        <v>Not Requested</v>
      </c>
      <c r="C535">
        <f>SampleList[[#This Row],[Sample Description]]</f>
        <v>0</v>
      </c>
      <c r="D535">
        <f>SampleList[[#This Row],[Duration (Days)]]</f>
        <v>0</v>
      </c>
    </row>
    <row r="536" spans="1:4" hidden="1" x14ac:dyDescent="0.25">
      <c r="A536" s="1"/>
      <c r="B536" t="str" cm="1">
        <f t="array" ref="B536">IF(ISBLANK(INDEX(SampleList[XRD],ROW()-1)),"Not Requested",INDEX(SampleList[Experiment ID],ROW()-1))</f>
        <v>Not Requested</v>
      </c>
      <c r="C536">
        <f>SampleList[[#This Row],[Sample Description]]</f>
        <v>0</v>
      </c>
      <c r="D536">
        <f>SampleList[[#This Row],[Duration (Days)]]</f>
        <v>0</v>
      </c>
    </row>
    <row r="537" spans="1:4" hidden="1" x14ac:dyDescent="0.25">
      <c r="A537" s="1"/>
      <c r="B537" t="str" cm="1">
        <f t="array" ref="B537">IF(ISBLANK(INDEX(SampleList[XRD],ROW()-1)),"Not Requested",INDEX(SampleList[Experiment ID],ROW()-1))</f>
        <v>Not Requested</v>
      </c>
      <c r="C537">
        <f>SampleList[[#This Row],[Sample Description]]</f>
        <v>0</v>
      </c>
      <c r="D537">
        <f>SampleList[[#This Row],[Duration (Days)]]</f>
        <v>0</v>
      </c>
    </row>
    <row r="538" spans="1:4" hidden="1" x14ac:dyDescent="0.25">
      <c r="A538" s="1"/>
      <c r="B538" t="str" cm="1">
        <f t="array" ref="B538">IF(ISBLANK(INDEX(SampleList[XRD],ROW()-1)),"Not Requested",INDEX(SampleList[Experiment ID],ROW()-1))</f>
        <v>Not Requested</v>
      </c>
      <c r="C538">
        <f>SampleList[[#This Row],[Sample Description]]</f>
        <v>0</v>
      </c>
      <c r="D538">
        <f>SampleList[[#This Row],[Duration (Days)]]</f>
        <v>0</v>
      </c>
    </row>
    <row r="539" spans="1:4" hidden="1" x14ac:dyDescent="0.25">
      <c r="A539" s="1"/>
      <c r="B539" t="str" cm="1">
        <f t="array" ref="B539">IF(ISBLANK(INDEX(SampleList[XRD],ROW()-1)),"Not Requested",INDEX(SampleList[Experiment ID],ROW()-1))</f>
        <v>Not Requested</v>
      </c>
      <c r="C539">
        <f>SampleList[[#This Row],[Sample Description]]</f>
        <v>0</v>
      </c>
      <c r="D539">
        <f>SampleList[[#This Row],[Duration (Days)]]</f>
        <v>0</v>
      </c>
    </row>
    <row r="540" spans="1:4" hidden="1" x14ac:dyDescent="0.25">
      <c r="A540" s="1"/>
      <c r="B540" t="str" cm="1">
        <f t="array" ref="B540">IF(ISBLANK(INDEX(SampleList[XRD],ROW()-1)),"Not Requested",INDEX(SampleList[Experiment ID],ROW()-1))</f>
        <v>Not Requested</v>
      </c>
      <c r="C540">
        <f>SampleList[[#This Row],[Sample Description]]</f>
        <v>0</v>
      </c>
      <c r="D540">
        <f>SampleList[[#This Row],[Duration (Days)]]</f>
        <v>0</v>
      </c>
    </row>
    <row r="541" spans="1:4" hidden="1" x14ac:dyDescent="0.25">
      <c r="A541" s="1"/>
      <c r="B541" t="str" cm="1">
        <f t="array" ref="B541">IF(ISBLANK(INDEX(SampleList[XRD],ROW()-1)),"Not Requested",INDEX(SampleList[Experiment ID],ROW()-1))</f>
        <v>Not Requested</v>
      </c>
      <c r="C541">
        <f>SampleList[[#This Row],[Sample Description]]</f>
        <v>0</v>
      </c>
      <c r="D541">
        <f>SampleList[[#This Row],[Duration (Days)]]</f>
        <v>0</v>
      </c>
    </row>
    <row r="542" spans="1:4" hidden="1" x14ac:dyDescent="0.25">
      <c r="A542" s="1"/>
      <c r="B542" t="str" cm="1">
        <f t="array" ref="B542">IF(ISBLANK(INDEX(SampleList[XRD],ROW()-1)),"Not Requested",INDEX(SampleList[Experiment ID],ROW()-1))</f>
        <v>Not Requested</v>
      </c>
      <c r="C542">
        <f>SampleList[[#This Row],[Sample Description]]</f>
        <v>0</v>
      </c>
      <c r="D542">
        <f>SampleList[[#This Row],[Duration (Days)]]</f>
        <v>0</v>
      </c>
    </row>
    <row r="543" spans="1:4" hidden="1" x14ac:dyDescent="0.25">
      <c r="A543" s="1"/>
      <c r="B543" t="str" cm="1">
        <f t="array" ref="B543">IF(ISBLANK(INDEX(SampleList[XRD],ROW()-1)),"Not Requested",INDEX(SampleList[Experiment ID],ROW()-1))</f>
        <v>Not Requested</v>
      </c>
      <c r="C543">
        <f>SampleList[[#This Row],[Sample Description]]</f>
        <v>0</v>
      </c>
      <c r="D543">
        <f>SampleList[[#This Row],[Duration (Days)]]</f>
        <v>0</v>
      </c>
    </row>
    <row r="544" spans="1:4" hidden="1" x14ac:dyDescent="0.25">
      <c r="A544" s="1"/>
      <c r="B544" t="str" cm="1">
        <f t="array" ref="B544">IF(ISBLANK(INDEX(SampleList[XRD],ROW()-1)),"Not Requested",INDEX(SampleList[Experiment ID],ROW()-1))</f>
        <v>Not Requested</v>
      </c>
      <c r="C544">
        <f>SampleList[[#This Row],[Sample Description]]</f>
        <v>0</v>
      </c>
      <c r="D544">
        <f>SampleList[[#This Row],[Duration (Days)]]</f>
        <v>0</v>
      </c>
    </row>
    <row r="545" spans="1:4" hidden="1" x14ac:dyDescent="0.25">
      <c r="A545" s="1"/>
      <c r="B545" t="str" cm="1">
        <f t="array" ref="B545">IF(ISBLANK(INDEX(SampleList[XRD],ROW()-1)),"Not Requested",INDEX(SampleList[Experiment ID],ROW()-1))</f>
        <v>Not Requested</v>
      </c>
      <c r="C545">
        <f>SampleList[[#This Row],[Sample Description]]</f>
        <v>0</v>
      </c>
      <c r="D545">
        <f>SampleList[[#This Row],[Duration (Days)]]</f>
        <v>0</v>
      </c>
    </row>
    <row r="546" spans="1:4" hidden="1" x14ac:dyDescent="0.25">
      <c r="A546" s="1"/>
      <c r="B546" t="str" cm="1">
        <f t="array" ref="B546">IF(ISBLANK(INDEX(SampleList[XRD],ROW()-1)),"Not Requested",INDEX(SampleList[Experiment ID],ROW()-1))</f>
        <v>Not Requested</v>
      </c>
      <c r="C546">
        <f>SampleList[[#This Row],[Sample Description]]</f>
        <v>0</v>
      </c>
      <c r="D546">
        <f>SampleList[[#This Row],[Duration (Days)]]</f>
        <v>0</v>
      </c>
    </row>
    <row r="547" spans="1:4" hidden="1" x14ac:dyDescent="0.25">
      <c r="A547" s="1"/>
      <c r="B547" t="str" cm="1">
        <f t="array" ref="B547">IF(ISBLANK(INDEX(SampleList[XRD],ROW()-1)),"Not Requested",INDEX(SampleList[Experiment ID],ROW()-1))</f>
        <v>Not Requested</v>
      </c>
      <c r="C547">
        <f>SampleList[[#This Row],[Sample Description]]</f>
        <v>0</v>
      </c>
      <c r="D547">
        <f>SampleList[[#This Row],[Duration (Days)]]</f>
        <v>0</v>
      </c>
    </row>
    <row r="548" spans="1:4" hidden="1" x14ac:dyDescent="0.25">
      <c r="A548" s="1"/>
      <c r="B548" t="str" cm="1">
        <f t="array" ref="B548">IF(ISBLANK(INDEX(SampleList[XRD],ROW()-1)),"Not Requested",INDEX(SampleList[Experiment ID],ROW()-1))</f>
        <v>Not Requested</v>
      </c>
      <c r="C548">
        <f>SampleList[[#This Row],[Sample Description]]</f>
        <v>0</v>
      </c>
      <c r="D548">
        <f>SampleList[[#This Row],[Duration (Days)]]</f>
        <v>0</v>
      </c>
    </row>
    <row r="549" spans="1:4" hidden="1" x14ac:dyDescent="0.25">
      <c r="A549" s="1"/>
      <c r="B549" t="str" cm="1">
        <f t="array" ref="B549">IF(ISBLANK(INDEX(SampleList[XRD],ROW()-1)),"Not Requested",INDEX(SampleList[Experiment ID],ROW()-1))</f>
        <v>Not Requested</v>
      </c>
      <c r="C549">
        <f>SampleList[[#This Row],[Sample Description]]</f>
        <v>0</v>
      </c>
      <c r="D549">
        <f>SampleList[[#This Row],[Duration (Days)]]</f>
        <v>0</v>
      </c>
    </row>
    <row r="550" spans="1:4" hidden="1" x14ac:dyDescent="0.25">
      <c r="A550" s="1"/>
      <c r="B550" t="str" cm="1">
        <f t="array" ref="B550">IF(ISBLANK(INDEX(SampleList[XRD],ROW()-1)),"Not Requested",INDEX(SampleList[Experiment ID],ROW()-1))</f>
        <v>Not Requested</v>
      </c>
      <c r="C550">
        <f>SampleList[[#This Row],[Sample Description]]</f>
        <v>0</v>
      </c>
      <c r="D550">
        <f>SampleList[[#This Row],[Duration (Days)]]</f>
        <v>0</v>
      </c>
    </row>
    <row r="551" spans="1:4" hidden="1" x14ac:dyDescent="0.25">
      <c r="A551" s="1"/>
      <c r="B551" t="str" cm="1">
        <f t="array" ref="B551">IF(ISBLANK(INDEX(SampleList[XRD],ROW()-1)),"Not Requested",INDEX(SampleList[Experiment ID],ROW()-1))</f>
        <v>Not Requested</v>
      </c>
      <c r="C551">
        <f>SampleList[[#This Row],[Sample Description]]</f>
        <v>0</v>
      </c>
      <c r="D551">
        <f>SampleList[[#This Row],[Duration (Days)]]</f>
        <v>0</v>
      </c>
    </row>
    <row r="552" spans="1:4" hidden="1" x14ac:dyDescent="0.25">
      <c r="A552" s="1"/>
      <c r="B552" t="str" cm="1">
        <f t="array" ref="B552">IF(ISBLANK(INDEX(SampleList[XRD],ROW()-1)),"Not Requested",INDEX(SampleList[Experiment ID],ROW()-1))</f>
        <v>Not Requested</v>
      </c>
      <c r="C552">
        <f>SampleList[[#This Row],[Sample Description]]</f>
        <v>0</v>
      </c>
      <c r="D552">
        <f>SampleList[[#This Row],[Duration (Days)]]</f>
        <v>0</v>
      </c>
    </row>
    <row r="553" spans="1:4" hidden="1" x14ac:dyDescent="0.25">
      <c r="A553" s="1"/>
      <c r="B553" t="str" cm="1">
        <f t="array" ref="B553">IF(ISBLANK(INDEX(SampleList[XRD],ROW()-1)),"Not Requested",INDEX(SampleList[Experiment ID],ROW()-1))</f>
        <v>Not Requested</v>
      </c>
      <c r="C553">
        <f>SampleList[[#This Row],[Sample Description]]</f>
        <v>0</v>
      </c>
      <c r="D553">
        <f>SampleList[[#This Row],[Duration (Days)]]</f>
        <v>0</v>
      </c>
    </row>
    <row r="554" spans="1:4" hidden="1" x14ac:dyDescent="0.25">
      <c r="A554" s="1"/>
      <c r="B554" t="str" cm="1">
        <f t="array" ref="B554">IF(ISBLANK(INDEX(SampleList[XRD],ROW()-1)),"Not Requested",INDEX(SampleList[Experiment ID],ROW()-1))</f>
        <v>Not Requested</v>
      </c>
      <c r="C554">
        <f>SampleList[[#This Row],[Sample Description]]</f>
        <v>0</v>
      </c>
      <c r="D554">
        <f>SampleList[[#This Row],[Duration (Days)]]</f>
        <v>0</v>
      </c>
    </row>
    <row r="555" spans="1:4" hidden="1" x14ac:dyDescent="0.25">
      <c r="A555" s="1"/>
      <c r="B555" t="str" cm="1">
        <f t="array" ref="B555">IF(ISBLANK(INDEX(SampleList[XRD],ROW()-1)),"Not Requested",INDEX(SampleList[Experiment ID],ROW()-1))</f>
        <v>Not Requested</v>
      </c>
      <c r="C555">
        <f>SampleList[[#This Row],[Sample Description]]</f>
        <v>0</v>
      </c>
      <c r="D555">
        <f>SampleList[[#This Row],[Duration (Days)]]</f>
        <v>0</v>
      </c>
    </row>
    <row r="556" spans="1:4" hidden="1" x14ac:dyDescent="0.25">
      <c r="A556" s="1"/>
      <c r="B556" t="str" cm="1">
        <f t="array" ref="B556">IF(ISBLANK(INDEX(SampleList[XRD],ROW()-1)),"Not Requested",INDEX(SampleList[Experiment ID],ROW()-1))</f>
        <v>Not Requested</v>
      </c>
      <c r="C556">
        <f>SampleList[[#This Row],[Sample Description]]</f>
        <v>0</v>
      </c>
      <c r="D556">
        <f>SampleList[[#This Row],[Duration (Days)]]</f>
        <v>0</v>
      </c>
    </row>
    <row r="557" spans="1:4" hidden="1" x14ac:dyDescent="0.25">
      <c r="A557" s="1"/>
      <c r="B557" t="str" cm="1">
        <f t="array" ref="B557">IF(ISBLANK(INDEX(SampleList[XRD],ROW()-1)),"Not Requested",INDEX(SampleList[Experiment ID],ROW()-1))</f>
        <v>Not Requested</v>
      </c>
      <c r="C557">
        <f>SampleList[[#This Row],[Sample Description]]</f>
        <v>0</v>
      </c>
      <c r="D557">
        <f>SampleList[[#This Row],[Duration (Days)]]</f>
        <v>0</v>
      </c>
    </row>
    <row r="558" spans="1:4" hidden="1" x14ac:dyDescent="0.25">
      <c r="A558" s="1"/>
      <c r="B558" t="str" cm="1">
        <f t="array" ref="B558">IF(ISBLANK(INDEX(SampleList[XRD],ROW()-1)),"Not Requested",INDEX(SampleList[Experiment ID],ROW()-1))</f>
        <v>Not Requested</v>
      </c>
      <c r="C558">
        <f>SampleList[[#This Row],[Sample Description]]</f>
        <v>0</v>
      </c>
      <c r="D558">
        <f>SampleList[[#This Row],[Duration (Days)]]</f>
        <v>0</v>
      </c>
    </row>
    <row r="559" spans="1:4" hidden="1" x14ac:dyDescent="0.25">
      <c r="A559" s="1"/>
      <c r="B559" t="str" cm="1">
        <f t="array" ref="B559">IF(ISBLANK(INDEX(SampleList[XRD],ROW()-1)),"Not Requested",INDEX(SampleList[Experiment ID],ROW()-1))</f>
        <v>Not Requested</v>
      </c>
      <c r="C559">
        <f>SampleList[[#This Row],[Sample Description]]</f>
        <v>0</v>
      </c>
      <c r="D559">
        <f>SampleList[[#This Row],[Duration (Days)]]</f>
        <v>0</v>
      </c>
    </row>
    <row r="560" spans="1:4" hidden="1" x14ac:dyDescent="0.25">
      <c r="A560" s="1"/>
      <c r="B560" t="str" cm="1">
        <f t="array" ref="B560">IF(ISBLANK(INDEX(SampleList[XRD],ROW()-1)),"Not Requested",INDEX(SampleList[Experiment ID],ROW()-1))</f>
        <v>Not Requested</v>
      </c>
      <c r="C560">
        <f>SampleList[[#This Row],[Sample Description]]</f>
        <v>0</v>
      </c>
      <c r="D560">
        <f>SampleList[[#This Row],[Duration (Days)]]</f>
        <v>0</v>
      </c>
    </row>
    <row r="561" spans="1:4" hidden="1" x14ac:dyDescent="0.25">
      <c r="A561" s="1"/>
      <c r="B561" t="str" cm="1">
        <f t="array" ref="B561">IF(ISBLANK(INDEX(SampleList[XRD],ROW()-1)),"Not Requested",INDEX(SampleList[Experiment ID],ROW()-1))</f>
        <v>Not Requested</v>
      </c>
      <c r="C561">
        <f>SampleList[[#This Row],[Sample Description]]</f>
        <v>0</v>
      </c>
      <c r="D561">
        <f>SampleList[[#This Row],[Duration (Days)]]</f>
        <v>0</v>
      </c>
    </row>
    <row r="562" spans="1:4" hidden="1" x14ac:dyDescent="0.25">
      <c r="A562" s="1"/>
      <c r="B562" t="str" cm="1">
        <f t="array" ref="B562">IF(ISBLANK(INDEX(SampleList[XRD],ROW()-1)),"Not Requested",INDEX(SampleList[Experiment ID],ROW()-1))</f>
        <v>Not Requested</v>
      </c>
      <c r="C562">
        <f>SampleList[[#This Row],[Sample Description]]</f>
        <v>0</v>
      </c>
      <c r="D562">
        <f>SampleList[[#This Row],[Duration (Days)]]</f>
        <v>0</v>
      </c>
    </row>
    <row r="563" spans="1:4" hidden="1" x14ac:dyDescent="0.25">
      <c r="A563" s="1"/>
      <c r="B563" t="str" cm="1">
        <f t="array" ref="B563">IF(ISBLANK(INDEX(SampleList[XRD],ROW()-1)),"Not Requested",INDEX(SampleList[Experiment ID],ROW()-1))</f>
        <v>Not Requested</v>
      </c>
      <c r="C563">
        <f>SampleList[[#This Row],[Sample Description]]</f>
        <v>0</v>
      </c>
      <c r="D563">
        <f>SampleList[[#This Row],[Duration (Days)]]</f>
        <v>0</v>
      </c>
    </row>
    <row r="564" spans="1:4" hidden="1" x14ac:dyDescent="0.25">
      <c r="A564" s="1"/>
      <c r="B564" t="str" cm="1">
        <f t="array" ref="B564">IF(ISBLANK(INDEX(SampleList[XRD],ROW()-1)),"Not Requested",INDEX(SampleList[Experiment ID],ROW()-1))</f>
        <v>Not Requested</v>
      </c>
      <c r="C564">
        <f>SampleList[[#This Row],[Sample Description]]</f>
        <v>0</v>
      </c>
      <c r="D564">
        <f>SampleList[[#This Row],[Duration (Days)]]</f>
        <v>0</v>
      </c>
    </row>
    <row r="565" spans="1:4" hidden="1" x14ac:dyDescent="0.25">
      <c r="A565" s="1"/>
      <c r="B565" t="str" cm="1">
        <f t="array" ref="B565">IF(ISBLANK(INDEX(SampleList[XRD],ROW()-1)),"Not Requested",INDEX(SampleList[Experiment ID],ROW()-1))</f>
        <v>Not Requested</v>
      </c>
      <c r="C565">
        <f>SampleList[[#This Row],[Sample Description]]</f>
        <v>0</v>
      </c>
      <c r="D565">
        <f>SampleList[[#This Row],[Duration (Days)]]</f>
        <v>0</v>
      </c>
    </row>
    <row r="566" spans="1:4" hidden="1" x14ac:dyDescent="0.25">
      <c r="A566" s="1"/>
      <c r="B566" t="str" cm="1">
        <f t="array" ref="B566">IF(ISBLANK(INDEX(SampleList[XRD],ROW()-1)),"Not Requested",INDEX(SampleList[Experiment ID],ROW()-1))</f>
        <v>Not Requested</v>
      </c>
      <c r="C566">
        <f>SampleList[[#This Row],[Sample Description]]</f>
        <v>0</v>
      </c>
      <c r="D566">
        <f>SampleList[[#This Row],[Duration (Days)]]</f>
        <v>0</v>
      </c>
    </row>
    <row r="567" spans="1:4" hidden="1" x14ac:dyDescent="0.25">
      <c r="A567" s="1"/>
      <c r="B567" t="str" cm="1">
        <f t="array" ref="B567">IF(ISBLANK(INDEX(SampleList[XRD],ROW()-1)),"Not Requested",INDEX(SampleList[Experiment ID],ROW()-1))</f>
        <v>Not Requested</v>
      </c>
      <c r="C567">
        <f>SampleList[[#This Row],[Sample Description]]</f>
        <v>0</v>
      </c>
      <c r="D567">
        <f>SampleList[[#This Row],[Duration (Days)]]</f>
        <v>0</v>
      </c>
    </row>
    <row r="568" spans="1:4" hidden="1" x14ac:dyDescent="0.25">
      <c r="A568" s="1"/>
      <c r="B568" t="str" cm="1">
        <f t="array" ref="B568">IF(ISBLANK(INDEX(SampleList[XRD],ROW()-1)),"Not Requested",INDEX(SampleList[Experiment ID],ROW()-1))</f>
        <v>Not Requested</v>
      </c>
      <c r="C568">
        <f>SampleList[[#This Row],[Sample Description]]</f>
        <v>0</v>
      </c>
      <c r="D568">
        <f>SampleList[[#This Row],[Duration (Days)]]</f>
        <v>0</v>
      </c>
    </row>
    <row r="569" spans="1:4" hidden="1" x14ac:dyDescent="0.25">
      <c r="A569" s="1"/>
      <c r="B569" t="str" cm="1">
        <f t="array" ref="B569">IF(ISBLANK(INDEX(SampleList[XRD],ROW()-1)),"Not Requested",INDEX(SampleList[Experiment ID],ROW()-1))</f>
        <v>Not Requested</v>
      </c>
      <c r="C569">
        <f>SampleList[[#This Row],[Sample Description]]</f>
        <v>0</v>
      </c>
      <c r="D569">
        <f>SampleList[[#This Row],[Duration (Days)]]</f>
        <v>0</v>
      </c>
    </row>
    <row r="570" spans="1:4" hidden="1" x14ac:dyDescent="0.25">
      <c r="A570" s="1"/>
      <c r="B570" t="str" cm="1">
        <f t="array" ref="B570">IF(ISBLANK(INDEX(SampleList[XRD],ROW()-1)),"Not Requested",INDEX(SampleList[Experiment ID],ROW()-1))</f>
        <v>Not Requested</v>
      </c>
      <c r="C570">
        <f>SampleList[[#This Row],[Sample Description]]</f>
        <v>0</v>
      </c>
      <c r="D570">
        <f>SampleList[[#This Row],[Duration (Days)]]</f>
        <v>0</v>
      </c>
    </row>
    <row r="571" spans="1:4" hidden="1" x14ac:dyDescent="0.25">
      <c r="A571" s="1"/>
      <c r="B571" t="str" cm="1">
        <f t="array" ref="B571">IF(ISBLANK(INDEX(SampleList[XRD],ROW()-1)),"Not Requested",INDEX(SampleList[Experiment ID],ROW()-1))</f>
        <v>Not Requested</v>
      </c>
      <c r="C571">
        <f>SampleList[[#This Row],[Sample Description]]</f>
        <v>0</v>
      </c>
      <c r="D571">
        <f>SampleList[[#This Row],[Duration (Days)]]</f>
        <v>0</v>
      </c>
    </row>
    <row r="572" spans="1:4" hidden="1" x14ac:dyDescent="0.25">
      <c r="A572" s="1"/>
      <c r="B572" t="str" cm="1">
        <f t="array" ref="B572">IF(ISBLANK(INDEX(SampleList[XRD],ROW()-1)),"Not Requested",INDEX(SampleList[Experiment ID],ROW()-1))</f>
        <v>Not Requested</v>
      </c>
      <c r="C572">
        <f>SampleList[[#This Row],[Sample Description]]</f>
        <v>0</v>
      </c>
      <c r="D572">
        <f>SampleList[[#This Row],[Duration (Days)]]</f>
        <v>0</v>
      </c>
    </row>
    <row r="573" spans="1:4" hidden="1" x14ac:dyDescent="0.25">
      <c r="A573" s="1"/>
      <c r="B573" t="str" cm="1">
        <f t="array" ref="B573">IF(ISBLANK(INDEX(SampleList[XRD],ROW()-1)),"Not Requested",INDEX(SampleList[Experiment ID],ROW()-1))</f>
        <v>Not Requested</v>
      </c>
      <c r="C573">
        <f>SampleList[[#This Row],[Sample Description]]</f>
        <v>0</v>
      </c>
      <c r="D573">
        <f>SampleList[[#This Row],[Duration (Days)]]</f>
        <v>0</v>
      </c>
    </row>
    <row r="574" spans="1:4" hidden="1" x14ac:dyDescent="0.25">
      <c r="A574" s="1"/>
      <c r="B574" t="str" cm="1">
        <f t="array" ref="B574">IF(ISBLANK(INDEX(SampleList[XRD],ROW()-1)),"Not Requested",INDEX(SampleList[Experiment ID],ROW()-1))</f>
        <v>Not Requested</v>
      </c>
      <c r="C574">
        <f>SampleList[[#This Row],[Sample Description]]</f>
        <v>0</v>
      </c>
      <c r="D574">
        <f>SampleList[[#This Row],[Duration (Days)]]</f>
        <v>0</v>
      </c>
    </row>
    <row r="575" spans="1:4" hidden="1" x14ac:dyDescent="0.25">
      <c r="A575" s="1"/>
      <c r="B575" t="str" cm="1">
        <f t="array" ref="B575">IF(ISBLANK(INDEX(SampleList[XRD],ROW()-1)),"Not Requested",INDEX(SampleList[Experiment ID],ROW()-1))</f>
        <v>Not Requested</v>
      </c>
      <c r="C575">
        <f>SampleList[[#This Row],[Sample Description]]</f>
        <v>0</v>
      </c>
      <c r="D575">
        <f>SampleList[[#This Row],[Duration (Days)]]</f>
        <v>0</v>
      </c>
    </row>
    <row r="576" spans="1:4" hidden="1" x14ac:dyDescent="0.25">
      <c r="A576" s="1"/>
      <c r="B576" t="str" cm="1">
        <f t="array" ref="B576">IF(ISBLANK(INDEX(SampleList[XRD],ROW()-1)),"Not Requested",INDEX(SampleList[Experiment ID],ROW()-1))</f>
        <v>Not Requested</v>
      </c>
      <c r="C576">
        <f>SampleList[[#This Row],[Sample Description]]</f>
        <v>0</v>
      </c>
      <c r="D576">
        <f>SampleList[[#This Row],[Duration (Days)]]</f>
        <v>0</v>
      </c>
    </row>
    <row r="577" spans="1:4" hidden="1" x14ac:dyDescent="0.25">
      <c r="A577" s="1"/>
      <c r="B577" t="str" cm="1">
        <f t="array" ref="B577">IF(ISBLANK(INDEX(SampleList[XRD],ROW()-1)),"Not Requested",INDEX(SampleList[Experiment ID],ROW()-1))</f>
        <v>Not Requested</v>
      </c>
      <c r="C577">
        <f>SampleList[[#This Row],[Sample Description]]</f>
        <v>0</v>
      </c>
      <c r="D577">
        <f>SampleList[[#This Row],[Duration (Days)]]</f>
        <v>0</v>
      </c>
    </row>
    <row r="578" spans="1:4" hidden="1" x14ac:dyDescent="0.25">
      <c r="A578" s="1"/>
      <c r="B578" t="str" cm="1">
        <f t="array" ref="B578">IF(ISBLANK(INDEX(SampleList[XRD],ROW()-1)),"Not Requested",INDEX(SampleList[Experiment ID],ROW()-1))</f>
        <v>Not Requested</v>
      </c>
      <c r="C578">
        <f>SampleList[[#This Row],[Sample Description]]</f>
        <v>0</v>
      </c>
      <c r="D578">
        <f>SampleList[[#This Row],[Duration (Days)]]</f>
        <v>0</v>
      </c>
    </row>
    <row r="579" spans="1:4" hidden="1" x14ac:dyDescent="0.25">
      <c r="A579" s="1"/>
      <c r="B579" t="str" cm="1">
        <f t="array" ref="B579">IF(ISBLANK(INDEX(SampleList[XRD],ROW()-1)),"Not Requested",INDEX(SampleList[Experiment ID],ROW()-1))</f>
        <v>Not Requested</v>
      </c>
      <c r="C579">
        <f>SampleList[[#This Row],[Sample Description]]</f>
        <v>0</v>
      </c>
      <c r="D579">
        <f>SampleList[[#This Row],[Duration (Days)]]</f>
        <v>0</v>
      </c>
    </row>
    <row r="580" spans="1:4" hidden="1" x14ac:dyDescent="0.25">
      <c r="A580" s="1"/>
      <c r="B580" t="str" cm="1">
        <f t="array" ref="B580">IF(ISBLANK(INDEX(SampleList[XRD],ROW()-1)),"Not Requested",INDEX(SampleList[Experiment ID],ROW()-1))</f>
        <v>Not Requested</v>
      </c>
      <c r="C580">
        <f>SampleList[[#This Row],[Sample Description]]</f>
        <v>0</v>
      </c>
      <c r="D580">
        <f>SampleList[[#This Row],[Duration (Days)]]</f>
        <v>0</v>
      </c>
    </row>
    <row r="581" spans="1:4" hidden="1" x14ac:dyDescent="0.25">
      <c r="A581" s="1"/>
      <c r="B581" t="str" cm="1">
        <f t="array" ref="B581">IF(ISBLANK(INDEX(SampleList[XRD],ROW()-1)),"Not Requested",INDEX(SampleList[Experiment ID],ROW()-1))</f>
        <v>Not Requested</v>
      </c>
      <c r="C581">
        <f>SampleList[[#This Row],[Sample Description]]</f>
        <v>0</v>
      </c>
      <c r="D581">
        <f>SampleList[[#This Row],[Duration (Days)]]</f>
        <v>0</v>
      </c>
    </row>
    <row r="582" spans="1:4" hidden="1" x14ac:dyDescent="0.25">
      <c r="A582" s="1"/>
      <c r="B582" t="str" cm="1">
        <f t="array" ref="B582">IF(ISBLANK(INDEX(SampleList[XRD],ROW()-1)),"Not Requested",INDEX(SampleList[Experiment ID],ROW()-1))</f>
        <v>Not Requested</v>
      </c>
      <c r="C582">
        <f>SampleList[[#This Row],[Sample Description]]</f>
        <v>0</v>
      </c>
      <c r="D582">
        <f>SampleList[[#This Row],[Duration (Days)]]</f>
        <v>0</v>
      </c>
    </row>
    <row r="583" spans="1:4" hidden="1" x14ac:dyDescent="0.25">
      <c r="A583" s="1"/>
      <c r="B583" t="str" cm="1">
        <f t="array" ref="B583">IF(ISBLANK(INDEX(SampleList[XRD],ROW()-1)),"Not Requested",INDEX(SampleList[Experiment ID],ROW()-1))</f>
        <v>Not Requested</v>
      </c>
      <c r="C583">
        <f>SampleList[[#This Row],[Sample Description]]</f>
        <v>0</v>
      </c>
      <c r="D583">
        <f>SampleList[[#This Row],[Duration (Days)]]</f>
        <v>0</v>
      </c>
    </row>
    <row r="584" spans="1:4" hidden="1" x14ac:dyDescent="0.25">
      <c r="A584" s="1"/>
      <c r="B584" t="str" cm="1">
        <f t="array" ref="B584">IF(ISBLANK(INDEX(SampleList[XRD],ROW()-1)),"Not Requested",INDEX(SampleList[Experiment ID],ROW()-1))</f>
        <v>Not Requested</v>
      </c>
      <c r="C584">
        <f>SampleList[[#This Row],[Sample Description]]</f>
        <v>0</v>
      </c>
      <c r="D584">
        <f>SampleList[[#This Row],[Duration (Days)]]</f>
        <v>0</v>
      </c>
    </row>
    <row r="585" spans="1:4" hidden="1" x14ac:dyDescent="0.25">
      <c r="A585" s="1"/>
      <c r="B585" t="str" cm="1">
        <f t="array" ref="B585">IF(ISBLANK(INDEX(SampleList[XRD],ROW()-1)),"Not Requested",INDEX(SampleList[Experiment ID],ROW()-1))</f>
        <v>Not Requested</v>
      </c>
      <c r="C585">
        <f>SampleList[[#This Row],[Sample Description]]</f>
        <v>0</v>
      </c>
      <c r="D585">
        <f>SampleList[[#This Row],[Duration (Days)]]</f>
        <v>0</v>
      </c>
    </row>
    <row r="586" spans="1:4" hidden="1" x14ac:dyDescent="0.25">
      <c r="A586" s="1"/>
      <c r="B586" t="str" cm="1">
        <f t="array" ref="B586">IF(ISBLANK(INDEX(SampleList[XRD],ROW()-1)),"Not Requested",INDEX(SampleList[Experiment ID],ROW()-1))</f>
        <v>Not Requested</v>
      </c>
      <c r="C586">
        <f>SampleList[[#This Row],[Sample Description]]</f>
        <v>0</v>
      </c>
      <c r="D586">
        <f>SampleList[[#This Row],[Duration (Days)]]</f>
        <v>0</v>
      </c>
    </row>
    <row r="587" spans="1:4" hidden="1" x14ac:dyDescent="0.25">
      <c r="A587" s="1"/>
      <c r="B587" t="str" cm="1">
        <f t="array" ref="B587">IF(ISBLANK(INDEX(SampleList[XRD],ROW()-1)),"Not Requested",INDEX(SampleList[Experiment ID],ROW()-1))</f>
        <v>Not Requested</v>
      </c>
      <c r="C587">
        <f>SampleList[[#This Row],[Sample Description]]</f>
        <v>0</v>
      </c>
      <c r="D587">
        <f>SampleList[[#This Row],[Duration (Days)]]</f>
        <v>0</v>
      </c>
    </row>
    <row r="588" spans="1:4" hidden="1" x14ac:dyDescent="0.25">
      <c r="A588" s="1"/>
      <c r="B588" t="str" cm="1">
        <f t="array" ref="B588">IF(ISBLANK(INDEX(SampleList[XRD],ROW()-1)),"Not Requested",INDEX(SampleList[Experiment ID],ROW()-1))</f>
        <v>Not Requested</v>
      </c>
      <c r="C588">
        <f>SampleList[[#This Row],[Sample Description]]</f>
        <v>0</v>
      </c>
      <c r="D588">
        <f>SampleList[[#This Row],[Duration (Days)]]</f>
        <v>0</v>
      </c>
    </row>
    <row r="589" spans="1:4" hidden="1" x14ac:dyDescent="0.25">
      <c r="A589" s="1"/>
      <c r="B589" t="str" cm="1">
        <f t="array" ref="B589">IF(ISBLANK(INDEX(SampleList[XRD],ROW()-1)),"Not Requested",INDEX(SampleList[Experiment ID],ROW()-1))</f>
        <v>Not Requested</v>
      </c>
      <c r="C589">
        <f>SampleList[[#This Row],[Sample Description]]</f>
        <v>0</v>
      </c>
      <c r="D589">
        <f>SampleList[[#This Row],[Duration (Days)]]</f>
        <v>0</v>
      </c>
    </row>
    <row r="590" spans="1:4" hidden="1" x14ac:dyDescent="0.25">
      <c r="A590" s="1"/>
      <c r="B590" t="str" cm="1">
        <f t="array" ref="B590">IF(ISBLANK(INDEX(SampleList[XRD],ROW()-1)),"Not Requested",INDEX(SampleList[Experiment ID],ROW()-1))</f>
        <v>Not Requested</v>
      </c>
      <c r="C590">
        <f>SampleList[[#This Row],[Sample Description]]</f>
        <v>0</v>
      </c>
      <c r="D590">
        <f>SampleList[[#This Row],[Duration (Days)]]</f>
        <v>0</v>
      </c>
    </row>
    <row r="591" spans="1:4" hidden="1" x14ac:dyDescent="0.25">
      <c r="A591" s="1"/>
      <c r="B591" t="str" cm="1">
        <f t="array" ref="B591">IF(ISBLANK(INDEX(SampleList[XRD],ROW()-1)),"Not Requested",INDEX(SampleList[Experiment ID],ROW()-1))</f>
        <v>Not Requested</v>
      </c>
      <c r="C591">
        <f>SampleList[[#This Row],[Sample Description]]</f>
        <v>0</v>
      </c>
      <c r="D591">
        <f>SampleList[[#This Row],[Duration (Days)]]</f>
        <v>0</v>
      </c>
    </row>
    <row r="592" spans="1:4" hidden="1" x14ac:dyDescent="0.25">
      <c r="A592" s="1"/>
      <c r="B592" t="str" cm="1">
        <f t="array" ref="B592">IF(ISBLANK(INDEX(SampleList[XRD],ROW()-1)),"Not Requested",INDEX(SampleList[Experiment ID],ROW()-1))</f>
        <v>Not Requested</v>
      </c>
      <c r="C592">
        <f>SampleList[[#This Row],[Sample Description]]</f>
        <v>0</v>
      </c>
      <c r="D592">
        <f>SampleList[[#This Row],[Duration (Days)]]</f>
        <v>0</v>
      </c>
    </row>
    <row r="593" spans="1:4" hidden="1" x14ac:dyDescent="0.25">
      <c r="A593" s="1"/>
      <c r="B593" t="str" cm="1">
        <f t="array" ref="B593">IF(ISBLANK(INDEX(SampleList[XRD],ROW()-1)),"Not Requested",INDEX(SampleList[Experiment ID],ROW()-1))</f>
        <v>Not Requested</v>
      </c>
      <c r="C593">
        <f>SampleList[[#This Row],[Sample Description]]</f>
        <v>0</v>
      </c>
      <c r="D593">
        <f>SampleList[[#This Row],[Duration (Days)]]</f>
        <v>0</v>
      </c>
    </row>
    <row r="594" spans="1:4" hidden="1" x14ac:dyDescent="0.25">
      <c r="A594" s="1"/>
      <c r="B594" t="str" cm="1">
        <f t="array" ref="B594">IF(ISBLANK(INDEX(SampleList[XRD],ROW()-1)),"Not Requested",INDEX(SampleList[Experiment ID],ROW()-1))</f>
        <v>Not Requested</v>
      </c>
      <c r="C594">
        <f>SampleList[[#This Row],[Sample Description]]</f>
        <v>0</v>
      </c>
      <c r="D594">
        <f>SampleList[[#This Row],[Duration (Days)]]</f>
        <v>0</v>
      </c>
    </row>
    <row r="595" spans="1:4" hidden="1" x14ac:dyDescent="0.25">
      <c r="A595" s="1"/>
      <c r="B595" t="str" cm="1">
        <f t="array" ref="B595">IF(ISBLANK(INDEX(SampleList[XRD],ROW()-1)),"Not Requested",INDEX(SampleList[Experiment ID],ROW()-1))</f>
        <v>Not Requested</v>
      </c>
      <c r="C595">
        <f>SampleList[[#This Row],[Sample Description]]</f>
        <v>0</v>
      </c>
      <c r="D595">
        <f>SampleList[[#This Row],[Duration (Days)]]</f>
        <v>0</v>
      </c>
    </row>
    <row r="596" spans="1:4" hidden="1" x14ac:dyDescent="0.25">
      <c r="A596" s="1"/>
      <c r="B596" t="str" cm="1">
        <f t="array" ref="B596">IF(ISBLANK(INDEX(SampleList[XRD],ROW()-1)),"Not Requested",INDEX(SampleList[Experiment ID],ROW()-1))</f>
        <v>Not Requested</v>
      </c>
      <c r="C596">
        <f>SampleList[[#This Row],[Sample Description]]</f>
        <v>0</v>
      </c>
      <c r="D596">
        <f>SampleList[[#This Row],[Duration (Days)]]</f>
        <v>0</v>
      </c>
    </row>
    <row r="597" spans="1:4" hidden="1" x14ac:dyDescent="0.25">
      <c r="A597" s="1"/>
      <c r="B597" t="str" cm="1">
        <f t="array" ref="B597">IF(ISBLANK(INDEX(SampleList[XRD],ROW()-1)),"Not Requested",INDEX(SampleList[Experiment ID],ROW()-1))</f>
        <v>Not Requested</v>
      </c>
      <c r="C597">
        <f>SampleList[[#This Row],[Sample Description]]</f>
        <v>0</v>
      </c>
      <c r="D597">
        <f>SampleList[[#This Row],[Duration (Days)]]</f>
        <v>0</v>
      </c>
    </row>
    <row r="598" spans="1:4" hidden="1" x14ac:dyDescent="0.25">
      <c r="A598" s="1"/>
      <c r="B598" t="str" cm="1">
        <f t="array" ref="B598">IF(ISBLANK(INDEX(SampleList[XRD],ROW()-1)),"Not Requested",INDEX(SampleList[Experiment ID],ROW()-1))</f>
        <v>Not Requested</v>
      </c>
      <c r="C598">
        <f>SampleList[[#This Row],[Sample Description]]</f>
        <v>0</v>
      </c>
      <c r="D598">
        <f>SampleList[[#This Row],[Duration (Days)]]</f>
        <v>0</v>
      </c>
    </row>
    <row r="599" spans="1:4" hidden="1" x14ac:dyDescent="0.25">
      <c r="A599" s="1"/>
      <c r="B599" t="str" cm="1">
        <f t="array" ref="B599">IF(ISBLANK(INDEX(SampleList[XRD],ROW()-1)),"Not Requested",INDEX(SampleList[Experiment ID],ROW()-1))</f>
        <v>Not Requested</v>
      </c>
      <c r="C599">
        <f>SampleList[[#This Row],[Sample Description]]</f>
        <v>0</v>
      </c>
      <c r="D599">
        <f>SampleList[[#This Row],[Duration (Days)]]</f>
        <v>0</v>
      </c>
    </row>
    <row r="600" spans="1:4" hidden="1" x14ac:dyDescent="0.25">
      <c r="A600" s="1"/>
      <c r="B600" t="str" cm="1">
        <f t="array" ref="B600">IF(ISBLANK(INDEX(SampleList[XRD],ROW()-1)),"Not Requested",INDEX(SampleList[Experiment ID],ROW()-1))</f>
        <v>Not Requested</v>
      </c>
      <c r="C600">
        <f>SampleList[[#This Row],[Sample Description]]</f>
        <v>0</v>
      </c>
      <c r="D600">
        <f>SampleList[[#This Row],[Duration (Days)]]</f>
        <v>0</v>
      </c>
    </row>
    <row r="601" spans="1:4" hidden="1" x14ac:dyDescent="0.25">
      <c r="A601" s="1"/>
      <c r="B601" t="str" cm="1">
        <f t="array" ref="B601">IF(ISBLANK(INDEX(SampleList[XRD],ROW()-1)),"Not Requested",INDEX(SampleList[Experiment ID],ROW()-1))</f>
        <v>Not Requested</v>
      </c>
      <c r="C601">
        <f>SampleList[[#This Row],[Sample Description]]</f>
        <v>0</v>
      </c>
      <c r="D601">
        <f>SampleList[[#This Row],[Duration (Days)]]</f>
        <v>0</v>
      </c>
    </row>
    <row r="602" spans="1:4" hidden="1" x14ac:dyDescent="0.25">
      <c r="A602" s="1"/>
      <c r="B602" t="str" cm="1">
        <f t="array" ref="B602">IF(ISBLANK(INDEX(SampleList[XRD],ROW()-1)),"Not Requested",INDEX(SampleList[Experiment ID],ROW()-1))</f>
        <v>Not Requested</v>
      </c>
      <c r="C602">
        <f>SampleList[[#This Row],[Sample Description]]</f>
        <v>0</v>
      </c>
      <c r="D602">
        <f>SampleList[[#This Row],[Duration (Days)]]</f>
        <v>0</v>
      </c>
    </row>
    <row r="603" spans="1:4" hidden="1" x14ac:dyDescent="0.25">
      <c r="A603" s="1"/>
      <c r="B603" t="str" cm="1">
        <f t="array" ref="B603">IF(ISBLANK(INDEX(SampleList[XRD],ROW()-1)),"Not Requested",INDEX(SampleList[Experiment ID],ROW()-1))</f>
        <v>Not Requested</v>
      </c>
      <c r="C603">
        <f>SampleList[[#This Row],[Sample Description]]</f>
        <v>0</v>
      </c>
      <c r="D603">
        <f>SampleList[[#This Row],[Duration (Days)]]</f>
        <v>0</v>
      </c>
    </row>
    <row r="604" spans="1:4" hidden="1" x14ac:dyDescent="0.25">
      <c r="A604" s="1"/>
      <c r="B604" t="str" cm="1">
        <f t="array" ref="B604">IF(ISBLANK(INDEX(SampleList[XRD],ROW()-1)),"Not Requested",INDEX(SampleList[Experiment ID],ROW()-1))</f>
        <v>Not Requested</v>
      </c>
      <c r="C604">
        <f>SampleList[[#This Row],[Sample Description]]</f>
        <v>0</v>
      </c>
      <c r="D604">
        <f>SampleList[[#This Row],[Duration (Days)]]</f>
        <v>0</v>
      </c>
    </row>
    <row r="605" spans="1:4" hidden="1" x14ac:dyDescent="0.25">
      <c r="A605" s="1"/>
      <c r="B605" t="str" cm="1">
        <f t="array" ref="B605">IF(ISBLANK(INDEX(SampleList[XRD],ROW()-1)),"Not Requested",INDEX(SampleList[Experiment ID],ROW()-1))</f>
        <v>Not Requested</v>
      </c>
      <c r="C605">
        <f>SampleList[[#This Row],[Sample Description]]</f>
        <v>0</v>
      </c>
      <c r="D605">
        <f>SampleList[[#This Row],[Duration (Days)]]</f>
        <v>0</v>
      </c>
    </row>
    <row r="606" spans="1:4" hidden="1" x14ac:dyDescent="0.25">
      <c r="A606" s="1"/>
      <c r="B606" t="str" cm="1">
        <f t="array" ref="B606">IF(ISBLANK(INDEX(SampleList[XRD],ROW()-1)),"Not Requested",INDEX(SampleList[Experiment ID],ROW()-1))</f>
        <v>Not Requested</v>
      </c>
      <c r="C606">
        <f>SampleList[[#This Row],[Sample Description]]</f>
        <v>0</v>
      </c>
      <c r="D606">
        <f>SampleList[[#This Row],[Duration (Days)]]</f>
        <v>0</v>
      </c>
    </row>
    <row r="607" spans="1:4" hidden="1" x14ac:dyDescent="0.25">
      <c r="A607" s="1"/>
      <c r="B607" t="str" cm="1">
        <f t="array" ref="B607">IF(ISBLANK(INDEX(SampleList[XRD],ROW()-1)),"Not Requested",INDEX(SampleList[Experiment ID],ROW()-1))</f>
        <v>Not Requested</v>
      </c>
      <c r="C607">
        <f>SampleList[[#This Row],[Sample Description]]</f>
        <v>0</v>
      </c>
      <c r="D607">
        <f>SampleList[[#This Row],[Duration (Days)]]</f>
        <v>0</v>
      </c>
    </row>
    <row r="608" spans="1:4" hidden="1" x14ac:dyDescent="0.25">
      <c r="A608" s="1"/>
      <c r="B608" t="str" cm="1">
        <f t="array" ref="B608">IF(ISBLANK(INDEX(SampleList[XRD],ROW()-1)),"Not Requested",INDEX(SampleList[Experiment ID],ROW()-1))</f>
        <v>Not Requested</v>
      </c>
      <c r="C608">
        <f>SampleList[[#This Row],[Sample Description]]</f>
        <v>0</v>
      </c>
      <c r="D608">
        <f>SampleList[[#This Row],[Duration (Days)]]</f>
        <v>0</v>
      </c>
    </row>
    <row r="609" spans="1:4" hidden="1" x14ac:dyDescent="0.25">
      <c r="A609" s="1"/>
      <c r="B609" t="str" cm="1">
        <f t="array" ref="B609">IF(ISBLANK(INDEX(SampleList[XRD],ROW()-1)),"Not Requested",INDEX(SampleList[Experiment ID],ROW()-1))</f>
        <v>Not Requested</v>
      </c>
      <c r="C609">
        <f>SampleList[[#This Row],[Sample Description]]</f>
        <v>0</v>
      </c>
      <c r="D609">
        <f>SampleList[[#This Row],[Duration (Days)]]</f>
        <v>0</v>
      </c>
    </row>
    <row r="610" spans="1:4" hidden="1" x14ac:dyDescent="0.25">
      <c r="A610" s="1"/>
      <c r="B610" t="str" cm="1">
        <f t="array" ref="B610">IF(ISBLANK(INDEX(SampleList[XRD],ROW()-1)),"Not Requested",INDEX(SampleList[Experiment ID],ROW()-1))</f>
        <v>Not Requested</v>
      </c>
      <c r="C610">
        <f>SampleList[[#This Row],[Sample Description]]</f>
        <v>0</v>
      </c>
      <c r="D610">
        <f>SampleList[[#This Row],[Duration (Days)]]</f>
        <v>0</v>
      </c>
    </row>
    <row r="611" spans="1:4" hidden="1" x14ac:dyDescent="0.25">
      <c r="A611" s="1"/>
      <c r="B611" t="str" cm="1">
        <f t="array" ref="B611">IF(ISBLANK(INDEX(SampleList[XRD],ROW()-1)),"Not Requested",INDEX(SampleList[Experiment ID],ROW()-1))</f>
        <v>Not Requested</v>
      </c>
      <c r="C611">
        <f>SampleList[[#This Row],[Sample Description]]</f>
        <v>0</v>
      </c>
      <c r="D611">
        <f>SampleList[[#This Row],[Duration (Days)]]</f>
        <v>0</v>
      </c>
    </row>
    <row r="612" spans="1:4" hidden="1" x14ac:dyDescent="0.25">
      <c r="A612" s="1"/>
      <c r="B612" t="str" cm="1">
        <f t="array" ref="B612">IF(ISBLANK(INDEX(SampleList[XRD],ROW()-1)),"Not Requested",INDEX(SampleList[Experiment ID],ROW()-1))</f>
        <v>Not Requested</v>
      </c>
      <c r="C612">
        <f>SampleList[[#This Row],[Sample Description]]</f>
        <v>0</v>
      </c>
      <c r="D612">
        <f>SampleList[[#This Row],[Duration (Days)]]</f>
        <v>0</v>
      </c>
    </row>
    <row r="613" spans="1:4" hidden="1" x14ac:dyDescent="0.25">
      <c r="A613" s="1"/>
      <c r="B613" t="str" cm="1">
        <f t="array" ref="B613">IF(ISBLANK(INDEX(SampleList[XRD],ROW()-1)),"Not Requested",INDEX(SampleList[Experiment ID],ROW()-1))</f>
        <v>Not Requested</v>
      </c>
      <c r="C613">
        <f>SampleList[[#This Row],[Sample Description]]</f>
        <v>0</v>
      </c>
      <c r="D613">
        <f>SampleList[[#This Row],[Duration (Days)]]</f>
        <v>0</v>
      </c>
    </row>
    <row r="614" spans="1:4" hidden="1" x14ac:dyDescent="0.25">
      <c r="A614" s="1"/>
      <c r="B614" t="str" cm="1">
        <f t="array" ref="B614">IF(ISBLANK(INDEX(SampleList[XRD],ROW()-1)),"Not Requested",INDEX(SampleList[Experiment ID],ROW()-1))</f>
        <v>Not Requested</v>
      </c>
      <c r="C614">
        <f>SampleList[[#This Row],[Sample Description]]</f>
        <v>0</v>
      </c>
      <c r="D614">
        <f>SampleList[[#This Row],[Duration (Days)]]</f>
        <v>0</v>
      </c>
    </row>
    <row r="615" spans="1:4" hidden="1" x14ac:dyDescent="0.25">
      <c r="A615" s="1"/>
      <c r="B615" t="str" cm="1">
        <f t="array" ref="B615">IF(ISBLANK(INDEX(SampleList[XRD],ROW()-1)),"Not Requested",INDEX(SampleList[Experiment ID],ROW()-1))</f>
        <v>Not Requested</v>
      </c>
      <c r="C615">
        <f>SampleList[[#This Row],[Sample Description]]</f>
        <v>0</v>
      </c>
      <c r="D615">
        <f>SampleList[[#This Row],[Duration (Days)]]</f>
        <v>0</v>
      </c>
    </row>
    <row r="616" spans="1:4" hidden="1" x14ac:dyDescent="0.25">
      <c r="A616" s="1"/>
      <c r="B616" t="str" cm="1">
        <f t="array" ref="B616">IF(ISBLANK(INDEX(SampleList[XRD],ROW()-1)),"Not Requested",INDEX(SampleList[Experiment ID],ROW()-1))</f>
        <v>Not Requested</v>
      </c>
      <c r="C616">
        <f>SampleList[[#This Row],[Sample Description]]</f>
        <v>0</v>
      </c>
      <c r="D616">
        <f>SampleList[[#This Row],[Duration (Days)]]</f>
        <v>0</v>
      </c>
    </row>
    <row r="617" spans="1:4" hidden="1" x14ac:dyDescent="0.25">
      <c r="A617" s="1"/>
      <c r="B617" t="str" cm="1">
        <f t="array" ref="B617">IF(ISBLANK(INDEX(SampleList[XRD],ROW()-1)),"Not Requested",INDEX(SampleList[Experiment ID],ROW()-1))</f>
        <v>Not Requested</v>
      </c>
      <c r="C617">
        <f>SampleList[[#This Row],[Sample Description]]</f>
        <v>0</v>
      </c>
      <c r="D617">
        <f>SampleList[[#This Row],[Duration (Days)]]</f>
        <v>0</v>
      </c>
    </row>
    <row r="618" spans="1:4" hidden="1" x14ac:dyDescent="0.25">
      <c r="A618" s="1"/>
      <c r="B618" t="str" cm="1">
        <f t="array" ref="B618">IF(ISBLANK(INDEX(SampleList[XRD],ROW()-1)),"Not Requested",INDEX(SampleList[Experiment ID],ROW()-1))</f>
        <v>Not Requested</v>
      </c>
      <c r="C618">
        <f>SampleList[[#This Row],[Sample Description]]</f>
        <v>0</v>
      </c>
      <c r="D618">
        <f>SampleList[[#This Row],[Duration (Days)]]</f>
        <v>0</v>
      </c>
    </row>
    <row r="619" spans="1:4" hidden="1" x14ac:dyDescent="0.25">
      <c r="A619" s="1"/>
      <c r="B619" t="str" cm="1">
        <f t="array" ref="B619">IF(ISBLANK(INDEX(SampleList[XRD],ROW()-1)),"Not Requested",INDEX(SampleList[Experiment ID],ROW()-1))</f>
        <v>Not Requested</v>
      </c>
      <c r="C619">
        <f>SampleList[[#This Row],[Sample Description]]</f>
        <v>0</v>
      </c>
      <c r="D619">
        <f>SampleList[[#This Row],[Duration (Days)]]</f>
        <v>0</v>
      </c>
    </row>
    <row r="620" spans="1:4" hidden="1" x14ac:dyDescent="0.25">
      <c r="A620" s="1"/>
      <c r="B620" t="str" cm="1">
        <f t="array" ref="B620">IF(ISBLANK(INDEX(SampleList[XRD],ROW()-1)),"Not Requested",INDEX(SampleList[Experiment ID],ROW()-1))</f>
        <v>Not Requested</v>
      </c>
      <c r="C620">
        <f>SampleList[[#This Row],[Sample Description]]</f>
        <v>0</v>
      </c>
      <c r="D620">
        <f>SampleList[[#This Row],[Duration (Days)]]</f>
        <v>0</v>
      </c>
    </row>
    <row r="621" spans="1:4" hidden="1" x14ac:dyDescent="0.25">
      <c r="A621" s="1"/>
      <c r="B621" t="str" cm="1">
        <f t="array" ref="B621">IF(ISBLANK(INDEX(SampleList[XRD],ROW()-1)),"Not Requested",INDEX(SampleList[Experiment ID],ROW()-1))</f>
        <v>Not Requested</v>
      </c>
      <c r="C621">
        <f>SampleList[[#This Row],[Sample Description]]</f>
        <v>0</v>
      </c>
      <c r="D621">
        <f>SampleList[[#This Row],[Duration (Days)]]</f>
        <v>0</v>
      </c>
    </row>
    <row r="622" spans="1:4" hidden="1" x14ac:dyDescent="0.25">
      <c r="A622" s="1"/>
      <c r="B622" t="str" cm="1">
        <f t="array" ref="B622">IF(ISBLANK(INDEX(SampleList[XRD],ROW()-1)),"Not Requested",INDEX(SampleList[Experiment ID],ROW()-1))</f>
        <v>Not Requested</v>
      </c>
      <c r="C622">
        <f>SampleList[[#This Row],[Sample Description]]</f>
        <v>0</v>
      </c>
      <c r="D622">
        <f>SampleList[[#This Row],[Duration (Days)]]</f>
        <v>0</v>
      </c>
    </row>
    <row r="623" spans="1:4" hidden="1" x14ac:dyDescent="0.25">
      <c r="A623" s="1"/>
      <c r="B623" t="str" cm="1">
        <f t="array" ref="B623">IF(ISBLANK(INDEX(SampleList[XRD],ROW()-1)),"Not Requested",INDEX(SampleList[Experiment ID],ROW()-1))</f>
        <v>Not Requested</v>
      </c>
      <c r="C623">
        <f>SampleList[[#This Row],[Sample Description]]</f>
        <v>0</v>
      </c>
      <c r="D623">
        <f>SampleList[[#This Row],[Duration (Days)]]</f>
        <v>0</v>
      </c>
    </row>
    <row r="624" spans="1:4" hidden="1" x14ac:dyDescent="0.25">
      <c r="A624" s="1"/>
      <c r="B624" t="str" cm="1">
        <f t="array" ref="B624">IF(ISBLANK(INDEX(SampleList[XRD],ROW()-1)),"Not Requested",INDEX(SampleList[Experiment ID],ROW()-1))</f>
        <v>Not Requested</v>
      </c>
      <c r="C624">
        <f>SampleList[[#This Row],[Sample Description]]</f>
        <v>0</v>
      </c>
      <c r="D624">
        <f>SampleList[[#This Row],[Duration (Days)]]</f>
        <v>0</v>
      </c>
    </row>
    <row r="625" spans="1:4" hidden="1" x14ac:dyDescent="0.25">
      <c r="A625" s="1"/>
      <c r="B625" t="str" cm="1">
        <f t="array" ref="B625">IF(ISBLANK(INDEX(SampleList[XRD],ROW()-1)),"Not Requested",INDEX(SampleList[Experiment ID],ROW()-1))</f>
        <v>Not Requested</v>
      </c>
      <c r="C625">
        <f>SampleList[[#This Row],[Sample Description]]</f>
        <v>0</v>
      </c>
      <c r="D625">
        <f>SampleList[[#This Row],[Duration (Days)]]</f>
        <v>0</v>
      </c>
    </row>
    <row r="626" spans="1:4" hidden="1" x14ac:dyDescent="0.25">
      <c r="A626" s="1"/>
      <c r="B626" t="str" cm="1">
        <f t="array" ref="B626">IF(ISBLANK(INDEX(SampleList[XRD],ROW()-1)),"Not Requested",INDEX(SampleList[Experiment ID],ROW()-1))</f>
        <v>Not Requested</v>
      </c>
      <c r="C626">
        <f>SampleList[[#This Row],[Sample Description]]</f>
        <v>0</v>
      </c>
      <c r="D626">
        <f>SampleList[[#This Row],[Duration (Days)]]</f>
        <v>0</v>
      </c>
    </row>
    <row r="627" spans="1:4" hidden="1" x14ac:dyDescent="0.25">
      <c r="A627" s="1"/>
      <c r="B627" t="str" cm="1">
        <f t="array" ref="B627">IF(ISBLANK(INDEX(SampleList[XRD],ROW()-1)),"Not Requested",INDEX(SampleList[Experiment ID],ROW()-1))</f>
        <v>Not Requested</v>
      </c>
      <c r="C627">
        <f>SampleList[[#This Row],[Sample Description]]</f>
        <v>0</v>
      </c>
      <c r="D627">
        <f>SampleList[[#This Row],[Duration (Days)]]</f>
        <v>0</v>
      </c>
    </row>
    <row r="628" spans="1:4" hidden="1" x14ac:dyDescent="0.25">
      <c r="A628" s="1"/>
      <c r="B628" t="str" cm="1">
        <f t="array" ref="B628">IF(ISBLANK(INDEX(SampleList[XRD],ROW()-1)),"Not Requested",INDEX(SampleList[Experiment ID],ROW()-1))</f>
        <v>Not Requested</v>
      </c>
      <c r="C628">
        <f>SampleList[[#This Row],[Sample Description]]</f>
        <v>0</v>
      </c>
      <c r="D628">
        <f>SampleList[[#This Row],[Duration (Days)]]</f>
        <v>0</v>
      </c>
    </row>
    <row r="629" spans="1:4" hidden="1" x14ac:dyDescent="0.25">
      <c r="A629" s="1"/>
      <c r="B629" t="str" cm="1">
        <f t="array" ref="B629">IF(ISBLANK(INDEX(SampleList[XRD],ROW()-1)),"Not Requested",INDEX(SampleList[Experiment ID],ROW()-1))</f>
        <v>Not Requested</v>
      </c>
      <c r="C629">
        <f>SampleList[[#This Row],[Sample Description]]</f>
        <v>0</v>
      </c>
      <c r="D629">
        <f>SampleList[[#This Row],[Duration (Days)]]</f>
        <v>0</v>
      </c>
    </row>
    <row r="630" spans="1:4" hidden="1" x14ac:dyDescent="0.25">
      <c r="A630" s="1"/>
      <c r="B630" t="str" cm="1">
        <f t="array" ref="B630">IF(ISBLANK(INDEX(SampleList[XRD],ROW()-1)),"Not Requested",INDEX(SampleList[Experiment ID],ROW()-1))</f>
        <v>Not Requested</v>
      </c>
      <c r="C630">
        <f>SampleList[[#This Row],[Sample Description]]</f>
        <v>0</v>
      </c>
      <c r="D630">
        <f>SampleList[[#This Row],[Duration (Days)]]</f>
        <v>0</v>
      </c>
    </row>
    <row r="631" spans="1:4" hidden="1" x14ac:dyDescent="0.25">
      <c r="A631" s="1"/>
      <c r="B631" t="str" cm="1">
        <f t="array" ref="B631">IF(ISBLANK(INDEX(SampleList[XRD],ROW()-1)),"Not Requested",INDEX(SampleList[Experiment ID],ROW()-1))</f>
        <v>Not Requested</v>
      </c>
      <c r="C631">
        <f>SampleList[[#This Row],[Sample Description]]</f>
        <v>0</v>
      </c>
      <c r="D631">
        <f>SampleList[[#This Row],[Duration (Days)]]</f>
        <v>0</v>
      </c>
    </row>
    <row r="632" spans="1:4" hidden="1" x14ac:dyDescent="0.25">
      <c r="A632" s="1"/>
      <c r="B632" t="str" cm="1">
        <f t="array" ref="B632">IF(ISBLANK(INDEX(SampleList[XRD],ROW()-1)),"Not Requested",INDEX(SampleList[Experiment ID],ROW()-1))</f>
        <v>Not Requested</v>
      </c>
      <c r="C632">
        <f>SampleList[[#This Row],[Sample Description]]</f>
        <v>0</v>
      </c>
      <c r="D632">
        <f>SampleList[[#This Row],[Duration (Days)]]</f>
        <v>0</v>
      </c>
    </row>
    <row r="633" spans="1:4" hidden="1" x14ac:dyDescent="0.25">
      <c r="A633" s="1"/>
      <c r="B633" t="str" cm="1">
        <f t="array" ref="B633">IF(ISBLANK(INDEX(SampleList[XRD],ROW()-1)),"Not Requested",INDEX(SampleList[Experiment ID],ROW()-1))</f>
        <v>Not Requested</v>
      </c>
      <c r="C633">
        <f>SampleList[[#This Row],[Sample Description]]</f>
        <v>0</v>
      </c>
      <c r="D633">
        <f>SampleList[[#This Row],[Duration (Days)]]</f>
        <v>0</v>
      </c>
    </row>
    <row r="634" spans="1:4" hidden="1" x14ac:dyDescent="0.25">
      <c r="A634" s="1"/>
      <c r="B634" t="str" cm="1">
        <f t="array" ref="B634">IF(ISBLANK(INDEX(SampleList[XRD],ROW()-1)),"Not Requested",INDEX(SampleList[Experiment ID],ROW()-1))</f>
        <v>Not Requested</v>
      </c>
      <c r="C634">
        <f>SampleList[[#This Row],[Sample Description]]</f>
        <v>0</v>
      </c>
      <c r="D634">
        <f>SampleList[[#This Row],[Duration (Days)]]</f>
        <v>0</v>
      </c>
    </row>
    <row r="635" spans="1:4" hidden="1" x14ac:dyDescent="0.25">
      <c r="A635" s="1"/>
      <c r="B635" t="str" cm="1">
        <f t="array" ref="B635">IF(ISBLANK(INDEX(SampleList[XRD],ROW()-1)),"Not Requested",INDEX(SampleList[Experiment ID],ROW()-1))</f>
        <v>Not Requested</v>
      </c>
      <c r="C635">
        <f>SampleList[[#This Row],[Sample Description]]</f>
        <v>0</v>
      </c>
      <c r="D635">
        <f>SampleList[[#This Row],[Duration (Days)]]</f>
        <v>0</v>
      </c>
    </row>
    <row r="636" spans="1:4" hidden="1" x14ac:dyDescent="0.25">
      <c r="A636" s="1"/>
      <c r="B636" t="str" cm="1">
        <f t="array" ref="B636">IF(ISBLANK(INDEX(SampleList[XRD],ROW()-1)),"Not Requested",INDEX(SampleList[Experiment ID],ROW()-1))</f>
        <v>Not Requested</v>
      </c>
      <c r="C636">
        <f>SampleList[[#This Row],[Sample Description]]</f>
        <v>0</v>
      </c>
      <c r="D636">
        <f>SampleList[[#This Row],[Duration (Days)]]</f>
        <v>0</v>
      </c>
    </row>
    <row r="637" spans="1:4" hidden="1" x14ac:dyDescent="0.25">
      <c r="A637" s="1"/>
      <c r="B637" t="str" cm="1">
        <f t="array" ref="B637">IF(ISBLANK(INDEX(SampleList[XRD],ROW()-1)),"Not Requested",INDEX(SampleList[Experiment ID],ROW()-1))</f>
        <v>Not Requested</v>
      </c>
      <c r="C637">
        <f>SampleList[[#This Row],[Sample Description]]</f>
        <v>0</v>
      </c>
      <c r="D637">
        <f>SampleList[[#This Row],[Duration (Days)]]</f>
        <v>0</v>
      </c>
    </row>
    <row r="638" spans="1:4" hidden="1" x14ac:dyDescent="0.25">
      <c r="A638" s="1"/>
      <c r="B638" t="str" cm="1">
        <f t="array" ref="B638">IF(ISBLANK(INDEX(SampleList[XRD],ROW()-1)),"Not Requested",INDEX(SampleList[Experiment ID],ROW()-1))</f>
        <v>Not Requested</v>
      </c>
      <c r="C638">
        <f>SampleList[[#This Row],[Sample Description]]</f>
        <v>0</v>
      </c>
      <c r="D638">
        <f>SampleList[[#This Row],[Duration (Days)]]</f>
        <v>0</v>
      </c>
    </row>
    <row r="639" spans="1:4" hidden="1" x14ac:dyDescent="0.25">
      <c r="A639" s="1"/>
      <c r="B639" t="str" cm="1">
        <f t="array" ref="B639">IF(ISBLANK(INDEX(SampleList[XRD],ROW()-1)),"Not Requested",INDEX(SampleList[Experiment ID],ROW()-1))</f>
        <v>Not Requested</v>
      </c>
      <c r="C639">
        <f>SampleList[[#This Row],[Sample Description]]</f>
        <v>0</v>
      </c>
      <c r="D639">
        <f>SampleList[[#This Row],[Duration (Days)]]</f>
        <v>0</v>
      </c>
    </row>
    <row r="640" spans="1:4" hidden="1" x14ac:dyDescent="0.25">
      <c r="A640" s="1"/>
      <c r="B640" t="str" cm="1">
        <f t="array" ref="B640">IF(ISBLANK(INDEX(SampleList[XRD],ROW()-1)),"Not Requested",INDEX(SampleList[Experiment ID],ROW()-1))</f>
        <v>Not Requested</v>
      </c>
      <c r="C640">
        <f>SampleList[[#This Row],[Sample Description]]</f>
        <v>0</v>
      </c>
      <c r="D640">
        <f>SampleList[[#This Row],[Duration (Days)]]</f>
        <v>0</v>
      </c>
    </row>
    <row r="641" spans="1:4" hidden="1" x14ac:dyDescent="0.25">
      <c r="A641" s="1"/>
      <c r="B641" t="str" cm="1">
        <f t="array" ref="B641">IF(ISBLANK(INDEX(SampleList[XRD],ROW()-1)),"Not Requested",INDEX(SampleList[Experiment ID],ROW()-1))</f>
        <v>Not Requested</v>
      </c>
      <c r="C641">
        <f>SampleList[[#This Row],[Sample Description]]</f>
        <v>0</v>
      </c>
      <c r="D641">
        <f>SampleList[[#This Row],[Duration (Days)]]</f>
        <v>0</v>
      </c>
    </row>
    <row r="642" spans="1:4" hidden="1" x14ac:dyDescent="0.25">
      <c r="A642" s="1"/>
      <c r="B642" t="str" cm="1">
        <f t="array" ref="B642">IF(ISBLANK(INDEX(SampleList[XRD],ROW()-1)),"Not Requested",INDEX(SampleList[Experiment ID],ROW()-1))</f>
        <v>Not Requested</v>
      </c>
      <c r="C642">
        <f>SampleList[[#This Row],[Sample Description]]</f>
        <v>0</v>
      </c>
      <c r="D642">
        <f>SampleList[[#This Row],[Duration (Days)]]</f>
        <v>0</v>
      </c>
    </row>
    <row r="643" spans="1:4" hidden="1" x14ac:dyDescent="0.25">
      <c r="A643" s="1"/>
      <c r="B643" t="str" cm="1">
        <f t="array" ref="B643">IF(ISBLANK(INDEX(SampleList[XRD],ROW()-1)),"Not Requested",INDEX(SampleList[Experiment ID],ROW()-1))</f>
        <v>Not Requested</v>
      </c>
      <c r="C643">
        <f>SampleList[[#This Row],[Sample Description]]</f>
        <v>0</v>
      </c>
      <c r="D643">
        <f>SampleList[[#This Row],[Duration (Days)]]</f>
        <v>0</v>
      </c>
    </row>
    <row r="644" spans="1:4" hidden="1" x14ac:dyDescent="0.25">
      <c r="A644" s="1"/>
      <c r="B644" t="str" cm="1">
        <f t="array" ref="B644">IF(ISBLANK(INDEX(SampleList[XRD],ROW()-1)),"Not Requested",INDEX(SampleList[Experiment ID],ROW()-1))</f>
        <v>Not Requested</v>
      </c>
      <c r="C644">
        <f>SampleList[[#This Row],[Sample Description]]</f>
        <v>0</v>
      </c>
      <c r="D644">
        <f>SampleList[[#This Row],[Duration (Days)]]</f>
        <v>0</v>
      </c>
    </row>
    <row r="645" spans="1:4" hidden="1" x14ac:dyDescent="0.25">
      <c r="A645" s="1"/>
      <c r="B645" t="str" cm="1">
        <f t="array" ref="B645">IF(ISBLANK(INDEX(SampleList[XRD],ROW()-1)),"Not Requested",INDEX(SampleList[Experiment ID],ROW()-1))</f>
        <v>Not Requested</v>
      </c>
      <c r="C645">
        <f>SampleList[[#This Row],[Sample Description]]</f>
        <v>0</v>
      </c>
      <c r="D645">
        <f>SampleList[[#This Row],[Duration (Days)]]</f>
        <v>0</v>
      </c>
    </row>
    <row r="646" spans="1:4" hidden="1" x14ac:dyDescent="0.25">
      <c r="A646" s="1"/>
      <c r="B646" t="str" cm="1">
        <f t="array" ref="B646">IF(ISBLANK(INDEX(SampleList[XRD],ROW()-1)),"Not Requested",INDEX(SampleList[Experiment ID],ROW()-1))</f>
        <v>Not Requested</v>
      </c>
      <c r="C646">
        <f>SampleList[[#This Row],[Sample Description]]</f>
        <v>0</v>
      </c>
      <c r="D646">
        <f>SampleList[[#This Row],[Duration (Days)]]</f>
        <v>0</v>
      </c>
    </row>
    <row r="647" spans="1:4" hidden="1" x14ac:dyDescent="0.25">
      <c r="A647" s="1"/>
      <c r="B647" t="str" cm="1">
        <f t="array" ref="B647">IF(ISBLANK(INDEX(SampleList[XRD],ROW()-1)),"Not Requested",INDEX(SampleList[Experiment ID],ROW()-1))</f>
        <v>Not Requested</v>
      </c>
      <c r="C647">
        <f>SampleList[[#This Row],[Sample Description]]</f>
        <v>0</v>
      </c>
      <c r="D647">
        <f>SampleList[[#This Row],[Duration (Days)]]</f>
        <v>0</v>
      </c>
    </row>
    <row r="648" spans="1:4" hidden="1" x14ac:dyDescent="0.25">
      <c r="A648" s="1"/>
      <c r="B648" t="str" cm="1">
        <f t="array" ref="B648">IF(ISBLANK(INDEX(SampleList[XRD],ROW()-1)),"Not Requested",INDEX(SampleList[Experiment ID],ROW()-1))</f>
        <v>Not Requested</v>
      </c>
      <c r="C648">
        <f>SampleList[[#This Row],[Sample Description]]</f>
        <v>0</v>
      </c>
      <c r="D648">
        <f>SampleList[[#This Row],[Duration (Days)]]</f>
        <v>0</v>
      </c>
    </row>
    <row r="649" spans="1:4" hidden="1" x14ac:dyDescent="0.25">
      <c r="A649" s="1"/>
      <c r="B649" t="str" cm="1">
        <f t="array" ref="B649">IF(ISBLANK(INDEX(SampleList[XRD],ROW()-1)),"Not Requested",INDEX(SampleList[Experiment ID],ROW()-1))</f>
        <v>Not Requested</v>
      </c>
      <c r="C649">
        <f>SampleList[[#This Row],[Sample Description]]</f>
        <v>0</v>
      </c>
      <c r="D649">
        <f>SampleList[[#This Row],[Duration (Days)]]</f>
        <v>0</v>
      </c>
    </row>
    <row r="650" spans="1:4" hidden="1" x14ac:dyDescent="0.25">
      <c r="A650" s="1"/>
      <c r="B650" t="str" cm="1">
        <f t="array" ref="B650">IF(ISBLANK(INDEX(SampleList[XRD],ROW()-1)),"Not Requested",INDEX(SampleList[Experiment ID],ROW()-1))</f>
        <v>Not Requested</v>
      </c>
      <c r="C650">
        <f>SampleList[[#This Row],[Sample Description]]</f>
        <v>0</v>
      </c>
      <c r="D650">
        <f>SampleList[[#This Row],[Duration (Days)]]</f>
        <v>0</v>
      </c>
    </row>
    <row r="651" spans="1:4" hidden="1" x14ac:dyDescent="0.25">
      <c r="A651" s="1"/>
      <c r="B651" t="str" cm="1">
        <f t="array" ref="B651">IF(ISBLANK(INDEX(SampleList[XRD],ROW()-1)),"Not Requested",INDEX(SampleList[Experiment ID],ROW()-1))</f>
        <v>Not Requested</v>
      </c>
      <c r="C651">
        <f>SampleList[[#This Row],[Sample Description]]</f>
        <v>0</v>
      </c>
      <c r="D651">
        <f>SampleList[[#This Row],[Duration (Days)]]</f>
        <v>0</v>
      </c>
    </row>
    <row r="652" spans="1:4" hidden="1" x14ac:dyDescent="0.25">
      <c r="A652" s="1"/>
      <c r="B652" t="str" cm="1">
        <f t="array" ref="B652">IF(ISBLANK(INDEX(SampleList[XRD],ROW()-1)),"Not Requested",INDEX(SampleList[Experiment ID],ROW()-1))</f>
        <v>Not Requested</v>
      </c>
      <c r="C652">
        <f>SampleList[[#This Row],[Sample Description]]</f>
        <v>0</v>
      </c>
      <c r="D652">
        <f>SampleList[[#This Row],[Duration (Days)]]</f>
        <v>0</v>
      </c>
    </row>
    <row r="653" spans="1:4" hidden="1" x14ac:dyDescent="0.25">
      <c r="A653" s="1"/>
      <c r="B653" t="str" cm="1">
        <f t="array" ref="B653">IF(ISBLANK(INDEX(SampleList[XRD],ROW()-1)),"Not Requested",INDEX(SampleList[Experiment ID],ROW()-1))</f>
        <v>Not Requested</v>
      </c>
      <c r="C653">
        <f>SampleList[[#This Row],[Sample Description]]</f>
        <v>0</v>
      </c>
      <c r="D653">
        <f>SampleList[[#This Row],[Duration (Days)]]</f>
        <v>0</v>
      </c>
    </row>
    <row r="654" spans="1:4" hidden="1" x14ac:dyDescent="0.25">
      <c r="A654" s="1"/>
      <c r="B654" t="str" cm="1">
        <f t="array" ref="B654">IF(ISBLANK(INDEX(SampleList[XRD],ROW()-1)),"Not Requested",INDEX(SampleList[Experiment ID],ROW()-1))</f>
        <v>Not Requested</v>
      </c>
      <c r="C654">
        <f>SampleList[[#This Row],[Sample Description]]</f>
        <v>0</v>
      </c>
      <c r="D654">
        <f>SampleList[[#This Row],[Duration (Days)]]</f>
        <v>0</v>
      </c>
    </row>
    <row r="655" spans="1:4" hidden="1" x14ac:dyDescent="0.25">
      <c r="A655" s="1"/>
      <c r="B655" t="str" cm="1">
        <f t="array" ref="B655">IF(ISBLANK(INDEX(SampleList[XRD],ROW()-1)),"Not Requested",INDEX(SampleList[Experiment ID],ROW()-1))</f>
        <v>Not Requested</v>
      </c>
      <c r="C655">
        <f>SampleList[[#This Row],[Sample Description]]</f>
        <v>0</v>
      </c>
      <c r="D655">
        <f>SampleList[[#This Row],[Duration (Days)]]</f>
        <v>0</v>
      </c>
    </row>
    <row r="656" spans="1:4" hidden="1" x14ac:dyDescent="0.25">
      <c r="A656" s="1"/>
      <c r="B656" t="str" cm="1">
        <f t="array" ref="B656">IF(ISBLANK(INDEX(SampleList[XRD],ROW()-1)),"Not Requested",INDEX(SampleList[Experiment ID],ROW()-1))</f>
        <v>Not Requested</v>
      </c>
      <c r="C656">
        <f>SampleList[[#This Row],[Sample Description]]</f>
        <v>0</v>
      </c>
      <c r="D656">
        <f>SampleList[[#This Row],[Duration (Days)]]</f>
        <v>0</v>
      </c>
    </row>
    <row r="657" spans="1:4" hidden="1" x14ac:dyDescent="0.25">
      <c r="A657" s="1"/>
      <c r="B657" t="str" cm="1">
        <f t="array" ref="B657">IF(ISBLANK(INDEX(SampleList[XRD],ROW()-1)),"Not Requested",INDEX(SampleList[Experiment ID],ROW()-1))</f>
        <v>Not Requested</v>
      </c>
      <c r="C657">
        <f>SampleList[[#This Row],[Sample Description]]</f>
        <v>0</v>
      </c>
      <c r="D657">
        <f>SampleList[[#This Row],[Duration (Days)]]</f>
        <v>0</v>
      </c>
    </row>
    <row r="658" spans="1:4" hidden="1" x14ac:dyDescent="0.25">
      <c r="A658" s="1"/>
      <c r="B658" t="str" cm="1">
        <f t="array" ref="B658">IF(ISBLANK(INDEX(SampleList[XRD],ROW()-1)),"Not Requested",INDEX(SampleList[Experiment ID],ROW()-1))</f>
        <v>Not Requested</v>
      </c>
      <c r="C658">
        <f>SampleList[[#This Row],[Sample Description]]</f>
        <v>0</v>
      </c>
      <c r="D658">
        <f>SampleList[[#This Row],[Duration (Days)]]</f>
        <v>0</v>
      </c>
    </row>
    <row r="659" spans="1:4" hidden="1" x14ac:dyDescent="0.25">
      <c r="A659" s="1"/>
      <c r="B659" t="str" cm="1">
        <f t="array" ref="B659">IF(ISBLANK(INDEX(SampleList[XRD],ROW()-1)),"Not Requested",INDEX(SampleList[Experiment ID],ROW()-1))</f>
        <v>Not Requested</v>
      </c>
      <c r="C659">
        <f>SampleList[[#This Row],[Sample Description]]</f>
        <v>0</v>
      </c>
      <c r="D659">
        <f>SampleList[[#This Row],[Duration (Days)]]</f>
        <v>0</v>
      </c>
    </row>
    <row r="660" spans="1:4" hidden="1" x14ac:dyDescent="0.25">
      <c r="A660" s="1"/>
      <c r="B660" t="str" cm="1">
        <f t="array" ref="B660">IF(ISBLANK(INDEX(SampleList[XRD],ROW()-1)),"Not Requested",INDEX(SampleList[Experiment ID],ROW()-1))</f>
        <v>Not Requested</v>
      </c>
      <c r="C660">
        <f>SampleList[[#This Row],[Sample Description]]</f>
        <v>0</v>
      </c>
      <c r="D660">
        <f>SampleList[[#This Row],[Duration (Days)]]</f>
        <v>0</v>
      </c>
    </row>
    <row r="661" spans="1:4" hidden="1" x14ac:dyDescent="0.25">
      <c r="A661" s="1"/>
      <c r="B661" t="str" cm="1">
        <f t="array" ref="B661">IF(ISBLANK(INDEX(SampleList[XRD],ROW()-1)),"Not Requested",INDEX(SampleList[Experiment ID],ROW()-1))</f>
        <v>Not Requested</v>
      </c>
      <c r="C661">
        <f>SampleList[[#This Row],[Sample Description]]</f>
        <v>0</v>
      </c>
      <c r="D661">
        <f>SampleList[[#This Row],[Duration (Days)]]</f>
        <v>0</v>
      </c>
    </row>
    <row r="662" spans="1:4" hidden="1" x14ac:dyDescent="0.25">
      <c r="A662" s="1"/>
      <c r="B662" t="str" cm="1">
        <f t="array" ref="B662">IF(ISBLANK(INDEX(SampleList[XRD],ROW()-1)),"Not Requested",INDEX(SampleList[Experiment ID],ROW()-1))</f>
        <v>Not Requested</v>
      </c>
      <c r="C662">
        <f>SampleList[[#This Row],[Sample Description]]</f>
        <v>0</v>
      </c>
      <c r="D662">
        <f>SampleList[[#This Row],[Duration (Days)]]</f>
        <v>0</v>
      </c>
    </row>
    <row r="663" spans="1:4" hidden="1" x14ac:dyDescent="0.25">
      <c r="A663" s="1"/>
      <c r="B663" t="str" cm="1">
        <f t="array" ref="B663">IF(ISBLANK(INDEX(SampleList[XRD],ROW()-1)),"Not Requested",INDEX(SampleList[Experiment ID],ROW()-1))</f>
        <v>Not Requested</v>
      </c>
      <c r="C663">
        <f>SampleList[[#This Row],[Sample Description]]</f>
        <v>0</v>
      </c>
      <c r="D663">
        <f>SampleList[[#This Row],[Duration (Days)]]</f>
        <v>0</v>
      </c>
    </row>
    <row r="664" spans="1:4" hidden="1" x14ac:dyDescent="0.25">
      <c r="A664" s="1"/>
      <c r="B664" t="str" cm="1">
        <f t="array" ref="B664">IF(ISBLANK(INDEX(SampleList[XRD],ROW()-1)),"Not Requested",INDEX(SampleList[Experiment ID],ROW()-1))</f>
        <v>Not Requested</v>
      </c>
      <c r="C664">
        <f>SampleList[[#This Row],[Sample Description]]</f>
        <v>0</v>
      </c>
      <c r="D664">
        <f>SampleList[[#This Row],[Duration (Days)]]</f>
        <v>0</v>
      </c>
    </row>
    <row r="665" spans="1:4" hidden="1" x14ac:dyDescent="0.25">
      <c r="A665" s="1"/>
      <c r="B665" t="str" cm="1">
        <f t="array" ref="B665">IF(ISBLANK(INDEX(SampleList[XRD],ROW()-1)),"Not Requested",INDEX(SampleList[Experiment ID],ROW()-1))</f>
        <v>Not Requested</v>
      </c>
      <c r="C665">
        <f>SampleList[[#This Row],[Sample Description]]</f>
        <v>0</v>
      </c>
      <c r="D665">
        <f>SampleList[[#This Row],[Duration (Days)]]</f>
        <v>0</v>
      </c>
    </row>
    <row r="666" spans="1:4" hidden="1" x14ac:dyDescent="0.25">
      <c r="A666" s="1"/>
      <c r="B666" t="str" cm="1">
        <f t="array" ref="B666">IF(ISBLANK(INDEX(SampleList[XRD],ROW()-1)),"Not Requested",INDEX(SampleList[Experiment ID],ROW()-1))</f>
        <v>Not Requested</v>
      </c>
      <c r="C666">
        <f>SampleList[[#This Row],[Sample Description]]</f>
        <v>0</v>
      </c>
      <c r="D666">
        <f>SampleList[[#This Row],[Duration (Days)]]</f>
        <v>0</v>
      </c>
    </row>
    <row r="667" spans="1:4" hidden="1" x14ac:dyDescent="0.25">
      <c r="A667" s="1"/>
      <c r="B667" t="str" cm="1">
        <f t="array" ref="B667">IF(ISBLANK(INDEX(SampleList[XRD],ROW()-1)),"Not Requested",INDEX(SampleList[Experiment ID],ROW()-1))</f>
        <v>Not Requested</v>
      </c>
      <c r="C667">
        <f>SampleList[[#This Row],[Sample Description]]</f>
        <v>0</v>
      </c>
      <c r="D667">
        <f>SampleList[[#This Row],[Duration (Days)]]</f>
        <v>0</v>
      </c>
    </row>
    <row r="668" spans="1:4" hidden="1" x14ac:dyDescent="0.25">
      <c r="A668" s="1"/>
      <c r="B668" t="str" cm="1">
        <f t="array" ref="B668">IF(ISBLANK(INDEX(SampleList[XRD],ROW()-1)),"Not Requested",INDEX(SampleList[Experiment ID],ROW()-1))</f>
        <v>Not Requested</v>
      </c>
      <c r="C668">
        <f>SampleList[[#This Row],[Sample Description]]</f>
        <v>0</v>
      </c>
      <c r="D668">
        <f>SampleList[[#This Row],[Duration (Days)]]</f>
        <v>0</v>
      </c>
    </row>
    <row r="669" spans="1:4" hidden="1" x14ac:dyDescent="0.25">
      <c r="A669" s="1"/>
      <c r="B669" t="str" cm="1">
        <f t="array" ref="B669">IF(ISBLANK(INDEX(SampleList[XRD],ROW()-1)),"Not Requested",INDEX(SampleList[Experiment ID],ROW()-1))</f>
        <v>Not Requested</v>
      </c>
      <c r="C669">
        <f>SampleList[[#This Row],[Sample Description]]</f>
        <v>0</v>
      </c>
      <c r="D669">
        <f>SampleList[[#This Row],[Duration (Days)]]</f>
        <v>0</v>
      </c>
    </row>
    <row r="670" spans="1:4" hidden="1" x14ac:dyDescent="0.25">
      <c r="A670" s="1"/>
      <c r="B670" t="str" cm="1">
        <f t="array" ref="B670">IF(ISBLANK(INDEX(SampleList[XRD],ROW()-1)),"Not Requested",INDEX(SampleList[Experiment ID],ROW()-1))</f>
        <v>Not Requested</v>
      </c>
      <c r="C670">
        <f>SampleList[[#This Row],[Sample Description]]</f>
        <v>0</v>
      </c>
      <c r="D670">
        <f>SampleList[[#This Row],[Duration (Days)]]</f>
        <v>0</v>
      </c>
    </row>
    <row r="671" spans="1:4" hidden="1" x14ac:dyDescent="0.25">
      <c r="A671" s="1"/>
      <c r="B671" t="str" cm="1">
        <f t="array" ref="B671">IF(ISBLANK(INDEX(SampleList[XRD],ROW()-1)),"Not Requested",INDEX(SampleList[Experiment ID],ROW()-1))</f>
        <v>Not Requested</v>
      </c>
      <c r="C671">
        <f>SampleList[[#This Row],[Sample Description]]</f>
        <v>0</v>
      </c>
      <c r="D671">
        <f>SampleList[[#This Row],[Duration (Days)]]</f>
        <v>0</v>
      </c>
    </row>
    <row r="672" spans="1:4" hidden="1" x14ac:dyDescent="0.25">
      <c r="A672" s="1"/>
      <c r="B672" t="str" cm="1">
        <f t="array" ref="B672">IF(ISBLANK(INDEX(SampleList[XRD],ROW()-1)),"Not Requested",INDEX(SampleList[Experiment ID],ROW()-1))</f>
        <v>Not Requested</v>
      </c>
      <c r="C672">
        <f>SampleList[[#This Row],[Sample Description]]</f>
        <v>0</v>
      </c>
      <c r="D672">
        <f>SampleList[[#This Row],[Duration (Days)]]</f>
        <v>0</v>
      </c>
    </row>
    <row r="673" spans="1:4" hidden="1" x14ac:dyDescent="0.25">
      <c r="A673" s="1"/>
      <c r="B673" t="str" cm="1">
        <f t="array" ref="B673">IF(ISBLANK(INDEX(SampleList[XRD],ROW()-1)),"Not Requested",INDEX(SampleList[Experiment ID],ROW()-1))</f>
        <v>Not Requested</v>
      </c>
      <c r="C673">
        <f>SampleList[[#This Row],[Sample Description]]</f>
        <v>0</v>
      </c>
      <c r="D673">
        <f>SampleList[[#This Row],[Duration (Days)]]</f>
        <v>0</v>
      </c>
    </row>
    <row r="674" spans="1:4" hidden="1" x14ac:dyDescent="0.25">
      <c r="A674" s="1"/>
      <c r="B674" t="str" cm="1">
        <f t="array" ref="B674">IF(ISBLANK(INDEX(SampleList[XRD],ROW()-1)),"Not Requested",INDEX(SampleList[Experiment ID],ROW()-1))</f>
        <v>Not Requested</v>
      </c>
      <c r="C674">
        <f>SampleList[[#This Row],[Sample Description]]</f>
        <v>0</v>
      </c>
      <c r="D674">
        <f>SampleList[[#This Row],[Duration (Days)]]</f>
        <v>0</v>
      </c>
    </row>
    <row r="675" spans="1:4" hidden="1" x14ac:dyDescent="0.25">
      <c r="A675" s="1"/>
      <c r="B675" t="str" cm="1">
        <f t="array" ref="B675">IF(ISBLANK(INDEX(SampleList[XRD],ROW()-1)),"Not Requested",INDEX(SampleList[Experiment ID],ROW()-1))</f>
        <v>Not Requested</v>
      </c>
      <c r="C675">
        <f>SampleList[[#This Row],[Sample Description]]</f>
        <v>0</v>
      </c>
      <c r="D675">
        <f>SampleList[[#This Row],[Duration (Days)]]</f>
        <v>0</v>
      </c>
    </row>
    <row r="676" spans="1:4" hidden="1" x14ac:dyDescent="0.25">
      <c r="A676" s="1"/>
      <c r="B676" t="str" cm="1">
        <f t="array" ref="B676">IF(ISBLANK(INDEX(SampleList[XRD],ROW()-1)),"Not Requested",INDEX(SampleList[Experiment ID],ROW()-1))</f>
        <v>Not Requested</v>
      </c>
      <c r="C676">
        <f>SampleList[[#This Row],[Sample Description]]</f>
        <v>0</v>
      </c>
      <c r="D676">
        <f>SampleList[[#This Row],[Duration (Days)]]</f>
        <v>0</v>
      </c>
    </row>
    <row r="677" spans="1:4" hidden="1" x14ac:dyDescent="0.25">
      <c r="A677" s="1"/>
      <c r="B677" t="str" cm="1">
        <f t="array" ref="B677">IF(ISBLANK(INDEX(SampleList[XRD],ROW()-1)),"Not Requested",INDEX(SampleList[Experiment ID],ROW()-1))</f>
        <v>Not Requested</v>
      </c>
      <c r="C677">
        <f>SampleList[[#This Row],[Sample Description]]</f>
        <v>0</v>
      </c>
      <c r="D677">
        <f>SampleList[[#This Row],[Duration (Days)]]</f>
        <v>0</v>
      </c>
    </row>
    <row r="678" spans="1:4" hidden="1" x14ac:dyDescent="0.25">
      <c r="A678" s="1"/>
      <c r="B678" t="str" cm="1">
        <f t="array" ref="B678">IF(ISBLANK(INDEX(SampleList[XRD],ROW()-1)),"Not Requested",INDEX(SampleList[Experiment ID],ROW()-1))</f>
        <v>Not Requested</v>
      </c>
      <c r="C678">
        <f>SampleList[[#This Row],[Sample Description]]</f>
        <v>0</v>
      </c>
      <c r="D678">
        <f>SampleList[[#This Row],[Duration (Days)]]</f>
        <v>0</v>
      </c>
    </row>
    <row r="679" spans="1:4" hidden="1" x14ac:dyDescent="0.25">
      <c r="A679" s="1"/>
      <c r="B679" t="str" cm="1">
        <f t="array" ref="B679">IF(ISBLANK(INDEX(SampleList[XRD],ROW()-1)),"Not Requested",INDEX(SampleList[Experiment ID],ROW()-1))</f>
        <v>Not Requested</v>
      </c>
      <c r="C679">
        <f>SampleList[[#This Row],[Sample Description]]</f>
        <v>0</v>
      </c>
      <c r="D679">
        <f>SampleList[[#This Row],[Duration (Days)]]</f>
        <v>0</v>
      </c>
    </row>
    <row r="680" spans="1:4" hidden="1" x14ac:dyDescent="0.25">
      <c r="A680" s="1"/>
      <c r="B680" t="str" cm="1">
        <f t="array" ref="B680">IF(ISBLANK(INDEX(SampleList[XRD],ROW()-1)),"Not Requested",INDEX(SampleList[Experiment ID],ROW()-1))</f>
        <v>Not Requested</v>
      </c>
      <c r="C680">
        <f>SampleList[[#This Row],[Sample Description]]</f>
        <v>0</v>
      </c>
      <c r="D680">
        <f>SampleList[[#This Row],[Duration (Days)]]</f>
        <v>0</v>
      </c>
    </row>
    <row r="681" spans="1:4" hidden="1" x14ac:dyDescent="0.25">
      <c r="A681" s="1"/>
      <c r="B681" t="str" cm="1">
        <f t="array" ref="B681">IF(ISBLANK(INDEX(SampleList[XRD],ROW()-1)),"Not Requested",INDEX(SampleList[Experiment ID],ROW()-1))</f>
        <v>Not Requested</v>
      </c>
      <c r="C681">
        <f>SampleList[[#This Row],[Sample Description]]</f>
        <v>0</v>
      </c>
      <c r="D681">
        <f>SampleList[[#This Row],[Duration (Days)]]</f>
        <v>0</v>
      </c>
    </row>
    <row r="682" spans="1:4" hidden="1" x14ac:dyDescent="0.25">
      <c r="A682" s="1"/>
      <c r="B682" t="str" cm="1">
        <f t="array" ref="B682">IF(ISBLANK(INDEX(SampleList[XRD],ROW()-1)),"Not Requested",INDEX(SampleList[Experiment ID],ROW()-1))</f>
        <v>Not Requested</v>
      </c>
      <c r="C682">
        <f>SampleList[[#This Row],[Sample Description]]</f>
        <v>0</v>
      </c>
      <c r="D682">
        <f>SampleList[[#This Row],[Duration (Days)]]</f>
        <v>0</v>
      </c>
    </row>
    <row r="683" spans="1:4" hidden="1" x14ac:dyDescent="0.25">
      <c r="A683" s="1"/>
      <c r="B683" t="str" cm="1">
        <f t="array" ref="B683">IF(ISBLANK(INDEX(SampleList[XRD],ROW()-1)),"Not Requested",INDEX(SampleList[Experiment ID],ROW()-1))</f>
        <v>Not Requested</v>
      </c>
      <c r="C683">
        <f>SampleList[[#This Row],[Sample Description]]</f>
        <v>0</v>
      </c>
      <c r="D683">
        <f>SampleList[[#This Row],[Duration (Days)]]</f>
        <v>0</v>
      </c>
    </row>
    <row r="684" spans="1:4" hidden="1" x14ac:dyDescent="0.25">
      <c r="A684" s="1"/>
      <c r="B684" t="str" cm="1">
        <f t="array" ref="B684">IF(ISBLANK(INDEX(SampleList[XRD],ROW()-1)),"Not Requested",INDEX(SampleList[Experiment ID],ROW()-1))</f>
        <v>Not Requested</v>
      </c>
      <c r="C684">
        <f>SampleList[[#This Row],[Sample Description]]</f>
        <v>0</v>
      </c>
      <c r="D684">
        <f>SampleList[[#This Row],[Duration (Days)]]</f>
        <v>0</v>
      </c>
    </row>
    <row r="685" spans="1:4" hidden="1" x14ac:dyDescent="0.25">
      <c r="A685" s="1"/>
      <c r="B685" t="str" cm="1">
        <f t="array" ref="B685">IF(ISBLANK(INDEX(SampleList[XRD],ROW()-1)),"Not Requested",INDEX(SampleList[Experiment ID],ROW()-1))</f>
        <v>Not Requested</v>
      </c>
      <c r="C685">
        <f>SampleList[[#This Row],[Sample Description]]</f>
        <v>0</v>
      </c>
      <c r="D685">
        <f>SampleList[[#This Row],[Duration (Days)]]</f>
        <v>0</v>
      </c>
    </row>
    <row r="686" spans="1:4" hidden="1" x14ac:dyDescent="0.25">
      <c r="A686" s="1"/>
      <c r="B686" t="str" cm="1">
        <f t="array" ref="B686">IF(ISBLANK(INDEX(SampleList[XRD],ROW()-1)),"Not Requested",INDEX(SampleList[Experiment ID],ROW()-1))</f>
        <v>Not Requested</v>
      </c>
      <c r="C686">
        <f>SampleList[[#This Row],[Sample Description]]</f>
        <v>0</v>
      </c>
      <c r="D686">
        <f>SampleList[[#This Row],[Duration (Days)]]</f>
        <v>0</v>
      </c>
    </row>
    <row r="687" spans="1:4" hidden="1" x14ac:dyDescent="0.25">
      <c r="A687" s="1"/>
      <c r="B687" t="str" cm="1">
        <f t="array" ref="B687">IF(ISBLANK(INDEX(SampleList[XRD],ROW()-1)),"Not Requested",INDEX(SampleList[Experiment ID],ROW()-1))</f>
        <v>Not Requested</v>
      </c>
      <c r="C687">
        <f>SampleList[[#This Row],[Sample Description]]</f>
        <v>0</v>
      </c>
      <c r="D687">
        <f>SampleList[[#This Row],[Duration (Days)]]</f>
        <v>0</v>
      </c>
    </row>
    <row r="688" spans="1:4" hidden="1" x14ac:dyDescent="0.25">
      <c r="A688" s="1"/>
      <c r="B688" t="str" cm="1">
        <f t="array" ref="B688">IF(ISBLANK(INDEX(SampleList[XRD],ROW()-1)),"Not Requested",INDEX(SampleList[Experiment ID],ROW()-1))</f>
        <v>Not Requested</v>
      </c>
      <c r="C688">
        <f>SampleList[[#This Row],[Sample Description]]</f>
        <v>0</v>
      </c>
      <c r="D688">
        <f>SampleList[[#This Row],[Duration (Days)]]</f>
        <v>0</v>
      </c>
    </row>
    <row r="689" spans="1:4" hidden="1" x14ac:dyDescent="0.25">
      <c r="A689" s="1"/>
      <c r="B689" t="str" cm="1">
        <f t="array" ref="B689">IF(ISBLANK(INDEX(SampleList[XRD],ROW()-1)),"Not Requested",INDEX(SampleList[Experiment ID],ROW()-1))</f>
        <v>Not Requested</v>
      </c>
      <c r="C689">
        <f>SampleList[[#This Row],[Sample Description]]</f>
        <v>0</v>
      </c>
      <c r="D689">
        <f>SampleList[[#This Row],[Duration (Days)]]</f>
        <v>0</v>
      </c>
    </row>
    <row r="690" spans="1:4" hidden="1" x14ac:dyDescent="0.25">
      <c r="A690" s="1"/>
      <c r="B690" t="str" cm="1">
        <f t="array" ref="B690">IF(ISBLANK(INDEX(SampleList[XRD],ROW()-1)),"Not Requested",INDEX(SampleList[Experiment ID],ROW()-1))</f>
        <v>Not Requested</v>
      </c>
      <c r="C690">
        <f>SampleList[[#This Row],[Sample Description]]</f>
        <v>0</v>
      </c>
      <c r="D690">
        <f>SampleList[[#This Row],[Duration (Days)]]</f>
        <v>0</v>
      </c>
    </row>
    <row r="691" spans="1:4" hidden="1" x14ac:dyDescent="0.25">
      <c r="A691" s="1"/>
      <c r="B691" t="str" cm="1">
        <f t="array" ref="B691">IF(ISBLANK(INDEX(SampleList[XRD],ROW()-1)),"Not Requested",INDEX(SampleList[Experiment ID],ROW()-1))</f>
        <v>Not Requested</v>
      </c>
      <c r="C691">
        <f>SampleList[[#This Row],[Sample Description]]</f>
        <v>0</v>
      </c>
      <c r="D691">
        <f>SampleList[[#This Row],[Duration (Days)]]</f>
        <v>0</v>
      </c>
    </row>
    <row r="692" spans="1:4" hidden="1" x14ac:dyDescent="0.25">
      <c r="A692" s="1"/>
      <c r="B692" t="str" cm="1">
        <f t="array" ref="B692">IF(ISBLANK(INDEX(SampleList[XRD],ROW()-1)),"Not Requested",INDEX(SampleList[Experiment ID],ROW()-1))</f>
        <v>Not Requested</v>
      </c>
      <c r="C692">
        <f>SampleList[[#This Row],[Sample Description]]</f>
        <v>0</v>
      </c>
      <c r="D692">
        <f>SampleList[[#This Row],[Duration (Days)]]</f>
        <v>0</v>
      </c>
    </row>
    <row r="693" spans="1:4" hidden="1" x14ac:dyDescent="0.25">
      <c r="A693" s="1"/>
      <c r="B693" t="str" cm="1">
        <f t="array" ref="B693">IF(ISBLANK(INDEX(SampleList[XRD],ROW()-1)),"Not Requested",INDEX(SampleList[Experiment ID],ROW()-1))</f>
        <v>Not Requested</v>
      </c>
      <c r="C693">
        <f>SampleList[[#This Row],[Sample Description]]</f>
        <v>0</v>
      </c>
      <c r="D693">
        <f>SampleList[[#This Row],[Duration (Days)]]</f>
        <v>0</v>
      </c>
    </row>
    <row r="694" spans="1:4" hidden="1" x14ac:dyDescent="0.25">
      <c r="A694" s="1"/>
      <c r="B694" t="str" cm="1">
        <f t="array" ref="B694">IF(ISBLANK(INDEX(SampleList[XRD],ROW()-1)),"Not Requested",INDEX(SampleList[Experiment ID],ROW()-1))</f>
        <v>Not Requested</v>
      </c>
      <c r="C694">
        <f>SampleList[[#This Row],[Sample Description]]</f>
        <v>0</v>
      </c>
      <c r="D694">
        <f>SampleList[[#This Row],[Duration (Days)]]</f>
        <v>0</v>
      </c>
    </row>
    <row r="695" spans="1:4" hidden="1" x14ac:dyDescent="0.25">
      <c r="A695" s="1"/>
      <c r="B695" t="str" cm="1">
        <f t="array" ref="B695">IF(ISBLANK(INDEX(SampleList[XRD],ROW()-1)),"Not Requested",INDEX(SampleList[Experiment ID],ROW()-1))</f>
        <v>Not Requested</v>
      </c>
      <c r="C695">
        <f>SampleList[[#This Row],[Sample Description]]</f>
        <v>0</v>
      </c>
      <c r="D695">
        <f>SampleList[[#This Row],[Duration (Days)]]</f>
        <v>0</v>
      </c>
    </row>
    <row r="696" spans="1:4" hidden="1" x14ac:dyDescent="0.25">
      <c r="A696" s="1"/>
      <c r="B696" t="str" cm="1">
        <f t="array" ref="B696">IF(ISBLANK(INDEX(SampleList[XRD],ROW()-1)),"Not Requested",INDEX(SampleList[Experiment ID],ROW()-1))</f>
        <v>Not Requested</v>
      </c>
      <c r="C696">
        <f>SampleList[[#This Row],[Sample Description]]</f>
        <v>0</v>
      </c>
      <c r="D696">
        <f>SampleList[[#This Row],[Duration (Days)]]</f>
        <v>0</v>
      </c>
    </row>
    <row r="697" spans="1:4" hidden="1" x14ac:dyDescent="0.25">
      <c r="A697" s="1"/>
      <c r="B697" t="str" cm="1">
        <f t="array" ref="B697">IF(ISBLANK(INDEX(SampleList[XRD],ROW()-1)),"Not Requested",INDEX(SampleList[Experiment ID],ROW()-1))</f>
        <v>Not Requested</v>
      </c>
      <c r="C697">
        <f>SampleList[[#This Row],[Sample Description]]</f>
        <v>0</v>
      </c>
      <c r="D697">
        <f>SampleList[[#This Row],[Duration (Days)]]</f>
        <v>0</v>
      </c>
    </row>
    <row r="698" spans="1:4" hidden="1" x14ac:dyDescent="0.25">
      <c r="A698" s="1"/>
      <c r="B698" t="str" cm="1">
        <f t="array" ref="B698">IF(ISBLANK(INDEX(SampleList[XRD],ROW()-1)),"Not Requested",INDEX(SampleList[Experiment ID],ROW()-1))</f>
        <v>Not Requested</v>
      </c>
      <c r="C698">
        <f>SampleList[[#This Row],[Sample Description]]</f>
        <v>0</v>
      </c>
      <c r="D698">
        <f>SampleList[[#This Row],[Duration (Days)]]</f>
        <v>0</v>
      </c>
    </row>
    <row r="699" spans="1:4" hidden="1" x14ac:dyDescent="0.25">
      <c r="A699" s="1"/>
      <c r="B699" t="str" cm="1">
        <f t="array" ref="B699">IF(ISBLANK(INDEX(SampleList[XRD],ROW()-1)),"Not Requested",INDEX(SampleList[Experiment ID],ROW()-1))</f>
        <v>Not Requested</v>
      </c>
      <c r="C699">
        <f>SampleList[[#This Row],[Sample Description]]</f>
        <v>0</v>
      </c>
      <c r="D699">
        <f>SampleList[[#This Row],[Duration (Days)]]</f>
        <v>0</v>
      </c>
    </row>
    <row r="700" spans="1:4" hidden="1" x14ac:dyDescent="0.25">
      <c r="A700" s="1"/>
      <c r="B700" t="str" cm="1">
        <f t="array" ref="B700">IF(ISBLANK(INDEX(SampleList[XRD],ROW()-1)),"Not Requested",INDEX(SampleList[Experiment ID],ROW()-1))</f>
        <v>Not Requested</v>
      </c>
      <c r="C700">
        <f>SampleList[[#This Row],[Sample Description]]</f>
        <v>0</v>
      </c>
      <c r="D700">
        <f>SampleList[[#This Row],[Duration (Days)]]</f>
        <v>0</v>
      </c>
    </row>
    <row r="701" spans="1:4" hidden="1" x14ac:dyDescent="0.25">
      <c r="A701" s="1"/>
      <c r="B701" t="str" cm="1">
        <f t="array" ref="B701">IF(ISBLANK(INDEX(SampleList[XRD],ROW()-1)),"Not Requested",INDEX(SampleList[Experiment ID],ROW()-1))</f>
        <v>Not Requested</v>
      </c>
      <c r="C701">
        <f>SampleList[[#This Row],[Sample Description]]</f>
        <v>0</v>
      </c>
      <c r="D701">
        <f>SampleList[[#This Row],[Duration (Days)]]</f>
        <v>0</v>
      </c>
    </row>
    <row r="702" spans="1:4" hidden="1" x14ac:dyDescent="0.25">
      <c r="A702" s="1"/>
      <c r="B702" t="str" cm="1">
        <f t="array" ref="B702">IF(ISBLANK(INDEX(SampleList[XRD],ROW()-1)),"Not Requested",INDEX(SampleList[Experiment ID],ROW()-1))</f>
        <v>Not Requested</v>
      </c>
      <c r="C702">
        <f>SampleList[[#This Row],[Sample Description]]</f>
        <v>0</v>
      </c>
      <c r="D702">
        <f>SampleList[[#This Row],[Duration (Days)]]</f>
        <v>0</v>
      </c>
    </row>
    <row r="703" spans="1:4" hidden="1" x14ac:dyDescent="0.25">
      <c r="A703" s="1"/>
      <c r="B703" t="str" cm="1">
        <f t="array" ref="B703">IF(ISBLANK(INDEX(SampleList[XRD],ROW()-1)),"Not Requested",INDEX(SampleList[Experiment ID],ROW()-1))</f>
        <v>Not Requested</v>
      </c>
      <c r="C703">
        <f>SampleList[[#This Row],[Sample Description]]</f>
        <v>0</v>
      </c>
      <c r="D703">
        <f>SampleList[[#This Row],[Duration (Days)]]</f>
        <v>0</v>
      </c>
    </row>
    <row r="704" spans="1:4" hidden="1" x14ac:dyDescent="0.25">
      <c r="A704" s="1"/>
      <c r="B704" t="str" cm="1">
        <f t="array" ref="B704">IF(ISBLANK(INDEX(SampleList[XRD],ROW()-1)),"Not Requested",INDEX(SampleList[Experiment ID],ROW()-1))</f>
        <v>Not Requested</v>
      </c>
      <c r="C704">
        <f>SampleList[[#This Row],[Sample Description]]</f>
        <v>0</v>
      </c>
      <c r="D704">
        <f>SampleList[[#This Row],[Duration (Days)]]</f>
        <v>0</v>
      </c>
    </row>
    <row r="705" spans="1:4" hidden="1" x14ac:dyDescent="0.25">
      <c r="A705" s="1"/>
      <c r="B705" t="str" cm="1">
        <f t="array" ref="B705">IF(ISBLANK(INDEX(SampleList[XRD],ROW()-1)),"Not Requested",INDEX(SampleList[Experiment ID],ROW()-1))</f>
        <v>Not Requested</v>
      </c>
      <c r="C705">
        <f>SampleList[[#This Row],[Sample Description]]</f>
        <v>0</v>
      </c>
      <c r="D705">
        <f>SampleList[[#This Row],[Duration (Days)]]</f>
        <v>0</v>
      </c>
    </row>
    <row r="706" spans="1:4" hidden="1" x14ac:dyDescent="0.25">
      <c r="A706" s="1"/>
      <c r="B706" t="str" cm="1">
        <f t="array" ref="B706">IF(ISBLANK(INDEX(SampleList[XRD],ROW()-1)),"Not Requested",INDEX(SampleList[Experiment ID],ROW()-1))</f>
        <v>Not Requested</v>
      </c>
      <c r="C706">
        <f>SampleList[[#This Row],[Sample Description]]</f>
        <v>0</v>
      </c>
      <c r="D706">
        <f>SampleList[[#This Row],[Duration (Days)]]</f>
        <v>0</v>
      </c>
    </row>
    <row r="707" spans="1:4" hidden="1" x14ac:dyDescent="0.25">
      <c r="A707" s="1"/>
      <c r="B707" t="str" cm="1">
        <f t="array" ref="B707">IF(ISBLANK(INDEX(SampleList[XRD],ROW()-1)),"Not Requested",INDEX(SampleList[Experiment ID],ROW()-1))</f>
        <v>Not Requested</v>
      </c>
      <c r="C707">
        <f>SampleList[[#This Row],[Sample Description]]</f>
        <v>0</v>
      </c>
      <c r="D707">
        <f>SampleList[[#This Row],[Duration (Days)]]</f>
        <v>0</v>
      </c>
    </row>
    <row r="708" spans="1:4" hidden="1" x14ac:dyDescent="0.25">
      <c r="A708" s="1"/>
      <c r="B708" t="str" cm="1">
        <f t="array" ref="B708">IF(ISBLANK(INDEX(SampleList[XRD],ROW()-1)),"Not Requested",INDEX(SampleList[Experiment ID],ROW()-1))</f>
        <v>Not Requested</v>
      </c>
      <c r="C708">
        <f>SampleList[[#This Row],[Sample Description]]</f>
        <v>0</v>
      </c>
      <c r="D708">
        <f>SampleList[[#This Row],[Duration (Days)]]</f>
        <v>0</v>
      </c>
    </row>
    <row r="709" spans="1:4" hidden="1" x14ac:dyDescent="0.25">
      <c r="A709" s="1"/>
      <c r="B709" t="str" cm="1">
        <f t="array" ref="B709">IF(ISBLANK(INDEX(SampleList[XRD],ROW()-1)),"Not Requested",INDEX(SampleList[Experiment ID],ROW()-1))</f>
        <v>Not Requested</v>
      </c>
      <c r="C709">
        <f>SampleList[[#This Row],[Sample Description]]</f>
        <v>0</v>
      </c>
      <c r="D709">
        <f>SampleList[[#This Row],[Duration (Days)]]</f>
        <v>0</v>
      </c>
    </row>
    <row r="710" spans="1:4" hidden="1" x14ac:dyDescent="0.25">
      <c r="A710" s="1"/>
      <c r="B710" t="str" cm="1">
        <f t="array" ref="B710">IF(ISBLANK(INDEX(SampleList[XRD],ROW()-1)),"Not Requested",INDEX(SampleList[Experiment ID],ROW()-1))</f>
        <v>Not Requested</v>
      </c>
      <c r="C710">
        <f>SampleList[[#This Row],[Sample Description]]</f>
        <v>0</v>
      </c>
      <c r="D710">
        <f>SampleList[[#This Row],[Duration (Days)]]</f>
        <v>0</v>
      </c>
    </row>
    <row r="711" spans="1:4" hidden="1" x14ac:dyDescent="0.25">
      <c r="A711" s="1"/>
      <c r="B711" t="str" cm="1">
        <f t="array" ref="B711">IF(ISBLANK(INDEX(SampleList[XRD],ROW()-1)),"Not Requested",INDEX(SampleList[Experiment ID],ROW()-1))</f>
        <v>Not Requested</v>
      </c>
      <c r="C711">
        <f>SampleList[[#This Row],[Sample Description]]</f>
        <v>0</v>
      </c>
      <c r="D711">
        <f>SampleList[[#This Row],[Duration (Days)]]</f>
        <v>0</v>
      </c>
    </row>
    <row r="712" spans="1:4" hidden="1" x14ac:dyDescent="0.25">
      <c r="A712" s="1"/>
      <c r="B712" t="str" cm="1">
        <f t="array" ref="B712">IF(ISBLANK(INDEX(SampleList[XRD],ROW()-1)),"Not Requested",INDEX(SampleList[Experiment ID],ROW()-1))</f>
        <v>Not Requested</v>
      </c>
      <c r="C712">
        <f>SampleList[[#This Row],[Sample Description]]</f>
        <v>0</v>
      </c>
      <c r="D712">
        <f>SampleList[[#This Row],[Duration (Days)]]</f>
        <v>0</v>
      </c>
    </row>
    <row r="713" spans="1:4" hidden="1" x14ac:dyDescent="0.25">
      <c r="A713" s="1"/>
      <c r="B713" t="str" cm="1">
        <f t="array" ref="B713">IF(ISBLANK(INDEX(SampleList[XRD],ROW()-1)),"Not Requested",INDEX(SampleList[Experiment ID],ROW()-1))</f>
        <v>Not Requested</v>
      </c>
      <c r="C713">
        <f>SampleList[[#This Row],[Sample Description]]</f>
        <v>0</v>
      </c>
      <c r="D713">
        <f>SampleList[[#This Row],[Duration (Days)]]</f>
        <v>0</v>
      </c>
    </row>
    <row r="714" spans="1:4" hidden="1" x14ac:dyDescent="0.25">
      <c r="A714" s="1"/>
      <c r="B714" t="str" cm="1">
        <f t="array" ref="B714">IF(ISBLANK(INDEX(SampleList[XRD],ROW()-1)),"Not Requested",INDEX(SampleList[Experiment ID],ROW()-1))</f>
        <v>Not Requested</v>
      </c>
      <c r="C714">
        <f>SampleList[[#This Row],[Sample Description]]</f>
        <v>0</v>
      </c>
      <c r="D714">
        <f>SampleList[[#This Row],[Duration (Days)]]</f>
        <v>0</v>
      </c>
    </row>
    <row r="715" spans="1:4" hidden="1" x14ac:dyDescent="0.25">
      <c r="A715" s="1"/>
      <c r="B715" t="str" cm="1">
        <f t="array" ref="B715">IF(ISBLANK(INDEX(SampleList[XRD],ROW()-1)),"Not Requested",INDEX(SampleList[Experiment ID],ROW()-1))</f>
        <v>Not Requested</v>
      </c>
      <c r="C715">
        <f>SampleList[[#This Row],[Sample Description]]</f>
        <v>0</v>
      </c>
      <c r="D715">
        <f>SampleList[[#This Row],[Duration (Days)]]</f>
        <v>0</v>
      </c>
    </row>
    <row r="716" spans="1:4" hidden="1" x14ac:dyDescent="0.25">
      <c r="A716" s="1"/>
      <c r="B716" t="str" cm="1">
        <f t="array" ref="B716">IF(ISBLANK(INDEX(SampleList[XRD],ROW()-1)),"Not Requested",INDEX(SampleList[Experiment ID],ROW()-1))</f>
        <v>Not Requested</v>
      </c>
      <c r="C716">
        <f>SampleList[[#This Row],[Sample Description]]</f>
        <v>0</v>
      </c>
      <c r="D716">
        <f>SampleList[[#This Row],[Duration (Days)]]</f>
        <v>0</v>
      </c>
    </row>
    <row r="717" spans="1:4" hidden="1" x14ac:dyDescent="0.25">
      <c r="A717" s="1"/>
      <c r="B717" t="str" cm="1">
        <f t="array" ref="B717">IF(ISBLANK(INDEX(SampleList[XRD],ROW()-1)),"Not Requested",INDEX(SampleList[Experiment ID],ROW()-1))</f>
        <v>Not Requested</v>
      </c>
      <c r="C717">
        <f>SampleList[[#This Row],[Sample Description]]</f>
        <v>0</v>
      </c>
      <c r="D717">
        <f>SampleList[[#This Row],[Duration (Days)]]</f>
        <v>0</v>
      </c>
    </row>
    <row r="718" spans="1:4" hidden="1" x14ac:dyDescent="0.25">
      <c r="A718" s="1"/>
      <c r="B718" t="str" cm="1">
        <f t="array" ref="B718">IF(ISBLANK(INDEX(SampleList[XRD],ROW()-1)),"Not Requested",INDEX(SampleList[Experiment ID],ROW()-1))</f>
        <v>Not Requested</v>
      </c>
      <c r="C718">
        <f>SampleList[[#This Row],[Sample Description]]</f>
        <v>0</v>
      </c>
      <c r="D718">
        <f>SampleList[[#This Row],[Duration (Days)]]</f>
        <v>0</v>
      </c>
    </row>
    <row r="719" spans="1:4" hidden="1" x14ac:dyDescent="0.25">
      <c r="A719" s="1"/>
      <c r="B719" t="str" cm="1">
        <f t="array" ref="B719">IF(ISBLANK(INDEX(SampleList[XRD],ROW()-1)),"Not Requested",INDEX(SampleList[Experiment ID],ROW()-1))</f>
        <v>Not Requested</v>
      </c>
      <c r="C719">
        <f>SampleList[[#This Row],[Sample Description]]</f>
        <v>0</v>
      </c>
      <c r="D719">
        <f>SampleList[[#This Row],[Duration (Days)]]</f>
        <v>0</v>
      </c>
    </row>
    <row r="720" spans="1:4" hidden="1" x14ac:dyDescent="0.25">
      <c r="A720" s="1"/>
      <c r="B720" t="str" cm="1">
        <f t="array" ref="B720">IF(ISBLANK(INDEX(SampleList[XRD],ROW()-1)),"Not Requested",INDEX(SampleList[Experiment ID],ROW()-1))</f>
        <v>Not Requested</v>
      </c>
      <c r="C720">
        <f>SampleList[[#This Row],[Sample Description]]</f>
        <v>0</v>
      </c>
      <c r="D720">
        <f>SampleList[[#This Row],[Duration (Days)]]</f>
        <v>0</v>
      </c>
    </row>
    <row r="721" spans="1:4" hidden="1" x14ac:dyDescent="0.25">
      <c r="A721" s="1"/>
      <c r="B721" t="str" cm="1">
        <f t="array" ref="B721">IF(ISBLANK(INDEX(SampleList[XRD],ROW()-1)),"Not Requested",INDEX(SampleList[Experiment ID],ROW()-1))</f>
        <v>Not Requested</v>
      </c>
      <c r="C721">
        <f>SampleList[[#This Row],[Sample Description]]</f>
        <v>0</v>
      </c>
      <c r="D721">
        <f>SampleList[[#This Row],[Duration (Days)]]</f>
        <v>0</v>
      </c>
    </row>
    <row r="722" spans="1:4" hidden="1" x14ac:dyDescent="0.25">
      <c r="A722" s="1"/>
      <c r="B722" t="str" cm="1">
        <f t="array" ref="B722">IF(ISBLANK(INDEX(SampleList[XRD],ROW()-1)),"Not Requested",INDEX(SampleList[Experiment ID],ROW()-1))</f>
        <v>Not Requested</v>
      </c>
      <c r="C722">
        <f>SampleList[[#This Row],[Sample Description]]</f>
        <v>0</v>
      </c>
      <c r="D722">
        <f>SampleList[[#This Row],[Duration (Days)]]</f>
        <v>0</v>
      </c>
    </row>
    <row r="723" spans="1:4" hidden="1" x14ac:dyDescent="0.25">
      <c r="A723" s="1"/>
      <c r="B723" t="str" cm="1">
        <f t="array" ref="B723">IF(ISBLANK(INDEX(SampleList[XRD],ROW()-1)),"Not Requested",INDEX(SampleList[Experiment ID],ROW()-1))</f>
        <v>Not Requested</v>
      </c>
      <c r="C723">
        <f>SampleList[[#This Row],[Sample Description]]</f>
        <v>0</v>
      </c>
      <c r="D723">
        <f>SampleList[[#This Row],[Duration (Days)]]</f>
        <v>0</v>
      </c>
    </row>
    <row r="724" spans="1:4" hidden="1" x14ac:dyDescent="0.25">
      <c r="A724" s="1"/>
      <c r="B724" t="str" cm="1">
        <f t="array" ref="B724">IF(ISBLANK(INDEX(SampleList[XRD],ROW()-1)),"Not Requested",INDEX(SampleList[Experiment ID],ROW()-1))</f>
        <v>Not Requested</v>
      </c>
      <c r="C724">
        <f>SampleList[[#This Row],[Sample Description]]</f>
        <v>0</v>
      </c>
      <c r="D724">
        <f>SampleList[[#This Row],[Duration (Days)]]</f>
        <v>0</v>
      </c>
    </row>
    <row r="725" spans="1:4" hidden="1" x14ac:dyDescent="0.25">
      <c r="A725" s="1"/>
      <c r="B725" t="str" cm="1">
        <f t="array" ref="B725">IF(ISBLANK(INDEX(SampleList[XRD],ROW()-1)),"Not Requested",INDEX(SampleList[Experiment ID],ROW()-1))</f>
        <v>Not Requested</v>
      </c>
      <c r="C725">
        <f>SampleList[[#This Row],[Sample Description]]</f>
        <v>0</v>
      </c>
      <c r="D725">
        <f>SampleList[[#This Row],[Duration (Days)]]</f>
        <v>0</v>
      </c>
    </row>
    <row r="726" spans="1:4" hidden="1" x14ac:dyDescent="0.25">
      <c r="A726" s="1"/>
      <c r="B726" t="str" cm="1">
        <f t="array" ref="B726">IF(ISBLANK(INDEX(SampleList[XRD],ROW()-1)),"Not Requested",INDEX(SampleList[Experiment ID],ROW()-1))</f>
        <v>Not Requested</v>
      </c>
      <c r="C726">
        <f>SampleList[[#This Row],[Sample Description]]</f>
        <v>0</v>
      </c>
      <c r="D726">
        <f>SampleList[[#This Row],[Duration (Days)]]</f>
        <v>0</v>
      </c>
    </row>
    <row r="727" spans="1:4" hidden="1" x14ac:dyDescent="0.25">
      <c r="A727" s="1"/>
      <c r="B727" t="str" cm="1">
        <f t="array" ref="B727">IF(ISBLANK(INDEX(SampleList[XRD],ROW()-1)),"Not Requested",INDEX(SampleList[Experiment ID],ROW()-1))</f>
        <v>Not Requested</v>
      </c>
      <c r="C727">
        <f>SampleList[[#This Row],[Sample Description]]</f>
        <v>0</v>
      </c>
      <c r="D727">
        <f>SampleList[[#This Row],[Duration (Days)]]</f>
        <v>0</v>
      </c>
    </row>
    <row r="728" spans="1:4" hidden="1" x14ac:dyDescent="0.25">
      <c r="A728" s="1"/>
      <c r="B728" t="str" cm="1">
        <f t="array" ref="B728">IF(ISBLANK(INDEX(SampleList[XRD],ROW()-1)),"Not Requested",INDEX(SampleList[Experiment ID],ROW()-1))</f>
        <v>Not Requested</v>
      </c>
      <c r="C728">
        <f>SampleList[[#This Row],[Sample Description]]</f>
        <v>0</v>
      </c>
      <c r="D728">
        <f>SampleList[[#This Row],[Duration (Days)]]</f>
        <v>0</v>
      </c>
    </row>
    <row r="729" spans="1:4" hidden="1" x14ac:dyDescent="0.25">
      <c r="A729" s="1"/>
      <c r="B729" t="str" cm="1">
        <f t="array" ref="B729">IF(ISBLANK(INDEX(SampleList[XRD],ROW()-1)),"Not Requested",INDEX(SampleList[Experiment ID],ROW()-1))</f>
        <v>Not Requested</v>
      </c>
      <c r="C729">
        <f>SampleList[[#This Row],[Sample Description]]</f>
        <v>0</v>
      </c>
      <c r="D729">
        <f>SampleList[[#This Row],[Duration (Days)]]</f>
        <v>0</v>
      </c>
    </row>
    <row r="730" spans="1:4" hidden="1" x14ac:dyDescent="0.25">
      <c r="A730" s="1"/>
      <c r="B730" t="str" cm="1">
        <f t="array" ref="B730">IF(ISBLANK(INDEX(SampleList[XRD],ROW()-1)),"Not Requested",INDEX(SampleList[Experiment ID],ROW()-1))</f>
        <v>Not Requested</v>
      </c>
      <c r="C730">
        <f>SampleList[[#This Row],[Sample Description]]</f>
        <v>0</v>
      </c>
      <c r="D730">
        <f>SampleList[[#This Row],[Duration (Days)]]</f>
        <v>0</v>
      </c>
    </row>
    <row r="731" spans="1:4" hidden="1" x14ac:dyDescent="0.25">
      <c r="A731" s="1"/>
      <c r="B731" t="str" cm="1">
        <f t="array" ref="B731">IF(ISBLANK(INDEX(SampleList[XRD],ROW()-1)),"Not Requested",INDEX(SampleList[Experiment ID],ROW()-1))</f>
        <v>Not Requested</v>
      </c>
      <c r="C731">
        <f>SampleList[[#This Row],[Sample Description]]</f>
        <v>0</v>
      </c>
      <c r="D731">
        <f>SampleList[[#This Row],[Duration (Days)]]</f>
        <v>0</v>
      </c>
    </row>
    <row r="732" spans="1:4" hidden="1" x14ac:dyDescent="0.25">
      <c r="A732" s="1"/>
      <c r="B732" t="str" cm="1">
        <f t="array" ref="B732">IF(ISBLANK(INDEX(SampleList[XRD],ROW()-1)),"Not Requested",INDEX(SampleList[Experiment ID],ROW()-1))</f>
        <v>Not Requested</v>
      </c>
      <c r="C732">
        <f>SampleList[[#This Row],[Sample Description]]</f>
        <v>0</v>
      </c>
      <c r="D732">
        <f>SampleList[[#This Row],[Duration (Days)]]</f>
        <v>0</v>
      </c>
    </row>
    <row r="733" spans="1:4" hidden="1" x14ac:dyDescent="0.25">
      <c r="A733" s="1"/>
      <c r="B733" t="str" cm="1">
        <f t="array" ref="B733">IF(ISBLANK(INDEX(SampleList[XRD],ROW()-1)),"Not Requested",INDEX(SampleList[Experiment ID],ROW()-1))</f>
        <v>Not Requested</v>
      </c>
      <c r="C733">
        <f>SampleList[[#This Row],[Sample Description]]</f>
        <v>0</v>
      </c>
      <c r="D733">
        <f>SampleList[[#This Row],[Duration (Days)]]</f>
        <v>0</v>
      </c>
    </row>
    <row r="734" spans="1:4" hidden="1" x14ac:dyDescent="0.25">
      <c r="A734" s="1"/>
      <c r="B734" t="str" cm="1">
        <f t="array" ref="B734">IF(ISBLANK(INDEX(SampleList[XRD],ROW()-1)),"Not Requested",INDEX(SampleList[Experiment ID],ROW()-1))</f>
        <v>Not Requested</v>
      </c>
      <c r="C734">
        <f>SampleList[[#This Row],[Sample Description]]</f>
        <v>0</v>
      </c>
      <c r="D734">
        <f>SampleList[[#This Row],[Duration (Days)]]</f>
        <v>0</v>
      </c>
    </row>
    <row r="735" spans="1:4" hidden="1" x14ac:dyDescent="0.25">
      <c r="A735" s="1"/>
      <c r="B735" t="str" cm="1">
        <f t="array" ref="B735">IF(ISBLANK(INDEX(SampleList[XRD],ROW()-1)),"Not Requested",INDEX(SampleList[Experiment ID],ROW()-1))</f>
        <v>Not Requested</v>
      </c>
      <c r="C735">
        <f>SampleList[[#This Row],[Sample Description]]</f>
        <v>0</v>
      </c>
      <c r="D735">
        <f>SampleList[[#This Row],[Duration (Days)]]</f>
        <v>0</v>
      </c>
    </row>
    <row r="736" spans="1:4" hidden="1" x14ac:dyDescent="0.25">
      <c r="A736" s="1"/>
      <c r="B736" t="str" cm="1">
        <f t="array" ref="B736">IF(ISBLANK(INDEX(SampleList[XRD],ROW()-1)),"Not Requested",INDEX(SampleList[Experiment ID],ROW()-1))</f>
        <v>Not Requested</v>
      </c>
      <c r="C736">
        <f>SampleList[[#This Row],[Sample Description]]</f>
        <v>0</v>
      </c>
      <c r="D736">
        <f>SampleList[[#This Row],[Duration (Days)]]</f>
        <v>0</v>
      </c>
    </row>
    <row r="737" spans="1:4" hidden="1" x14ac:dyDescent="0.25">
      <c r="A737" s="1"/>
      <c r="B737" t="str" cm="1">
        <f t="array" ref="B737">IF(ISBLANK(INDEX(SampleList[XRD],ROW()-1)),"Not Requested",INDEX(SampleList[Experiment ID],ROW()-1))</f>
        <v>Not Requested</v>
      </c>
      <c r="C737">
        <f>SampleList[[#This Row],[Sample Description]]</f>
        <v>0</v>
      </c>
      <c r="D737">
        <f>SampleList[[#This Row],[Duration (Days)]]</f>
        <v>0</v>
      </c>
    </row>
    <row r="738" spans="1:4" hidden="1" x14ac:dyDescent="0.25">
      <c r="A738" s="1"/>
      <c r="B738" t="str" cm="1">
        <f t="array" ref="B738">IF(ISBLANK(INDEX(SampleList[XRD],ROW()-1)),"Not Requested",INDEX(SampleList[Experiment ID],ROW()-1))</f>
        <v>Not Requested</v>
      </c>
      <c r="C738">
        <f>SampleList[[#This Row],[Sample Description]]</f>
        <v>0</v>
      </c>
      <c r="D738">
        <f>SampleList[[#This Row],[Duration (Days)]]</f>
        <v>0</v>
      </c>
    </row>
    <row r="739" spans="1:4" hidden="1" x14ac:dyDescent="0.25">
      <c r="A739" s="1"/>
      <c r="B739" t="str" cm="1">
        <f t="array" ref="B739">IF(ISBLANK(INDEX(SampleList[XRD],ROW()-1)),"Not Requested",INDEX(SampleList[Experiment ID],ROW()-1))</f>
        <v>Not Requested</v>
      </c>
      <c r="C739">
        <f>SampleList[[#This Row],[Sample Description]]</f>
        <v>0</v>
      </c>
      <c r="D739">
        <f>SampleList[[#This Row],[Duration (Days)]]</f>
        <v>0</v>
      </c>
    </row>
    <row r="740" spans="1:4" hidden="1" x14ac:dyDescent="0.25">
      <c r="A740" s="1"/>
      <c r="B740" t="str" cm="1">
        <f t="array" ref="B740">IF(ISBLANK(INDEX(SampleList[XRD],ROW()-1)),"Not Requested",INDEX(SampleList[Experiment ID],ROW()-1))</f>
        <v>Not Requested</v>
      </c>
      <c r="C740">
        <f>SampleList[[#This Row],[Sample Description]]</f>
        <v>0</v>
      </c>
      <c r="D740">
        <f>SampleList[[#This Row],[Duration (Days)]]</f>
        <v>0</v>
      </c>
    </row>
    <row r="741" spans="1:4" hidden="1" x14ac:dyDescent="0.25">
      <c r="A741" s="1"/>
      <c r="B741" t="str" cm="1">
        <f t="array" ref="B741">IF(ISBLANK(INDEX(SampleList[XRD],ROW()-1)),"Not Requested",INDEX(SampleList[Experiment ID],ROW()-1))</f>
        <v>Not Requested</v>
      </c>
      <c r="C741">
        <f>SampleList[[#This Row],[Sample Description]]</f>
        <v>0</v>
      </c>
      <c r="D741">
        <f>SampleList[[#This Row],[Duration (Days)]]</f>
        <v>0</v>
      </c>
    </row>
    <row r="742" spans="1:4" hidden="1" x14ac:dyDescent="0.25">
      <c r="A742" s="1"/>
      <c r="B742" t="str" cm="1">
        <f t="array" ref="B742">IF(ISBLANK(INDEX(SampleList[XRD],ROW()-1)),"Not Requested",INDEX(SampleList[Experiment ID],ROW()-1))</f>
        <v>Not Requested</v>
      </c>
      <c r="C742">
        <f>SampleList[[#This Row],[Sample Description]]</f>
        <v>0</v>
      </c>
      <c r="D742">
        <f>SampleList[[#This Row],[Duration (Days)]]</f>
        <v>0</v>
      </c>
    </row>
    <row r="743" spans="1:4" hidden="1" x14ac:dyDescent="0.25">
      <c r="A743" s="1"/>
      <c r="B743" t="str" cm="1">
        <f t="array" ref="B743">IF(ISBLANK(INDEX(SampleList[XRD],ROW()-1)),"Not Requested",INDEX(SampleList[Experiment ID],ROW()-1))</f>
        <v>Not Requested</v>
      </c>
      <c r="C743">
        <f>SampleList[[#This Row],[Sample Description]]</f>
        <v>0</v>
      </c>
      <c r="D743">
        <f>SampleList[[#This Row],[Duration (Days)]]</f>
        <v>0</v>
      </c>
    </row>
    <row r="744" spans="1:4" hidden="1" x14ac:dyDescent="0.25">
      <c r="A744" s="1"/>
      <c r="B744" t="str" cm="1">
        <f t="array" ref="B744">IF(ISBLANK(INDEX(SampleList[XRD],ROW()-1)),"Not Requested",INDEX(SampleList[Experiment ID],ROW()-1))</f>
        <v>Not Requested</v>
      </c>
      <c r="C744">
        <f>SampleList[[#This Row],[Sample Description]]</f>
        <v>0</v>
      </c>
      <c r="D744">
        <f>SampleList[[#This Row],[Duration (Days)]]</f>
        <v>0</v>
      </c>
    </row>
    <row r="745" spans="1:4" hidden="1" x14ac:dyDescent="0.25">
      <c r="A745" s="1"/>
      <c r="B745" t="str" cm="1">
        <f t="array" ref="B745">IF(ISBLANK(INDEX(SampleList[XRD],ROW()-1)),"Not Requested",INDEX(SampleList[Experiment ID],ROW()-1))</f>
        <v>Not Requested</v>
      </c>
      <c r="C745">
        <f>SampleList[[#This Row],[Sample Description]]</f>
        <v>0</v>
      </c>
      <c r="D745">
        <f>SampleList[[#This Row],[Duration (Days)]]</f>
        <v>0</v>
      </c>
    </row>
    <row r="746" spans="1:4" hidden="1" x14ac:dyDescent="0.25">
      <c r="A746" s="1"/>
      <c r="B746" t="str" cm="1">
        <f t="array" ref="B746">IF(ISBLANK(INDEX(SampleList[XRD],ROW()-1)),"Not Requested",INDEX(SampleList[Experiment ID],ROW()-1))</f>
        <v>Not Requested</v>
      </c>
      <c r="C746">
        <f>SampleList[[#This Row],[Sample Description]]</f>
        <v>0</v>
      </c>
      <c r="D746">
        <f>SampleList[[#This Row],[Duration (Days)]]</f>
        <v>0</v>
      </c>
    </row>
    <row r="747" spans="1:4" hidden="1" x14ac:dyDescent="0.25">
      <c r="A747" s="1"/>
      <c r="B747" t="str" cm="1">
        <f t="array" ref="B747">IF(ISBLANK(INDEX(SampleList[XRD],ROW()-1)),"Not Requested",INDEX(SampleList[Experiment ID],ROW()-1))</f>
        <v>Not Requested</v>
      </c>
      <c r="C747">
        <f>SampleList[[#This Row],[Sample Description]]</f>
        <v>0</v>
      </c>
      <c r="D747">
        <f>SampleList[[#This Row],[Duration (Days)]]</f>
        <v>0</v>
      </c>
    </row>
    <row r="748" spans="1:4" hidden="1" x14ac:dyDescent="0.25">
      <c r="A748" s="1"/>
      <c r="B748" t="str" cm="1">
        <f t="array" ref="B748">IF(ISBLANK(INDEX(SampleList[XRD],ROW()-1)),"Not Requested",INDEX(SampleList[Experiment ID],ROW()-1))</f>
        <v>Not Requested</v>
      </c>
      <c r="C748">
        <f>SampleList[[#This Row],[Sample Description]]</f>
        <v>0</v>
      </c>
      <c r="D748">
        <f>SampleList[[#This Row],[Duration (Days)]]</f>
        <v>0</v>
      </c>
    </row>
    <row r="749" spans="1:4" hidden="1" x14ac:dyDescent="0.25">
      <c r="A749" s="1"/>
      <c r="B749" t="str" cm="1">
        <f t="array" ref="B749">IF(ISBLANK(INDEX(SampleList[XRD],ROW()-1)),"Not Requested",INDEX(SampleList[Experiment ID],ROW()-1))</f>
        <v>Not Requested</v>
      </c>
      <c r="C749">
        <f>SampleList[[#This Row],[Sample Description]]</f>
        <v>0</v>
      </c>
      <c r="D749">
        <f>SampleList[[#This Row],[Duration (Days)]]</f>
        <v>0</v>
      </c>
    </row>
    <row r="750" spans="1:4" hidden="1" x14ac:dyDescent="0.25">
      <c r="A750" s="1"/>
      <c r="B750" t="str" cm="1">
        <f t="array" ref="B750">IF(ISBLANK(INDEX(SampleList[XRD],ROW()-1)),"Not Requested",INDEX(SampleList[Experiment ID],ROW()-1))</f>
        <v>Not Requested</v>
      </c>
      <c r="C750">
        <f>SampleList[[#This Row],[Sample Description]]</f>
        <v>0</v>
      </c>
      <c r="D750">
        <f>SampleList[[#This Row],[Duration (Days)]]</f>
        <v>0</v>
      </c>
    </row>
    <row r="751" spans="1:4" hidden="1" x14ac:dyDescent="0.25">
      <c r="A751" s="1"/>
      <c r="B751" t="str" cm="1">
        <f t="array" ref="B751">IF(ISBLANK(INDEX(SampleList[XRD],ROW()-1)),"Not Requested",INDEX(SampleList[Experiment ID],ROW()-1))</f>
        <v>Not Requested</v>
      </c>
      <c r="C751">
        <f>SampleList[[#This Row],[Sample Description]]</f>
        <v>0</v>
      </c>
      <c r="D751">
        <f>SampleList[[#This Row],[Duration (Days)]]</f>
        <v>0</v>
      </c>
    </row>
    <row r="752" spans="1:4" hidden="1" x14ac:dyDescent="0.25">
      <c r="A752" s="1"/>
      <c r="B752" t="str" cm="1">
        <f t="array" ref="B752">IF(ISBLANK(INDEX(SampleList[XRD],ROW()-1)),"Not Requested",INDEX(SampleList[Experiment ID],ROW()-1))</f>
        <v>Not Requested</v>
      </c>
      <c r="C752">
        <f>SampleList[[#This Row],[Sample Description]]</f>
        <v>0</v>
      </c>
      <c r="D752">
        <f>SampleList[[#This Row],[Duration (Days)]]</f>
        <v>0</v>
      </c>
    </row>
    <row r="753" spans="1:4" hidden="1" x14ac:dyDescent="0.25">
      <c r="A753" s="1"/>
      <c r="B753" t="str" cm="1">
        <f t="array" ref="B753">IF(ISBLANK(INDEX(SampleList[XRD],ROW()-1)),"Not Requested",INDEX(SampleList[Experiment ID],ROW()-1))</f>
        <v>Not Requested</v>
      </c>
      <c r="C753">
        <f>SampleList[[#This Row],[Sample Description]]</f>
        <v>0</v>
      </c>
      <c r="D753">
        <f>SampleList[[#This Row],[Duration (Days)]]</f>
        <v>0</v>
      </c>
    </row>
    <row r="754" spans="1:4" hidden="1" x14ac:dyDescent="0.25">
      <c r="A754" s="1"/>
      <c r="B754" t="str" cm="1">
        <f t="array" ref="B754">IF(ISBLANK(INDEX(SampleList[XRD],ROW()-1)),"Not Requested",INDEX(SampleList[Experiment ID],ROW()-1))</f>
        <v>Not Requested</v>
      </c>
      <c r="C754">
        <f>SampleList[[#This Row],[Sample Description]]</f>
        <v>0</v>
      </c>
      <c r="D754">
        <f>SampleList[[#This Row],[Duration (Days)]]</f>
        <v>0</v>
      </c>
    </row>
    <row r="755" spans="1:4" hidden="1" x14ac:dyDescent="0.25">
      <c r="A755" s="1"/>
      <c r="B755" t="str" cm="1">
        <f t="array" ref="B755">IF(ISBLANK(INDEX(SampleList[XRD],ROW()-1)),"Not Requested",INDEX(SampleList[Experiment ID],ROW()-1))</f>
        <v>Not Requested</v>
      </c>
      <c r="C755">
        <f>SampleList[[#This Row],[Sample Description]]</f>
        <v>0</v>
      </c>
      <c r="D755">
        <f>SampleList[[#This Row],[Duration (Days)]]</f>
        <v>0</v>
      </c>
    </row>
    <row r="756" spans="1:4" hidden="1" x14ac:dyDescent="0.25">
      <c r="A756" s="1"/>
      <c r="B756" t="str" cm="1">
        <f t="array" ref="B756">IF(ISBLANK(INDEX(SampleList[XRD],ROW()-1)),"Not Requested",INDEX(SampleList[Experiment ID],ROW()-1))</f>
        <v>Not Requested</v>
      </c>
      <c r="C756">
        <f>SampleList[[#This Row],[Sample Description]]</f>
        <v>0</v>
      </c>
      <c r="D756">
        <f>SampleList[[#This Row],[Duration (Days)]]</f>
        <v>0</v>
      </c>
    </row>
    <row r="757" spans="1:4" hidden="1" x14ac:dyDescent="0.25">
      <c r="A757" s="1"/>
      <c r="B757" t="str" cm="1">
        <f t="array" ref="B757">IF(ISBLANK(INDEX(SampleList[XRD],ROW()-1)),"Not Requested",INDEX(SampleList[Experiment ID],ROW()-1))</f>
        <v>Not Requested</v>
      </c>
      <c r="C757">
        <f>SampleList[[#This Row],[Sample Description]]</f>
        <v>0</v>
      </c>
      <c r="D757">
        <f>SampleList[[#This Row],[Duration (Days)]]</f>
        <v>0</v>
      </c>
    </row>
    <row r="758" spans="1:4" hidden="1" x14ac:dyDescent="0.25">
      <c r="A758" s="1"/>
      <c r="B758" t="str" cm="1">
        <f t="array" ref="B758">IF(ISBLANK(INDEX(SampleList[XRD],ROW()-1)),"Not Requested",INDEX(SampleList[Experiment ID],ROW()-1))</f>
        <v>Not Requested</v>
      </c>
      <c r="C758">
        <f>SampleList[[#This Row],[Sample Description]]</f>
        <v>0</v>
      </c>
      <c r="D758">
        <f>SampleList[[#This Row],[Duration (Days)]]</f>
        <v>0</v>
      </c>
    </row>
    <row r="759" spans="1:4" hidden="1" x14ac:dyDescent="0.25">
      <c r="A759" s="1"/>
      <c r="B759" t="str" cm="1">
        <f t="array" ref="B759">IF(ISBLANK(INDEX(SampleList[XRD],ROW()-1)),"Not Requested",INDEX(SampleList[Experiment ID],ROW()-1))</f>
        <v>Not Requested</v>
      </c>
      <c r="C759">
        <f>SampleList[[#This Row],[Sample Description]]</f>
        <v>0</v>
      </c>
      <c r="D759">
        <f>SampleList[[#This Row],[Duration (Days)]]</f>
        <v>0</v>
      </c>
    </row>
    <row r="760" spans="1:4" hidden="1" x14ac:dyDescent="0.25">
      <c r="A760" s="1"/>
      <c r="B760" t="str" cm="1">
        <f t="array" ref="B760">IF(ISBLANK(INDEX(SampleList[XRD],ROW()-1)),"Not Requested",INDEX(SampleList[Experiment ID],ROW()-1))</f>
        <v>Not Requested</v>
      </c>
      <c r="C760">
        <f>SampleList[[#This Row],[Sample Description]]</f>
        <v>0</v>
      </c>
      <c r="D760">
        <f>SampleList[[#This Row],[Duration (Days)]]</f>
        <v>0</v>
      </c>
    </row>
    <row r="761" spans="1:4" hidden="1" x14ac:dyDescent="0.25">
      <c r="A761" s="1"/>
      <c r="B761" t="str" cm="1">
        <f t="array" ref="B761">IF(ISBLANK(INDEX(SampleList[XRD],ROW()-1)),"Not Requested",INDEX(SampleList[Experiment ID],ROW()-1))</f>
        <v>Not Requested</v>
      </c>
      <c r="C761">
        <f>SampleList[[#This Row],[Sample Description]]</f>
        <v>0</v>
      </c>
      <c r="D761">
        <f>SampleList[[#This Row],[Duration (Days)]]</f>
        <v>0</v>
      </c>
    </row>
    <row r="762" spans="1:4" hidden="1" x14ac:dyDescent="0.25">
      <c r="A762" s="1"/>
      <c r="B762" t="str" cm="1">
        <f t="array" ref="B762">IF(ISBLANK(INDEX(SampleList[XRD],ROW()-1)),"Not Requested",INDEX(SampleList[Experiment ID],ROW()-1))</f>
        <v>Not Requested</v>
      </c>
      <c r="C762">
        <f>SampleList[[#This Row],[Sample Description]]</f>
        <v>0</v>
      </c>
      <c r="D762">
        <f>SampleList[[#This Row],[Duration (Days)]]</f>
        <v>0</v>
      </c>
    </row>
    <row r="763" spans="1:4" hidden="1" x14ac:dyDescent="0.25">
      <c r="A763" s="1"/>
      <c r="B763" t="str" cm="1">
        <f t="array" ref="B763">IF(ISBLANK(INDEX(SampleList[XRD],ROW()-1)),"Not Requested",INDEX(SampleList[Experiment ID],ROW()-1))</f>
        <v>Not Requested</v>
      </c>
      <c r="C763">
        <f>SampleList[[#This Row],[Sample Description]]</f>
        <v>0</v>
      </c>
      <c r="D763">
        <f>SampleList[[#This Row],[Duration (Days)]]</f>
        <v>0</v>
      </c>
    </row>
    <row r="764" spans="1:4" hidden="1" x14ac:dyDescent="0.25">
      <c r="A764" s="1"/>
      <c r="B764" t="str" cm="1">
        <f t="array" ref="B764">IF(ISBLANK(INDEX(SampleList[XRD],ROW()-1)),"Not Requested",INDEX(SampleList[Experiment ID],ROW()-1))</f>
        <v>Not Requested</v>
      </c>
      <c r="C764">
        <f>SampleList[[#This Row],[Sample Description]]</f>
        <v>0</v>
      </c>
      <c r="D764">
        <f>SampleList[[#This Row],[Duration (Days)]]</f>
        <v>0</v>
      </c>
    </row>
    <row r="765" spans="1:4" hidden="1" x14ac:dyDescent="0.25">
      <c r="A765" s="1"/>
      <c r="B765" t="str" cm="1">
        <f t="array" ref="B765">IF(ISBLANK(INDEX(SampleList[XRD],ROW()-1)),"Not Requested",INDEX(SampleList[Experiment ID],ROW()-1))</f>
        <v>Not Requested</v>
      </c>
      <c r="C765">
        <f>SampleList[[#This Row],[Sample Description]]</f>
        <v>0</v>
      </c>
      <c r="D765">
        <f>SampleList[[#This Row],[Duration (Days)]]</f>
        <v>0</v>
      </c>
    </row>
    <row r="766" spans="1:4" hidden="1" x14ac:dyDescent="0.25">
      <c r="A766" s="1"/>
      <c r="B766" t="str" cm="1">
        <f t="array" ref="B766">IF(ISBLANK(INDEX(SampleList[XRD],ROW()-1)),"Not Requested",INDEX(SampleList[Experiment ID],ROW()-1))</f>
        <v>Not Requested</v>
      </c>
      <c r="C766">
        <f>SampleList[[#This Row],[Sample Description]]</f>
        <v>0</v>
      </c>
      <c r="D766">
        <f>SampleList[[#This Row],[Duration (Days)]]</f>
        <v>0</v>
      </c>
    </row>
    <row r="767" spans="1:4" hidden="1" x14ac:dyDescent="0.25">
      <c r="A767" s="1"/>
      <c r="B767" t="str" cm="1">
        <f t="array" ref="B767">IF(ISBLANK(INDEX(SampleList[XRD],ROW()-1)),"Not Requested",INDEX(SampleList[Experiment ID],ROW()-1))</f>
        <v>Not Requested</v>
      </c>
      <c r="C767">
        <f>SampleList[[#This Row],[Sample Description]]</f>
        <v>0</v>
      </c>
      <c r="D767">
        <f>SampleList[[#This Row],[Duration (Days)]]</f>
        <v>0</v>
      </c>
    </row>
    <row r="768" spans="1:4" hidden="1" x14ac:dyDescent="0.25">
      <c r="A768" s="1"/>
      <c r="B768" t="str" cm="1">
        <f t="array" ref="B768">IF(ISBLANK(INDEX(SampleList[XRD],ROW()-1)),"Not Requested",INDEX(SampleList[Experiment ID],ROW()-1))</f>
        <v>Not Requested</v>
      </c>
      <c r="C768">
        <f>SampleList[[#This Row],[Sample Description]]</f>
        <v>0</v>
      </c>
      <c r="D768">
        <f>SampleList[[#This Row],[Duration (Days)]]</f>
        <v>0</v>
      </c>
    </row>
    <row r="769" spans="1:4" hidden="1" x14ac:dyDescent="0.25">
      <c r="A769" s="1"/>
      <c r="B769" t="str" cm="1">
        <f t="array" ref="B769">IF(ISBLANK(INDEX(SampleList[XRD],ROW()-1)),"Not Requested",INDEX(SampleList[Experiment ID],ROW()-1))</f>
        <v>Not Requested</v>
      </c>
      <c r="C769">
        <f>SampleList[[#This Row],[Sample Description]]</f>
        <v>0</v>
      </c>
      <c r="D769">
        <f>SampleList[[#This Row],[Duration (Days)]]</f>
        <v>0</v>
      </c>
    </row>
    <row r="770" spans="1:4" hidden="1" x14ac:dyDescent="0.25">
      <c r="A770" s="1"/>
      <c r="B770" t="str" cm="1">
        <f t="array" ref="B770">IF(ISBLANK(INDEX(SampleList[XRD],ROW()-1)),"Not Requested",INDEX(SampleList[Experiment ID],ROW()-1))</f>
        <v>Not Requested</v>
      </c>
      <c r="C770">
        <f>SampleList[[#This Row],[Sample Description]]</f>
        <v>0</v>
      </c>
      <c r="D770">
        <f>SampleList[[#This Row],[Duration (Days)]]</f>
        <v>0</v>
      </c>
    </row>
    <row r="771" spans="1:4" hidden="1" x14ac:dyDescent="0.25">
      <c r="A771" s="1"/>
      <c r="B771" t="str" cm="1">
        <f t="array" ref="B771">IF(ISBLANK(INDEX(SampleList[XRD],ROW()-1)),"Not Requested",INDEX(SampleList[Experiment ID],ROW()-1))</f>
        <v>Not Requested</v>
      </c>
      <c r="C771">
        <f>SampleList[[#This Row],[Sample Description]]</f>
        <v>0</v>
      </c>
      <c r="D771">
        <f>SampleList[[#This Row],[Duration (Days)]]</f>
        <v>0</v>
      </c>
    </row>
    <row r="772" spans="1:4" hidden="1" x14ac:dyDescent="0.25">
      <c r="A772" s="1"/>
      <c r="B772" t="str" cm="1">
        <f t="array" ref="B772">IF(ISBLANK(INDEX(SampleList[XRD],ROW()-1)),"Not Requested",INDEX(SampleList[Experiment ID],ROW()-1))</f>
        <v>Not Requested</v>
      </c>
      <c r="C772">
        <f>SampleList[[#This Row],[Sample Description]]</f>
        <v>0</v>
      </c>
      <c r="D772">
        <f>SampleList[[#This Row],[Duration (Days)]]</f>
        <v>0</v>
      </c>
    </row>
    <row r="773" spans="1:4" hidden="1" x14ac:dyDescent="0.25">
      <c r="A773" s="1"/>
      <c r="B773" t="str" cm="1">
        <f t="array" ref="B773">IF(ISBLANK(INDEX(SampleList[XRD],ROW()-1)),"Not Requested",INDEX(SampleList[Experiment ID],ROW()-1))</f>
        <v>Not Requested</v>
      </c>
      <c r="C773">
        <f>SampleList[[#This Row],[Sample Description]]</f>
        <v>0</v>
      </c>
      <c r="D773">
        <f>SampleList[[#This Row],[Duration (Days)]]</f>
        <v>0</v>
      </c>
    </row>
    <row r="774" spans="1:4" hidden="1" x14ac:dyDescent="0.25">
      <c r="A774" s="1"/>
      <c r="B774" t="str" cm="1">
        <f t="array" ref="B774">IF(ISBLANK(INDEX(SampleList[XRD],ROW()-1)),"Not Requested",INDEX(SampleList[Experiment ID],ROW()-1))</f>
        <v>Not Requested</v>
      </c>
      <c r="C774">
        <f>SampleList[[#This Row],[Sample Description]]</f>
        <v>0</v>
      </c>
      <c r="D774">
        <f>SampleList[[#This Row],[Duration (Days)]]</f>
        <v>0</v>
      </c>
    </row>
    <row r="775" spans="1:4" hidden="1" x14ac:dyDescent="0.25">
      <c r="A775" s="1"/>
      <c r="B775" t="str" cm="1">
        <f t="array" ref="B775">IF(ISBLANK(INDEX(SampleList[XRD],ROW()-1)),"Not Requested",INDEX(SampleList[Experiment ID],ROW()-1))</f>
        <v>Not Requested</v>
      </c>
      <c r="C775">
        <f>SampleList[[#This Row],[Sample Description]]</f>
        <v>0</v>
      </c>
      <c r="D775">
        <f>SampleList[[#This Row],[Duration (Days)]]</f>
        <v>0</v>
      </c>
    </row>
    <row r="776" spans="1:4" hidden="1" x14ac:dyDescent="0.25">
      <c r="A776" s="1"/>
      <c r="B776" t="str" cm="1">
        <f t="array" ref="B776">IF(ISBLANK(INDEX(SampleList[XRD],ROW()-1)),"Not Requested",INDEX(SampleList[Experiment ID],ROW()-1))</f>
        <v>Not Requested</v>
      </c>
      <c r="C776">
        <f>SampleList[[#This Row],[Sample Description]]</f>
        <v>0</v>
      </c>
      <c r="D776">
        <f>SampleList[[#This Row],[Duration (Days)]]</f>
        <v>0</v>
      </c>
    </row>
    <row r="777" spans="1:4" hidden="1" x14ac:dyDescent="0.25">
      <c r="A777" s="1"/>
      <c r="B777" t="str" cm="1">
        <f t="array" ref="B777">IF(ISBLANK(INDEX(SampleList[XRD],ROW()-1)),"Not Requested",INDEX(SampleList[Experiment ID],ROW()-1))</f>
        <v>Not Requested</v>
      </c>
      <c r="C777">
        <f>SampleList[[#This Row],[Sample Description]]</f>
        <v>0</v>
      </c>
      <c r="D777">
        <f>SampleList[[#This Row],[Duration (Days)]]</f>
        <v>0</v>
      </c>
    </row>
    <row r="778" spans="1:4" hidden="1" x14ac:dyDescent="0.25">
      <c r="A778" s="1"/>
      <c r="B778" t="str" cm="1">
        <f t="array" ref="B778">IF(ISBLANK(INDEX(SampleList[XRD],ROW()-1)),"Not Requested",INDEX(SampleList[Experiment ID],ROW()-1))</f>
        <v>Not Requested</v>
      </c>
      <c r="C778">
        <f>SampleList[[#This Row],[Sample Description]]</f>
        <v>0</v>
      </c>
      <c r="D778">
        <f>SampleList[[#This Row],[Duration (Days)]]</f>
        <v>0</v>
      </c>
    </row>
    <row r="779" spans="1:4" hidden="1" x14ac:dyDescent="0.25">
      <c r="A779" s="1"/>
      <c r="B779" t="str" cm="1">
        <f t="array" ref="B779">IF(ISBLANK(INDEX(SampleList[XRD],ROW()-1)),"Not Requested",INDEX(SampleList[Experiment ID],ROW()-1))</f>
        <v>Not Requested</v>
      </c>
      <c r="C779">
        <f>SampleList[[#This Row],[Sample Description]]</f>
        <v>0</v>
      </c>
      <c r="D779">
        <f>SampleList[[#This Row],[Duration (Days)]]</f>
        <v>0</v>
      </c>
    </row>
    <row r="780" spans="1:4" hidden="1" x14ac:dyDescent="0.25">
      <c r="A780" s="1"/>
      <c r="B780" t="str" cm="1">
        <f t="array" ref="B780">IF(ISBLANK(INDEX(SampleList[XRD],ROW()-1)),"Not Requested",INDEX(SampleList[Experiment ID],ROW()-1))</f>
        <v>Not Requested</v>
      </c>
      <c r="C780">
        <f>SampleList[[#This Row],[Sample Description]]</f>
        <v>0</v>
      </c>
      <c r="D780">
        <f>SampleList[[#This Row],[Duration (Days)]]</f>
        <v>0</v>
      </c>
    </row>
    <row r="781" spans="1:4" hidden="1" x14ac:dyDescent="0.25">
      <c r="A781" s="1"/>
      <c r="B781" t="str" cm="1">
        <f t="array" ref="B781">IF(ISBLANK(INDEX(SampleList[XRD],ROW()-1)),"Not Requested",INDEX(SampleList[Experiment ID],ROW()-1))</f>
        <v>Not Requested</v>
      </c>
      <c r="C781">
        <f>SampleList[[#This Row],[Sample Description]]</f>
        <v>0</v>
      </c>
      <c r="D781">
        <f>SampleList[[#This Row],[Duration (Days)]]</f>
        <v>0</v>
      </c>
    </row>
    <row r="782" spans="1:4" hidden="1" x14ac:dyDescent="0.25">
      <c r="A782" s="1"/>
      <c r="B782" t="str" cm="1">
        <f t="array" ref="B782">IF(ISBLANK(INDEX(SampleList[XRD],ROW()-1)),"Not Requested",INDEX(SampleList[Experiment ID],ROW()-1))</f>
        <v>Not Requested</v>
      </c>
      <c r="C782">
        <f>SampleList[[#This Row],[Sample Description]]</f>
        <v>0</v>
      </c>
      <c r="D782">
        <f>SampleList[[#This Row],[Duration (Days)]]</f>
        <v>0</v>
      </c>
    </row>
    <row r="783" spans="1:4" hidden="1" x14ac:dyDescent="0.25">
      <c r="A783" s="1"/>
      <c r="B783" t="str" cm="1">
        <f t="array" ref="B783">IF(ISBLANK(INDEX(SampleList[XRD],ROW()-1)),"Not Requested",INDEX(SampleList[Experiment ID],ROW()-1))</f>
        <v>Not Requested</v>
      </c>
      <c r="C783">
        <f>SampleList[[#This Row],[Sample Description]]</f>
        <v>0</v>
      </c>
      <c r="D783">
        <f>SampleList[[#This Row],[Duration (Days)]]</f>
        <v>0</v>
      </c>
    </row>
    <row r="784" spans="1:4" hidden="1" x14ac:dyDescent="0.25">
      <c r="A784" s="1"/>
      <c r="B784" t="str" cm="1">
        <f t="array" ref="B784">IF(ISBLANK(INDEX(SampleList[XRD],ROW()-1)),"Not Requested",INDEX(SampleList[Experiment ID],ROW()-1))</f>
        <v>Not Requested</v>
      </c>
      <c r="C784">
        <f>SampleList[[#This Row],[Sample Description]]</f>
        <v>0</v>
      </c>
      <c r="D784">
        <f>SampleList[[#This Row],[Duration (Days)]]</f>
        <v>0</v>
      </c>
    </row>
    <row r="785" spans="1:4" hidden="1" x14ac:dyDescent="0.25">
      <c r="A785" s="1"/>
      <c r="B785" t="str" cm="1">
        <f t="array" ref="B785">IF(ISBLANK(INDEX(SampleList[XRD],ROW()-1)),"Not Requested",INDEX(SampleList[Experiment ID],ROW()-1))</f>
        <v>Not Requested</v>
      </c>
      <c r="C785">
        <f>SampleList[[#This Row],[Sample Description]]</f>
        <v>0</v>
      </c>
      <c r="D785">
        <f>SampleList[[#This Row],[Duration (Days)]]</f>
        <v>0</v>
      </c>
    </row>
    <row r="786" spans="1:4" hidden="1" x14ac:dyDescent="0.25">
      <c r="A786" s="1"/>
      <c r="B786" t="str" cm="1">
        <f t="array" ref="B786">IF(ISBLANK(INDEX(SampleList[XRD],ROW()-1)),"Not Requested",INDEX(SampleList[Experiment ID],ROW()-1))</f>
        <v>Not Requested</v>
      </c>
      <c r="C786">
        <f>SampleList[[#This Row],[Sample Description]]</f>
        <v>0</v>
      </c>
      <c r="D786">
        <f>SampleList[[#This Row],[Duration (Days)]]</f>
        <v>0</v>
      </c>
    </row>
    <row r="787" spans="1:4" hidden="1" x14ac:dyDescent="0.25">
      <c r="A787" s="1"/>
      <c r="B787" t="str" cm="1">
        <f t="array" ref="B787">IF(ISBLANK(INDEX(SampleList[XRD],ROW()-1)),"Not Requested",INDEX(SampleList[Experiment ID],ROW()-1))</f>
        <v>Not Requested</v>
      </c>
      <c r="C787">
        <f>SampleList[[#This Row],[Sample Description]]</f>
        <v>0</v>
      </c>
      <c r="D787">
        <f>SampleList[[#This Row],[Duration (Days)]]</f>
        <v>0</v>
      </c>
    </row>
    <row r="788" spans="1:4" hidden="1" x14ac:dyDescent="0.25">
      <c r="A788" s="1"/>
      <c r="B788" t="str" cm="1">
        <f t="array" ref="B788">IF(ISBLANK(INDEX(SampleList[XRD],ROW()-1)),"Not Requested",INDEX(SampleList[Experiment ID],ROW()-1))</f>
        <v>Not Requested</v>
      </c>
      <c r="C788">
        <f>SampleList[[#This Row],[Sample Description]]</f>
        <v>0</v>
      </c>
      <c r="D788">
        <f>SampleList[[#This Row],[Duration (Days)]]</f>
        <v>0</v>
      </c>
    </row>
    <row r="789" spans="1:4" hidden="1" x14ac:dyDescent="0.25">
      <c r="A789" s="1"/>
      <c r="B789" t="str" cm="1">
        <f t="array" ref="B789">IF(ISBLANK(INDEX(SampleList[XRD],ROW()-1)),"Not Requested",INDEX(SampleList[Experiment ID],ROW()-1))</f>
        <v>Not Requested</v>
      </c>
      <c r="C789">
        <f>SampleList[[#This Row],[Sample Description]]</f>
        <v>0</v>
      </c>
      <c r="D789">
        <f>SampleList[[#This Row],[Duration (Days)]]</f>
        <v>0</v>
      </c>
    </row>
    <row r="790" spans="1:4" hidden="1" x14ac:dyDescent="0.25">
      <c r="A790" s="1"/>
      <c r="B790" t="str" cm="1">
        <f t="array" ref="B790">IF(ISBLANK(INDEX(SampleList[XRD],ROW()-1)),"Not Requested",INDEX(SampleList[Experiment ID],ROW()-1))</f>
        <v>Not Requested</v>
      </c>
      <c r="C790">
        <f>SampleList[[#This Row],[Sample Description]]</f>
        <v>0</v>
      </c>
      <c r="D790">
        <f>SampleList[[#This Row],[Duration (Days)]]</f>
        <v>0</v>
      </c>
    </row>
    <row r="791" spans="1:4" hidden="1" x14ac:dyDescent="0.25">
      <c r="A791" s="1"/>
      <c r="B791" t="str" cm="1">
        <f t="array" ref="B791">IF(ISBLANK(INDEX(SampleList[XRD],ROW()-1)),"Not Requested",INDEX(SampleList[Experiment ID],ROW()-1))</f>
        <v>Not Requested</v>
      </c>
      <c r="C791">
        <f>SampleList[[#This Row],[Sample Description]]</f>
        <v>0</v>
      </c>
      <c r="D791">
        <f>SampleList[[#This Row],[Duration (Days)]]</f>
        <v>0</v>
      </c>
    </row>
    <row r="792" spans="1:4" hidden="1" x14ac:dyDescent="0.25">
      <c r="A792" s="1"/>
      <c r="B792" t="str" cm="1">
        <f t="array" ref="B792">IF(ISBLANK(INDEX(SampleList[XRD],ROW()-1)),"Not Requested",INDEX(SampleList[Experiment ID],ROW()-1))</f>
        <v>Not Requested</v>
      </c>
      <c r="C792">
        <f>SampleList[[#This Row],[Sample Description]]</f>
        <v>0</v>
      </c>
      <c r="D792">
        <f>SampleList[[#This Row],[Duration (Days)]]</f>
        <v>0</v>
      </c>
    </row>
    <row r="793" spans="1:4" hidden="1" x14ac:dyDescent="0.25">
      <c r="A793" s="1"/>
      <c r="B793" t="str" cm="1">
        <f t="array" ref="B793">IF(ISBLANK(INDEX(SampleList[XRD],ROW()-1)),"Not Requested",INDEX(SampleList[Experiment ID],ROW()-1))</f>
        <v>Not Requested</v>
      </c>
      <c r="C793">
        <f>SampleList[[#This Row],[Sample Description]]</f>
        <v>0</v>
      </c>
      <c r="D793">
        <f>SampleList[[#This Row],[Duration (Days)]]</f>
        <v>0</v>
      </c>
    </row>
    <row r="794" spans="1:4" hidden="1" x14ac:dyDescent="0.25">
      <c r="A794" s="1"/>
      <c r="B794" t="str" cm="1">
        <f t="array" ref="B794">IF(ISBLANK(INDEX(SampleList[XRD],ROW()-1)),"Not Requested",INDEX(SampleList[Experiment ID],ROW()-1))</f>
        <v>Not Requested</v>
      </c>
      <c r="C794">
        <f>SampleList[[#This Row],[Sample Description]]</f>
        <v>0</v>
      </c>
      <c r="D794">
        <f>SampleList[[#This Row],[Duration (Days)]]</f>
        <v>0</v>
      </c>
    </row>
    <row r="795" spans="1:4" hidden="1" x14ac:dyDescent="0.25">
      <c r="A795" s="1"/>
      <c r="B795" t="str" cm="1">
        <f t="array" ref="B795">IF(ISBLANK(INDEX(SampleList[XRD],ROW()-1)),"Not Requested",INDEX(SampleList[Experiment ID],ROW()-1))</f>
        <v>Not Requested</v>
      </c>
      <c r="C795">
        <f>SampleList[[#This Row],[Sample Description]]</f>
        <v>0</v>
      </c>
      <c r="D795">
        <f>SampleList[[#This Row],[Duration (Days)]]</f>
        <v>0</v>
      </c>
    </row>
    <row r="796" spans="1:4" hidden="1" x14ac:dyDescent="0.25">
      <c r="A796" s="1"/>
      <c r="B796" t="str" cm="1">
        <f t="array" ref="B796">IF(ISBLANK(INDEX(SampleList[XRD],ROW()-1)),"Not Requested",INDEX(SampleList[Experiment ID],ROW()-1))</f>
        <v>Not Requested</v>
      </c>
      <c r="C796">
        <f>SampleList[[#This Row],[Sample Description]]</f>
        <v>0</v>
      </c>
      <c r="D796">
        <f>SampleList[[#This Row],[Duration (Days)]]</f>
        <v>0</v>
      </c>
    </row>
    <row r="797" spans="1:4" hidden="1" x14ac:dyDescent="0.25">
      <c r="A797" s="1"/>
      <c r="B797" t="str" cm="1">
        <f t="array" ref="B797">IF(ISBLANK(INDEX(SampleList[XRD],ROW()-1)),"Not Requested",INDEX(SampleList[Experiment ID],ROW()-1))</f>
        <v>Not Requested</v>
      </c>
      <c r="C797">
        <f>SampleList[[#This Row],[Sample Description]]</f>
        <v>0</v>
      </c>
      <c r="D797">
        <f>SampleList[[#This Row],[Duration (Days)]]</f>
        <v>0</v>
      </c>
    </row>
    <row r="798" spans="1:4" hidden="1" x14ac:dyDescent="0.25">
      <c r="A798" s="1"/>
      <c r="B798" t="str" cm="1">
        <f t="array" ref="B798">IF(ISBLANK(INDEX(SampleList[XRD],ROW()-1)),"Not Requested",INDEX(SampleList[Experiment ID],ROW()-1))</f>
        <v>Not Requested</v>
      </c>
      <c r="C798">
        <f>SampleList[[#This Row],[Sample Description]]</f>
        <v>0</v>
      </c>
      <c r="D798">
        <f>SampleList[[#This Row],[Duration (Days)]]</f>
        <v>0</v>
      </c>
    </row>
    <row r="799" spans="1:4" hidden="1" x14ac:dyDescent="0.25">
      <c r="A799" s="1"/>
      <c r="B799" t="str" cm="1">
        <f t="array" ref="B799">IF(ISBLANK(INDEX(SampleList[XRD],ROW()-1)),"Not Requested",INDEX(SampleList[Experiment ID],ROW()-1))</f>
        <v>Not Requested</v>
      </c>
      <c r="C799">
        <f>SampleList[[#This Row],[Sample Description]]</f>
        <v>0</v>
      </c>
      <c r="D799">
        <f>SampleList[[#This Row],[Duration (Days)]]</f>
        <v>0</v>
      </c>
    </row>
    <row r="800" spans="1:4" hidden="1" x14ac:dyDescent="0.25">
      <c r="A800" s="1"/>
      <c r="B800" t="str" cm="1">
        <f t="array" ref="B800">IF(ISBLANK(INDEX(SampleList[XRD],ROW()-1)),"Not Requested",INDEX(SampleList[Experiment ID],ROW()-1))</f>
        <v>Not Requested</v>
      </c>
      <c r="C800">
        <f>SampleList[[#This Row],[Sample Description]]</f>
        <v>0</v>
      </c>
      <c r="D800">
        <f>SampleList[[#This Row],[Duration (Days)]]</f>
        <v>0</v>
      </c>
    </row>
    <row r="801" spans="1:4" hidden="1" x14ac:dyDescent="0.25">
      <c r="A801" s="1"/>
      <c r="B801" t="str" cm="1">
        <f t="array" ref="B801">IF(ISBLANK(INDEX(SampleList[XRD],ROW()-1)),"Not Requested",INDEX(SampleList[Experiment ID],ROW()-1))</f>
        <v>Not Requested</v>
      </c>
      <c r="C801">
        <f>SampleList[[#This Row],[Sample Description]]</f>
        <v>0</v>
      </c>
      <c r="D801">
        <f>SampleList[[#This Row],[Duration (Days)]]</f>
        <v>0</v>
      </c>
    </row>
    <row r="802" spans="1:4" hidden="1" x14ac:dyDescent="0.25">
      <c r="A802" s="1"/>
      <c r="B802" t="str" cm="1">
        <f t="array" ref="B802">IF(ISBLANK(INDEX(SampleList[XRD],ROW()-1)),"Not Requested",INDEX(SampleList[Experiment ID],ROW()-1))</f>
        <v>Not Requested</v>
      </c>
      <c r="C802">
        <f>SampleList[[#This Row],[Sample Description]]</f>
        <v>0</v>
      </c>
      <c r="D802">
        <f>SampleList[[#This Row],[Duration (Days)]]</f>
        <v>0</v>
      </c>
    </row>
    <row r="803" spans="1:4" hidden="1" x14ac:dyDescent="0.25">
      <c r="A803" s="1"/>
      <c r="B803" t="str" cm="1">
        <f t="array" ref="B803">IF(ISBLANK(INDEX(SampleList[XRD],ROW()-1)),"Not Requested",INDEX(SampleList[Experiment ID],ROW()-1))</f>
        <v>Not Requested</v>
      </c>
      <c r="C803">
        <f>SampleList[[#This Row],[Sample Description]]</f>
        <v>0</v>
      </c>
      <c r="D803">
        <f>SampleList[[#This Row],[Duration (Days)]]</f>
        <v>0</v>
      </c>
    </row>
    <row r="804" spans="1:4" hidden="1" x14ac:dyDescent="0.25">
      <c r="A804" s="1"/>
      <c r="B804" t="str" cm="1">
        <f t="array" ref="B804">IF(ISBLANK(INDEX(SampleList[XRD],ROW()-1)),"Not Requested",INDEX(SampleList[Experiment ID],ROW()-1))</f>
        <v>Not Requested</v>
      </c>
      <c r="C804">
        <f>SampleList[[#This Row],[Sample Description]]</f>
        <v>0</v>
      </c>
      <c r="D804">
        <f>SampleList[[#This Row],[Duration (Days)]]</f>
        <v>0</v>
      </c>
    </row>
    <row r="805" spans="1:4" hidden="1" x14ac:dyDescent="0.25">
      <c r="A805" s="1"/>
      <c r="B805" t="str" cm="1">
        <f t="array" ref="B805">IF(ISBLANK(INDEX(SampleList[XRD],ROW()-1)),"Not Requested",INDEX(SampleList[Experiment ID],ROW()-1))</f>
        <v>Not Requested</v>
      </c>
      <c r="C805">
        <f>SampleList[[#This Row],[Sample Description]]</f>
        <v>0</v>
      </c>
      <c r="D805">
        <f>SampleList[[#This Row],[Duration (Days)]]</f>
        <v>0</v>
      </c>
    </row>
    <row r="806" spans="1:4" hidden="1" x14ac:dyDescent="0.25">
      <c r="A806" s="1"/>
      <c r="B806" t="str" cm="1">
        <f t="array" ref="B806">IF(ISBLANK(INDEX(SampleList[XRD],ROW()-1)),"Not Requested",INDEX(SampleList[Experiment ID],ROW()-1))</f>
        <v>Not Requested</v>
      </c>
      <c r="C806">
        <f>SampleList[[#This Row],[Sample Description]]</f>
        <v>0</v>
      </c>
      <c r="D806">
        <f>SampleList[[#This Row],[Duration (Days)]]</f>
        <v>0</v>
      </c>
    </row>
    <row r="807" spans="1:4" hidden="1" x14ac:dyDescent="0.25">
      <c r="A807" s="1"/>
      <c r="B807" t="str" cm="1">
        <f t="array" ref="B807">IF(ISBLANK(INDEX(SampleList[XRD],ROW()-1)),"Not Requested",INDEX(SampleList[Experiment ID],ROW()-1))</f>
        <v>Not Requested</v>
      </c>
      <c r="C807">
        <f>SampleList[[#This Row],[Sample Description]]</f>
        <v>0</v>
      </c>
      <c r="D807">
        <f>SampleList[[#This Row],[Duration (Days)]]</f>
        <v>0</v>
      </c>
    </row>
    <row r="808" spans="1:4" hidden="1" x14ac:dyDescent="0.25">
      <c r="A808" s="1"/>
      <c r="B808" t="str" cm="1">
        <f t="array" ref="B808">IF(ISBLANK(INDEX(SampleList[XRD],ROW()-1)),"Not Requested",INDEX(SampleList[Experiment ID],ROW()-1))</f>
        <v>Not Requested</v>
      </c>
      <c r="C808">
        <f>SampleList[[#This Row],[Sample Description]]</f>
        <v>0</v>
      </c>
      <c r="D808">
        <f>SampleList[[#This Row],[Duration (Days)]]</f>
        <v>0</v>
      </c>
    </row>
    <row r="809" spans="1:4" hidden="1" x14ac:dyDescent="0.25">
      <c r="A809" s="1"/>
      <c r="B809" t="str" cm="1">
        <f t="array" ref="B809">IF(ISBLANK(INDEX(SampleList[XRD],ROW()-1)),"Not Requested",INDEX(SampleList[Experiment ID],ROW()-1))</f>
        <v>Not Requested</v>
      </c>
      <c r="C809">
        <f>SampleList[[#This Row],[Sample Description]]</f>
        <v>0</v>
      </c>
      <c r="D809">
        <f>SampleList[[#This Row],[Duration (Days)]]</f>
        <v>0</v>
      </c>
    </row>
    <row r="810" spans="1:4" hidden="1" x14ac:dyDescent="0.25">
      <c r="A810" s="1"/>
      <c r="B810" t="str" cm="1">
        <f t="array" ref="B810">IF(ISBLANK(INDEX(SampleList[XRD],ROW()-1)),"Not Requested",INDEX(SampleList[Experiment ID],ROW()-1))</f>
        <v>Not Requested</v>
      </c>
      <c r="C810">
        <f>SampleList[[#This Row],[Sample Description]]</f>
        <v>0</v>
      </c>
      <c r="D810">
        <f>SampleList[[#This Row],[Duration (Days)]]</f>
        <v>0</v>
      </c>
    </row>
    <row r="811" spans="1:4" hidden="1" x14ac:dyDescent="0.25">
      <c r="A811" s="1"/>
      <c r="B811" t="str" cm="1">
        <f t="array" ref="B811">IF(ISBLANK(INDEX(SampleList[XRD],ROW()-1)),"Not Requested",INDEX(SampleList[Experiment ID],ROW()-1))</f>
        <v>Not Requested</v>
      </c>
      <c r="C811">
        <f>SampleList[[#This Row],[Sample Description]]</f>
        <v>0</v>
      </c>
      <c r="D811">
        <f>SampleList[[#This Row],[Duration (Days)]]</f>
        <v>0</v>
      </c>
    </row>
    <row r="812" spans="1:4" hidden="1" x14ac:dyDescent="0.25">
      <c r="A812" s="1"/>
      <c r="B812" t="str" cm="1">
        <f t="array" ref="B812">IF(ISBLANK(INDEX(SampleList[XRD],ROW()-1)),"Not Requested",INDEX(SampleList[Experiment ID],ROW()-1))</f>
        <v>Not Requested</v>
      </c>
      <c r="C812">
        <f>SampleList[[#This Row],[Sample Description]]</f>
        <v>0</v>
      </c>
      <c r="D812">
        <f>SampleList[[#This Row],[Duration (Days)]]</f>
        <v>0</v>
      </c>
    </row>
    <row r="813" spans="1:4" hidden="1" x14ac:dyDescent="0.25">
      <c r="A813" s="1"/>
      <c r="B813" t="str" cm="1">
        <f t="array" ref="B813">IF(ISBLANK(INDEX(SampleList[XRD],ROW()-1)),"Not Requested",INDEX(SampleList[Experiment ID],ROW()-1))</f>
        <v>Not Requested</v>
      </c>
      <c r="C813">
        <f>SampleList[[#This Row],[Sample Description]]</f>
        <v>0</v>
      </c>
      <c r="D813">
        <f>SampleList[[#This Row],[Duration (Days)]]</f>
        <v>0</v>
      </c>
    </row>
    <row r="814" spans="1:4" hidden="1" x14ac:dyDescent="0.25">
      <c r="A814" s="1"/>
      <c r="B814" t="str" cm="1">
        <f t="array" ref="B814">IF(ISBLANK(INDEX(SampleList[XRD],ROW()-1)),"Not Requested",INDEX(SampleList[Experiment ID],ROW()-1))</f>
        <v>Not Requested</v>
      </c>
      <c r="C814">
        <f>SampleList[[#This Row],[Sample Description]]</f>
        <v>0</v>
      </c>
      <c r="D814">
        <f>SampleList[[#This Row],[Duration (Days)]]</f>
        <v>0</v>
      </c>
    </row>
    <row r="815" spans="1:4" hidden="1" x14ac:dyDescent="0.25">
      <c r="A815" s="1"/>
      <c r="B815" t="str" cm="1">
        <f t="array" ref="B815">IF(ISBLANK(INDEX(SampleList[XRD],ROW()-1)),"Not Requested",INDEX(SampleList[Experiment ID],ROW()-1))</f>
        <v>Not Requested</v>
      </c>
      <c r="C815">
        <f>SampleList[[#This Row],[Sample Description]]</f>
        <v>0</v>
      </c>
      <c r="D815">
        <f>SampleList[[#This Row],[Duration (Days)]]</f>
        <v>0</v>
      </c>
    </row>
    <row r="816" spans="1:4" hidden="1" x14ac:dyDescent="0.25">
      <c r="A816" s="1"/>
      <c r="B816" t="str" cm="1">
        <f t="array" ref="B816">IF(ISBLANK(INDEX(SampleList[XRD],ROW()-1)),"Not Requested",INDEX(SampleList[Experiment ID],ROW()-1))</f>
        <v>Not Requested</v>
      </c>
      <c r="C816">
        <f>SampleList[[#This Row],[Sample Description]]</f>
        <v>0</v>
      </c>
      <c r="D816">
        <f>SampleList[[#This Row],[Duration (Days)]]</f>
        <v>0</v>
      </c>
    </row>
    <row r="817" spans="1:4" hidden="1" x14ac:dyDescent="0.25">
      <c r="A817" s="1"/>
      <c r="B817" t="str" cm="1">
        <f t="array" ref="B817">IF(ISBLANK(INDEX(SampleList[XRD],ROW()-1)),"Not Requested",INDEX(SampleList[Experiment ID],ROW()-1))</f>
        <v>Not Requested</v>
      </c>
      <c r="C817">
        <f>SampleList[[#This Row],[Sample Description]]</f>
        <v>0</v>
      </c>
      <c r="D817">
        <f>SampleList[[#This Row],[Duration (Days)]]</f>
        <v>0</v>
      </c>
    </row>
    <row r="818" spans="1:4" hidden="1" x14ac:dyDescent="0.25">
      <c r="A818" s="1"/>
      <c r="B818" t="str" cm="1">
        <f t="array" ref="B818">IF(ISBLANK(INDEX(SampleList[XRD],ROW()-1)),"Not Requested",INDEX(SampleList[Experiment ID],ROW()-1))</f>
        <v>Not Requested</v>
      </c>
      <c r="C818">
        <f>SampleList[[#This Row],[Sample Description]]</f>
        <v>0</v>
      </c>
      <c r="D818">
        <f>SampleList[[#This Row],[Duration (Days)]]</f>
        <v>0</v>
      </c>
    </row>
    <row r="819" spans="1:4" hidden="1" x14ac:dyDescent="0.25">
      <c r="A819" s="1"/>
      <c r="B819" t="str" cm="1">
        <f t="array" ref="B819">IF(ISBLANK(INDEX(SampleList[XRD],ROW()-1)),"Not Requested",INDEX(SampleList[Experiment ID],ROW()-1))</f>
        <v>Not Requested</v>
      </c>
      <c r="C819">
        <f>SampleList[[#This Row],[Sample Description]]</f>
        <v>0</v>
      </c>
      <c r="D819">
        <f>SampleList[[#This Row],[Duration (Days)]]</f>
        <v>0</v>
      </c>
    </row>
    <row r="820" spans="1:4" hidden="1" x14ac:dyDescent="0.25">
      <c r="A820" s="1"/>
      <c r="B820" t="str" cm="1">
        <f t="array" ref="B820">IF(ISBLANK(INDEX(SampleList[XRD],ROW()-1)),"Not Requested",INDEX(SampleList[Experiment ID],ROW()-1))</f>
        <v>Not Requested</v>
      </c>
      <c r="C820">
        <f>SampleList[[#This Row],[Sample Description]]</f>
        <v>0</v>
      </c>
      <c r="D820">
        <f>SampleList[[#This Row],[Duration (Days)]]</f>
        <v>0</v>
      </c>
    </row>
    <row r="821" spans="1:4" hidden="1" x14ac:dyDescent="0.25">
      <c r="A821" s="1"/>
      <c r="B821" t="str" cm="1">
        <f t="array" ref="B821">IF(ISBLANK(INDEX(SampleList[XRD],ROW()-1)),"Not Requested",INDEX(SampleList[Experiment ID],ROW()-1))</f>
        <v>Not Requested</v>
      </c>
      <c r="C821">
        <f>SampleList[[#This Row],[Sample Description]]</f>
        <v>0</v>
      </c>
      <c r="D821">
        <f>SampleList[[#This Row],[Duration (Days)]]</f>
        <v>0</v>
      </c>
    </row>
    <row r="822" spans="1:4" hidden="1" x14ac:dyDescent="0.25">
      <c r="A822" s="1"/>
      <c r="B822" t="str" cm="1">
        <f t="array" ref="B822">IF(ISBLANK(INDEX(SampleList[XRD],ROW()-1)),"Not Requested",INDEX(SampleList[Experiment ID],ROW()-1))</f>
        <v>Not Requested</v>
      </c>
      <c r="C822">
        <f>SampleList[[#This Row],[Sample Description]]</f>
        <v>0</v>
      </c>
      <c r="D822">
        <f>SampleList[[#This Row],[Duration (Days)]]</f>
        <v>0</v>
      </c>
    </row>
    <row r="823" spans="1:4" hidden="1" x14ac:dyDescent="0.25">
      <c r="A823" s="1"/>
      <c r="B823" t="str" cm="1">
        <f t="array" ref="B823">IF(ISBLANK(INDEX(SampleList[XRD],ROW()-1)),"Not Requested",INDEX(SampleList[Experiment ID],ROW()-1))</f>
        <v>Not Requested</v>
      </c>
      <c r="C823">
        <f>SampleList[[#This Row],[Sample Description]]</f>
        <v>0</v>
      </c>
      <c r="D823">
        <f>SampleList[[#This Row],[Duration (Days)]]</f>
        <v>0</v>
      </c>
    </row>
    <row r="824" spans="1:4" hidden="1" x14ac:dyDescent="0.25">
      <c r="A824" s="1"/>
      <c r="B824" t="str" cm="1">
        <f t="array" ref="B824">IF(ISBLANK(INDEX(SampleList[XRD],ROW()-1)),"Not Requested",INDEX(SampleList[Experiment ID],ROW()-1))</f>
        <v>Not Requested</v>
      </c>
      <c r="C824">
        <f>SampleList[[#This Row],[Sample Description]]</f>
        <v>0</v>
      </c>
      <c r="D824">
        <f>SampleList[[#This Row],[Duration (Days)]]</f>
        <v>0</v>
      </c>
    </row>
    <row r="825" spans="1:4" hidden="1" x14ac:dyDescent="0.25">
      <c r="A825" s="1"/>
      <c r="B825" t="str" cm="1">
        <f t="array" ref="B825">IF(ISBLANK(INDEX(SampleList[XRD],ROW()-1)),"Not Requested",INDEX(SampleList[Experiment ID],ROW()-1))</f>
        <v>Not Requested</v>
      </c>
      <c r="C825">
        <f>SampleList[[#This Row],[Sample Description]]</f>
        <v>0</v>
      </c>
      <c r="D825">
        <f>SampleList[[#This Row],[Duration (Days)]]</f>
        <v>0</v>
      </c>
    </row>
    <row r="826" spans="1:4" hidden="1" x14ac:dyDescent="0.25">
      <c r="A826" s="1"/>
      <c r="B826" t="str" cm="1">
        <f t="array" ref="B826">IF(ISBLANK(INDEX(SampleList[XRD],ROW()-1)),"Not Requested",INDEX(SampleList[Experiment ID],ROW()-1))</f>
        <v>Not Requested</v>
      </c>
      <c r="C826">
        <f>SampleList[[#This Row],[Sample Description]]</f>
        <v>0</v>
      </c>
      <c r="D826">
        <f>SampleList[[#This Row],[Duration (Days)]]</f>
        <v>0</v>
      </c>
    </row>
    <row r="827" spans="1:4" hidden="1" x14ac:dyDescent="0.25">
      <c r="A827" s="1"/>
      <c r="B827" t="str" cm="1">
        <f t="array" ref="B827">IF(ISBLANK(INDEX(SampleList[XRD],ROW()-1)),"Not Requested",INDEX(SampleList[Experiment ID],ROW()-1))</f>
        <v>Not Requested</v>
      </c>
      <c r="C827">
        <f>SampleList[[#This Row],[Sample Description]]</f>
        <v>0</v>
      </c>
      <c r="D827">
        <f>SampleList[[#This Row],[Duration (Days)]]</f>
        <v>0</v>
      </c>
    </row>
    <row r="828" spans="1:4" hidden="1" x14ac:dyDescent="0.25">
      <c r="A828" s="1"/>
      <c r="B828" t="str" cm="1">
        <f t="array" ref="B828">IF(ISBLANK(INDEX(SampleList[XRD],ROW()-1)),"Not Requested",INDEX(SampleList[Experiment ID],ROW()-1))</f>
        <v>Not Requested</v>
      </c>
      <c r="C828">
        <f>SampleList[[#This Row],[Sample Description]]</f>
        <v>0</v>
      </c>
      <c r="D828">
        <f>SampleList[[#This Row],[Duration (Days)]]</f>
        <v>0</v>
      </c>
    </row>
    <row r="829" spans="1:4" hidden="1" x14ac:dyDescent="0.25">
      <c r="A829" s="1"/>
      <c r="B829" t="str" cm="1">
        <f t="array" ref="B829">IF(ISBLANK(INDEX(SampleList[XRD],ROW()-1)),"Not Requested",INDEX(SampleList[Experiment ID],ROW()-1))</f>
        <v>Not Requested</v>
      </c>
      <c r="C829">
        <f>SampleList[[#This Row],[Sample Description]]</f>
        <v>0</v>
      </c>
      <c r="D829">
        <f>SampleList[[#This Row],[Duration (Days)]]</f>
        <v>0</v>
      </c>
    </row>
    <row r="830" spans="1:4" hidden="1" x14ac:dyDescent="0.25">
      <c r="A830" s="1"/>
      <c r="B830" t="str" cm="1">
        <f t="array" ref="B830">IF(ISBLANK(INDEX(SampleList[XRD],ROW()-1)),"Not Requested",INDEX(SampleList[Experiment ID],ROW()-1))</f>
        <v>Not Requested</v>
      </c>
      <c r="C830">
        <f>SampleList[[#This Row],[Sample Description]]</f>
        <v>0</v>
      </c>
      <c r="D830">
        <f>SampleList[[#This Row],[Duration (Days)]]</f>
        <v>0</v>
      </c>
    </row>
    <row r="831" spans="1:4" hidden="1" x14ac:dyDescent="0.25">
      <c r="A831" s="1"/>
      <c r="B831" t="str" cm="1">
        <f t="array" ref="B831">IF(ISBLANK(INDEX(SampleList[XRD],ROW()-1)),"Not Requested",INDEX(SampleList[Experiment ID],ROW()-1))</f>
        <v>Not Requested</v>
      </c>
      <c r="C831">
        <f>SampleList[[#This Row],[Sample Description]]</f>
        <v>0</v>
      </c>
      <c r="D831">
        <f>SampleList[[#This Row],[Duration (Days)]]</f>
        <v>0</v>
      </c>
    </row>
    <row r="832" spans="1:4" hidden="1" x14ac:dyDescent="0.25">
      <c r="A832" s="1"/>
      <c r="B832" t="str" cm="1">
        <f t="array" ref="B832">IF(ISBLANK(INDEX(SampleList[XRD],ROW()-1)),"Not Requested",INDEX(SampleList[Experiment ID],ROW()-1))</f>
        <v>Not Requested</v>
      </c>
      <c r="C832">
        <f>SampleList[[#This Row],[Sample Description]]</f>
        <v>0</v>
      </c>
      <c r="D832">
        <f>SampleList[[#This Row],[Duration (Days)]]</f>
        <v>0</v>
      </c>
    </row>
    <row r="833" spans="1:4" hidden="1" x14ac:dyDescent="0.25">
      <c r="A833" s="1"/>
      <c r="B833" t="str" cm="1">
        <f t="array" ref="B833">IF(ISBLANK(INDEX(SampleList[XRD],ROW()-1)),"Not Requested",INDEX(SampleList[Experiment ID],ROW()-1))</f>
        <v>Not Requested</v>
      </c>
      <c r="C833">
        <f>SampleList[[#This Row],[Sample Description]]</f>
        <v>0</v>
      </c>
      <c r="D833">
        <f>SampleList[[#This Row],[Duration (Days)]]</f>
        <v>0</v>
      </c>
    </row>
    <row r="834" spans="1:4" hidden="1" x14ac:dyDescent="0.25">
      <c r="A834" s="1"/>
      <c r="B834" t="str" cm="1">
        <f t="array" ref="B834">IF(ISBLANK(INDEX(SampleList[XRD],ROW()-1)),"Not Requested",INDEX(SampleList[Experiment ID],ROW()-1))</f>
        <v>Not Requested</v>
      </c>
      <c r="C834">
        <f>SampleList[[#This Row],[Sample Description]]</f>
        <v>0</v>
      </c>
      <c r="D834">
        <f>SampleList[[#This Row],[Duration (Days)]]</f>
        <v>0</v>
      </c>
    </row>
    <row r="835" spans="1:4" hidden="1" x14ac:dyDescent="0.25">
      <c r="A835" s="1"/>
      <c r="B835" t="str" cm="1">
        <f t="array" ref="B835">IF(ISBLANK(INDEX(SampleList[XRD],ROW()-1)),"Not Requested",INDEX(SampleList[Experiment ID],ROW()-1))</f>
        <v>Not Requested</v>
      </c>
      <c r="C835">
        <f>SampleList[[#This Row],[Sample Description]]</f>
        <v>0</v>
      </c>
      <c r="D835">
        <f>SampleList[[#This Row],[Duration (Days)]]</f>
        <v>0</v>
      </c>
    </row>
    <row r="836" spans="1:4" hidden="1" x14ac:dyDescent="0.25">
      <c r="A836" s="1"/>
      <c r="B836" t="str" cm="1">
        <f t="array" ref="B836">IF(ISBLANK(INDEX(SampleList[XRD],ROW()-1)),"Not Requested",INDEX(SampleList[Experiment ID],ROW()-1))</f>
        <v>Not Requested</v>
      </c>
      <c r="C836">
        <f>SampleList[[#This Row],[Sample Description]]</f>
        <v>0</v>
      </c>
      <c r="D836">
        <f>SampleList[[#This Row],[Duration (Days)]]</f>
        <v>0</v>
      </c>
    </row>
    <row r="837" spans="1:4" hidden="1" x14ac:dyDescent="0.25">
      <c r="A837" s="1"/>
      <c r="B837" t="str" cm="1">
        <f t="array" ref="B837">IF(ISBLANK(INDEX(SampleList[XRD],ROW()-1)),"Not Requested",INDEX(SampleList[Experiment ID],ROW()-1))</f>
        <v>Not Requested</v>
      </c>
      <c r="C837">
        <f>SampleList[[#This Row],[Sample Description]]</f>
        <v>0</v>
      </c>
      <c r="D837">
        <f>SampleList[[#This Row],[Duration (Days)]]</f>
        <v>0</v>
      </c>
    </row>
    <row r="838" spans="1:4" hidden="1" x14ac:dyDescent="0.25">
      <c r="A838" s="1"/>
      <c r="B838" t="str" cm="1">
        <f t="array" ref="B838">IF(ISBLANK(INDEX(SampleList[XRD],ROW()-1)),"Not Requested",INDEX(SampleList[Experiment ID],ROW()-1))</f>
        <v>Not Requested</v>
      </c>
      <c r="C838">
        <f>SampleList[[#This Row],[Sample Description]]</f>
        <v>0</v>
      </c>
      <c r="D838">
        <f>SampleList[[#This Row],[Duration (Days)]]</f>
        <v>0</v>
      </c>
    </row>
    <row r="839" spans="1:4" hidden="1" x14ac:dyDescent="0.25">
      <c r="A839" s="1"/>
      <c r="B839" t="str" cm="1">
        <f t="array" ref="B839">IF(ISBLANK(INDEX(SampleList[XRD],ROW()-1)),"Not Requested",INDEX(SampleList[Experiment ID],ROW()-1))</f>
        <v>Not Requested</v>
      </c>
      <c r="C839">
        <f>SampleList[[#This Row],[Sample Description]]</f>
        <v>0</v>
      </c>
      <c r="D839">
        <f>SampleList[[#This Row],[Duration (Days)]]</f>
        <v>0</v>
      </c>
    </row>
    <row r="840" spans="1:4" hidden="1" x14ac:dyDescent="0.25">
      <c r="A840" s="1"/>
      <c r="B840" t="str" cm="1">
        <f t="array" ref="B840">IF(ISBLANK(INDEX(SampleList[XRD],ROW()-1)),"Not Requested",INDEX(SampleList[Experiment ID],ROW()-1))</f>
        <v>Not Requested</v>
      </c>
      <c r="C840">
        <f>SampleList[[#This Row],[Sample Description]]</f>
        <v>0</v>
      </c>
      <c r="D840">
        <f>SampleList[[#This Row],[Duration (Days)]]</f>
        <v>0</v>
      </c>
    </row>
    <row r="841" spans="1:4" hidden="1" x14ac:dyDescent="0.25">
      <c r="A841" s="1"/>
      <c r="B841" t="str" cm="1">
        <f t="array" ref="B841">IF(ISBLANK(INDEX(SampleList[XRD],ROW()-1)),"Not Requested",INDEX(SampleList[Experiment ID],ROW()-1))</f>
        <v>Not Requested</v>
      </c>
      <c r="C841">
        <f>SampleList[[#This Row],[Sample Description]]</f>
        <v>0</v>
      </c>
      <c r="D841">
        <f>SampleList[[#This Row],[Duration (Days)]]</f>
        <v>0</v>
      </c>
    </row>
    <row r="842" spans="1:4" hidden="1" x14ac:dyDescent="0.25">
      <c r="A842" s="1"/>
      <c r="B842" t="str" cm="1">
        <f t="array" ref="B842">IF(ISBLANK(INDEX(SampleList[XRD],ROW()-1)),"Not Requested",INDEX(SampleList[Experiment ID],ROW()-1))</f>
        <v>Not Requested</v>
      </c>
      <c r="C842">
        <f>SampleList[[#This Row],[Sample Description]]</f>
        <v>0</v>
      </c>
      <c r="D842">
        <f>SampleList[[#This Row],[Duration (Days)]]</f>
        <v>0</v>
      </c>
    </row>
    <row r="843" spans="1:4" hidden="1" x14ac:dyDescent="0.25">
      <c r="A843" s="1"/>
      <c r="B843" t="str" cm="1">
        <f t="array" ref="B843">IF(ISBLANK(INDEX(SampleList[XRD],ROW()-1)),"Not Requested",INDEX(SampleList[Experiment ID],ROW()-1))</f>
        <v>Not Requested</v>
      </c>
      <c r="C843">
        <f>SampleList[[#This Row],[Sample Description]]</f>
        <v>0</v>
      </c>
      <c r="D843">
        <f>SampleList[[#This Row],[Duration (Days)]]</f>
        <v>0</v>
      </c>
    </row>
    <row r="844" spans="1:4" hidden="1" x14ac:dyDescent="0.25">
      <c r="A844" s="1"/>
      <c r="B844" t="str" cm="1">
        <f t="array" ref="B844">IF(ISBLANK(INDEX(SampleList[XRD],ROW()-1)),"Not Requested",INDEX(SampleList[Experiment ID],ROW()-1))</f>
        <v>Not Requested</v>
      </c>
      <c r="C844">
        <f>SampleList[[#This Row],[Sample Description]]</f>
        <v>0</v>
      </c>
      <c r="D844">
        <f>SampleList[[#This Row],[Duration (Days)]]</f>
        <v>0</v>
      </c>
    </row>
    <row r="845" spans="1:4" hidden="1" x14ac:dyDescent="0.25">
      <c r="A845" s="1"/>
      <c r="B845" t="str" cm="1">
        <f t="array" ref="B845">IF(ISBLANK(INDEX(SampleList[XRD],ROW()-1)),"Not Requested",INDEX(SampleList[Experiment ID],ROW()-1))</f>
        <v>Not Requested</v>
      </c>
      <c r="C845">
        <f>SampleList[[#This Row],[Sample Description]]</f>
        <v>0</v>
      </c>
      <c r="D845">
        <f>SampleList[[#This Row],[Duration (Days)]]</f>
        <v>0</v>
      </c>
    </row>
    <row r="846" spans="1:4" hidden="1" x14ac:dyDescent="0.25">
      <c r="A846" s="1"/>
      <c r="B846" t="str" cm="1">
        <f t="array" ref="B846">IF(ISBLANK(INDEX(SampleList[XRD],ROW()-1)),"Not Requested",INDEX(SampleList[Experiment ID],ROW()-1))</f>
        <v>Not Requested</v>
      </c>
      <c r="C846">
        <f>SampleList[[#This Row],[Sample Description]]</f>
        <v>0</v>
      </c>
      <c r="D846">
        <f>SampleList[[#This Row],[Duration (Days)]]</f>
        <v>0</v>
      </c>
    </row>
    <row r="847" spans="1:4" hidden="1" x14ac:dyDescent="0.25">
      <c r="A847" s="1"/>
      <c r="B847" t="str" cm="1">
        <f t="array" ref="B847">IF(ISBLANK(INDEX(SampleList[XRD],ROW()-1)),"Not Requested",INDEX(SampleList[Experiment ID],ROW()-1))</f>
        <v>Not Requested</v>
      </c>
      <c r="C847">
        <f>SampleList[[#This Row],[Sample Description]]</f>
        <v>0</v>
      </c>
      <c r="D847">
        <f>SampleList[[#This Row],[Duration (Days)]]</f>
        <v>0</v>
      </c>
    </row>
    <row r="848" spans="1:4" hidden="1" x14ac:dyDescent="0.25">
      <c r="A848" s="1"/>
      <c r="B848" t="str" cm="1">
        <f t="array" ref="B848">IF(ISBLANK(INDEX(SampleList[XRD],ROW()-1)),"Not Requested",INDEX(SampleList[Experiment ID],ROW()-1))</f>
        <v>Not Requested</v>
      </c>
      <c r="C848">
        <f>SampleList[[#This Row],[Sample Description]]</f>
        <v>0</v>
      </c>
      <c r="D848">
        <f>SampleList[[#This Row],[Duration (Days)]]</f>
        <v>0</v>
      </c>
    </row>
    <row r="849" spans="1:4" hidden="1" x14ac:dyDescent="0.25">
      <c r="A849" s="1"/>
      <c r="B849" t="str" cm="1">
        <f t="array" ref="B849">IF(ISBLANK(INDEX(SampleList[XRD],ROW()-1)),"Not Requested",INDEX(SampleList[Experiment ID],ROW()-1))</f>
        <v>Not Requested</v>
      </c>
      <c r="C849">
        <f>SampleList[[#This Row],[Sample Description]]</f>
        <v>0</v>
      </c>
      <c r="D849">
        <f>SampleList[[#This Row],[Duration (Days)]]</f>
        <v>0</v>
      </c>
    </row>
    <row r="850" spans="1:4" hidden="1" x14ac:dyDescent="0.25">
      <c r="A850" s="1"/>
      <c r="B850" t="str" cm="1">
        <f t="array" ref="B850">IF(ISBLANK(INDEX(SampleList[XRD],ROW()-1)),"Not Requested",INDEX(SampleList[Experiment ID],ROW()-1))</f>
        <v>Not Requested</v>
      </c>
      <c r="C850">
        <f>SampleList[[#This Row],[Sample Description]]</f>
        <v>0</v>
      </c>
      <c r="D850">
        <f>SampleList[[#This Row],[Duration (Days)]]</f>
        <v>0</v>
      </c>
    </row>
    <row r="851" spans="1:4" hidden="1" x14ac:dyDescent="0.25">
      <c r="A851" s="1"/>
      <c r="B851" t="str" cm="1">
        <f t="array" ref="B851">IF(ISBLANK(INDEX(SampleList[XRD],ROW()-1)),"Not Requested",INDEX(SampleList[Experiment ID],ROW()-1))</f>
        <v>Not Requested</v>
      </c>
      <c r="C851">
        <f>SampleList[[#This Row],[Sample Description]]</f>
        <v>0</v>
      </c>
      <c r="D851">
        <f>SampleList[[#This Row],[Duration (Days)]]</f>
        <v>0</v>
      </c>
    </row>
    <row r="852" spans="1:4" hidden="1" x14ac:dyDescent="0.25">
      <c r="A852" s="1"/>
      <c r="B852" t="str" cm="1">
        <f t="array" ref="B852">IF(ISBLANK(INDEX(SampleList[XRD],ROW()-1)),"Not Requested",INDEX(SampleList[Experiment ID],ROW()-1))</f>
        <v>Not Requested</v>
      </c>
      <c r="C852">
        <f>SampleList[[#This Row],[Sample Description]]</f>
        <v>0</v>
      </c>
      <c r="D852">
        <f>SampleList[[#This Row],[Duration (Days)]]</f>
        <v>0</v>
      </c>
    </row>
    <row r="853" spans="1:4" hidden="1" x14ac:dyDescent="0.25">
      <c r="A853" s="1"/>
      <c r="B853" t="str" cm="1">
        <f t="array" ref="B853">IF(ISBLANK(INDEX(SampleList[XRD],ROW()-1)),"Not Requested",INDEX(SampleList[Experiment ID],ROW()-1))</f>
        <v>Not Requested</v>
      </c>
      <c r="C853">
        <f>SampleList[[#This Row],[Sample Description]]</f>
        <v>0</v>
      </c>
      <c r="D853">
        <f>SampleList[[#This Row],[Duration (Days)]]</f>
        <v>0</v>
      </c>
    </row>
    <row r="854" spans="1:4" hidden="1" x14ac:dyDescent="0.25">
      <c r="A854" s="1"/>
      <c r="B854" t="str" cm="1">
        <f t="array" ref="B854">IF(ISBLANK(INDEX(SampleList[XRD],ROW()-1)),"Not Requested",INDEX(SampleList[Experiment ID],ROW()-1))</f>
        <v>Not Requested</v>
      </c>
      <c r="C854">
        <f>SampleList[[#This Row],[Sample Description]]</f>
        <v>0</v>
      </c>
      <c r="D854">
        <f>SampleList[[#This Row],[Duration (Days)]]</f>
        <v>0</v>
      </c>
    </row>
    <row r="855" spans="1:4" hidden="1" x14ac:dyDescent="0.25">
      <c r="A855" s="1"/>
      <c r="B855" t="str" cm="1">
        <f t="array" ref="B855">IF(ISBLANK(INDEX(SampleList[XRD],ROW()-1)),"Not Requested",INDEX(SampleList[Experiment ID],ROW()-1))</f>
        <v>Not Requested</v>
      </c>
      <c r="C855">
        <f>SampleList[[#This Row],[Sample Description]]</f>
        <v>0</v>
      </c>
      <c r="D855">
        <f>SampleList[[#This Row],[Duration (Days)]]</f>
        <v>0</v>
      </c>
    </row>
    <row r="856" spans="1:4" hidden="1" x14ac:dyDescent="0.25">
      <c r="A856" s="1"/>
      <c r="B856" t="str" cm="1">
        <f t="array" ref="B856">IF(ISBLANK(INDEX(SampleList[XRD],ROW()-1)),"Not Requested",INDEX(SampleList[Experiment ID],ROW()-1))</f>
        <v>Not Requested</v>
      </c>
      <c r="C856">
        <f>SampleList[[#This Row],[Sample Description]]</f>
        <v>0</v>
      </c>
      <c r="D856">
        <f>SampleList[[#This Row],[Duration (Days)]]</f>
        <v>0</v>
      </c>
    </row>
    <row r="857" spans="1:4" hidden="1" x14ac:dyDescent="0.25">
      <c r="A857" s="1"/>
      <c r="B857" t="str" cm="1">
        <f t="array" ref="B857">IF(ISBLANK(INDEX(SampleList[XRD],ROW()-1)),"Not Requested",INDEX(SampleList[Experiment ID],ROW()-1))</f>
        <v>Not Requested</v>
      </c>
      <c r="C857">
        <f>SampleList[[#This Row],[Sample Description]]</f>
        <v>0</v>
      </c>
      <c r="D857">
        <f>SampleList[[#This Row],[Duration (Days)]]</f>
        <v>0</v>
      </c>
    </row>
    <row r="858" spans="1:4" hidden="1" x14ac:dyDescent="0.25">
      <c r="A858" s="1"/>
      <c r="B858" t="str" cm="1">
        <f t="array" ref="B858">IF(ISBLANK(INDEX(SampleList[XRD],ROW()-1)),"Not Requested",INDEX(SampleList[Experiment ID],ROW()-1))</f>
        <v>Not Requested</v>
      </c>
      <c r="C858">
        <f>SampleList[[#This Row],[Sample Description]]</f>
        <v>0</v>
      </c>
      <c r="D858">
        <f>SampleList[[#This Row],[Duration (Days)]]</f>
        <v>0</v>
      </c>
    </row>
    <row r="859" spans="1:4" hidden="1" x14ac:dyDescent="0.25">
      <c r="A859" s="1"/>
      <c r="B859" t="str" cm="1">
        <f t="array" ref="B859">IF(ISBLANK(INDEX(SampleList[XRD],ROW()-1)),"Not Requested",INDEX(SampleList[Experiment ID],ROW()-1))</f>
        <v>Not Requested</v>
      </c>
      <c r="C859">
        <f>SampleList[[#This Row],[Sample Description]]</f>
        <v>0</v>
      </c>
      <c r="D859">
        <f>SampleList[[#This Row],[Duration (Days)]]</f>
        <v>0</v>
      </c>
    </row>
    <row r="860" spans="1:4" hidden="1" x14ac:dyDescent="0.25">
      <c r="A860" s="1"/>
      <c r="B860" t="str" cm="1">
        <f t="array" ref="B860">IF(ISBLANK(INDEX(SampleList[XRD],ROW()-1)),"Not Requested",INDEX(SampleList[Experiment ID],ROW()-1))</f>
        <v>Not Requested</v>
      </c>
      <c r="C860">
        <f>SampleList[[#This Row],[Sample Description]]</f>
        <v>0</v>
      </c>
      <c r="D860">
        <f>SampleList[[#This Row],[Duration (Days)]]</f>
        <v>0</v>
      </c>
    </row>
    <row r="861" spans="1:4" hidden="1" x14ac:dyDescent="0.25">
      <c r="A861" s="1"/>
      <c r="B861" t="str" cm="1">
        <f t="array" ref="B861">IF(ISBLANK(INDEX(SampleList[XRD],ROW()-1)),"Not Requested",INDEX(SampleList[Experiment ID],ROW()-1))</f>
        <v>Not Requested</v>
      </c>
      <c r="C861">
        <f>SampleList[[#This Row],[Sample Description]]</f>
        <v>0</v>
      </c>
      <c r="D861">
        <f>SampleList[[#This Row],[Duration (Days)]]</f>
        <v>0</v>
      </c>
    </row>
    <row r="862" spans="1:4" hidden="1" x14ac:dyDescent="0.25">
      <c r="A862" s="1"/>
      <c r="B862" t="str" cm="1">
        <f t="array" ref="B862">IF(ISBLANK(INDEX(SampleList[XRD],ROW()-1)),"Not Requested",INDEX(SampleList[Experiment ID],ROW()-1))</f>
        <v>Not Requested</v>
      </c>
      <c r="C862">
        <f>SampleList[[#This Row],[Sample Description]]</f>
        <v>0</v>
      </c>
      <c r="D862">
        <f>SampleList[[#This Row],[Duration (Days)]]</f>
        <v>0</v>
      </c>
    </row>
    <row r="863" spans="1:4" hidden="1" x14ac:dyDescent="0.25">
      <c r="A863" s="1"/>
      <c r="B863" t="str" cm="1">
        <f t="array" ref="B863">IF(ISBLANK(INDEX(SampleList[XRD],ROW()-1)),"Not Requested",INDEX(SampleList[Experiment ID],ROW()-1))</f>
        <v>Not Requested</v>
      </c>
      <c r="C863">
        <f>SampleList[[#This Row],[Sample Description]]</f>
        <v>0</v>
      </c>
      <c r="D863">
        <f>SampleList[[#This Row],[Duration (Days)]]</f>
        <v>0</v>
      </c>
    </row>
    <row r="864" spans="1:4" hidden="1" x14ac:dyDescent="0.25">
      <c r="A864" s="1"/>
      <c r="B864" t="str" cm="1">
        <f t="array" ref="B864">IF(ISBLANK(INDEX(SampleList[XRD],ROW()-1)),"Not Requested",INDEX(SampleList[Experiment ID],ROW()-1))</f>
        <v>Not Requested</v>
      </c>
      <c r="C864">
        <f>SampleList[[#This Row],[Sample Description]]</f>
        <v>0</v>
      </c>
      <c r="D864">
        <f>SampleList[[#This Row],[Duration (Days)]]</f>
        <v>0</v>
      </c>
    </row>
    <row r="865" spans="1:4" hidden="1" x14ac:dyDescent="0.25">
      <c r="A865" s="1"/>
      <c r="B865" t="str" cm="1">
        <f t="array" ref="B865">IF(ISBLANK(INDEX(SampleList[XRD],ROW()-1)),"Not Requested",INDEX(SampleList[Experiment ID],ROW()-1))</f>
        <v>Not Requested</v>
      </c>
      <c r="C865">
        <f>SampleList[[#This Row],[Sample Description]]</f>
        <v>0</v>
      </c>
      <c r="D865">
        <f>SampleList[[#This Row],[Duration (Days)]]</f>
        <v>0</v>
      </c>
    </row>
    <row r="866" spans="1:4" hidden="1" x14ac:dyDescent="0.25">
      <c r="A866" s="1"/>
      <c r="B866" t="str" cm="1">
        <f t="array" ref="B866">IF(ISBLANK(INDEX(SampleList[XRD],ROW()-1)),"Not Requested",INDEX(SampleList[Experiment ID],ROW()-1))</f>
        <v>Not Requested</v>
      </c>
      <c r="C866">
        <f>SampleList[[#This Row],[Sample Description]]</f>
        <v>0</v>
      </c>
      <c r="D866">
        <f>SampleList[[#This Row],[Duration (Days)]]</f>
        <v>0</v>
      </c>
    </row>
    <row r="867" spans="1:4" hidden="1" x14ac:dyDescent="0.25">
      <c r="A867" s="1"/>
      <c r="B867" t="str" cm="1">
        <f t="array" ref="B867">IF(ISBLANK(INDEX(SampleList[XRD],ROW()-1)),"Not Requested",INDEX(SampleList[Experiment ID],ROW()-1))</f>
        <v>Not Requested</v>
      </c>
      <c r="C867">
        <f>SampleList[[#This Row],[Sample Description]]</f>
        <v>0</v>
      </c>
      <c r="D867">
        <f>SampleList[[#This Row],[Duration (Days)]]</f>
        <v>0</v>
      </c>
    </row>
    <row r="868" spans="1:4" hidden="1" x14ac:dyDescent="0.25">
      <c r="A868" s="1"/>
      <c r="B868" t="str" cm="1">
        <f t="array" ref="B868">IF(ISBLANK(INDEX(SampleList[XRD],ROW()-1)),"Not Requested",INDEX(SampleList[Experiment ID],ROW()-1))</f>
        <v>Not Requested</v>
      </c>
      <c r="C868">
        <f>SampleList[[#This Row],[Sample Description]]</f>
        <v>0</v>
      </c>
      <c r="D868">
        <f>SampleList[[#This Row],[Duration (Days)]]</f>
        <v>0</v>
      </c>
    </row>
    <row r="869" spans="1:4" hidden="1" x14ac:dyDescent="0.25">
      <c r="A869" s="1"/>
      <c r="B869" t="str" cm="1">
        <f t="array" ref="B869">IF(ISBLANK(INDEX(SampleList[XRD],ROW()-1)),"Not Requested",INDEX(SampleList[Experiment ID],ROW()-1))</f>
        <v>Not Requested</v>
      </c>
      <c r="C869">
        <f>SampleList[[#This Row],[Sample Description]]</f>
        <v>0</v>
      </c>
      <c r="D869">
        <f>SampleList[[#This Row],[Duration (Days)]]</f>
        <v>0</v>
      </c>
    </row>
    <row r="870" spans="1:4" hidden="1" x14ac:dyDescent="0.25">
      <c r="A870" s="1"/>
      <c r="B870" t="str" cm="1">
        <f t="array" ref="B870">IF(ISBLANK(INDEX(SampleList[XRD],ROW()-1)),"Not Requested",INDEX(SampleList[Experiment ID],ROW()-1))</f>
        <v>Not Requested</v>
      </c>
      <c r="C870">
        <f>SampleList[[#This Row],[Sample Description]]</f>
        <v>0</v>
      </c>
      <c r="D870">
        <f>SampleList[[#This Row],[Duration (Days)]]</f>
        <v>0</v>
      </c>
    </row>
    <row r="871" spans="1:4" hidden="1" x14ac:dyDescent="0.25">
      <c r="A871" s="1"/>
      <c r="B871" t="str" cm="1">
        <f t="array" ref="B871">IF(ISBLANK(INDEX(SampleList[XRD],ROW()-1)),"Not Requested",INDEX(SampleList[Experiment ID],ROW()-1))</f>
        <v>Not Requested</v>
      </c>
      <c r="C871">
        <f>SampleList[[#This Row],[Sample Description]]</f>
        <v>0</v>
      </c>
      <c r="D871">
        <f>SampleList[[#This Row],[Duration (Days)]]</f>
        <v>0</v>
      </c>
    </row>
    <row r="872" spans="1:4" hidden="1" x14ac:dyDescent="0.25">
      <c r="A872" s="1"/>
      <c r="B872" t="str" cm="1">
        <f t="array" ref="B872">IF(ISBLANK(INDEX(SampleList[XRD],ROW()-1)),"Not Requested",INDEX(SampleList[Experiment ID],ROW()-1))</f>
        <v>Not Requested</v>
      </c>
      <c r="C872">
        <f>SampleList[[#This Row],[Sample Description]]</f>
        <v>0</v>
      </c>
      <c r="D872">
        <f>SampleList[[#This Row],[Duration (Days)]]</f>
        <v>0</v>
      </c>
    </row>
    <row r="873" spans="1:4" hidden="1" x14ac:dyDescent="0.25">
      <c r="A873" s="1"/>
      <c r="B873" t="str" cm="1">
        <f t="array" ref="B873">IF(ISBLANK(INDEX(SampleList[XRD],ROW()-1)),"Not Requested",INDEX(SampleList[Experiment ID],ROW()-1))</f>
        <v>Not Requested</v>
      </c>
      <c r="C873">
        <f>SampleList[[#This Row],[Sample Description]]</f>
        <v>0</v>
      </c>
      <c r="D873">
        <f>SampleList[[#This Row],[Duration (Days)]]</f>
        <v>0</v>
      </c>
    </row>
    <row r="874" spans="1:4" hidden="1" x14ac:dyDescent="0.25">
      <c r="A874" s="1"/>
      <c r="B874" t="str" cm="1">
        <f t="array" ref="B874">IF(ISBLANK(INDEX(SampleList[XRD],ROW()-1)),"Not Requested",INDEX(SampleList[Experiment ID],ROW()-1))</f>
        <v>Not Requested</v>
      </c>
      <c r="C874">
        <f>SampleList[[#This Row],[Sample Description]]</f>
        <v>0</v>
      </c>
      <c r="D874">
        <f>SampleList[[#This Row],[Duration (Days)]]</f>
        <v>0</v>
      </c>
    </row>
    <row r="875" spans="1:4" hidden="1" x14ac:dyDescent="0.25">
      <c r="A875" s="1"/>
      <c r="B875" t="str" cm="1">
        <f t="array" ref="B875">IF(ISBLANK(INDEX(SampleList[XRD],ROW()-1)),"Not Requested",INDEX(SampleList[Experiment ID],ROW()-1))</f>
        <v>Not Requested</v>
      </c>
      <c r="C875">
        <f>SampleList[[#This Row],[Sample Description]]</f>
        <v>0</v>
      </c>
      <c r="D875">
        <f>SampleList[[#This Row],[Duration (Days)]]</f>
        <v>0</v>
      </c>
    </row>
    <row r="876" spans="1:4" hidden="1" x14ac:dyDescent="0.25">
      <c r="A876" s="1"/>
      <c r="B876" t="str" cm="1">
        <f t="array" ref="B876">IF(ISBLANK(INDEX(SampleList[XRD],ROW()-1)),"Not Requested",INDEX(SampleList[Experiment ID],ROW()-1))</f>
        <v>Not Requested</v>
      </c>
      <c r="C876">
        <f>SampleList[[#This Row],[Sample Description]]</f>
        <v>0</v>
      </c>
      <c r="D876">
        <f>SampleList[[#This Row],[Duration (Days)]]</f>
        <v>0</v>
      </c>
    </row>
    <row r="877" spans="1:4" hidden="1" x14ac:dyDescent="0.25">
      <c r="A877" s="1"/>
      <c r="B877" t="str" cm="1">
        <f t="array" ref="B877">IF(ISBLANK(INDEX(SampleList[XRD],ROW()-1)),"Not Requested",INDEX(SampleList[Experiment ID],ROW()-1))</f>
        <v>Not Requested</v>
      </c>
      <c r="C877">
        <f>SampleList[[#This Row],[Sample Description]]</f>
        <v>0</v>
      </c>
      <c r="D877">
        <f>SampleList[[#This Row],[Duration (Days)]]</f>
        <v>0</v>
      </c>
    </row>
    <row r="878" spans="1:4" hidden="1" x14ac:dyDescent="0.25">
      <c r="A878" s="1"/>
      <c r="B878" t="str" cm="1">
        <f t="array" ref="B878">IF(ISBLANK(INDEX(SampleList[XRD],ROW()-1)),"Not Requested",INDEX(SampleList[Experiment ID],ROW()-1))</f>
        <v>Not Requested</v>
      </c>
      <c r="C878">
        <f>SampleList[[#This Row],[Sample Description]]</f>
        <v>0</v>
      </c>
      <c r="D878">
        <f>SampleList[[#This Row],[Duration (Days)]]</f>
        <v>0</v>
      </c>
    </row>
    <row r="879" spans="1:4" hidden="1" x14ac:dyDescent="0.25">
      <c r="A879" s="1"/>
      <c r="B879" t="str" cm="1">
        <f t="array" ref="B879">IF(ISBLANK(INDEX(SampleList[XRD],ROW()-1)),"Not Requested",INDEX(SampleList[Experiment ID],ROW()-1))</f>
        <v>Not Requested</v>
      </c>
      <c r="C879">
        <f>SampleList[[#This Row],[Sample Description]]</f>
        <v>0</v>
      </c>
      <c r="D879">
        <f>SampleList[[#This Row],[Duration (Days)]]</f>
        <v>0</v>
      </c>
    </row>
    <row r="880" spans="1:4" hidden="1" x14ac:dyDescent="0.25">
      <c r="A880" s="1"/>
      <c r="B880" t="str" cm="1">
        <f t="array" ref="B880">IF(ISBLANK(INDEX(SampleList[XRD],ROW()-1)),"Not Requested",INDEX(SampleList[Experiment ID],ROW()-1))</f>
        <v>Not Requested</v>
      </c>
      <c r="C880">
        <f>SampleList[[#This Row],[Sample Description]]</f>
        <v>0</v>
      </c>
      <c r="D880">
        <f>SampleList[[#This Row],[Duration (Days)]]</f>
        <v>0</v>
      </c>
    </row>
    <row r="881" spans="1:4" hidden="1" x14ac:dyDescent="0.25">
      <c r="A881" s="1"/>
      <c r="B881" t="str" cm="1">
        <f t="array" ref="B881">IF(ISBLANK(INDEX(SampleList[XRD],ROW()-1)),"Not Requested",INDEX(SampleList[Experiment ID],ROW()-1))</f>
        <v>Not Requested</v>
      </c>
      <c r="C881">
        <f>SampleList[[#This Row],[Sample Description]]</f>
        <v>0</v>
      </c>
      <c r="D881">
        <f>SampleList[[#This Row],[Duration (Days)]]</f>
        <v>0</v>
      </c>
    </row>
    <row r="882" spans="1:4" hidden="1" x14ac:dyDescent="0.25">
      <c r="A882" s="1"/>
      <c r="B882" t="str" cm="1">
        <f t="array" ref="B882">IF(ISBLANK(INDEX(SampleList[XRD],ROW()-1)),"Not Requested",INDEX(SampleList[Experiment ID],ROW()-1))</f>
        <v>Not Requested</v>
      </c>
      <c r="C882">
        <f>SampleList[[#This Row],[Sample Description]]</f>
        <v>0</v>
      </c>
      <c r="D882">
        <f>SampleList[[#This Row],[Duration (Days)]]</f>
        <v>0</v>
      </c>
    </row>
    <row r="883" spans="1:4" hidden="1" x14ac:dyDescent="0.25">
      <c r="A883" s="1"/>
      <c r="B883" t="str" cm="1">
        <f t="array" ref="B883">IF(ISBLANK(INDEX(SampleList[XRD],ROW()-1)),"Not Requested",INDEX(SampleList[Experiment ID],ROW()-1))</f>
        <v>Not Requested</v>
      </c>
      <c r="C883">
        <f>SampleList[[#This Row],[Sample Description]]</f>
        <v>0</v>
      </c>
      <c r="D883">
        <f>SampleList[[#This Row],[Duration (Days)]]</f>
        <v>0</v>
      </c>
    </row>
    <row r="884" spans="1:4" hidden="1" x14ac:dyDescent="0.25">
      <c r="A884" s="1"/>
      <c r="B884" t="str" cm="1">
        <f t="array" ref="B884">IF(ISBLANK(INDEX(SampleList[XRD],ROW()-1)),"Not Requested",INDEX(SampleList[Experiment ID],ROW()-1))</f>
        <v>Not Requested</v>
      </c>
      <c r="C884">
        <f>SampleList[[#This Row],[Sample Description]]</f>
        <v>0</v>
      </c>
      <c r="D884">
        <f>SampleList[[#This Row],[Duration (Days)]]</f>
        <v>0</v>
      </c>
    </row>
    <row r="885" spans="1:4" hidden="1" x14ac:dyDescent="0.25">
      <c r="A885" s="1"/>
      <c r="B885" t="str" cm="1">
        <f t="array" ref="B885">IF(ISBLANK(INDEX(SampleList[XRD],ROW()-1)),"Not Requested",INDEX(SampleList[Experiment ID],ROW()-1))</f>
        <v>Not Requested</v>
      </c>
      <c r="C885">
        <f>SampleList[[#This Row],[Sample Description]]</f>
        <v>0</v>
      </c>
      <c r="D885">
        <f>SampleList[[#This Row],[Duration (Days)]]</f>
        <v>0</v>
      </c>
    </row>
    <row r="886" spans="1:4" hidden="1" x14ac:dyDescent="0.25">
      <c r="A886" s="1"/>
      <c r="B886" t="str" cm="1">
        <f t="array" ref="B886">IF(ISBLANK(INDEX(SampleList[XRD],ROW()-1)),"Not Requested",INDEX(SampleList[Experiment ID],ROW()-1))</f>
        <v>Not Requested</v>
      </c>
      <c r="C886">
        <f>SampleList[[#This Row],[Sample Description]]</f>
        <v>0</v>
      </c>
      <c r="D886">
        <f>SampleList[[#This Row],[Duration (Days)]]</f>
        <v>0</v>
      </c>
    </row>
    <row r="887" spans="1:4" hidden="1" x14ac:dyDescent="0.25">
      <c r="A887" s="1"/>
      <c r="B887" t="str" cm="1">
        <f t="array" ref="B887">IF(ISBLANK(INDEX(SampleList[XRD],ROW()-1)),"Not Requested",INDEX(SampleList[Experiment ID],ROW()-1))</f>
        <v>Not Requested</v>
      </c>
      <c r="C887">
        <f>SampleList[[#This Row],[Sample Description]]</f>
        <v>0</v>
      </c>
      <c r="D887">
        <f>SampleList[[#This Row],[Duration (Days)]]</f>
        <v>0</v>
      </c>
    </row>
    <row r="888" spans="1:4" hidden="1" x14ac:dyDescent="0.25">
      <c r="A888" s="1"/>
      <c r="B888" t="str" cm="1">
        <f t="array" ref="B888">IF(ISBLANK(INDEX(SampleList[XRD],ROW()-1)),"Not Requested",INDEX(SampleList[Experiment ID],ROW()-1))</f>
        <v>Not Requested</v>
      </c>
      <c r="C888">
        <f>SampleList[[#This Row],[Sample Description]]</f>
        <v>0</v>
      </c>
      <c r="D888">
        <f>SampleList[[#This Row],[Duration (Days)]]</f>
        <v>0</v>
      </c>
    </row>
    <row r="889" spans="1:4" hidden="1" x14ac:dyDescent="0.25">
      <c r="A889" s="1"/>
      <c r="B889" t="str" cm="1">
        <f t="array" ref="B889">IF(ISBLANK(INDEX(SampleList[XRD],ROW()-1)),"Not Requested",INDEX(SampleList[Experiment ID],ROW()-1))</f>
        <v>Not Requested</v>
      </c>
      <c r="C889">
        <f>SampleList[[#This Row],[Sample Description]]</f>
        <v>0</v>
      </c>
      <c r="D889">
        <f>SampleList[[#This Row],[Duration (Days)]]</f>
        <v>0</v>
      </c>
    </row>
    <row r="890" spans="1:4" hidden="1" x14ac:dyDescent="0.25">
      <c r="A890" s="1"/>
      <c r="B890" t="str" cm="1">
        <f t="array" ref="B890">IF(ISBLANK(INDEX(SampleList[XRD],ROW()-1)),"Not Requested",INDEX(SampleList[Experiment ID],ROW()-1))</f>
        <v>Not Requested</v>
      </c>
      <c r="C890">
        <f>SampleList[[#This Row],[Sample Description]]</f>
        <v>0</v>
      </c>
      <c r="D890">
        <f>SampleList[[#This Row],[Duration (Days)]]</f>
        <v>0</v>
      </c>
    </row>
    <row r="891" spans="1:4" hidden="1" x14ac:dyDescent="0.25">
      <c r="A891" s="1"/>
      <c r="B891" t="str" cm="1">
        <f t="array" ref="B891">IF(ISBLANK(INDEX(SampleList[XRD],ROW()-1)),"Not Requested",INDEX(SampleList[Experiment ID],ROW()-1))</f>
        <v>Not Requested</v>
      </c>
      <c r="C891">
        <f>SampleList[[#This Row],[Sample Description]]</f>
        <v>0</v>
      </c>
      <c r="D891">
        <f>SampleList[[#This Row],[Duration (Days)]]</f>
        <v>0</v>
      </c>
    </row>
    <row r="892" spans="1:4" hidden="1" x14ac:dyDescent="0.25">
      <c r="A892" s="1"/>
      <c r="B892" t="str" cm="1">
        <f t="array" ref="B892">IF(ISBLANK(INDEX(SampleList[XRD],ROW()-1)),"Not Requested",INDEX(SampleList[Experiment ID],ROW()-1))</f>
        <v>Not Requested</v>
      </c>
      <c r="C892">
        <f>SampleList[[#This Row],[Sample Description]]</f>
        <v>0</v>
      </c>
      <c r="D892">
        <f>SampleList[[#This Row],[Duration (Days)]]</f>
        <v>0</v>
      </c>
    </row>
    <row r="893" spans="1:4" hidden="1" x14ac:dyDescent="0.25">
      <c r="A893" s="1"/>
      <c r="B893" t="str" cm="1">
        <f t="array" ref="B893">IF(ISBLANK(INDEX(SampleList[XRD],ROW()-1)),"Not Requested",INDEX(SampleList[Experiment ID],ROW()-1))</f>
        <v>Not Requested</v>
      </c>
      <c r="C893">
        <f>SampleList[[#This Row],[Sample Description]]</f>
        <v>0</v>
      </c>
      <c r="D893">
        <f>SampleList[[#This Row],[Duration (Days)]]</f>
        <v>0</v>
      </c>
    </row>
    <row r="894" spans="1:4" hidden="1" x14ac:dyDescent="0.25">
      <c r="A894" s="1"/>
      <c r="B894" t="str" cm="1">
        <f t="array" ref="B894">IF(ISBLANK(INDEX(SampleList[XRD],ROW()-1)),"Not Requested",INDEX(SampleList[Experiment ID],ROW()-1))</f>
        <v>Not Requested</v>
      </c>
      <c r="C894">
        <f>SampleList[[#This Row],[Sample Description]]</f>
        <v>0</v>
      </c>
      <c r="D894">
        <f>SampleList[[#This Row],[Duration (Days)]]</f>
        <v>0</v>
      </c>
    </row>
    <row r="895" spans="1:4" hidden="1" x14ac:dyDescent="0.25">
      <c r="A895" s="1"/>
      <c r="B895" t="str" cm="1">
        <f t="array" ref="B895">IF(ISBLANK(INDEX(SampleList[XRD],ROW()-1)),"Not Requested",INDEX(SampleList[Experiment ID],ROW()-1))</f>
        <v>Not Requested</v>
      </c>
      <c r="C895">
        <f>SampleList[[#This Row],[Sample Description]]</f>
        <v>0</v>
      </c>
      <c r="D895">
        <f>SampleList[[#This Row],[Duration (Days)]]</f>
        <v>0</v>
      </c>
    </row>
    <row r="896" spans="1:4" hidden="1" x14ac:dyDescent="0.25">
      <c r="A896" s="1"/>
      <c r="B896" t="str" cm="1">
        <f t="array" ref="B896">IF(ISBLANK(INDEX(SampleList[XRD],ROW()-1)),"Not Requested",INDEX(SampleList[Experiment ID],ROW()-1))</f>
        <v>Not Requested</v>
      </c>
      <c r="C896">
        <f>SampleList[[#This Row],[Sample Description]]</f>
        <v>0</v>
      </c>
      <c r="D896">
        <f>SampleList[[#This Row],[Duration (Days)]]</f>
        <v>0</v>
      </c>
    </row>
    <row r="897" spans="1:4" hidden="1" x14ac:dyDescent="0.25">
      <c r="A897" s="1"/>
      <c r="B897" t="str" cm="1">
        <f t="array" ref="B897">IF(ISBLANK(INDEX(SampleList[XRD],ROW()-1)),"Not Requested",INDEX(SampleList[Experiment ID],ROW()-1))</f>
        <v>Not Requested</v>
      </c>
      <c r="C897">
        <f>SampleList[[#This Row],[Sample Description]]</f>
        <v>0</v>
      </c>
      <c r="D897">
        <f>SampleList[[#This Row],[Duration (Days)]]</f>
        <v>0</v>
      </c>
    </row>
    <row r="898" spans="1:4" hidden="1" x14ac:dyDescent="0.25">
      <c r="A898" s="1"/>
      <c r="B898" t="str" cm="1">
        <f t="array" ref="B898">IF(ISBLANK(INDEX(SampleList[XRD],ROW()-1)),"Not Requested",INDEX(SampleList[Experiment ID],ROW()-1))</f>
        <v>Not Requested</v>
      </c>
      <c r="C898">
        <f>SampleList[[#This Row],[Sample Description]]</f>
        <v>0</v>
      </c>
      <c r="D898">
        <f>SampleList[[#This Row],[Duration (Days)]]</f>
        <v>0</v>
      </c>
    </row>
    <row r="899" spans="1:4" hidden="1" x14ac:dyDescent="0.25">
      <c r="A899" s="1"/>
      <c r="B899" t="str" cm="1">
        <f t="array" ref="B899">IF(ISBLANK(INDEX(SampleList[XRD],ROW()-1)),"Not Requested",INDEX(SampleList[Experiment ID],ROW()-1))</f>
        <v>Not Requested</v>
      </c>
      <c r="C899">
        <f>SampleList[[#This Row],[Sample Description]]</f>
        <v>0</v>
      </c>
      <c r="D899">
        <f>SampleList[[#This Row],[Duration (Days)]]</f>
        <v>0</v>
      </c>
    </row>
    <row r="900" spans="1:4" hidden="1" x14ac:dyDescent="0.25">
      <c r="A900" s="1"/>
      <c r="B900" t="str" cm="1">
        <f t="array" ref="B900">IF(ISBLANK(INDEX(SampleList[XRD],ROW()-1)),"Not Requested",INDEX(SampleList[Experiment ID],ROW()-1))</f>
        <v>Not Requested</v>
      </c>
      <c r="C900">
        <f>SampleList[[#This Row],[Sample Description]]</f>
        <v>0</v>
      </c>
      <c r="D900">
        <f>SampleList[[#This Row],[Duration (Days)]]</f>
        <v>0</v>
      </c>
    </row>
    <row r="901" spans="1:4" hidden="1" x14ac:dyDescent="0.25">
      <c r="A901" s="1"/>
      <c r="B901" t="str" cm="1">
        <f t="array" ref="B901">IF(ISBLANK(INDEX(SampleList[XRD],ROW()-1)),"Not Requested",INDEX(SampleList[Experiment ID],ROW()-1))</f>
        <v>Not Requested</v>
      </c>
      <c r="C901">
        <f>SampleList[[#This Row],[Sample Description]]</f>
        <v>0</v>
      </c>
      <c r="D901">
        <f>SampleList[[#This Row],[Duration (Days)]]</f>
        <v>0</v>
      </c>
    </row>
    <row r="902" spans="1:4" hidden="1" x14ac:dyDescent="0.25">
      <c r="A902" s="1"/>
      <c r="B902" t="str" cm="1">
        <f t="array" ref="B902">IF(ISBLANK(INDEX(SampleList[XRD],ROW()-1)),"Not Requested",INDEX(SampleList[Experiment ID],ROW()-1))</f>
        <v>Not Requested</v>
      </c>
      <c r="C902">
        <f>SampleList[[#This Row],[Sample Description]]</f>
        <v>0</v>
      </c>
      <c r="D902">
        <f>SampleList[[#This Row],[Duration (Days)]]</f>
        <v>0</v>
      </c>
    </row>
    <row r="903" spans="1:4" hidden="1" x14ac:dyDescent="0.25">
      <c r="A903" s="1"/>
      <c r="B903" t="str" cm="1">
        <f t="array" ref="B903">IF(ISBLANK(INDEX(SampleList[XRD],ROW()-1)),"Not Requested",INDEX(SampleList[Experiment ID],ROW()-1))</f>
        <v>Not Requested</v>
      </c>
      <c r="C903">
        <f>SampleList[[#This Row],[Sample Description]]</f>
        <v>0</v>
      </c>
      <c r="D903">
        <f>SampleList[[#This Row],[Duration (Days)]]</f>
        <v>0</v>
      </c>
    </row>
    <row r="904" spans="1:4" hidden="1" x14ac:dyDescent="0.25">
      <c r="A904" s="1"/>
      <c r="B904" t="str" cm="1">
        <f t="array" ref="B904">IF(ISBLANK(INDEX(SampleList[XRD],ROW()-1)),"Not Requested",INDEX(SampleList[Experiment ID],ROW()-1))</f>
        <v>Not Requested</v>
      </c>
      <c r="C904">
        <f>SampleList[[#This Row],[Sample Description]]</f>
        <v>0</v>
      </c>
      <c r="D904">
        <f>SampleList[[#This Row],[Duration (Days)]]</f>
        <v>0</v>
      </c>
    </row>
    <row r="905" spans="1:4" hidden="1" x14ac:dyDescent="0.25">
      <c r="A905" s="1"/>
      <c r="B905" t="str" cm="1">
        <f t="array" ref="B905">IF(ISBLANK(INDEX(SampleList[XRD],ROW()-1)),"Not Requested",INDEX(SampleList[Experiment ID],ROW()-1))</f>
        <v>Not Requested</v>
      </c>
      <c r="C905">
        <f>SampleList[[#This Row],[Sample Description]]</f>
        <v>0</v>
      </c>
      <c r="D905">
        <f>SampleList[[#This Row],[Duration (Days)]]</f>
        <v>0</v>
      </c>
    </row>
    <row r="906" spans="1:4" hidden="1" x14ac:dyDescent="0.25">
      <c r="A906" s="1"/>
      <c r="B906" t="str" cm="1">
        <f t="array" ref="B906">IF(ISBLANK(INDEX(SampleList[XRD],ROW()-1)),"Not Requested",INDEX(SampleList[Experiment ID],ROW()-1))</f>
        <v>Not Requested</v>
      </c>
      <c r="C906">
        <f>SampleList[[#This Row],[Sample Description]]</f>
        <v>0</v>
      </c>
      <c r="D906">
        <f>SampleList[[#This Row],[Duration (Days)]]</f>
        <v>0</v>
      </c>
    </row>
    <row r="907" spans="1:4" hidden="1" x14ac:dyDescent="0.25">
      <c r="A907" s="1"/>
      <c r="B907" t="str" cm="1">
        <f t="array" ref="B907">IF(ISBLANK(INDEX(SampleList[XRD],ROW()-1)),"Not Requested",INDEX(SampleList[Experiment ID],ROW()-1))</f>
        <v>Not Requested</v>
      </c>
      <c r="C907">
        <f>SampleList[[#This Row],[Sample Description]]</f>
        <v>0</v>
      </c>
      <c r="D907">
        <f>SampleList[[#This Row],[Duration (Days)]]</f>
        <v>0</v>
      </c>
    </row>
    <row r="908" spans="1:4" hidden="1" x14ac:dyDescent="0.25">
      <c r="A908" s="1"/>
      <c r="B908" t="str" cm="1">
        <f t="array" ref="B908">IF(ISBLANK(INDEX(SampleList[XRD],ROW()-1)),"Not Requested",INDEX(SampleList[Experiment ID],ROW()-1))</f>
        <v>Not Requested</v>
      </c>
      <c r="C908">
        <f>SampleList[[#This Row],[Sample Description]]</f>
        <v>0</v>
      </c>
      <c r="D908">
        <f>SampleList[[#This Row],[Duration (Days)]]</f>
        <v>0</v>
      </c>
    </row>
    <row r="909" spans="1:4" hidden="1" x14ac:dyDescent="0.25">
      <c r="A909" s="1"/>
      <c r="B909" t="str" cm="1">
        <f t="array" ref="B909">IF(ISBLANK(INDEX(SampleList[XRD],ROW()-1)),"Not Requested",INDEX(SampleList[Experiment ID],ROW()-1))</f>
        <v>Not Requested</v>
      </c>
      <c r="C909">
        <f>SampleList[[#This Row],[Sample Description]]</f>
        <v>0</v>
      </c>
      <c r="D909">
        <f>SampleList[[#This Row],[Duration (Days)]]</f>
        <v>0</v>
      </c>
    </row>
    <row r="910" spans="1:4" hidden="1" x14ac:dyDescent="0.25">
      <c r="A910" s="1"/>
      <c r="B910" t="str" cm="1">
        <f t="array" ref="B910">IF(ISBLANK(INDEX(SampleList[XRD],ROW()-1)),"Not Requested",INDEX(SampleList[Experiment ID],ROW()-1))</f>
        <v>Not Requested</v>
      </c>
      <c r="C910">
        <f>SampleList[[#This Row],[Sample Description]]</f>
        <v>0</v>
      </c>
      <c r="D910">
        <f>SampleList[[#This Row],[Duration (Days)]]</f>
        <v>0</v>
      </c>
    </row>
    <row r="911" spans="1:4" hidden="1" x14ac:dyDescent="0.25">
      <c r="A911" s="1"/>
      <c r="B911" t="str" cm="1">
        <f t="array" ref="B911">IF(ISBLANK(INDEX(SampleList[XRD],ROW()-1)),"Not Requested",INDEX(SampleList[Experiment ID],ROW()-1))</f>
        <v>Not Requested</v>
      </c>
      <c r="C911">
        <f>SampleList[[#This Row],[Sample Description]]</f>
        <v>0</v>
      </c>
      <c r="D911">
        <f>SampleList[[#This Row],[Duration (Days)]]</f>
        <v>0</v>
      </c>
    </row>
    <row r="912" spans="1:4" hidden="1" x14ac:dyDescent="0.25">
      <c r="A912" s="1"/>
      <c r="B912" t="str" cm="1">
        <f t="array" ref="B912">IF(ISBLANK(INDEX(SampleList[XRD],ROW()-1)),"Not Requested",INDEX(SampleList[Experiment ID],ROW()-1))</f>
        <v>Not Requested</v>
      </c>
      <c r="C912">
        <f>SampleList[[#This Row],[Sample Description]]</f>
        <v>0</v>
      </c>
      <c r="D912">
        <f>SampleList[[#This Row],[Duration (Days)]]</f>
        <v>0</v>
      </c>
    </row>
    <row r="913" spans="1:4" hidden="1" x14ac:dyDescent="0.25">
      <c r="A913" s="1"/>
      <c r="B913" t="str" cm="1">
        <f t="array" ref="B913">IF(ISBLANK(INDEX(SampleList[XRD],ROW()-1)),"Not Requested",INDEX(SampleList[Experiment ID],ROW()-1))</f>
        <v>Not Requested</v>
      </c>
      <c r="C913">
        <f>SampleList[[#This Row],[Sample Description]]</f>
        <v>0</v>
      </c>
      <c r="D913">
        <f>SampleList[[#This Row],[Duration (Days)]]</f>
        <v>0</v>
      </c>
    </row>
    <row r="914" spans="1:4" hidden="1" x14ac:dyDescent="0.25">
      <c r="A914" s="1"/>
      <c r="B914" t="str" cm="1">
        <f t="array" ref="B914">IF(ISBLANK(INDEX(SampleList[XRD],ROW()-1)),"Not Requested",INDEX(SampleList[Experiment ID],ROW()-1))</f>
        <v>Not Requested</v>
      </c>
      <c r="C914">
        <f>SampleList[[#This Row],[Sample Description]]</f>
        <v>0</v>
      </c>
      <c r="D914">
        <f>SampleList[[#This Row],[Duration (Days)]]</f>
        <v>0</v>
      </c>
    </row>
    <row r="915" spans="1:4" hidden="1" x14ac:dyDescent="0.25">
      <c r="A915" s="1"/>
      <c r="B915" t="str" cm="1">
        <f t="array" ref="B915">IF(ISBLANK(INDEX(SampleList[XRD],ROW()-1)),"Not Requested",INDEX(SampleList[Experiment ID],ROW()-1))</f>
        <v>Not Requested</v>
      </c>
      <c r="C915">
        <f>SampleList[[#This Row],[Sample Description]]</f>
        <v>0</v>
      </c>
      <c r="D915">
        <f>SampleList[[#This Row],[Duration (Days)]]</f>
        <v>0</v>
      </c>
    </row>
    <row r="916" spans="1:4" hidden="1" x14ac:dyDescent="0.25">
      <c r="A916" s="1"/>
      <c r="B916" t="str" cm="1">
        <f t="array" ref="B916">IF(ISBLANK(INDEX(SampleList[XRD],ROW()-1)),"Not Requested",INDEX(SampleList[Experiment ID],ROW()-1))</f>
        <v>Not Requested</v>
      </c>
      <c r="C916">
        <f>SampleList[[#This Row],[Sample Description]]</f>
        <v>0</v>
      </c>
      <c r="D916">
        <f>SampleList[[#This Row],[Duration (Days)]]</f>
        <v>0</v>
      </c>
    </row>
    <row r="917" spans="1:4" hidden="1" x14ac:dyDescent="0.25">
      <c r="A917" s="1"/>
      <c r="B917" t="str" cm="1">
        <f t="array" ref="B917">IF(ISBLANK(INDEX(SampleList[XRD],ROW()-1)),"Not Requested",INDEX(SampleList[Experiment ID],ROW()-1))</f>
        <v>Not Requested</v>
      </c>
      <c r="C917">
        <f>SampleList[[#This Row],[Sample Description]]</f>
        <v>0</v>
      </c>
      <c r="D917">
        <f>SampleList[[#This Row],[Duration (Days)]]</f>
        <v>0</v>
      </c>
    </row>
    <row r="918" spans="1:4" hidden="1" x14ac:dyDescent="0.25">
      <c r="A918" s="1"/>
      <c r="B918" t="str" cm="1">
        <f t="array" ref="B918">IF(ISBLANK(INDEX(SampleList[XRD],ROW()-1)),"Not Requested",INDEX(SampleList[Experiment ID],ROW()-1))</f>
        <v>Not Requested</v>
      </c>
      <c r="C918">
        <f>SampleList[[#This Row],[Sample Description]]</f>
        <v>0</v>
      </c>
      <c r="D918">
        <f>SampleList[[#This Row],[Duration (Days)]]</f>
        <v>0</v>
      </c>
    </row>
    <row r="919" spans="1:4" hidden="1" x14ac:dyDescent="0.25">
      <c r="A919" s="1"/>
      <c r="B919" t="str" cm="1">
        <f t="array" ref="B919">IF(ISBLANK(INDEX(SampleList[XRD],ROW()-1)),"Not Requested",INDEX(SampleList[Experiment ID],ROW()-1))</f>
        <v>Not Requested</v>
      </c>
      <c r="C919">
        <f>SampleList[[#This Row],[Sample Description]]</f>
        <v>0</v>
      </c>
      <c r="D919">
        <f>SampleList[[#This Row],[Duration (Days)]]</f>
        <v>0</v>
      </c>
    </row>
    <row r="920" spans="1:4" hidden="1" x14ac:dyDescent="0.25">
      <c r="A920" s="1"/>
      <c r="B920" t="str" cm="1">
        <f t="array" ref="B920">IF(ISBLANK(INDEX(SampleList[XRD],ROW()-1)),"Not Requested",INDEX(SampleList[Experiment ID],ROW()-1))</f>
        <v>Not Requested</v>
      </c>
      <c r="C920">
        <f>SampleList[[#This Row],[Sample Description]]</f>
        <v>0</v>
      </c>
      <c r="D920">
        <f>SampleList[[#This Row],[Duration (Days)]]</f>
        <v>0</v>
      </c>
    </row>
    <row r="921" spans="1:4" hidden="1" x14ac:dyDescent="0.25">
      <c r="A921" s="1"/>
      <c r="B921" t="str" cm="1">
        <f t="array" ref="B921">IF(ISBLANK(INDEX(SampleList[XRD],ROW()-1)),"Not Requested",INDEX(SampleList[Experiment ID],ROW()-1))</f>
        <v>Not Requested</v>
      </c>
      <c r="C921">
        <f>SampleList[[#This Row],[Sample Description]]</f>
        <v>0</v>
      </c>
      <c r="D921">
        <f>SampleList[[#This Row],[Duration (Days)]]</f>
        <v>0</v>
      </c>
    </row>
    <row r="922" spans="1:4" hidden="1" x14ac:dyDescent="0.25">
      <c r="A922" s="1"/>
      <c r="B922" t="str" cm="1">
        <f t="array" ref="B922">IF(ISBLANK(INDEX(SampleList[XRD],ROW()-1)),"Not Requested",INDEX(SampleList[Experiment ID],ROW()-1))</f>
        <v>Not Requested</v>
      </c>
      <c r="C922">
        <f>SampleList[[#This Row],[Sample Description]]</f>
        <v>0</v>
      </c>
      <c r="D922">
        <f>SampleList[[#This Row],[Duration (Days)]]</f>
        <v>0</v>
      </c>
    </row>
    <row r="923" spans="1:4" hidden="1" x14ac:dyDescent="0.25">
      <c r="A923" s="1"/>
      <c r="B923" t="str" cm="1">
        <f t="array" ref="B923">IF(ISBLANK(INDEX(SampleList[XRD],ROW()-1)),"Not Requested",INDEX(SampleList[Experiment ID],ROW()-1))</f>
        <v>Not Requested</v>
      </c>
      <c r="C923">
        <f>SampleList[[#This Row],[Sample Description]]</f>
        <v>0</v>
      </c>
      <c r="D923">
        <f>SampleList[[#This Row],[Duration (Days)]]</f>
        <v>0</v>
      </c>
    </row>
    <row r="924" spans="1:4" hidden="1" x14ac:dyDescent="0.25">
      <c r="A924" s="1"/>
      <c r="B924" t="str" cm="1">
        <f t="array" ref="B924">IF(ISBLANK(INDEX(SampleList[XRD],ROW()-1)),"Not Requested",INDEX(SampleList[Experiment ID],ROW()-1))</f>
        <v>Not Requested</v>
      </c>
      <c r="C924">
        <f>SampleList[[#This Row],[Sample Description]]</f>
        <v>0</v>
      </c>
      <c r="D924">
        <f>SampleList[[#This Row],[Duration (Days)]]</f>
        <v>0</v>
      </c>
    </row>
    <row r="925" spans="1:4" hidden="1" x14ac:dyDescent="0.25">
      <c r="A925" s="1"/>
      <c r="B925" t="str" cm="1">
        <f t="array" ref="B925">IF(ISBLANK(INDEX(SampleList[XRD],ROW()-1)),"Not Requested",INDEX(SampleList[Experiment ID],ROW()-1))</f>
        <v>Not Requested</v>
      </c>
      <c r="C925">
        <f>SampleList[[#This Row],[Sample Description]]</f>
        <v>0</v>
      </c>
      <c r="D925">
        <f>SampleList[[#This Row],[Duration (Days)]]</f>
        <v>0</v>
      </c>
    </row>
    <row r="926" spans="1:4" hidden="1" x14ac:dyDescent="0.25">
      <c r="A926" s="1"/>
      <c r="B926" t="str" cm="1">
        <f t="array" ref="B926">IF(ISBLANK(INDEX(SampleList[XRD],ROW()-1)),"Not Requested",INDEX(SampleList[Experiment ID],ROW()-1))</f>
        <v>Not Requested</v>
      </c>
      <c r="C926">
        <f>SampleList[[#This Row],[Sample Description]]</f>
        <v>0</v>
      </c>
      <c r="D926">
        <f>SampleList[[#This Row],[Duration (Days)]]</f>
        <v>0</v>
      </c>
    </row>
    <row r="927" spans="1:4" hidden="1" x14ac:dyDescent="0.25">
      <c r="A927" s="1"/>
      <c r="B927" t="str" cm="1">
        <f t="array" ref="B927">IF(ISBLANK(INDEX(SampleList[XRD],ROW()-1)),"Not Requested",INDEX(SampleList[Experiment ID],ROW()-1))</f>
        <v>Not Requested</v>
      </c>
      <c r="C927">
        <f>SampleList[[#This Row],[Sample Description]]</f>
        <v>0</v>
      </c>
      <c r="D927">
        <f>SampleList[[#This Row],[Duration (Days)]]</f>
        <v>0</v>
      </c>
    </row>
    <row r="928" spans="1:4" hidden="1" x14ac:dyDescent="0.25">
      <c r="A928" s="1"/>
      <c r="B928" t="str" cm="1">
        <f t="array" ref="B928">IF(ISBLANK(INDEX(SampleList[XRD],ROW()-1)),"Not Requested",INDEX(SampleList[Experiment ID],ROW()-1))</f>
        <v>Not Requested</v>
      </c>
      <c r="C928">
        <f>SampleList[[#This Row],[Sample Description]]</f>
        <v>0</v>
      </c>
      <c r="D928">
        <f>SampleList[[#This Row],[Duration (Days)]]</f>
        <v>0</v>
      </c>
    </row>
    <row r="929" spans="1:4" hidden="1" x14ac:dyDescent="0.25">
      <c r="A929" s="1"/>
      <c r="B929" t="str" cm="1">
        <f t="array" ref="B929">IF(ISBLANK(INDEX(SampleList[XRD],ROW()-1)),"Not Requested",INDEX(SampleList[Experiment ID],ROW()-1))</f>
        <v>Not Requested</v>
      </c>
      <c r="C929">
        <f>SampleList[[#This Row],[Sample Description]]</f>
        <v>0</v>
      </c>
      <c r="D929">
        <f>SampleList[[#This Row],[Duration (Days)]]</f>
        <v>0</v>
      </c>
    </row>
    <row r="930" spans="1:4" hidden="1" x14ac:dyDescent="0.25">
      <c r="A930" s="1"/>
      <c r="B930" t="str" cm="1">
        <f t="array" ref="B930">IF(ISBLANK(INDEX(SampleList[XRD],ROW()-1)),"Not Requested",INDEX(SampleList[Experiment ID],ROW()-1))</f>
        <v>Not Requested</v>
      </c>
      <c r="C930">
        <f>SampleList[[#This Row],[Sample Description]]</f>
        <v>0</v>
      </c>
      <c r="D930">
        <f>SampleList[[#This Row],[Duration (Days)]]</f>
        <v>0</v>
      </c>
    </row>
    <row r="931" spans="1:4" hidden="1" x14ac:dyDescent="0.25">
      <c r="A931" s="1"/>
      <c r="B931" t="str" cm="1">
        <f t="array" ref="B931">IF(ISBLANK(INDEX(SampleList[XRD],ROW()-1)),"Not Requested",INDEX(SampleList[Experiment ID],ROW()-1))</f>
        <v>Not Requested</v>
      </c>
      <c r="C931">
        <f>SampleList[[#This Row],[Sample Description]]</f>
        <v>0</v>
      </c>
      <c r="D931">
        <f>SampleList[[#This Row],[Duration (Days)]]</f>
        <v>0</v>
      </c>
    </row>
    <row r="932" spans="1:4" hidden="1" x14ac:dyDescent="0.25">
      <c r="A932" s="1"/>
      <c r="B932" t="str" cm="1">
        <f t="array" ref="B932">IF(ISBLANK(INDEX(SampleList[XRD],ROW()-1)),"Not Requested",INDEX(SampleList[Experiment ID],ROW()-1))</f>
        <v>Not Requested</v>
      </c>
      <c r="C932">
        <f>SampleList[[#This Row],[Sample Description]]</f>
        <v>0</v>
      </c>
      <c r="D932">
        <f>SampleList[[#This Row],[Duration (Days)]]</f>
        <v>0</v>
      </c>
    </row>
    <row r="933" spans="1:4" hidden="1" x14ac:dyDescent="0.25">
      <c r="A933" s="1"/>
      <c r="B933" t="str" cm="1">
        <f t="array" ref="B933">IF(ISBLANK(INDEX(SampleList[XRD],ROW()-1)),"Not Requested",INDEX(SampleList[Experiment ID],ROW()-1))</f>
        <v>Not Requested</v>
      </c>
      <c r="C933">
        <f>SampleList[[#This Row],[Sample Description]]</f>
        <v>0</v>
      </c>
      <c r="D933">
        <f>SampleList[[#This Row],[Duration (Days)]]</f>
        <v>0</v>
      </c>
    </row>
    <row r="934" spans="1:4" hidden="1" x14ac:dyDescent="0.25">
      <c r="A934" s="1"/>
      <c r="B934" t="str" cm="1">
        <f t="array" ref="B934">IF(ISBLANK(INDEX(SampleList[XRD],ROW()-1)),"Not Requested",INDEX(SampleList[Experiment ID],ROW()-1))</f>
        <v>Not Requested</v>
      </c>
      <c r="C934">
        <f>SampleList[[#This Row],[Sample Description]]</f>
        <v>0</v>
      </c>
      <c r="D934">
        <f>SampleList[[#This Row],[Duration (Days)]]</f>
        <v>0</v>
      </c>
    </row>
    <row r="935" spans="1:4" hidden="1" x14ac:dyDescent="0.25">
      <c r="A935" s="1"/>
      <c r="B935" t="str" cm="1">
        <f t="array" ref="B935">IF(ISBLANK(INDEX(SampleList[XRD],ROW()-1)),"Not Requested",INDEX(SampleList[Experiment ID],ROW()-1))</f>
        <v>Not Requested</v>
      </c>
      <c r="C935">
        <f>SampleList[[#This Row],[Sample Description]]</f>
        <v>0</v>
      </c>
      <c r="D935">
        <f>SampleList[[#This Row],[Duration (Days)]]</f>
        <v>0</v>
      </c>
    </row>
    <row r="936" spans="1:4" hidden="1" x14ac:dyDescent="0.25">
      <c r="A936" s="1"/>
      <c r="B936" t="str" cm="1">
        <f t="array" ref="B936">IF(ISBLANK(INDEX(SampleList[XRD],ROW()-1)),"Not Requested",INDEX(SampleList[Experiment ID],ROW()-1))</f>
        <v>Not Requested</v>
      </c>
      <c r="C936">
        <f>SampleList[[#This Row],[Sample Description]]</f>
        <v>0</v>
      </c>
      <c r="D936">
        <f>SampleList[[#This Row],[Duration (Days)]]</f>
        <v>0</v>
      </c>
    </row>
    <row r="937" spans="1:4" hidden="1" x14ac:dyDescent="0.25">
      <c r="A937" s="1"/>
      <c r="B937" t="str" cm="1">
        <f t="array" ref="B937">IF(ISBLANK(INDEX(SampleList[XRD],ROW()-1)),"Not Requested",INDEX(SampleList[Experiment ID],ROW()-1))</f>
        <v>Not Requested</v>
      </c>
      <c r="C937">
        <f>SampleList[[#This Row],[Sample Description]]</f>
        <v>0</v>
      </c>
      <c r="D937">
        <f>SampleList[[#This Row],[Duration (Days)]]</f>
        <v>0</v>
      </c>
    </row>
    <row r="938" spans="1:4" hidden="1" x14ac:dyDescent="0.25">
      <c r="A938" s="1"/>
      <c r="B938" t="str" cm="1">
        <f t="array" ref="B938">IF(ISBLANK(INDEX(SampleList[XRD],ROW()-1)),"Not Requested",INDEX(SampleList[Experiment ID],ROW()-1))</f>
        <v>Not Requested</v>
      </c>
      <c r="C938">
        <f>SampleList[[#This Row],[Sample Description]]</f>
        <v>0</v>
      </c>
      <c r="D938">
        <f>SampleList[[#This Row],[Duration (Days)]]</f>
        <v>0</v>
      </c>
    </row>
    <row r="939" spans="1:4" hidden="1" x14ac:dyDescent="0.25">
      <c r="A939" s="1"/>
      <c r="B939" t="str" cm="1">
        <f t="array" ref="B939">IF(ISBLANK(INDEX(SampleList[XRD],ROW()-1)),"Not Requested",INDEX(SampleList[Experiment ID],ROW()-1))</f>
        <v>Not Requested</v>
      </c>
      <c r="C939">
        <f>SampleList[[#This Row],[Sample Description]]</f>
        <v>0</v>
      </c>
      <c r="D939">
        <f>SampleList[[#This Row],[Duration (Days)]]</f>
        <v>0</v>
      </c>
    </row>
    <row r="940" spans="1:4" hidden="1" x14ac:dyDescent="0.25">
      <c r="A940" s="1"/>
      <c r="B940" t="str" cm="1">
        <f t="array" ref="B940">IF(ISBLANK(INDEX(SampleList[XRD],ROW()-1)),"Not Requested",INDEX(SampleList[Experiment ID],ROW()-1))</f>
        <v>Not Requested</v>
      </c>
      <c r="C940">
        <f>SampleList[[#This Row],[Sample Description]]</f>
        <v>0</v>
      </c>
      <c r="D940">
        <f>SampleList[[#This Row],[Duration (Days)]]</f>
        <v>0</v>
      </c>
    </row>
    <row r="941" spans="1:4" hidden="1" x14ac:dyDescent="0.25">
      <c r="A941" s="1"/>
      <c r="B941" t="str" cm="1">
        <f t="array" ref="B941">IF(ISBLANK(INDEX(SampleList[XRD],ROW()-1)),"Not Requested",INDEX(SampleList[Experiment ID],ROW()-1))</f>
        <v>Not Requested</v>
      </c>
      <c r="C941">
        <f>SampleList[[#This Row],[Sample Description]]</f>
        <v>0</v>
      </c>
      <c r="D941">
        <f>SampleList[[#This Row],[Duration (Days)]]</f>
        <v>0</v>
      </c>
    </row>
    <row r="942" spans="1:4" hidden="1" x14ac:dyDescent="0.25">
      <c r="A942" s="1"/>
      <c r="B942" t="str" cm="1">
        <f t="array" ref="B942">IF(ISBLANK(INDEX(SampleList[XRD],ROW()-1)),"Not Requested",INDEX(SampleList[Experiment ID],ROW()-1))</f>
        <v>Not Requested</v>
      </c>
      <c r="C942">
        <f>SampleList[[#This Row],[Sample Description]]</f>
        <v>0</v>
      </c>
      <c r="D942">
        <f>SampleList[[#This Row],[Duration (Days)]]</f>
        <v>0</v>
      </c>
    </row>
    <row r="943" spans="1:4" hidden="1" x14ac:dyDescent="0.25">
      <c r="A943" s="1"/>
      <c r="B943" t="str" cm="1">
        <f t="array" ref="B943">IF(ISBLANK(INDEX(SampleList[XRD],ROW()-1)),"Not Requested",INDEX(SampleList[Experiment ID],ROW()-1))</f>
        <v>Not Requested</v>
      </c>
      <c r="C943">
        <f>SampleList[[#This Row],[Sample Description]]</f>
        <v>0</v>
      </c>
      <c r="D943">
        <f>SampleList[[#This Row],[Duration (Days)]]</f>
        <v>0</v>
      </c>
    </row>
    <row r="944" spans="1:4" hidden="1" x14ac:dyDescent="0.25">
      <c r="A944" s="1"/>
      <c r="B944" t="str" cm="1">
        <f t="array" ref="B944">IF(ISBLANK(INDEX(SampleList[XRD],ROW()-1)),"Not Requested",INDEX(SampleList[Experiment ID],ROW()-1))</f>
        <v>Not Requested</v>
      </c>
      <c r="C944">
        <f>SampleList[[#This Row],[Sample Description]]</f>
        <v>0</v>
      </c>
      <c r="D944">
        <f>SampleList[[#This Row],[Duration (Days)]]</f>
        <v>0</v>
      </c>
    </row>
    <row r="945" spans="1:4" hidden="1" x14ac:dyDescent="0.25">
      <c r="A945" s="1"/>
      <c r="B945" t="str" cm="1">
        <f t="array" ref="B945">IF(ISBLANK(INDEX(SampleList[XRD],ROW()-1)),"Not Requested",INDEX(SampleList[Experiment ID],ROW()-1))</f>
        <v>Not Requested</v>
      </c>
      <c r="C945">
        <f>SampleList[[#This Row],[Sample Description]]</f>
        <v>0</v>
      </c>
      <c r="D945">
        <f>SampleList[[#This Row],[Duration (Days)]]</f>
        <v>0</v>
      </c>
    </row>
    <row r="946" spans="1:4" hidden="1" x14ac:dyDescent="0.25">
      <c r="A946" s="1"/>
      <c r="B946" t="str" cm="1">
        <f t="array" ref="B946">IF(ISBLANK(INDEX(SampleList[XRD],ROW()-1)),"Not Requested",INDEX(SampleList[Experiment ID],ROW()-1))</f>
        <v>Not Requested</v>
      </c>
      <c r="C946">
        <f>SampleList[[#This Row],[Sample Description]]</f>
        <v>0</v>
      </c>
      <c r="D946">
        <f>SampleList[[#This Row],[Duration (Days)]]</f>
        <v>0</v>
      </c>
    </row>
    <row r="947" spans="1:4" hidden="1" x14ac:dyDescent="0.25">
      <c r="A947" s="1"/>
      <c r="B947" t="str" cm="1">
        <f t="array" ref="B947">IF(ISBLANK(INDEX(SampleList[XRD],ROW()-1)),"Not Requested",INDEX(SampleList[Experiment ID],ROW()-1))</f>
        <v>Not Requested</v>
      </c>
      <c r="C947">
        <f>SampleList[[#This Row],[Sample Description]]</f>
        <v>0</v>
      </c>
      <c r="D947">
        <f>SampleList[[#This Row],[Duration (Days)]]</f>
        <v>0</v>
      </c>
    </row>
    <row r="948" spans="1:4" hidden="1" x14ac:dyDescent="0.25">
      <c r="A948" s="1"/>
      <c r="B948" t="str" cm="1">
        <f t="array" ref="B948">IF(ISBLANK(INDEX(SampleList[XRD],ROW()-1)),"Not Requested",INDEX(SampleList[Experiment ID],ROW()-1))</f>
        <v>Not Requested</v>
      </c>
      <c r="C948">
        <f>SampleList[[#This Row],[Sample Description]]</f>
        <v>0</v>
      </c>
      <c r="D948">
        <f>SampleList[[#This Row],[Duration (Days)]]</f>
        <v>0</v>
      </c>
    </row>
    <row r="949" spans="1:4" hidden="1" x14ac:dyDescent="0.25">
      <c r="A949" s="1"/>
      <c r="B949" t="str" cm="1">
        <f t="array" ref="B949">IF(ISBLANK(INDEX(SampleList[XRD],ROW()-1)),"Not Requested",INDEX(SampleList[Experiment ID],ROW()-1))</f>
        <v>Not Requested</v>
      </c>
      <c r="C949">
        <f>SampleList[[#This Row],[Sample Description]]</f>
        <v>0</v>
      </c>
      <c r="D949">
        <f>SampleList[[#This Row],[Duration (Days)]]</f>
        <v>0</v>
      </c>
    </row>
    <row r="950" spans="1:4" hidden="1" x14ac:dyDescent="0.25">
      <c r="A950" s="1"/>
      <c r="B950" t="str" cm="1">
        <f t="array" ref="B950">IF(ISBLANK(INDEX(SampleList[XRD],ROW()-1)),"Not Requested",INDEX(SampleList[Experiment ID],ROW()-1))</f>
        <v>Not Requested</v>
      </c>
      <c r="C950">
        <f>SampleList[[#This Row],[Sample Description]]</f>
        <v>0</v>
      </c>
      <c r="D950">
        <f>SampleList[[#This Row],[Duration (Days)]]</f>
        <v>0</v>
      </c>
    </row>
    <row r="951" spans="1:4" hidden="1" x14ac:dyDescent="0.25">
      <c r="A951" s="1"/>
      <c r="B951" t="str" cm="1">
        <f t="array" ref="B951">IF(ISBLANK(INDEX(SampleList[XRD],ROW()-1)),"Not Requested",INDEX(SampleList[Experiment ID],ROW()-1))</f>
        <v>Not Requested</v>
      </c>
      <c r="C951">
        <f>SampleList[[#This Row],[Sample Description]]</f>
        <v>0</v>
      </c>
      <c r="D951">
        <f>SampleList[[#This Row],[Duration (Days)]]</f>
        <v>0</v>
      </c>
    </row>
    <row r="952" spans="1:4" hidden="1" x14ac:dyDescent="0.25">
      <c r="A952" s="1"/>
      <c r="B952" t="str" cm="1">
        <f t="array" ref="B952">IF(ISBLANK(INDEX(SampleList[XRD],ROW()-1)),"Not Requested",INDEX(SampleList[Experiment ID],ROW()-1))</f>
        <v>Not Requested</v>
      </c>
      <c r="C952">
        <f>SampleList[[#This Row],[Sample Description]]</f>
        <v>0</v>
      </c>
      <c r="D952">
        <f>SampleList[[#This Row],[Duration (Days)]]</f>
        <v>0</v>
      </c>
    </row>
    <row r="953" spans="1:4" hidden="1" x14ac:dyDescent="0.25">
      <c r="A953" s="1"/>
      <c r="B953" t="str" cm="1">
        <f t="array" ref="B953">IF(ISBLANK(INDEX(SampleList[XRD],ROW()-1)),"Not Requested",INDEX(SampleList[Experiment ID],ROW()-1))</f>
        <v>Not Requested</v>
      </c>
      <c r="C953">
        <f>SampleList[[#This Row],[Sample Description]]</f>
        <v>0</v>
      </c>
      <c r="D953">
        <f>SampleList[[#This Row],[Duration (Days)]]</f>
        <v>0</v>
      </c>
    </row>
    <row r="954" spans="1:4" hidden="1" x14ac:dyDescent="0.25">
      <c r="A954" s="1"/>
      <c r="B954" t="str" cm="1">
        <f t="array" ref="B954">IF(ISBLANK(INDEX(SampleList[XRD],ROW()-1)),"Not Requested",INDEX(SampleList[Experiment ID],ROW()-1))</f>
        <v>Not Requested</v>
      </c>
      <c r="C954">
        <f>SampleList[[#This Row],[Sample Description]]</f>
        <v>0</v>
      </c>
      <c r="D954">
        <f>SampleList[[#This Row],[Duration (Days)]]</f>
        <v>0</v>
      </c>
    </row>
    <row r="955" spans="1:4" hidden="1" x14ac:dyDescent="0.25">
      <c r="A955" s="1"/>
      <c r="B955" t="str" cm="1">
        <f t="array" ref="B955">IF(ISBLANK(INDEX(SampleList[XRD],ROW()-1)),"Not Requested",INDEX(SampleList[Experiment ID],ROW()-1))</f>
        <v>Not Requested</v>
      </c>
      <c r="C955">
        <f>SampleList[[#This Row],[Sample Description]]</f>
        <v>0</v>
      </c>
      <c r="D955">
        <f>SampleList[[#This Row],[Duration (Days)]]</f>
        <v>0</v>
      </c>
    </row>
    <row r="956" spans="1:4" hidden="1" x14ac:dyDescent="0.25">
      <c r="A956" s="1"/>
      <c r="B956" t="str" cm="1">
        <f t="array" ref="B956">IF(ISBLANK(INDEX(SampleList[XRD],ROW()-1)),"Not Requested",INDEX(SampleList[Experiment ID],ROW()-1))</f>
        <v>Not Requested</v>
      </c>
      <c r="C956">
        <f>SampleList[[#This Row],[Sample Description]]</f>
        <v>0</v>
      </c>
      <c r="D956">
        <f>SampleList[[#This Row],[Duration (Days)]]</f>
        <v>0</v>
      </c>
    </row>
    <row r="957" spans="1:4" hidden="1" x14ac:dyDescent="0.25">
      <c r="A957" s="1"/>
      <c r="B957" t="str" cm="1">
        <f t="array" ref="B957">IF(ISBLANK(INDEX(SampleList[XRD],ROW()-1)),"Not Requested",INDEX(SampleList[Experiment ID],ROW()-1))</f>
        <v>Not Requested</v>
      </c>
      <c r="C957">
        <f>SampleList[[#This Row],[Sample Description]]</f>
        <v>0</v>
      </c>
      <c r="D957">
        <f>SampleList[[#This Row],[Duration (Days)]]</f>
        <v>0</v>
      </c>
    </row>
    <row r="958" spans="1:4" hidden="1" x14ac:dyDescent="0.25">
      <c r="A958" s="1"/>
      <c r="B958" t="str" cm="1">
        <f t="array" ref="B958">IF(ISBLANK(INDEX(SampleList[XRD],ROW()-1)),"Not Requested",INDEX(SampleList[Experiment ID],ROW()-1))</f>
        <v>Not Requested</v>
      </c>
      <c r="C958">
        <f>SampleList[[#This Row],[Sample Description]]</f>
        <v>0</v>
      </c>
      <c r="D958">
        <f>SampleList[[#This Row],[Duration (Days)]]</f>
        <v>0</v>
      </c>
    </row>
    <row r="959" spans="1:4" hidden="1" x14ac:dyDescent="0.25">
      <c r="A959" s="1"/>
      <c r="B959" t="str" cm="1">
        <f t="array" ref="B959">IF(ISBLANK(INDEX(SampleList[XRD],ROW()-1)),"Not Requested",INDEX(SampleList[Experiment ID],ROW()-1))</f>
        <v>Not Requested</v>
      </c>
      <c r="C959">
        <f>SampleList[[#This Row],[Sample Description]]</f>
        <v>0</v>
      </c>
      <c r="D959">
        <f>SampleList[[#This Row],[Duration (Days)]]</f>
        <v>0</v>
      </c>
    </row>
    <row r="960" spans="1:4" hidden="1" x14ac:dyDescent="0.25">
      <c r="A960" s="1"/>
      <c r="B960" t="str" cm="1">
        <f t="array" ref="B960">IF(ISBLANK(INDEX(SampleList[XRD],ROW()-1)),"Not Requested",INDEX(SampleList[Experiment ID],ROW()-1))</f>
        <v>Not Requested</v>
      </c>
      <c r="C960">
        <f>SampleList[[#This Row],[Sample Description]]</f>
        <v>0</v>
      </c>
      <c r="D960">
        <f>SampleList[[#This Row],[Duration (Days)]]</f>
        <v>0</v>
      </c>
    </row>
    <row r="961" spans="1:4" hidden="1" x14ac:dyDescent="0.25">
      <c r="A961" s="1"/>
      <c r="B961" t="str" cm="1">
        <f t="array" ref="B961">IF(ISBLANK(INDEX(SampleList[XRD],ROW()-1)),"Not Requested",INDEX(SampleList[Experiment ID],ROW()-1))</f>
        <v>Not Requested</v>
      </c>
      <c r="C961">
        <f>SampleList[[#This Row],[Sample Description]]</f>
        <v>0</v>
      </c>
      <c r="D961">
        <f>SampleList[[#This Row],[Duration (Days)]]</f>
        <v>0</v>
      </c>
    </row>
    <row r="962" spans="1:4" hidden="1" x14ac:dyDescent="0.25">
      <c r="A962" s="1"/>
      <c r="B962" t="str" cm="1">
        <f t="array" ref="B962">IF(ISBLANK(INDEX(SampleList[XRD],ROW()-1)),"Not Requested",INDEX(SampleList[Experiment ID],ROW()-1))</f>
        <v>Not Requested</v>
      </c>
      <c r="C962">
        <f>SampleList[[#This Row],[Sample Description]]</f>
        <v>0</v>
      </c>
      <c r="D962">
        <f>SampleList[[#This Row],[Duration (Days)]]</f>
        <v>0</v>
      </c>
    </row>
    <row r="963" spans="1:4" hidden="1" x14ac:dyDescent="0.25">
      <c r="A963" s="1"/>
      <c r="B963" t="str" cm="1">
        <f t="array" ref="B963">IF(ISBLANK(INDEX(SampleList[XRD],ROW()-1)),"Not Requested",INDEX(SampleList[Experiment ID],ROW()-1))</f>
        <v>Not Requested</v>
      </c>
      <c r="C963">
        <f>SampleList[[#This Row],[Sample Description]]</f>
        <v>0</v>
      </c>
      <c r="D963">
        <f>SampleList[[#This Row],[Duration (Days)]]</f>
        <v>0</v>
      </c>
    </row>
    <row r="964" spans="1:4" hidden="1" x14ac:dyDescent="0.25">
      <c r="A964" s="1"/>
      <c r="B964" t="str" cm="1">
        <f t="array" ref="B964">IF(ISBLANK(INDEX(SampleList[XRD],ROW()-1)),"Not Requested",INDEX(SampleList[Experiment ID],ROW()-1))</f>
        <v>Not Requested</v>
      </c>
      <c r="C964">
        <f>SampleList[[#This Row],[Sample Description]]</f>
        <v>0</v>
      </c>
      <c r="D964">
        <f>SampleList[[#This Row],[Duration (Days)]]</f>
        <v>0</v>
      </c>
    </row>
    <row r="965" spans="1:4" hidden="1" x14ac:dyDescent="0.25">
      <c r="A965" s="1"/>
      <c r="B965" t="str" cm="1">
        <f t="array" ref="B965">IF(ISBLANK(INDEX(SampleList[XRD],ROW()-1)),"Not Requested",INDEX(SampleList[Experiment ID],ROW()-1))</f>
        <v>Not Requested</v>
      </c>
      <c r="C965">
        <f>SampleList[[#This Row],[Sample Description]]</f>
        <v>0</v>
      </c>
      <c r="D965">
        <f>SampleList[[#This Row],[Duration (Days)]]</f>
        <v>0</v>
      </c>
    </row>
    <row r="966" spans="1:4" hidden="1" x14ac:dyDescent="0.25">
      <c r="A966" s="1"/>
      <c r="B966" t="str" cm="1">
        <f t="array" ref="B966">IF(ISBLANK(INDEX(SampleList[XRD],ROW()-1)),"Not Requested",INDEX(SampleList[Experiment ID],ROW()-1))</f>
        <v>Not Requested</v>
      </c>
      <c r="C966">
        <f>SampleList[[#This Row],[Sample Description]]</f>
        <v>0</v>
      </c>
      <c r="D966">
        <f>SampleList[[#This Row],[Duration (Days)]]</f>
        <v>0</v>
      </c>
    </row>
    <row r="967" spans="1:4" hidden="1" x14ac:dyDescent="0.25">
      <c r="A967" s="1"/>
      <c r="B967" t="str" cm="1">
        <f t="array" ref="B967">IF(ISBLANK(INDEX(SampleList[XRD],ROW()-1)),"Not Requested",INDEX(SampleList[Experiment ID],ROW()-1))</f>
        <v>Not Requested</v>
      </c>
      <c r="C967">
        <f>SampleList[[#This Row],[Sample Description]]</f>
        <v>0</v>
      </c>
      <c r="D967">
        <f>SampleList[[#This Row],[Duration (Days)]]</f>
        <v>0</v>
      </c>
    </row>
    <row r="968" spans="1:4" hidden="1" x14ac:dyDescent="0.25">
      <c r="A968" s="1"/>
      <c r="B968" t="str" cm="1">
        <f t="array" ref="B968">IF(ISBLANK(INDEX(SampleList[XRD],ROW()-1)),"Not Requested",INDEX(SampleList[Experiment ID],ROW()-1))</f>
        <v>Not Requested</v>
      </c>
      <c r="C968">
        <f>SampleList[[#This Row],[Sample Description]]</f>
        <v>0</v>
      </c>
      <c r="D968">
        <f>SampleList[[#This Row],[Duration (Days)]]</f>
        <v>0</v>
      </c>
    </row>
    <row r="969" spans="1:4" hidden="1" x14ac:dyDescent="0.25">
      <c r="A969" s="1"/>
      <c r="B969" t="str" cm="1">
        <f t="array" ref="B969">IF(ISBLANK(INDEX(SampleList[XRD],ROW()-1)),"Not Requested",INDEX(SampleList[Experiment ID],ROW()-1))</f>
        <v>Not Requested</v>
      </c>
      <c r="C969">
        <f>SampleList[[#This Row],[Sample Description]]</f>
        <v>0</v>
      </c>
      <c r="D969">
        <f>SampleList[[#This Row],[Duration (Days)]]</f>
        <v>0</v>
      </c>
    </row>
    <row r="970" spans="1:4" hidden="1" x14ac:dyDescent="0.25">
      <c r="A970" s="1"/>
      <c r="B970" t="str" cm="1">
        <f t="array" ref="B970">IF(ISBLANK(INDEX(SampleList[XRD],ROW()-1)),"Not Requested",INDEX(SampleList[Experiment ID],ROW()-1))</f>
        <v>Not Requested</v>
      </c>
      <c r="C970">
        <f>SampleList[[#This Row],[Sample Description]]</f>
        <v>0</v>
      </c>
      <c r="D970">
        <f>SampleList[[#This Row],[Duration (Days)]]</f>
        <v>0</v>
      </c>
    </row>
    <row r="971" spans="1:4" hidden="1" x14ac:dyDescent="0.25">
      <c r="A971" s="1"/>
      <c r="B971" t="str" cm="1">
        <f t="array" ref="B971">IF(ISBLANK(INDEX(SampleList[XRD],ROW()-1)),"Not Requested",INDEX(SampleList[Experiment ID],ROW()-1))</f>
        <v>Not Requested</v>
      </c>
      <c r="C971">
        <f>SampleList[[#This Row],[Sample Description]]</f>
        <v>0</v>
      </c>
      <c r="D971">
        <f>SampleList[[#This Row],[Duration (Days)]]</f>
        <v>0</v>
      </c>
    </row>
    <row r="972" spans="1:4" hidden="1" x14ac:dyDescent="0.25">
      <c r="A972" s="1"/>
      <c r="B972" t="str" cm="1">
        <f t="array" ref="B972">IF(ISBLANK(INDEX(SampleList[XRD],ROW()-1)),"Not Requested",INDEX(SampleList[Experiment ID],ROW()-1))</f>
        <v>Not Requested</v>
      </c>
      <c r="C972">
        <f>SampleList[[#This Row],[Sample Description]]</f>
        <v>0</v>
      </c>
      <c r="D972">
        <f>SampleList[[#This Row],[Duration (Days)]]</f>
        <v>0</v>
      </c>
    </row>
    <row r="973" spans="1:4" hidden="1" x14ac:dyDescent="0.25">
      <c r="A973" s="1"/>
      <c r="B973" t="str" cm="1">
        <f t="array" ref="B973">IF(ISBLANK(INDEX(SampleList[XRD],ROW()-1)),"Not Requested",INDEX(SampleList[Experiment ID],ROW()-1))</f>
        <v>Not Requested</v>
      </c>
      <c r="C973">
        <f>SampleList[[#This Row],[Sample Description]]</f>
        <v>0</v>
      </c>
      <c r="D973">
        <f>SampleList[[#This Row],[Duration (Days)]]</f>
        <v>0</v>
      </c>
    </row>
    <row r="974" spans="1:4" hidden="1" x14ac:dyDescent="0.25">
      <c r="A974" s="1"/>
      <c r="B974" t="str" cm="1">
        <f t="array" ref="B974">IF(ISBLANK(INDEX(SampleList[XRD],ROW()-1)),"Not Requested",INDEX(SampleList[Experiment ID],ROW()-1))</f>
        <v>Not Requested</v>
      </c>
      <c r="C974">
        <f>SampleList[[#This Row],[Sample Description]]</f>
        <v>0</v>
      </c>
      <c r="D974">
        <f>SampleList[[#This Row],[Duration (Days)]]</f>
        <v>0</v>
      </c>
    </row>
    <row r="975" spans="1:4" hidden="1" x14ac:dyDescent="0.25">
      <c r="A975" s="1"/>
      <c r="B975" t="str" cm="1">
        <f t="array" ref="B975">IF(ISBLANK(INDEX(SampleList[XRD],ROW()-1)),"Not Requested",INDEX(SampleList[Experiment ID],ROW()-1))</f>
        <v>Not Requested</v>
      </c>
      <c r="C975">
        <f>SampleList[[#This Row],[Sample Description]]</f>
        <v>0</v>
      </c>
      <c r="D975">
        <f>SampleList[[#This Row],[Duration (Days)]]</f>
        <v>0</v>
      </c>
    </row>
    <row r="976" spans="1:4" hidden="1" x14ac:dyDescent="0.25">
      <c r="A976" s="1"/>
      <c r="B976" t="str" cm="1">
        <f t="array" ref="B976">IF(ISBLANK(INDEX(SampleList[XRD],ROW()-1)),"Not Requested",INDEX(SampleList[Experiment ID],ROW()-1))</f>
        <v>Not Requested</v>
      </c>
      <c r="C976">
        <f>SampleList[[#This Row],[Sample Description]]</f>
        <v>0</v>
      </c>
      <c r="D976">
        <f>SampleList[[#This Row],[Duration (Days)]]</f>
        <v>0</v>
      </c>
    </row>
    <row r="977" spans="1:4" hidden="1" x14ac:dyDescent="0.25">
      <c r="A977" s="1"/>
      <c r="B977" t="str" cm="1">
        <f t="array" ref="B977">IF(ISBLANK(INDEX(SampleList[XRD],ROW()-1)),"Not Requested",INDEX(SampleList[Experiment ID],ROW()-1))</f>
        <v>Not Requested</v>
      </c>
      <c r="C977">
        <f>SampleList[[#This Row],[Sample Description]]</f>
        <v>0</v>
      </c>
      <c r="D977">
        <f>SampleList[[#This Row],[Duration (Days)]]</f>
        <v>0</v>
      </c>
    </row>
    <row r="978" spans="1:4" hidden="1" x14ac:dyDescent="0.25">
      <c r="A978" s="1"/>
      <c r="B978" t="str" cm="1">
        <f t="array" ref="B978">IF(ISBLANK(INDEX(SampleList[XRD],ROW()-1)),"Not Requested",INDEX(SampleList[Experiment ID],ROW()-1))</f>
        <v>Not Requested</v>
      </c>
      <c r="C978">
        <f>SampleList[[#This Row],[Sample Description]]</f>
        <v>0</v>
      </c>
      <c r="D978">
        <f>SampleList[[#This Row],[Duration (Days)]]</f>
        <v>0</v>
      </c>
    </row>
    <row r="979" spans="1:4" hidden="1" x14ac:dyDescent="0.25">
      <c r="A979" s="1"/>
      <c r="B979" t="str" cm="1">
        <f t="array" ref="B979">IF(ISBLANK(INDEX(SampleList[XRD],ROW()-1)),"Not Requested",INDEX(SampleList[Experiment ID],ROW()-1))</f>
        <v>Not Requested</v>
      </c>
      <c r="C979">
        <f>SampleList[[#This Row],[Sample Description]]</f>
        <v>0</v>
      </c>
      <c r="D979">
        <f>SampleList[[#This Row],[Duration (Days)]]</f>
        <v>0</v>
      </c>
    </row>
    <row r="980" spans="1:4" hidden="1" x14ac:dyDescent="0.25">
      <c r="A980" s="1"/>
      <c r="B980" t="str" cm="1">
        <f t="array" ref="B980">IF(ISBLANK(INDEX(SampleList[XRD],ROW()-1)),"Not Requested",INDEX(SampleList[Experiment ID],ROW()-1))</f>
        <v>Not Requested</v>
      </c>
      <c r="C980">
        <f>SampleList[[#This Row],[Sample Description]]</f>
        <v>0</v>
      </c>
      <c r="D980">
        <f>SampleList[[#This Row],[Duration (Days)]]</f>
        <v>0</v>
      </c>
    </row>
    <row r="981" spans="1:4" hidden="1" x14ac:dyDescent="0.25">
      <c r="A981" s="1"/>
      <c r="B981" t="str" cm="1">
        <f t="array" ref="B981">IF(ISBLANK(INDEX(SampleList[XRD],ROW()-1)),"Not Requested",INDEX(SampleList[Experiment ID],ROW()-1))</f>
        <v>Not Requested</v>
      </c>
      <c r="C981">
        <f>SampleList[[#This Row],[Sample Description]]</f>
        <v>0</v>
      </c>
      <c r="D981">
        <f>SampleList[[#This Row],[Duration (Days)]]</f>
        <v>0</v>
      </c>
    </row>
    <row r="982" spans="1:4" hidden="1" x14ac:dyDescent="0.25">
      <c r="A982" s="1"/>
      <c r="B982" t="str" cm="1">
        <f t="array" ref="B982">IF(ISBLANK(INDEX(SampleList[XRD],ROW()-1)),"Not Requested",INDEX(SampleList[Experiment ID],ROW()-1))</f>
        <v>Not Requested</v>
      </c>
      <c r="C982">
        <f>SampleList[[#This Row],[Sample Description]]</f>
        <v>0</v>
      </c>
      <c r="D982">
        <f>SampleList[[#This Row],[Duration (Days)]]</f>
        <v>0</v>
      </c>
    </row>
    <row r="983" spans="1:4" hidden="1" x14ac:dyDescent="0.25">
      <c r="A983" s="1"/>
      <c r="B983" t="str" cm="1">
        <f t="array" ref="B983">IF(ISBLANK(INDEX(SampleList[XRD],ROW()-1)),"Not Requested",INDEX(SampleList[Experiment ID],ROW()-1))</f>
        <v>Not Requested</v>
      </c>
      <c r="C983">
        <f>SampleList[[#This Row],[Sample Description]]</f>
        <v>0</v>
      </c>
      <c r="D983">
        <f>SampleList[[#This Row],[Duration (Days)]]</f>
        <v>0</v>
      </c>
    </row>
    <row r="984" spans="1:4" hidden="1" x14ac:dyDescent="0.25">
      <c r="A984" s="1"/>
      <c r="B984" t="str" cm="1">
        <f t="array" ref="B984">IF(ISBLANK(INDEX(SampleList[XRD],ROW()-1)),"Not Requested",INDEX(SampleList[Experiment ID],ROW()-1))</f>
        <v>Not Requested</v>
      </c>
      <c r="C984">
        <f>SampleList[[#This Row],[Sample Description]]</f>
        <v>0</v>
      </c>
      <c r="D984">
        <f>SampleList[[#This Row],[Duration (Days)]]</f>
        <v>0</v>
      </c>
    </row>
    <row r="985" spans="1:4" hidden="1" x14ac:dyDescent="0.25">
      <c r="A985" s="1"/>
      <c r="B985" t="str" cm="1">
        <f t="array" ref="B985">IF(ISBLANK(INDEX(SampleList[XRD],ROW()-1)),"Not Requested",INDEX(SampleList[Experiment ID],ROW()-1))</f>
        <v>Not Requested</v>
      </c>
      <c r="C985">
        <f>SampleList[[#This Row],[Sample Description]]</f>
        <v>0</v>
      </c>
      <c r="D985">
        <f>SampleList[[#This Row],[Duration (Days)]]</f>
        <v>0</v>
      </c>
    </row>
    <row r="986" spans="1:4" hidden="1" x14ac:dyDescent="0.25">
      <c r="A986" s="1"/>
      <c r="B986" t="str" cm="1">
        <f t="array" ref="B986">IF(ISBLANK(INDEX(SampleList[XRD],ROW()-1)),"Not Requested",INDEX(SampleList[Experiment ID],ROW()-1))</f>
        <v>Not Requested</v>
      </c>
      <c r="C986">
        <f>SampleList[[#This Row],[Sample Description]]</f>
        <v>0</v>
      </c>
      <c r="D986">
        <f>SampleList[[#This Row],[Duration (Days)]]</f>
        <v>0</v>
      </c>
    </row>
    <row r="987" spans="1:4" hidden="1" x14ac:dyDescent="0.25">
      <c r="A987" s="1"/>
      <c r="B987" t="str" cm="1">
        <f t="array" ref="B987">IF(ISBLANK(INDEX(SampleList[XRD],ROW()-1)),"Not Requested",INDEX(SampleList[Experiment ID],ROW()-1))</f>
        <v>Not Requested</v>
      </c>
      <c r="C987">
        <f>SampleList[[#This Row],[Sample Description]]</f>
        <v>0</v>
      </c>
      <c r="D987">
        <f>SampleList[[#This Row],[Duration (Days)]]</f>
        <v>0</v>
      </c>
    </row>
    <row r="988" spans="1:4" hidden="1" x14ac:dyDescent="0.25">
      <c r="A988" s="1"/>
      <c r="B988" t="str" cm="1">
        <f t="array" ref="B988">IF(ISBLANK(INDEX(SampleList[XRD],ROW()-1)),"Not Requested",INDEX(SampleList[Experiment ID],ROW()-1))</f>
        <v>Not Requested</v>
      </c>
      <c r="C988">
        <f>SampleList[[#This Row],[Sample Description]]</f>
        <v>0</v>
      </c>
      <c r="D988">
        <f>SampleList[[#This Row],[Duration (Days)]]</f>
        <v>0</v>
      </c>
    </row>
    <row r="989" spans="1:4" hidden="1" x14ac:dyDescent="0.25">
      <c r="A989" s="1"/>
      <c r="B989" t="str" cm="1">
        <f t="array" ref="B989">IF(ISBLANK(INDEX(SampleList[XRD],ROW()-1)),"Not Requested",INDEX(SampleList[Experiment ID],ROW()-1))</f>
        <v>Not Requested</v>
      </c>
      <c r="C989">
        <f>SampleList[[#This Row],[Sample Description]]</f>
        <v>0</v>
      </c>
      <c r="D989">
        <f>SampleList[[#This Row],[Duration (Days)]]</f>
        <v>0</v>
      </c>
    </row>
    <row r="990" spans="1:4" hidden="1" x14ac:dyDescent="0.25">
      <c r="A990" s="1"/>
      <c r="B990" t="str" cm="1">
        <f t="array" ref="B990">IF(ISBLANK(INDEX(SampleList[XRD],ROW()-1)),"Not Requested",INDEX(SampleList[Experiment ID],ROW()-1))</f>
        <v>Not Requested</v>
      </c>
      <c r="C990">
        <f>SampleList[[#This Row],[Sample Description]]</f>
        <v>0</v>
      </c>
      <c r="D990">
        <f>SampleList[[#This Row],[Duration (Days)]]</f>
        <v>0</v>
      </c>
    </row>
    <row r="991" spans="1:4" hidden="1" x14ac:dyDescent="0.25">
      <c r="A991" s="1"/>
      <c r="B991" t="str" cm="1">
        <f t="array" ref="B991">IF(ISBLANK(INDEX(SampleList[XRD],ROW()-1)),"Not Requested",INDEX(SampleList[Experiment ID],ROW()-1))</f>
        <v>Not Requested</v>
      </c>
      <c r="C991">
        <f>SampleList[[#This Row],[Sample Description]]</f>
        <v>0</v>
      </c>
      <c r="D991">
        <f>SampleList[[#This Row],[Duration (Days)]]</f>
        <v>0</v>
      </c>
    </row>
    <row r="992" spans="1:4" hidden="1" x14ac:dyDescent="0.25">
      <c r="A992" s="1"/>
      <c r="B992" t="str" cm="1">
        <f t="array" ref="B992">IF(ISBLANK(INDEX(SampleList[XRD],ROW()-1)),"Not Requested",INDEX(SampleList[Experiment ID],ROW()-1))</f>
        <v>Not Requested</v>
      </c>
      <c r="C992">
        <f>SampleList[[#This Row],[Sample Description]]</f>
        <v>0</v>
      </c>
      <c r="D992">
        <f>SampleList[[#This Row],[Duration (Days)]]</f>
        <v>0</v>
      </c>
    </row>
    <row r="993" spans="1:4" hidden="1" x14ac:dyDescent="0.25">
      <c r="A993" s="1"/>
      <c r="B993" t="str" cm="1">
        <f t="array" ref="B993">IF(ISBLANK(INDEX(SampleList[XRD],ROW()-1)),"Not Requested",INDEX(SampleList[Experiment ID],ROW()-1))</f>
        <v>Not Requested</v>
      </c>
      <c r="C993">
        <f>SampleList[[#This Row],[Sample Description]]</f>
        <v>0</v>
      </c>
      <c r="D993">
        <f>SampleList[[#This Row],[Duration (Days)]]</f>
        <v>0</v>
      </c>
    </row>
    <row r="994" spans="1:4" hidden="1" x14ac:dyDescent="0.25">
      <c r="A994" s="1"/>
      <c r="B994" t="str" cm="1">
        <f t="array" ref="B994">IF(ISBLANK(INDEX(SampleList[XRD],ROW()-1)),"Not Requested",INDEX(SampleList[Experiment ID],ROW()-1))</f>
        <v>Not Requested</v>
      </c>
      <c r="C994">
        <f>SampleList[[#This Row],[Sample Description]]</f>
        <v>0</v>
      </c>
      <c r="D994">
        <f>SampleList[[#This Row],[Duration (Days)]]</f>
        <v>0</v>
      </c>
    </row>
    <row r="995" spans="1:4" hidden="1" x14ac:dyDescent="0.25">
      <c r="A995" s="1"/>
      <c r="B995" t="str" cm="1">
        <f t="array" ref="B995">IF(ISBLANK(INDEX(SampleList[XRD],ROW()-1)),"Not Requested",INDEX(SampleList[Experiment ID],ROW()-1))</f>
        <v>Not Requested</v>
      </c>
      <c r="C995">
        <f>SampleList[[#This Row],[Sample Description]]</f>
        <v>0</v>
      </c>
      <c r="D995">
        <f>SampleList[[#This Row],[Duration (Days)]]</f>
        <v>0</v>
      </c>
    </row>
    <row r="996" spans="1:4" hidden="1" x14ac:dyDescent="0.25">
      <c r="A996" s="1"/>
      <c r="B996" t="str" cm="1">
        <f t="array" ref="B996">IF(ISBLANK(INDEX(SampleList[XRD],ROW()-1)),"Not Requested",INDEX(SampleList[Experiment ID],ROW()-1))</f>
        <v>Not Requested</v>
      </c>
      <c r="C996">
        <f>SampleList[[#This Row],[Sample Description]]</f>
        <v>0</v>
      </c>
      <c r="D996">
        <f>SampleList[[#This Row],[Duration (Days)]]</f>
        <v>0</v>
      </c>
    </row>
    <row r="997" spans="1:4" hidden="1" x14ac:dyDescent="0.25">
      <c r="A997" s="1"/>
      <c r="B997" t="str" cm="1">
        <f t="array" ref="B997">IF(ISBLANK(INDEX(SampleList[XRD],ROW()-1)),"Not Requested",INDEX(SampleList[Experiment ID],ROW()-1))</f>
        <v>Not Requested</v>
      </c>
      <c r="C997">
        <f>SampleList[[#This Row],[Sample Description]]</f>
        <v>0</v>
      </c>
      <c r="D997">
        <f>SampleList[[#This Row],[Duration (Days)]]</f>
        <v>0</v>
      </c>
    </row>
    <row r="998" spans="1:4" hidden="1" x14ac:dyDescent="0.25">
      <c r="A998" s="1"/>
      <c r="B998" t="str" cm="1">
        <f t="array" ref="B998">IF(ISBLANK(INDEX(SampleList[XRD],ROW()-1)),"Not Requested",INDEX(SampleList[Experiment ID],ROW()-1))</f>
        <v>Not Requested</v>
      </c>
      <c r="C998">
        <f>SampleList[[#This Row],[Sample Description]]</f>
        <v>0</v>
      </c>
      <c r="D998">
        <f>SampleList[[#This Row],[Duration (Days)]]</f>
        <v>0</v>
      </c>
    </row>
    <row r="999" spans="1:4" hidden="1" x14ac:dyDescent="0.25">
      <c r="A999" s="1"/>
      <c r="B999" t="e" cm="1">
        <f t="array" ref="B999">IF(ISBLANK(INDEX(SampleList[XRD],ROW()-1)),"Not Requested",INDEX(SampleList[Experiment ID],ROW()-1))</f>
        <v>#REF!</v>
      </c>
      <c r="C999" t="e">
        <f>SampleList[[#This Row],[Sample Description]]</f>
        <v>#VALUE!</v>
      </c>
      <c r="D999" t="e">
        <f>SampleList[[#This Row],[Duration (Days)]]</f>
        <v>#VALUE!</v>
      </c>
    </row>
    <row r="1000" spans="1:4" hidden="1" x14ac:dyDescent="0.25">
      <c r="A1000" s="1"/>
      <c r="B1000" t="e" cm="1">
        <f t="array" ref="B1000">IF(ISBLANK(INDEX(SampleList[XRD],ROW()-1)),"Not Requested",INDEX(SampleList[Experiment ID],ROW()-1))</f>
        <v>#REF!</v>
      </c>
      <c r="C1000" t="e">
        <f>SampleList[[#This Row],[Sample Description]]</f>
        <v>#VALUE!</v>
      </c>
      <c r="D1000" t="e">
        <f>SampleList[[#This Row],[Duration (Days)]]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C323-3628-42B8-AAAA-DBA897D8B6CE}">
  <sheetPr>
    <tabColor rgb="FFFF7979"/>
  </sheetPr>
  <dimension ref="A1:O1000"/>
  <sheetViews>
    <sheetView topLeftCell="A16" workbookViewId="0">
      <selection activeCell="B8" sqref="B8"/>
    </sheetView>
  </sheetViews>
  <sheetFormatPr defaultRowHeight="15" x14ac:dyDescent="0.25"/>
  <cols>
    <col min="1" max="1" width="20.140625" customWidth="1"/>
    <col min="2" max="2" width="23.28515625" customWidth="1"/>
    <col min="3" max="3" width="18.140625" customWidth="1"/>
    <col min="4" max="4" width="19.140625" customWidth="1"/>
    <col min="5" max="5" width="11.28515625" customWidth="1"/>
    <col min="6" max="6" width="12" bestFit="1" customWidth="1"/>
    <col min="7" max="7" width="16.5703125" customWidth="1"/>
    <col min="8" max="8" width="17" customWidth="1"/>
    <col min="9" max="9" width="11.42578125" customWidth="1"/>
    <col min="10" max="10" width="26.5703125" customWidth="1"/>
    <col min="11" max="11" width="34.85546875" customWidth="1"/>
    <col min="12" max="12" width="15.7109375" bestFit="1" customWidth="1"/>
    <col min="13" max="13" width="15.28515625" customWidth="1"/>
    <col min="14" max="14" width="15.7109375" customWidth="1"/>
  </cols>
  <sheetData>
    <row r="1" spans="1:15" x14ac:dyDescent="0.25">
      <c r="A1" s="2" t="s">
        <v>0</v>
      </c>
      <c r="B1" s="2" t="s">
        <v>74</v>
      </c>
      <c r="C1" s="2" t="s">
        <v>70</v>
      </c>
      <c r="D1" s="2" t="s">
        <v>3</v>
      </c>
      <c r="E1" t="s">
        <v>29</v>
      </c>
      <c r="F1" t="s">
        <v>37</v>
      </c>
      <c r="G1" t="s">
        <v>43</v>
      </c>
      <c r="H1" t="s">
        <v>44</v>
      </c>
      <c r="I1" t="s">
        <v>28</v>
      </c>
      <c r="J1" t="s">
        <v>41</v>
      </c>
      <c r="K1" t="s">
        <v>45</v>
      </c>
      <c r="L1" t="s">
        <v>71</v>
      </c>
      <c r="M1" t="s">
        <v>72</v>
      </c>
      <c r="N1" t="s">
        <v>73</v>
      </c>
      <c r="O1" t="s">
        <v>115</v>
      </c>
    </row>
    <row r="2" spans="1:15" x14ac:dyDescent="0.25">
      <c r="A2" t="str">
        <f>SampleList[[#This Row],[Experiment ID]]</f>
        <v>HPHT_097</v>
      </c>
      <c r="B2" t="str">
        <f>SampleList[[#This Row],[Sample Description]]</f>
        <v>Liquid and Gas sample</v>
      </c>
      <c r="C2" s="1">
        <f>SampleList[[#This Row],[Date Sampled]]</f>
        <v>46094</v>
      </c>
      <c r="D2">
        <f>SampleList[[#This Row],[Duration (Days)]]</f>
        <v>1</v>
      </c>
      <c r="E2">
        <f>NMRResults[[#This Row],[Ammonium Concentration (mM)]]</f>
        <v>0.73529411764705888</v>
      </c>
      <c r="F2">
        <f>GCResults[[#This Row],[H2 (ppm)]]</f>
        <v>0</v>
      </c>
      <c r="G2">
        <f>GCResults[[#This Row],[Total Gas Volume (mL), gas cylinder = 3785mL]]</f>
        <v>4035</v>
      </c>
      <c r="H2">
        <f>GCResults[[#This Row],[Pressure on Sampling (PSI), 145PSI=1MPa]]</f>
        <v>25</v>
      </c>
      <c r="I2">
        <f>pHCondMod[[#This Row],[Sample pH]]</f>
        <v>6.44</v>
      </c>
      <c r="J2">
        <f>pHCondMod[[#This Row],[Sample Conductivity (mS/cm)]]</f>
        <v>110.3</v>
      </c>
      <c r="K2">
        <f>pHCondMod[[#This Row],[Modification Description]]</f>
        <v>0</v>
      </c>
      <c r="L2" s="1">
        <f>NMRResults[[#This Row],[Date Run]]</f>
        <v>46097</v>
      </c>
      <c r="M2" s="1">
        <f>ICPList[[#This Row],[Date Run]]</f>
        <v>46098</v>
      </c>
      <c r="N2" s="1">
        <f>GCResults[[#This Row],[Date Run ]]</f>
        <v>46094</v>
      </c>
    </row>
    <row r="3" spans="1:15" ht="14.45" x14ac:dyDescent="0.25">
      <c r="A3" t="str">
        <f>SampleList[[#This Row],[Experiment ID]]</f>
        <v>HPHT_070</v>
      </c>
      <c r="B3" t="str">
        <f>SampleList[[#This Row],[Sample Description]]</f>
        <v>Final liquid + gas sample</v>
      </c>
      <c r="C3" s="1">
        <f>SampleList[[#This Row],[Date Sampled]]</f>
        <v>46094</v>
      </c>
      <c r="D3">
        <f>SampleList[[#This Row],[Duration (Days)]]</f>
        <v>60</v>
      </c>
      <c r="E3">
        <f>NMRResults[[#This Row],[Ammonium Concentration (mM)]]</f>
        <v>0.41176470588235303</v>
      </c>
      <c r="F3" t="str">
        <f>GCResults[[#This Row],[H2 (ppm)]]</f>
        <v/>
      </c>
      <c r="G3">
        <f>GCResults[[#This Row],[Total Gas Volume (mL), gas cylinder = 3785mL]]</f>
        <v>0</v>
      </c>
      <c r="H3">
        <f>GCResults[[#This Row],[Pressure on Sampling (PSI), 145PSI=1MPa]]</f>
        <v>0</v>
      </c>
      <c r="I3">
        <f>pHCondMod[[#This Row],[Sample pH]]</f>
        <v>4.43</v>
      </c>
      <c r="J3">
        <f>pHCondMod[[#This Row],[Sample Conductivity (mS/cm)]]</f>
        <v>92.1</v>
      </c>
      <c r="K3">
        <f>pHCondMod[[#This Row],[Modification Description]]</f>
        <v>0</v>
      </c>
      <c r="L3" s="1">
        <f>NMRResults[[#This Row],[Date Run]]</f>
        <v>46097</v>
      </c>
      <c r="M3" s="1">
        <f>ICPList[[#This Row],[Date Run]]</f>
        <v>46098</v>
      </c>
      <c r="N3" s="1">
        <f>GCResults[[#This Row],[Date Run ]]</f>
        <v>0</v>
      </c>
    </row>
    <row r="4" spans="1:15" ht="14.45" x14ac:dyDescent="0.25">
      <c r="A4" t="str">
        <f>SampleList[[#This Row],[Experiment ID]]</f>
        <v>HPHT_089</v>
      </c>
      <c r="B4" t="str">
        <f>SampleList[[#This Row],[Sample Description]]</f>
        <v>Pre-rxn brine check</v>
      </c>
      <c r="C4" s="1">
        <f>SampleList[[#This Row],[Date Sampled]]</f>
        <v>46094</v>
      </c>
      <c r="D4">
        <f>SampleList[[#This Row],[Duration (Days)]]</f>
        <v>0</v>
      </c>
      <c r="E4">
        <f>NMRResults[[#This Row],[Ammonium Concentration (mM)]]</f>
        <v>9.1911764705882359E-2</v>
      </c>
      <c r="F4" t="str">
        <f>GCResults[[#This Row],[H2 (ppm)]]</f>
        <v/>
      </c>
      <c r="G4">
        <f>GCResults[[#This Row],[Total Gas Volume (mL), gas cylinder = 3785mL]]</f>
        <v>0</v>
      </c>
      <c r="H4">
        <f>GCResults[[#This Row],[Pressure on Sampling (PSI), 145PSI=1MPa]]</f>
        <v>0</v>
      </c>
      <c r="I4">
        <f>pHCondMod[[#This Row],[Sample pH]]</f>
        <v>6.65</v>
      </c>
      <c r="J4">
        <f>pHCondMod[[#This Row],[Sample Conductivity (mS/cm)]]</f>
        <v>35.200000000000003</v>
      </c>
      <c r="K4">
        <f>pHCondMod[[#This Row],[Modification Description]]</f>
        <v>0</v>
      </c>
      <c r="L4" s="1">
        <f>NMRResults[[#This Row],[Date Run]]</f>
        <v>46097</v>
      </c>
      <c r="M4" s="1">
        <f>ICPList[[#This Row],[Date Run]]</f>
        <v>46098</v>
      </c>
      <c r="N4" s="1">
        <f>GCResults[[#This Row],[Date Run ]]</f>
        <v>0</v>
      </c>
    </row>
    <row r="5" spans="1:15" ht="14.45" x14ac:dyDescent="0.25">
      <c r="A5" t="str">
        <f>SampleList[[#This Row],[Experiment ID]]</f>
        <v>NH4-Teflon</v>
      </c>
      <c r="B5" t="str">
        <f>SampleList[[#This Row],[Sample Description]]</f>
        <v>NH4 adsorption to teflon</v>
      </c>
      <c r="C5" s="1">
        <f>SampleList[[#This Row],[Date Sampled]]</f>
        <v>46094</v>
      </c>
      <c r="D5">
        <f>SampleList[[#This Row],[Duration (Days)]]</f>
        <v>0</v>
      </c>
      <c r="E5">
        <f>NMRResults[[#This Row],[Ammonium Concentration (mM)]]</f>
        <v>1.1838235294117649</v>
      </c>
      <c r="F5" t="str">
        <f>GCResults[[#This Row],[H2 (ppm)]]</f>
        <v/>
      </c>
      <c r="G5">
        <f>GCResults[[#This Row],[Total Gas Volume (mL), gas cylinder = 3785mL]]</f>
        <v>0</v>
      </c>
      <c r="H5">
        <f>GCResults[[#This Row],[Pressure on Sampling (PSI), 145PSI=1MPa]]</f>
        <v>0</v>
      </c>
      <c r="I5">
        <f>pHCondMod[[#This Row],[Sample pH]]</f>
        <v>0</v>
      </c>
      <c r="J5">
        <f>pHCondMod[[#This Row],[Sample Conductivity (mS/cm)]]</f>
        <v>0</v>
      </c>
      <c r="K5">
        <f>pHCondMod[[#This Row],[Modification Description]]</f>
        <v>0</v>
      </c>
      <c r="L5" s="1">
        <f>NMRResults[[#This Row],[Date Run]]</f>
        <v>46097</v>
      </c>
      <c r="M5" s="1">
        <f>ICPList[[#This Row],[Date Run]]</f>
        <v>0</v>
      </c>
      <c r="N5" s="1">
        <f>GCResults[[#This Row],[Date Run ]]</f>
        <v>0</v>
      </c>
    </row>
    <row r="6" spans="1:15" ht="14.45" x14ac:dyDescent="0.25">
      <c r="A6" t="str">
        <f>SampleList[[#This Row],[Experiment ID]]</f>
        <v>NH4-Teflon</v>
      </c>
      <c r="B6" t="str">
        <f>SampleList[[#This Row],[Sample Description]]</f>
        <v>NH4 adsorption to teflon</v>
      </c>
      <c r="C6" s="1">
        <f>SampleList[[#This Row],[Date Sampled]]</f>
        <v>46097</v>
      </c>
      <c r="D6">
        <f>SampleList[[#This Row],[Duration (Days)]]</f>
        <v>3</v>
      </c>
      <c r="E6">
        <f>NMRResults[[#This Row],[Ammonium Concentration (mM)]]</f>
        <v>1.1213235294117647</v>
      </c>
      <c r="F6" t="str">
        <f>GCResults[[#This Row],[H2 (ppm)]]</f>
        <v/>
      </c>
      <c r="G6">
        <f>GCResults[[#This Row],[Total Gas Volume (mL), gas cylinder = 3785mL]]</f>
        <v>0</v>
      </c>
      <c r="H6">
        <f>GCResults[[#This Row],[Pressure on Sampling (PSI), 145PSI=1MPa]]</f>
        <v>0</v>
      </c>
      <c r="I6">
        <f>pHCondMod[[#This Row],[Sample pH]]</f>
        <v>0</v>
      </c>
      <c r="J6">
        <f>pHCondMod[[#This Row],[Sample Conductivity (mS/cm)]]</f>
        <v>0</v>
      </c>
      <c r="K6">
        <f>pHCondMod[[#This Row],[Modification Description]]</f>
        <v>0</v>
      </c>
      <c r="L6" s="1">
        <f>NMRResults[[#This Row],[Date Run]]</f>
        <v>46097</v>
      </c>
      <c r="M6" s="1">
        <f>ICPList[[#This Row],[Date Run]]</f>
        <v>0</v>
      </c>
      <c r="N6" s="1">
        <f>GCResults[[#This Row],[Date Run ]]</f>
        <v>0</v>
      </c>
    </row>
    <row r="7" spans="1:15" ht="14.45" x14ac:dyDescent="0.25">
      <c r="A7" t="str">
        <f>SampleList[[#This Row],[Experiment ID]]</f>
        <v>HPHT_070_Desorption</v>
      </c>
      <c r="B7" t="str">
        <f>SampleList[[#This Row],[Sample Description]]</f>
        <v>Initial desorption</v>
      </c>
      <c r="C7" s="1">
        <f>SampleList[[#This Row],[Date Sampled]]</f>
        <v>46094</v>
      </c>
      <c r="D7">
        <f>SampleList[[#This Row],[Duration (Days)]]</f>
        <v>0</v>
      </c>
      <c r="E7">
        <f>NMRResults[[#This Row],[Ammonium Concentration (mM)]]</f>
        <v>4.7794117647058827E-2</v>
      </c>
      <c r="F7" t="str">
        <f>GCResults[[#This Row],[H2 (ppm)]]</f>
        <v/>
      </c>
      <c r="G7">
        <f>GCResults[[#This Row],[Total Gas Volume (mL), gas cylinder = 3785mL]]</f>
        <v>0</v>
      </c>
      <c r="H7">
        <f>GCResults[[#This Row],[Pressure on Sampling (PSI), 145PSI=1MPa]]</f>
        <v>0</v>
      </c>
      <c r="I7">
        <f>pHCondMod[[#This Row],[Sample pH]]</f>
        <v>0</v>
      </c>
      <c r="J7">
        <f>pHCondMod[[#This Row],[Sample Conductivity (mS/cm)]]</f>
        <v>0</v>
      </c>
      <c r="K7">
        <f>pHCondMod[[#This Row],[Modification Description]]</f>
        <v>0</v>
      </c>
      <c r="L7" s="1">
        <f>NMRResults[[#This Row],[Date Run]]</f>
        <v>46097</v>
      </c>
      <c r="M7" s="1">
        <f>ICPList[[#This Row],[Date Run]]</f>
        <v>0</v>
      </c>
      <c r="N7" s="1">
        <f>GCResults[[#This Row],[Date Run ]]</f>
        <v>0</v>
      </c>
    </row>
    <row r="8" spans="1:15" ht="14.45" x14ac:dyDescent="0.25">
      <c r="A8" t="str">
        <f>SampleList[[#This Row],[Experiment ID]]</f>
        <v>HPHT_101</v>
      </c>
      <c r="B8" t="str">
        <f>SampleList[[#This Row],[Sample Description]]</f>
        <v>Reactor 8 background</v>
      </c>
      <c r="C8" s="1">
        <f>SampleList[[#This Row],[Date Sampled]]</f>
        <v>46097</v>
      </c>
      <c r="D8">
        <f>SampleList[[#This Row],[Duration (Days)]]</f>
        <v>3</v>
      </c>
      <c r="E8">
        <f>NMRResults[[#This Row],[Ammonium Concentration (mM)]]</f>
        <v>5.514705882352941E-2</v>
      </c>
      <c r="F8" t="str">
        <f>GCResults[[#This Row],[H2 (ppm)]]</f>
        <v/>
      </c>
      <c r="G8">
        <f>GCResults[[#This Row],[Total Gas Volume (mL), gas cylinder = 3785mL]]</f>
        <v>0</v>
      </c>
      <c r="H8">
        <f>GCResults[[#This Row],[Pressure on Sampling (PSI), 145PSI=1MPa]]</f>
        <v>0</v>
      </c>
      <c r="I8">
        <f>pHCondMod[[#This Row],[Sample pH]]</f>
        <v>2.6</v>
      </c>
      <c r="J8">
        <f>pHCondMod[[#This Row],[Sample Conductivity (mS/cm)]]</f>
        <v>3.4</v>
      </c>
      <c r="K8">
        <f>pHCondMod[[#This Row],[Modification Description]]</f>
        <v>0</v>
      </c>
      <c r="L8" s="1">
        <f>NMRResults[[#This Row],[Date Run]]</f>
        <v>46097</v>
      </c>
      <c r="M8" s="1">
        <f>ICPList[[#This Row],[Date Run]]</f>
        <v>46098</v>
      </c>
      <c r="N8" s="1">
        <f>GCResults[[#This Row],[Date Run ]]</f>
        <v>0</v>
      </c>
    </row>
    <row r="9" spans="1:15" ht="14.45" x14ac:dyDescent="0.25">
      <c r="A9" t="str">
        <f>SampleList[[#This Row],[Experiment ID]]</f>
        <v>HPHT_102</v>
      </c>
      <c r="B9" t="str">
        <f>SampleList[[#This Row],[Sample Description]]</f>
        <v>Reactor 9 background</v>
      </c>
      <c r="C9" s="1">
        <f>SampleList[[#This Row],[Date Sampled]]</f>
        <v>46097</v>
      </c>
      <c r="D9">
        <f>SampleList[[#This Row],[Duration (Days)]]</f>
        <v>3</v>
      </c>
      <c r="E9">
        <f>NMRResults[[#This Row],[Ammonium Concentration (mM)]]</f>
        <v>4.7794117647058827E-2</v>
      </c>
      <c r="F9" t="str">
        <f>GCResults[[#This Row],[H2 (ppm)]]</f>
        <v/>
      </c>
      <c r="G9">
        <f>GCResults[[#This Row],[Total Gas Volume (mL), gas cylinder = 3785mL]]</f>
        <v>0</v>
      </c>
      <c r="H9">
        <f>GCResults[[#This Row],[Pressure on Sampling (PSI), 145PSI=1MPa]]</f>
        <v>0</v>
      </c>
      <c r="I9">
        <f>pHCondMod[[#This Row],[Sample pH]]</f>
        <v>2.4500000000000002</v>
      </c>
      <c r="J9">
        <f>pHCondMod[[#This Row],[Sample Conductivity (mS/cm)]]</f>
        <v>3.71</v>
      </c>
      <c r="K9">
        <f>pHCondMod[[#This Row],[Modification Description]]</f>
        <v>0</v>
      </c>
      <c r="L9" s="1">
        <f>NMRResults[[#This Row],[Date Run]]</f>
        <v>46097</v>
      </c>
      <c r="M9" s="1">
        <f>ICPList[[#This Row],[Date Run]]</f>
        <v>46098</v>
      </c>
      <c r="N9" s="1">
        <f>GCResults[[#This Row],[Date Run ]]</f>
        <v>0</v>
      </c>
    </row>
    <row r="10" spans="1:15" ht="14.45" x14ac:dyDescent="0.25">
      <c r="A10" t="str">
        <f>SampleList[[#This Row],[Experiment ID]]</f>
        <v>HPHT_095_Desorption</v>
      </c>
      <c r="B10" t="str">
        <f>SampleList[[#This Row],[Sample Description]]</f>
        <v>Desorption test</v>
      </c>
      <c r="C10" s="1">
        <f>SampleList[[#This Row],[Date Sampled]]</f>
        <v>46097</v>
      </c>
      <c r="D10">
        <f>SampleList[[#This Row],[Duration (Days)]]</f>
        <v>3</v>
      </c>
      <c r="E10">
        <f>NMRResults[[#This Row],[Ammonium Concentration (mM)]]</f>
        <v>8.4558823529411783E-2</v>
      </c>
      <c r="F10" t="str">
        <f>GCResults[[#This Row],[H2 (ppm)]]</f>
        <v/>
      </c>
      <c r="G10">
        <f>GCResults[[#This Row],[Total Gas Volume (mL), gas cylinder = 3785mL]]</f>
        <v>0</v>
      </c>
      <c r="H10">
        <f>GCResults[[#This Row],[Pressure on Sampling (PSI), 145PSI=1MPa]]</f>
        <v>0</v>
      </c>
      <c r="I10">
        <f>pHCondMod[[#This Row],[Sample pH]]</f>
        <v>0</v>
      </c>
      <c r="J10">
        <f>pHCondMod[[#This Row],[Sample Conductivity (mS/cm)]]</f>
        <v>0</v>
      </c>
      <c r="K10">
        <f>pHCondMod[[#This Row],[Modification Description]]</f>
        <v>0</v>
      </c>
      <c r="L10" s="1">
        <f>NMRResults[[#This Row],[Date Run]]</f>
        <v>46097</v>
      </c>
      <c r="M10" s="1">
        <f>ICPList[[#This Row],[Date Run]]</f>
        <v>0</v>
      </c>
      <c r="N10" s="1">
        <f>GCResults[[#This Row],[Date Run ]]</f>
        <v>0</v>
      </c>
    </row>
    <row r="11" spans="1:15" x14ac:dyDescent="0.25">
      <c r="A11" t="str">
        <f>SampleList[[#This Row],[Experiment ID]]</f>
        <v>HPHT_097</v>
      </c>
      <c r="B11" t="str">
        <f>SampleList[[#This Row],[Sample Description]]</f>
        <v>CaI experiment day 3</v>
      </c>
      <c r="C11" s="1">
        <f>SampleList[[#This Row],[Date Sampled]]</f>
        <v>46097</v>
      </c>
      <c r="D11">
        <f>SampleList[[#This Row],[Duration (Days)]]</f>
        <v>4</v>
      </c>
      <c r="E11">
        <f>NMRResults[[#This Row],[Ammonium Concentration (mM)]]</f>
        <v>0.88602941176470607</v>
      </c>
      <c r="F11" t="str">
        <f>GCResults[[#This Row],[H2 (ppm)]]</f>
        <v/>
      </c>
      <c r="G11">
        <f>GCResults[[#This Row],[Total Gas Volume (mL), gas cylinder = 3785mL]]</f>
        <v>0</v>
      </c>
      <c r="H11">
        <f>GCResults[[#This Row],[Pressure on Sampling (PSI), 145PSI=1MPa]]</f>
        <v>0</v>
      </c>
      <c r="I11">
        <f>pHCondMod[[#This Row],[Sample pH]]</f>
        <v>4.45</v>
      </c>
      <c r="J11">
        <f>pHCondMod[[#This Row],[Sample Conductivity (mS/cm)]]</f>
        <v>133.30000000000001</v>
      </c>
      <c r="K11">
        <f>pHCondMod[[#This Row],[Modification Description]]</f>
        <v>0</v>
      </c>
      <c r="L11" s="1">
        <f>NMRResults[[#This Row],[Date Run]]</f>
        <v>46097</v>
      </c>
      <c r="M11" s="1">
        <f>ICPList[[#This Row],[Date Run]]</f>
        <v>46098</v>
      </c>
      <c r="N11" s="1">
        <f>GCResults[[#This Row],[Date Run ]]</f>
        <v>0</v>
      </c>
    </row>
    <row r="12" spans="1:15" ht="14.45" x14ac:dyDescent="0.25">
      <c r="A12" t="str">
        <f>SampleList[[#This Row],[Experiment ID]]</f>
        <v xml:space="preserve">Standard </v>
      </c>
      <c r="B12" t="str">
        <f>SampleList[[#This Row],[Sample Description]]</f>
        <v>150uL 1mM NH4Cl</v>
      </c>
      <c r="C12" s="1">
        <f>SampleList[[#This Row],[Date Sampled]]</f>
        <v>46097</v>
      </c>
      <c r="D12">
        <f>SampleList[[#This Row],[Duration (Days)]]</f>
        <v>0</v>
      </c>
      <c r="E12">
        <f>NMRResults[[#This Row],[Ammonium Concentration (mM)]]</f>
        <v>0.38148984198645602</v>
      </c>
      <c r="F12" t="str">
        <f>GCResults[[#This Row],[H2 (ppm)]]</f>
        <v/>
      </c>
      <c r="G12">
        <f>GCResults[[#This Row],[Total Gas Volume (mL), gas cylinder = 3785mL]]</f>
        <v>0</v>
      </c>
      <c r="H12">
        <f>GCResults[[#This Row],[Pressure on Sampling (PSI), 145PSI=1MPa]]</f>
        <v>0</v>
      </c>
      <c r="I12">
        <f>pHCondMod[[#This Row],[Sample pH]]</f>
        <v>0</v>
      </c>
      <c r="J12">
        <f>pHCondMod[[#This Row],[Sample Conductivity (mS/cm)]]</f>
        <v>0</v>
      </c>
      <c r="K12">
        <f>pHCondMod[[#This Row],[Modification Description]]</f>
        <v>0</v>
      </c>
      <c r="L12" s="1">
        <f>NMRResults[[#This Row],[Date Run]]</f>
        <v>46097</v>
      </c>
      <c r="M12" s="1">
        <f>ICPList[[#This Row],[Date Run]]</f>
        <v>0</v>
      </c>
      <c r="N12" s="1">
        <f>GCResults[[#This Row],[Date Run ]]</f>
        <v>0</v>
      </c>
    </row>
    <row r="13" spans="1:15" ht="14.45" x14ac:dyDescent="0.25">
      <c r="A13" t="str">
        <f>SampleList[[#This Row],[Experiment ID]]</f>
        <v>HPHT_096</v>
      </c>
      <c r="B13" t="str">
        <f>SampleList[[#This Row],[Sample Description]]</f>
        <v>Liquid and gas sample</v>
      </c>
      <c r="C13" s="1">
        <f>SampleList[[#This Row],[Date Sampled]]</f>
        <v>46097</v>
      </c>
      <c r="D13">
        <f>SampleList[[#This Row],[Duration (Days)]]</f>
        <v>10</v>
      </c>
      <c r="E13">
        <f>NMRResults[[#This Row],[Ammonium Concentration (mM)]]</f>
        <v>0</v>
      </c>
      <c r="F13">
        <f>GCResults[[#This Row],[H2 (ppm)]]</f>
        <v>245.90163934426226</v>
      </c>
      <c r="G13">
        <f>GCResults[[#This Row],[Total Gas Volume (mL), gas cylinder = 3785mL]]</f>
        <v>3785</v>
      </c>
      <c r="H13">
        <f>GCResults[[#This Row],[Pressure on Sampling (PSI), 145PSI=1MPa]]</f>
        <v>29</v>
      </c>
      <c r="I13">
        <f>pHCondMod[[#This Row],[Sample pH]]</f>
        <v>5.52</v>
      </c>
      <c r="J13">
        <f>pHCondMod[[#This Row],[Sample Conductivity (mS/cm)]]</f>
        <v>72.7</v>
      </c>
      <c r="K13" t="str">
        <f>pHCondMod[[#This Row],[Modification Description]]</f>
        <v>-1.97g wet rock. +50mL DI. +1mL 1M KOH. pH 7 --&gt; pH 9.9, EC 9.1 mS/cm</v>
      </c>
      <c r="L13" s="1">
        <f>NMRResults[[#This Row],[Date Run]]</f>
        <v>46097</v>
      </c>
      <c r="M13" s="1">
        <f>ICPList[[#This Row],[Date Run]]</f>
        <v>0</v>
      </c>
      <c r="N13">
        <f>GCResults[[#This Row],[Date Run ]]</f>
        <v>46097</v>
      </c>
    </row>
    <row r="14" spans="1:15" ht="14.45" x14ac:dyDescent="0.25">
      <c r="A14" t="str">
        <f>SampleList[[#This Row],[Experiment ID]]</f>
        <v>HPHT_079</v>
      </c>
      <c r="B14" t="str">
        <f>SampleList[[#This Row],[Sample Description]]</f>
        <v>CaO Gas sample</v>
      </c>
      <c r="C14" s="1">
        <f>SampleList[[#This Row],[Date Sampled]]</f>
        <v>46097</v>
      </c>
      <c r="D14">
        <f>SampleList[[#This Row],[Duration (Days)]]</f>
        <v>39</v>
      </c>
      <c r="E14">
        <f>NMRResults[[#This Row],[Ammonium Concentration (mM)]]</f>
        <v>9.1911764705882359E-2</v>
      </c>
      <c r="F14">
        <f>GCResults[[#This Row],[H2 (ppm)]]</f>
        <v>4442.622950819672</v>
      </c>
      <c r="G14">
        <f>GCResults[[#This Row],[Total Gas Volume (mL), gas cylinder = 3785mL]]</f>
        <v>3785</v>
      </c>
      <c r="H14">
        <f>GCResults[[#This Row],[Pressure on Sampling (PSI), 145PSI=1MPa]]</f>
        <v>43.5</v>
      </c>
      <c r="I14">
        <f>pHCondMod[[#This Row],[Sample pH]]</f>
        <v>12.55</v>
      </c>
      <c r="J14">
        <f>pHCondMod[[#This Row],[Sample Conductivity (mS/cm)]]</f>
        <v>66.099999999999994</v>
      </c>
      <c r="K14" t="str">
        <f>pHCondMod[[#This Row],[Modification Description]]</f>
        <v>-2.13g wet rock. +10mL DI. pH 12.5, EC 18 mS/cm.</v>
      </c>
      <c r="L14" s="1">
        <f>NMRResults[[#This Row],[Date Run]]</f>
        <v>46099</v>
      </c>
      <c r="M14" s="1">
        <f>ICPList[[#This Row],[Date Run]]</f>
        <v>46098</v>
      </c>
      <c r="N14" s="1">
        <f>GCResults[[#This Row],[Date Run ]]</f>
        <v>46097</v>
      </c>
    </row>
    <row r="15" spans="1:15" x14ac:dyDescent="0.25">
      <c r="A15" t="str">
        <f>SampleList[[#This Row],[Experiment ID]]</f>
        <v>HPHT_097</v>
      </c>
      <c r="B15" t="str">
        <f>SampleList[[#This Row],[Sample Description]]</f>
        <v>CaI2 Gas, Liquid, Rock Sample</v>
      </c>
      <c r="C15" s="1">
        <f>SampleList[[#This Row],[Date Sampled]]</f>
        <v>46099</v>
      </c>
      <c r="D15">
        <f>SampleList[[#This Row],[Duration (Days)]]</f>
        <v>6</v>
      </c>
      <c r="E15">
        <f>NMRResults[[#This Row],[Ammonium Concentration (mM)]]</f>
        <v>0.78308823529411764</v>
      </c>
      <c r="F15">
        <f>GCResults[[#This Row],[H2 (ppm)]]</f>
        <v>1259.0909090909092</v>
      </c>
      <c r="G15">
        <f>GCResults[[#This Row],[Total Gas Volume (mL), gas cylinder = 3785mL]]</f>
        <v>4035</v>
      </c>
      <c r="H15">
        <f>GCResults[[#This Row],[Pressure on Sampling (PSI), 145PSI=1MPa]]</f>
        <v>110</v>
      </c>
      <c r="I15">
        <f>pHCondMod[[#This Row],[Sample pH]]</f>
        <v>0</v>
      </c>
      <c r="J15">
        <f>pHCondMod[[#This Row],[Sample Conductivity (mS/cm)]]</f>
        <v>0</v>
      </c>
      <c r="K15" t="str">
        <f>pHCondMod[[#This Row],[Modification Description]]</f>
        <v>-2g wet rock.</v>
      </c>
      <c r="L15" s="1">
        <f>NMRResults[[#This Row],[Date Run]]</f>
        <v>46099</v>
      </c>
      <c r="M15" s="1">
        <f>ICPList[[#This Row],[Date Run]]</f>
        <v>0</v>
      </c>
      <c r="N15" s="1">
        <f>GCResults[[#This Row],[Date Run ]]</f>
        <v>46098</v>
      </c>
    </row>
    <row r="16" spans="1:15" ht="14.45" x14ac:dyDescent="0.25">
      <c r="A16" t="str">
        <f>SampleList[[#This Row],[Experiment ID]]</f>
        <v xml:space="preserve">HPHT_087 </v>
      </c>
      <c r="B16" t="str">
        <f>SampleList[[#This Row],[Sample Description]]</f>
        <v>0.007mL/min at 220C for 2 days</v>
      </c>
      <c r="C16" s="1">
        <f>SampleList[[#This Row],[Date Sampled]]</f>
        <v>46080</v>
      </c>
      <c r="D16">
        <f>SampleList[[#This Row],[Duration (Days)]]</f>
        <v>6</v>
      </c>
      <c r="E16">
        <f>NMRResults[[#This Row],[Ammonium Concentration (mM)]]</f>
        <v>0</v>
      </c>
      <c r="F16" t="str">
        <f>GCResults[[#This Row],[H2 (ppm)]]</f>
        <v/>
      </c>
      <c r="G16">
        <f>GCResults[[#This Row],[Total Gas Volume (mL), gas cylinder = 3785mL]]</f>
        <v>0</v>
      </c>
      <c r="H16">
        <f>GCResults[[#This Row],[Pressure on Sampling (PSI), 145PSI=1MPa]]</f>
        <v>0</v>
      </c>
      <c r="I16">
        <f>pHCondMod[[#This Row],[Sample pH]]</f>
        <v>0</v>
      </c>
      <c r="J16">
        <f>pHCondMod[[#This Row],[Sample Conductivity (mS/cm)]]</f>
        <v>0</v>
      </c>
      <c r="K16">
        <f>pHCondMod[[#This Row],[Modification Description]]</f>
        <v>0</v>
      </c>
      <c r="L16" s="1">
        <f>NMRResults[[#This Row],[Date Run]]</f>
        <v>0</v>
      </c>
      <c r="M16" s="1">
        <f>ICPList[[#This Row],[Date Run]]</f>
        <v>46098</v>
      </c>
      <c r="N16" s="1">
        <f>GCResults[[#This Row],[Date Run ]]</f>
        <v>0</v>
      </c>
    </row>
    <row r="17" spans="1:14" ht="14.45" x14ac:dyDescent="0.25">
      <c r="A17" t="str">
        <f>SampleList[[#This Row],[Experiment ID]]</f>
        <v>HPHT_070</v>
      </c>
      <c r="B17" t="str">
        <f>SampleList[[#This Row],[Sample Description]]</f>
        <v>Final liquid + gas sample</v>
      </c>
      <c r="C17" s="1">
        <f>SampleList[[#This Row],[Date Sampled]]</f>
        <v>46080</v>
      </c>
      <c r="D17">
        <f>SampleList[[#This Row],[Duration (Days)]]</f>
        <v>46</v>
      </c>
      <c r="E17">
        <f>NMRResults[[#This Row],[Ammonium Concentration (mM)]]</f>
        <v>0</v>
      </c>
      <c r="F17" t="str">
        <f>GCResults[[#This Row],[H2 (ppm)]]</f>
        <v/>
      </c>
      <c r="G17">
        <f>GCResults[[#This Row],[Total Gas Volume (mL), gas cylinder = 3785mL]]</f>
        <v>0</v>
      </c>
      <c r="H17">
        <f>GCResults[[#This Row],[Pressure on Sampling (PSI), 145PSI=1MPa]]</f>
        <v>0</v>
      </c>
      <c r="I17">
        <f>pHCondMod[[#This Row],[Sample pH]]</f>
        <v>0</v>
      </c>
      <c r="J17">
        <f>pHCondMod[[#This Row],[Sample Conductivity (mS/cm)]]</f>
        <v>0</v>
      </c>
      <c r="K17">
        <f>pHCondMod[[#This Row],[Modification Description]]</f>
        <v>0</v>
      </c>
      <c r="L17" s="1">
        <f>NMRResults[[#This Row],[Date Run]]</f>
        <v>0</v>
      </c>
      <c r="M17" s="1">
        <f>ICPList[[#This Row],[Date Run]]</f>
        <v>46098</v>
      </c>
      <c r="N17" s="1">
        <f>GCResults[[#This Row],[Date Run ]]</f>
        <v>0</v>
      </c>
    </row>
    <row r="18" spans="1:14" ht="14.45" x14ac:dyDescent="0.25">
      <c r="A18" t="str">
        <f>SampleList[[#This Row],[Experiment ID]]</f>
        <v>HPHT_071-2</v>
      </c>
      <c r="B18" t="str">
        <f>SampleList[[#This Row],[Sample Description]]</f>
        <v>Acetate Buffer, contnued 18 days, liquid from gas port</v>
      </c>
      <c r="C18" s="1">
        <f>SampleList[[#This Row],[Date Sampled]]</f>
        <v>46080</v>
      </c>
      <c r="D18">
        <f>SampleList[[#This Row],[Duration (Days)]]</f>
        <v>18</v>
      </c>
      <c r="E18">
        <f>NMRResults[[#This Row],[Ammonium Concentration (mM)]]</f>
        <v>0</v>
      </c>
      <c r="F18" t="str">
        <f>GCResults[[#This Row],[H2 (ppm)]]</f>
        <v/>
      </c>
      <c r="G18">
        <f>GCResults[[#This Row],[Total Gas Volume (mL), gas cylinder = 3785mL]]</f>
        <v>0</v>
      </c>
      <c r="H18">
        <f>GCResults[[#This Row],[Pressure on Sampling (PSI), 145PSI=1MPa]]</f>
        <v>0</v>
      </c>
      <c r="I18">
        <f>pHCondMod[[#This Row],[Sample pH]]</f>
        <v>0</v>
      </c>
      <c r="J18">
        <f>pHCondMod[[#This Row],[Sample Conductivity (mS/cm)]]</f>
        <v>0</v>
      </c>
      <c r="K18">
        <f>pHCondMod[[#This Row],[Modification Description]]</f>
        <v>0</v>
      </c>
      <c r="L18" s="1">
        <f>NMRResults[[#This Row],[Date Run]]</f>
        <v>0</v>
      </c>
      <c r="M18" s="1">
        <f>ICPList[[#This Row],[Date Run]]</f>
        <v>46098</v>
      </c>
      <c r="N18" s="1">
        <f>GCResults[[#This Row],[Date Run ]]</f>
        <v>0</v>
      </c>
    </row>
    <row r="19" spans="1:14" ht="14.45" x14ac:dyDescent="0.25">
      <c r="A19" t="str">
        <f>SampleList[[#This Row],[Experiment ID]]</f>
        <v>HPHT_079</v>
      </c>
      <c r="B19" t="str">
        <f>SampleList[[#This Row],[Sample Description]]</f>
        <v>CaO Gas sample</v>
      </c>
      <c r="C19" s="1">
        <f>SampleList[[#This Row],[Date Sampled]]</f>
        <v>46080</v>
      </c>
      <c r="D19">
        <f>SampleList[[#This Row],[Duration (Days)]]</f>
        <v>22</v>
      </c>
      <c r="E19">
        <f>NMRResults[[#This Row],[Ammonium Concentration (mM)]]</f>
        <v>0</v>
      </c>
      <c r="F19" t="str">
        <f>GCResults[[#This Row],[H2 (ppm)]]</f>
        <v/>
      </c>
      <c r="G19">
        <f>GCResults[[#This Row],[Total Gas Volume (mL), gas cylinder = 3785mL]]</f>
        <v>0</v>
      </c>
      <c r="H19">
        <f>GCResults[[#This Row],[Pressure on Sampling (PSI), 145PSI=1MPa]]</f>
        <v>0</v>
      </c>
      <c r="I19">
        <f>pHCondMod[[#This Row],[Sample pH]]</f>
        <v>0</v>
      </c>
      <c r="J19">
        <f>pHCondMod[[#This Row],[Sample Conductivity (mS/cm)]]</f>
        <v>0</v>
      </c>
      <c r="K19">
        <f>pHCondMod[[#This Row],[Modification Description]]</f>
        <v>0</v>
      </c>
      <c r="L19" s="1">
        <f>NMRResults[[#This Row],[Date Run]]</f>
        <v>0</v>
      </c>
      <c r="M19" s="1">
        <f>ICPList[[#This Row],[Date Run]]</f>
        <v>0</v>
      </c>
      <c r="N19" s="1">
        <f>GCResults[[#This Row],[Date Run ]]</f>
        <v>0</v>
      </c>
    </row>
    <row r="20" spans="1:14" ht="14.45" x14ac:dyDescent="0.25">
      <c r="A20" t="str">
        <f>SampleList[[#This Row],[Experiment ID]]</f>
        <v>HPHT_071-2</v>
      </c>
      <c r="B20" t="str">
        <f>SampleList[[#This Row],[Sample Description]]</f>
        <v>2 days at 20C, hydrogen generated, dip tube sample high peak</v>
      </c>
      <c r="C20" s="1">
        <f>SampleList[[#This Row],[Date Sampled]]</f>
        <v>46083</v>
      </c>
      <c r="D20">
        <f>SampleList[[#This Row],[Duration (Days)]]</f>
        <v>20</v>
      </c>
      <c r="E20">
        <f>NMRResults[[#This Row],[Ammonium Concentration (mM)]]</f>
        <v>0</v>
      </c>
      <c r="F20" t="str">
        <f>GCResults[[#This Row],[H2 (ppm)]]</f>
        <v/>
      </c>
      <c r="G20">
        <f>GCResults[[#This Row],[Total Gas Volume (mL), gas cylinder = 3785mL]]</f>
        <v>0</v>
      </c>
      <c r="H20">
        <f>GCResults[[#This Row],[Pressure on Sampling (PSI), 145PSI=1MPa]]</f>
        <v>0</v>
      </c>
      <c r="I20">
        <f>pHCondMod[[#This Row],[Sample pH]]</f>
        <v>0</v>
      </c>
      <c r="J20">
        <f>pHCondMod[[#This Row],[Sample Conductivity (mS/cm)]]</f>
        <v>0</v>
      </c>
      <c r="K20">
        <f>pHCondMod[[#This Row],[Modification Description]]</f>
        <v>0</v>
      </c>
      <c r="L20" s="1">
        <f>NMRResults[[#This Row],[Date Run]]</f>
        <v>0</v>
      </c>
      <c r="M20" s="1">
        <f>ICPList[[#This Row],[Date Run]]</f>
        <v>46098</v>
      </c>
      <c r="N20" s="1">
        <f>GCResults[[#This Row],[Date Run ]]</f>
        <v>0</v>
      </c>
    </row>
    <row r="21" spans="1:14" ht="14.45" x14ac:dyDescent="0.25">
      <c r="A21" t="str">
        <f>SampleList[[#This Row],[Experiment ID]]</f>
        <v xml:space="preserve">HPHT_087 </v>
      </c>
      <c r="B21" t="str">
        <f>SampleList[[#This Row],[Sample Description]]</f>
        <v>0.007mL/min at 300C for 2 days</v>
      </c>
      <c r="C21" s="1">
        <f>SampleList[[#This Row],[Date Sampled]]</f>
        <v>46083</v>
      </c>
      <c r="D21">
        <f>SampleList[[#This Row],[Duration (Days)]]</f>
        <v>8</v>
      </c>
      <c r="E21">
        <f>NMRResults[[#This Row],[Ammonium Concentration (mM)]]</f>
        <v>0</v>
      </c>
      <c r="F21" t="str">
        <f>GCResults[[#This Row],[H2 (ppm)]]</f>
        <v/>
      </c>
      <c r="G21">
        <f>GCResults[[#This Row],[Total Gas Volume (mL), gas cylinder = 3785mL]]</f>
        <v>0</v>
      </c>
      <c r="H21">
        <f>GCResults[[#This Row],[Pressure on Sampling (PSI), 145PSI=1MPa]]</f>
        <v>0</v>
      </c>
      <c r="I21">
        <f>pHCondMod[[#This Row],[Sample pH]]</f>
        <v>0</v>
      </c>
      <c r="J21">
        <f>pHCondMod[[#This Row],[Sample Conductivity (mS/cm)]]</f>
        <v>0</v>
      </c>
      <c r="K21">
        <f>pHCondMod[[#This Row],[Modification Description]]</f>
        <v>0</v>
      </c>
      <c r="L21" s="1">
        <f>NMRResults[[#This Row],[Date Run]]</f>
        <v>0</v>
      </c>
      <c r="M21" s="1">
        <f>ICPList[[#This Row],[Date Run]]</f>
        <v>0</v>
      </c>
      <c r="N21" s="1">
        <f>GCResults[[#This Row],[Date Run ]]</f>
        <v>0</v>
      </c>
    </row>
    <row r="22" spans="1:14" ht="14.45" x14ac:dyDescent="0.25">
      <c r="A22" t="str">
        <f>SampleList[[#This Row],[Experiment ID]]</f>
        <v>HPHT_090</v>
      </c>
      <c r="B22" t="str">
        <f>SampleList[[#This Row],[Sample Description]]</f>
        <v>Tamarack continued</v>
      </c>
      <c r="C22" s="1">
        <f>SampleList[[#This Row],[Date Sampled]]</f>
        <v>46083</v>
      </c>
      <c r="D22">
        <f>SampleList[[#This Row],[Duration (Days)]]</f>
        <v>10</v>
      </c>
      <c r="E22">
        <f>NMRResults[[#This Row],[Ammonium Concentration (mM)]]</f>
        <v>0</v>
      </c>
      <c r="F22" t="str">
        <f>GCResults[[#This Row],[H2 (ppm)]]</f>
        <v/>
      </c>
      <c r="G22">
        <f>GCResults[[#This Row],[Total Gas Volume (mL), gas cylinder = 3785mL]]</f>
        <v>0</v>
      </c>
      <c r="H22">
        <f>GCResults[[#This Row],[Pressure on Sampling (PSI), 145PSI=1MPa]]</f>
        <v>0</v>
      </c>
      <c r="I22">
        <f>pHCondMod[[#This Row],[Sample pH]]</f>
        <v>0</v>
      </c>
      <c r="J22">
        <f>pHCondMod[[#This Row],[Sample Conductivity (mS/cm)]]</f>
        <v>0</v>
      </c>
      <c r="K22">
        <f>pHCondMod[[#This Row],[Modification Description]]</f>
        <v>0</v>
      </c>
      <c r="L22" s="1">
        <f>NMRResults[[#This Row],[Date Run]]</f>
        <v>0</v>
      </c>
      <c r="M22" s="1">
        <f>ICPList[[#This Row],[Date Run]]</f>
        <v>0</v>
      </c>
      <c r="N22" s="1">
        <f>GCResults[[#This Row],[Date Run ]]</f>
        <v>0</v>
      </c>
    </row>
    <row r="23" spans="1:14" ht="14.45" x14ac:dyDescent="0.25">
      <c r="A23" t="str">
        <f>SampleList[[#This Row],[Experiment ID]]</f>
        <v>HPHT_093</v>
      </c>
      <c r="B23" t="str">
        <f>SampleList[[#This Row],[Sample Description]]</f>
        <v>Reactor 6 background</v>
      </c>
      <c r="C23" s="1">
        <f>SampleList[[#This Row],[Date Sampled]]</f>
        <v>46083</v>
      </c>
      <c r="D23">
        <f>SampleList[[#This Row],[Duration (Days)]]</f>
        <v>2</v>
      </c>
      <c r="E23">
        <f>NMRResults[[#This Row],[Ammonium Concentration (mM)]]</f>
        <v>0</v>
      </c>
      <c r="F23" t="str">
        <f>GCResults[[#This Row],[H2 (ppm)]]</f>
        <v/>
      </c>
      <c r="G23">
        <f>GCResults[[#This Row],[Total Gas Volume (mL), gas cylinder = 3785mL]]</f>
        <v>0</v>
      </c>
      <c r="H23">
        <f>GCResults[[#This Row],[Pressure on Sampling (PSI), 145PSI=1MPa]]</f>
        <v>0</v>
      </c>
      <c r="I23">
        <f>pHCondMod[[#This Row],[Sample pH]]</f>
        <v>0</v>
      </c>
      <c r="J23">
        <f>pHCondMod[[#This Row],[Sample Conductivity (mS/cm)]]</f>
        <v>0</v>
      </c>
      <c r="K23">
        <f>pHCondMod[[#This Row],[Modification Description]]</f>
        <v>0</v>
      </c>
      <c r="L23" s="1">
        <f>NMRResults[[#This Row],[Date Run]]</f>
        <v>0</v>
      </c>
      <c r="M23" s="1">
        <f>ICPList[[#This Row],[Date Run]]</f>
        <v>0</v>
      </c>
      <c r="N23" s="1">
        <f>GCResults[[#This Row],[Date Run ]]</f>
        <v>0</v>
      </c>
    </row>
    <row r="24" spans="1:14" ht="14.45" x14ac:dyDescent="0.25">
      <c r="A24" t="str">
        <f>SampleList[[#This Row],[Experiment ID]]</f>
        <v>HPHT_070</v>
      </c>
      <c r="B24" t="str">
        <f>SampleList[[#This Row],[Sample Description]]</f>
        <v>Final liquid + gas sample</v>
      </c>
      <c r="C24" s="1">
        <f>SampleList[[#This Row],[Date Sampled]]</f>
        <v>46086</v>
      </c>
      <c r="D24">
        <f>SampleList[[#This Row],[Duration (Days)]]</f>
        <v>52</v>
      </c>
      <c r="E24">
        <f>NMRResults[[#This Row],[Ammonium Concentration (mM)]]</f>
        <v>0</v>
      </c>
      <c r="F24" t="str">
        <f>GCResults[[#This Row],[H2 (ppm)]]</f>
        <v/>
      </c>
      <c r="G24">
        <f>GCResults[[#This Row],[Total Gas Volume (mL), gas cylinder = 3785mL]]</f>
        <v>0</v>
      </c>
      <c r="H24">
        <f>GCResults[[#This Row],[Pressure on Sampling (PSI), 145PSI=1MPa]]</f>
        <v>0</v>
      </c>
      <c r="I24">
        <f>pHCondMod[[#This Row],[Sample pH]]</f>
        <v>0</v>
      </c>
      <c r="J24">
        <f>pHCondMod[[#This Row],[Sample Conductivity (mS/cm)]]</f>
        <v>0</v>
      </c>
      <c r="K24">
        <f>pHCondMod[[#This Row],[Modification Description]]</f>
        <v>0</v>
      </c>
      <c r="L24" s="1">
        <f>NMRResults[[#This Row],[Date Run]]</f>
        <v>0</v>
      </c>
      <c r="M24" s="1">
        <f>ICPList[[#This Row],[Date Run]]</f>
        <v>0</v>
      </c>
      <c r="N24" s="1">
        <f>GCResults[[#This Row],[Date Run ]]</f>
        <v>0</v>
      </c>
    </row>
    <row r="25" spans="1:14" ht="14.45" x14ac:dyDescent="0.25">
      <c r="A25" t="str">
        <f>SampleList[[#This Row],[Experiment ID]]</f>
        <v>HPHT_071-2</v>
      </c>
      <c r="B25" t="str">
        <f>SampleList[[#This Row],[Sample Description]]</f>
        <v>2 days at 20C, hydrogen generated, final sample</v>
      </c>
      <c r="C25" s="1">
        <f>SampleList[[#This Row],[Date Sampled]]</f>
        <v>46086</v>
      </c>
      <c r="D25">
        <f>SampleList[[#This Row],[Duration (Days)]]</f>
        <v>22</v>
      </c>
      <c r="E25">
        <f>NMRResults[[#This Row],[Ammonium Concentration (mM)]]</f>
        <v>0</v>
      </c>
      <c r="F25" t="str">
        <f>GCResults[[#This Row],[H2 (ppm)]]</f>
        <v/>
      </c>
      <c r="G25">
        <f>GCResults[[#This Row],[Total Gas Volume (mL), gas cylinder = 3785mL]]</f>
        <v>0</v>
      </c>
      <c r="H25">
        <f>GCResults[[#This Row],[Pressure on Sampling (PSI), 145PSI=1MPa]]</f>
        <v>0</v>
      </c>
      <c r="I25">
        <f>pHCondMod[[#This Row],[Sample pH]]</f>
        <v>0</v>
      </c>
      <c r="J25">
        <f>pHCondMod[[#This Row],[Sample Conductivity (mS/cm)]]</f>
        <v>0</v>
      </c>
      <c r="K25">
        <f>pHCondMod[[#This Row],[Modification Description]]</f>
        <v>0</v>
      </c>
      <c r="L25" s="1">
        <f>NMRResults[[#This Row],[Date Run]]</f>
        <v>0</v>
      </c>
      <c r="M25" s="1">
        <f>ICPList[[#This Row],[Date Run]]</f>
        <v>46098</v>
      </c>
      <c r="N25" s="1">
        <f>GCResults[[#This Row],[Date Run ]]</f>
        <v>0</v>
      </c>
    </row>
    <row r="26" spans="1:14" ht="14.45" x14ac:dyDescent="0.25">
      <c r="A26" t="str">
        <f>SampleList[[#This Row],[Experiment ID]]</f>
        <v>HPHT_079</v>
      </c>
      <c r="B26" t="str">
        <f>SampleList[[#This Row],[Sample Description]]</f>
        <v>CaO Gas sample</v>
      </c>
      <c r="C26" s="1">
        <f>SampleList[[#This Row],[Date Sampled]]</f>
        <v>46086</v>
      </c>
      <c r="D26">
        <f>SampleList[[#This Row],[Duration (Days)]]</f>
        <v>28</v>
      </c>
      <c r="E26">
        <f>NMRResults[[#This Row],[Ammonium Concentration (mM)]]</f>
        <v>0</v>
      </c>
      <c r="F26" t="str">
        <f>GCResults[[#This Row],[H2 (ppm)]]</f>
        <v/>
      </c>
      <c r="G26">
        <f>GCResults[[#This Row],[Total Gas Volume (mL), gas cylinder = 3785mL]]</f>
        <v>0</v>
      </c>
      <c r="H26">
        <f>GCResults[[#This Row],[Pressure on Sampling (PSI), 145PSI=1MPa]]</f>
        <v>0</v>
      </c>
      <c r="I26">
        <f>pHCondMod[[#This Row],[Sample pH]]</f>
        <v>0</v>
      </c>
      <c r="J26">
        <f>pHCondMod[[#This Row],[Sample Conductivity (mS/cm)]]</f>
        <v>0</v>
      </c>
      <c r="K26">
        <f>pHCondMod[[#This Row],[Modification Description]]</f>
        <v>0</v>
      </c>
      <c r="L26" s="1">
        <f>NMRResults[[#This Row],[Date Run]]</f>
        <v>0</v>
      </c>
      <c r="M26" s="1">
        <f>ICPList[[#This Row],[Date Run]]</f>
        <v>46098</v>
      </c>
      <c r="N26" s="1">
        <f>GCResults[[#This Row],[Date Run ]]</f>
        <v>0</v>
      </c>
    </row>
    <row r="27" spans="1:14" ht="14.45" x14ac:dyDescent="0.25">
      <c r="A27" t="str">
        <f>SampleList[[#This Row],[Experiment ID]]</f>
        <v xml:space="preserve">HPHT_087 </v>
      </c>
      <c r="B27" t="str">
        <f>SampleList[[#This Row],[Sample Description]]</f>
        <v>Pre-rxn brine check</v>
      </c>
      <c r="C27" s="1">
        <f>SampleList[[#This Row],[Date Sampled]]</f>
        <v>46086</v>
      </c>
      <c r="D27">
        <f>SampleList[[#This Row],[Duration (Days)]]</f>
        <v>0</v>
      </c>
      <c r="E27">
        <f>NMRResults[[#This Row],[Ammonium Concentration (mM)]]</f>
        <v>0</v>
      </c>
      <c r="F27" t="str">
        <f>GCResults[[#This Row],[H2 (ppm)]]</f>
        <v/>
      </c>
      <c r="G27">
        <f>GCResults[[#This Row],[Total Gas Volume (mL), gas cylinder = 3785mL]]</f>
        <v>0</v>
      </c>
      <c r="H27">
        <f>GCResults[[#This Row],[Pressure on Sampling (PSI), 145PSI=1MPa]]</f>
        <v>0</v>
      </c>
      <c r="I27">
        <f>pHCondMod[[#This Row],[Sample pH]]</f>
        <v>0</v>
      </c>
      <c r="J27">
        <f>pHCondMod[[#This Row],[Sample Conductivity (mS/cm)]]</f>
        <v>0</v>
      </c>
      <c r="K27">
        <f>pHCondMod[[#This Row],[Modification Description]]</f>
        <v>0</v>
      </c>
      <c r="L27" s="1">
        <f>NMRResults[[#This Row],[Date Run]]</f>
        <v>0</v>
      </c>
      <c r="M27" s="1">
        <f>ICPList[[#This Row],[Date Run]]</f>
        <v>46098</v>
      </c>
      <c r="N27" s="1">
        <f>GCResults[[#This Row],[Date Run ]]</f>
        <v>0</v>
      </c>
    </row>
    <row r="28" spans="1:14" ht="14.45" x14ac:dyDescent="0.25">
      <c r="A28" t="str">
        <f>SampleList[[#This Row],[Experiment ID]]</f>
        <v xml:space="preserve">HPHT_087 </v>
      </c>
      <c r="B28" t="str">
        <f>SampleList[[#This Row],[Sample Description]]</f>
        <v>300C @ 4800 PSI</v>
      </c>
      <c r="C28" s="1">
        <f>SampleList[[#This Row],[Date Sampled]]</f>
        <v>46086</v>
      </c>
      <c r="D28">
        <f>SampleList[[#This Row],[Duration (Days)]]</f>
        <v>10</v>
      </c>
      <c r="E28">
        <f>NMRResults[[#This Row],[Ammonium Concentration (mM)]]</f>
        <v>0</v>
      </c>
      <c r="F28" t="str">
        <f>GCResults[[#This Row],[H2 (ppm)]]</f>
        <v/>
      </c>
      <c r="G28">
        <f>GCResults[[#This Row],[Total Gas Volume (mL), gas cylinder = 3785mL]]</f>
        <v>0</v>
      </c>
      <c r="H28">
        <f>GCResults[[#This Row],[Pressure on Sampling (PSI), 145PSI=1MPa]]</f>
        <v>0</v>
      </c>
      <c r="I28">
        <f>pHCondMod[[#This Row],[Sample pH]]</f>
        <v>0</v>
      </c>
      <c r="J28">
        <f>pHCondMod[[#This Row],[Sample Conductivity (mS/cm)]]</f>
        <v>0</v>
      </c>
      <c r="K28">
        <f>pHCondMod[[#This Row],[Modification Description]]</f>
        <v>0</v>
      </c>
      <c r="L28" s="1">
        <f>NMRResults[[#This Row],[Date Run]]</f>
        <v>0</v>
      </c>
      <c r="M28" s="1">
        <f>ICPList[[#This Row],[Date Run]]</f>
        <v>46098</v>
      </c>
      <c r="N28" s="1">
        <f>GCResults[[#This Row],[Date Run ]]</f>
        <v>0</v>
      </c>
    </row>
    <row r="29" spans="1:14" ht="14.45" x14ac:dyDescent="0.25">
      <c r="A29" t="str">
        <f>SampleList[[#This Row],[Experiment ID]]</f>
        <v>HPHT_090</v>
      </c>
      <c r="B29" t="str">
        <f>SampleList[[#This Row],[Sample Description]]</f>
        <v>Tamarack continued W:R 5:1</v>
      </c>
      <c r="C29" s="1">
        <f>SampleList[[#This Row],[Date Sampled]]</f>
        <v>46086</v>
      </c>
      <c r="D29">
        <f>SampleList[[#This Row],[Duration (Days)]]</f>
        <v>12</v>
      </c>
      <c r="E29">
        <f>NMRResults[[#This Row],[Ammonium Concentration (mM)]]</f>
        <v>0</v>
      </c>
      <c r="F29" t="str">
        <f>GCResults[[#This Row],[H2 (ppm)]]</f>
        <v/>
      </c>
      <c r="G29">
        <f>GCResults[[#This Row],[Total Gas Volume (mL), gas cylinder = 3785mL]]</f>
        <v>0</v>
      </c>
      <c r="H29">
        <f>GCResults[[#This Row],[Pressure on Sampling (PSI), 145PSI=1MPa]]</f>
        <v>0</v>
      </c>
      <c r="I29">
        <f>pHCondMod[[#This Row],[Sample pH]]</f>
        <v>0</v>
      </c>
      <c r="J29">
        <f>pHCondMod[[#This Row],[Sample Conductivity (mS/cm)]]</f>
        <v>0</v>
      </c>
      <c r="K29">
        <f>pHCondMod[[#This Row],[Modification Description]]</f>
        <v>0</v>
      </c>
      <c r="L29" s="1">
        <f>NMRResults[[#This Row],[Date Run]]</f>
        <v>0</v>
      </c>
      <c r="M29" s="1">
        <f>ICPList[[#This Row],[Date Run]]</f>
        <v>46098</v>
      </c>
      <c r="N29" s="1">
        <f>GCResults[[#This Row],[Date Run ]]</f>
        <v>0</v>
      </c>
    </row>
    <row r="30" spans="1:14" ht="14.45" x14ac:dyDescent="0.25">
      <c r="A30" t="str">
        <f>SampleList[[#This Row],[Experiment ID]]</f>
        <v>HPHT_095</v>
      </c>
      <c r="B30" t="str">
        <f>SampleList[[#This Row],[Sample Description]]</f>
        <v>Pre-rxn brine check</v>
      </c>
      <c r="C30" s="1">
        <f>SampleList[[#This Row],[Date Sampled]]</f>
        <v>46086</v>
      </c>
      <c r="D30">
        <f>SampleList[[#This Row],[Duration (Days)]]</f>
        <v>0</v>
      </c>
      <c r="E30">
        <f>NMRResults[[#This Row],[Ammonium Concentration (mM)]]</f>
        <v>0</v>
      </c>
      <c r="F30" t="str">
        <f>GCResults[[#This Row],[H2 (ppm)]]</f>
        <v/>
      </c>
      <c r="G30">
        <f>GCResults[[#This Row],[Total Gas Volume (mL), gas cylinder = 3785mL]]</f>
        <v>0</v>
      </c>
      <c r="H30">
        <f>GCResults[[#This Row],[Pressure on Sampling (PSI), 145PSI=1MPa]]</f>
        <v>0</v>
      </c>
      <c r="I30">
        <f>pHCondMod[[#This Row],[Sample pH]]</f>
        <v>0</v>
      </c>
      <c r="J30">
        <f>pHCondMod[[#This Row],[Sample Conductivity (mS/cm)]]</f>
        <v>0</v>
      </c>
      <c r="K30">
        <f>pHCondMod[[#This Row],[Modification Description]]</f>
        <v>0</v>
      </c>
      <c r="L30" s="1">
        <f>NMRResults[[#This Row],[Date Run]]</f>
        <v>0</v>
      </c>
      <c r="M30" s="1">
        <f>ICPList[[#This Row],[Date Run]]</f>
        <v>0</v>
      </c>
      <c r="N30" s="1">
        <f>GCResults[[#This Row],[Date Run ]]</f>
        <v>0</v>
      </c>
    </row>
    <row r="31" spans="1:14" ht="14.45" x14ac:dyDescent="0.25">
      <c r="A31" t="str">
        <f>SampleList[[#This Row],[Experiment ID]]</f>
        <v>HPHT_079</v>
      </c>
      <c r="B31" t="str">
        <f>SampleList[[#This Row],[Sample Description]]</f>
        <v>CaO Gas sample</v>
      </c>
      <c r="C31" s="1">
        <f>SampleList[[#This Row],[Date Sampled]]</f>
        <v>46092</v>
      </c>
      <c r="D31">
        <f>SampleList[[#This Row],[Duration (Days)]]</f>
        <v>34</v>
      </c>
      <c r="E31">
        <f>NMRResults[[#This Row],[Ammonium Concentration (mM)]]</f>
        <v>0</v>
      </c>
      <c r="F31" t="str">
        <f>GCResults[[#This Row],[H2 (ppm)]]</f>
        <v/>
      </c>
      <c r="G31">
        <f>GCResults[[#This Row],[Total Gas Volume (mL), gas cylinder = 3785mL]]</f>
        <v>0</v>
      </c>
      <c r="H31">
        <f>GCResults[[#This Row],[Pressure on Sampling (PSI), 145PSI=1MPa]]</f>
        <v>0</v>
      </c>
      <c r="I31">
        <f>pHCondMod[[#This Row],[Sample pH]]</f>
        <v>0</v>
      </c>
      <c r="J31">
        <f>pHCondMod[[#This Row],[Sample Conductivity (mS/cm)]]</f>
        <v>0</v>
      </c>
      <c r="K31">
        <f>pHCondMod[[#This Row],[Modification Description]]</f>
        <v>0</v>
      </c>
      <c r="L31" s="1">
        <f>NMRResults[[#This Row],[Date Run]]</f>
        <v>0</v>
      </c>
      <c r="M31" s="1">
        <f>ICPList[[#This Row],[Date Run]]</f>
        <v>0</v>
      </c>
      <c r="N31" s="1">
        <f>GCResults[[#This Row],[Date Run ]]</f>
        <v>0</v>
      </c>
    </row>
    <row r="32" spans="1:14" ht="14.45" x14ac:dyDescent="0.25">
      <c r="A32" t="str">
        <f>SampleList[[#This Row],[Experiment ID]]</f>
        <v xml:space="preserve">HPHT_087 </v>
      </c>
      <c r="B32" t="str">
        <f>SampleList[[#This Row],[Sample Description]]</f>
        <v>Flow through 300C +3 days</v>
      </c>
      <c r="C32" s="1">
        <f>SampleList[[#This Row],[Date Sampled]]</f>
        <v>46092</v>
      </c>
      <c r="D32">
        <f>SampleList[[#This Row],[Duration (Days)]]</f>
        <v>9</v>
      </c>
      <c r="E32">
        <f>NMRResults[[#This Row],[Ammonium Concentration (mM)]]</f>
        <v>0</v>
      </c>
      <c r="F32" t="str">
        <f>GCResults[[#This Row],[H2 (ppm)]]</f>
        <v/>
      </c>
      <c r="G32">
        <f>GCResults[[#This Row],[Total Gas Volume (mL), gas cylinder = 3785mL]]</f>
        <v>0</v>
      </c>
      <c r="H32">
        <f>GCResults[[#This Row],[Pressure on Sampling (PSI), 145PSI=1MPa]]</f>
        <v>0</v>
      </c>
      <c r="I32">
        <f>pHCondMod[[#This Row],[Sample pH]]</f>
        <v>0</v>
      </c>
      <c r="J32">
        <f>pHCondMod[[#This Row],[Sample Conductivity (mS/cm)]]</f>
        <v>0</v>
      </c>
      <c r="K32">
        <f>pHCondMod[[#This Row],[Modification Description]]</f>
        <v>0</v>
      </c>
      <c r="L32" s="1">
        <f>NMRResults[[#This Row],[Date Run]]</f>
        <v>0</v>
      </c>
      <c r="M32" s="1">
        <f>ICPList[[#This Row],[Date Run]]</f>
        <v>0</v>
      </c>
      <c r="N32" s="1">
        <f>GCResults[[#This Row],[Date Run ]]</f>
        <v>0</v>
      </c>
    </row>
    <row r="33" spans="1:14" ht="14.45" x14ac:dyDescent="0.25">
      <c r="A33" t="str">
        <f>SampleList[[#This Row],[Experiment ID]]</f>
        <v xml:space="preserve">HPHT_087 </v>
      </c>
      <c r="B33" t="str">
        <f>SampleList[[#This Row],[Sample Description]]</f>
        <v>Flow throughfinal sampling</v>
      </c>
      <c r="C33" s="1">
        <f>SampleList[[#This Row],[Date Sampled]]</f>
        <v>46092</v>
      </c>
      <c r="D33">
        <f>SampleList[[#This Row],[Duration (Days)]]</f>
        <v>15</v>
      </c>
      <c r="E33">
        <f>NMRResults[[#This Row],[Ammonium Concentration (mM)]]</f>
        <v>0</v>
      </c>
      <c r="F33" t="str">
        <f>GCResults[[#This Row],[H2 (ppm)]]</f>
        <v/>
      </c>
      <c r="G33">
        <f>GCResults[[#This Row],[Total Gas Volume (mL), gas cylinder = 3785mL]]</f>
        <v>0</v>
      </c>
      <c r="H33">
        <f>GCResults[[#This Row],[Pressure on Sampling (PSI), 145PSI=1MPa]]</f>
        <v>3552.5</v>
      </c>
      <c r="I33">
        <f>pHCondMod[[#This Row],[Sample pH]]</f>
        <v>0</v>
      </c>
      <c r="J33">
        <f>pHCondMod[[#This Row],[Sample Conductivity (mS/cm)]]</f>
        <v>0</v>
      </c>
      <c r="K33">
        <f>pHCondMod[[#This Row],[Modification Description]]</f>
        <v>0</v>
      </c>
      <c r="L33" s="1">
        <f>NMRResults[[#This Row],[Date Run]]</f>
        <v>0</v>
      </c>
      <c r="M33" s="1">
        <f>ICPList[[#This Row],[Date Run]]</f>
        <v>46098</v>
      </c>
      <c r="N33" s="1">
        <f>GCResults[[#This Row],[Date Run ]]</f>
        <v>0</v>
      </c>
    </row>
    <row r="34" spans="1:14" ht="14.45" x14ac:dyDescent="0.25">
      <c r="A34" t="str">
        <f>SampleList[[#This Row],[Experiment ID]]</f>
        <v>HPHT_096</v>
      </c>
      <c r="B34" t="str">
        <f>SampleList[[#This Row],[Sample Description]]</f>
        <v>Liquid and gas sample</v>
      </c>
      <c r="C34" s="1">
        <f>SampleList[[#This Row],[Date Sampled]]</f>
        <v>46087</v>
      </c>
      <c r="D34">
        <f>SampleList[[#This Row],[Duration (Days)]]</f>
        <v>0</v>
      </c>
      <c r="E34">
        <f>NMRResults[[#This Row],[Ammonium Concentration (mM)]]</f>
        <v>0</v>
      </c>
      <c r="F34" t="str">
        <f>GCResults[[#This Row],[H2 (ppm)]]</f>
        <v/>
      </c>
      <c r="G34">
        <f>GCResults[[#This Row],[Total Gas Volume (mL), gas cylinder = 3785mL]]</f>
        <v>0</v>
      </c>
      <c r="H34">
        <f>GCResults[[#This Row],[Pressure on Sampling (PSI), 145PSI=1MPa]]</f>
        <v>3552.5</v>
      </c>
      <c r="I34">
        <f>pHCondMod[[#This Row],[Sample pH]]</f>
        <v>0</v>
      </c>
      <c r="J34">
        <f>pHCondMod[[#This Row],[Sample Conductivity (mS/cm)]]</f>
        <v>0</v>
      </c>
      <c r="K34">
        <f>pHCondMod[[#This Row],[Modification Description]]</f>
        <v>0</v>
      </c>
      <c r="L34" s="1">
        <f>NMRResults[[#This Row],[Date Run]]</f>
        <v>0</v>
      </c>
      <c r="M34" s="1">
        <f>ICPList[[#This Row],[Date Run]]</f>
        <v>0</v>
      </c>
      <c r="N34" s="1">
        <f>GCResults[[#This Row],[Date Run ]]</f>
        <v>0</v>
      </c>
    </row>
    <row r="35" spans="1:14" ht="14.45" x14ac:dyDescent="0.25">
      <c r="A35" t="str">
        <f>SampleList[[#This Row],[Experiment ID]]</f>
        <v>HPHT_090</v>
      </c>
      <c r="B35" t="str">
        <f>SampleList[[#This Row],[Sample Description]]</f>
        <v>Tamarack W:R 5:1, low fluid level</v>
      </c>
      <c r="C35" s="1">
        <f>SampleList[[#This Row],[Date Sampled]]</f>
        <v>46092</v>
      </c>
      <c r="D35">
        <f>SampleList[[#This Row],[Duration (Days)]]</f>
        <v>15</v>
      </c>
      <c r="E35">
        <f>NMRResults[[#This Row],[Ammonium Concentration (mM)]]</f>
        <v>0</v>
      </c>
      <c r="F35" t="str">
        <f>GCResults[[#This Row],[H2 (ppm)]]</f>
        <v/>
      </c>
      <c r="G35">
        <f>GCResults[[#This Row],[Total Gas Volume (mL), gas cylinder = 3785mL]]</f>
        <v>0</v>
      </c>
      <c r="H35">
        <f>GCResults[[#This Row],[Pressure on Sampling (PSI), 145PSI=1MPa]]</f>
        <v>3552.5</v>
      </c>
      <c r="I35">
        <f>pHCondMod[[#This Row],[Sample pH]]</f>
        <v>0</v>
      </c>
      <c r="J35">
        <f>pHCondMod[[#This Row],[Sample Conductivity (mS/cm)]]</f>
        <v>0</v>
      </c>
      <c r="K35">
        <f>pHCondMod[[#This Row],[Modification Description]]</f>
        <v>0</v>
      </c>
      <c r="L35" s="1">
        <f>NMRResults[[#This Row],[Date Run]]</f>
        <v>0</v>
      </c>
      <c r="M35" s="1">
        <f>ICPList[[#This Row],[Date Run]]</f>
        <v>46098</v>
      </c>
      <c r="N35" s="1">
        <f>GCResults[[#This Row],[Date Run ]]</f>
        <v>0</v>
      </c>
    </row>
    <row r="36" spans="1:14" ht="14.45" x14ac:dyDescent="0.25">
      <c r="A36" t="str">
        <f>SampleList[[#This Row],[Experiment ID]]</f>
        <v>HPHT_096</v>
      </c>
      <c r="B36" t="str">
        <f>SampleList[[#This Row],[Sample Description]]</f>
        <v>Liquid and gas sample</v>
      </c>
      <c r="C36" s="1">
        <f>SampleList[[#This Row],[Date Sampled]]</f>
        <v>46092</v>
      </c>
      <c r="D36">
        <f>SampleList[[#This Row],[Duration (Days)]]</f>
        <v>5</v>
      </c>
      <c r="E36">
        <f>NMRResults[[#This Row],[Ammonium Concentration (mM)]]</f>
        <v>0</v>
      </c>
      <c r="F36" t="str">
        <f>GCResults[[#This Row],[H2 (ppm)]]</f>
        <v/>
      </c>
      <c r="G36">
        <f>GCResults[[#This Row],[Total Gas Volume (mL), gas cylinder = 3785mL]]</f>
        <v>0</v>
      </c>
      <c r="H36">
        <f>GCResults[[#This Row],[Pressure on Sampling (PSI), 145PSI=1MPa]]</f>
        <v>3552.5</v>
      </c>
      <c r="I36">
        <f>pHCondMod[[#This Row],[Sample pH]]</f>
        <v>0</v>
      </c>
      <c r="J36">
        <f>pHCondMod[[#This Row],[Sample Conductivity (mS/cm)]]</f>
        <v>0</v>
      </c>
      <c r="K36">
        <f>pHCondMod[[#This Row],[Modification Description]]</f>
        <v>0</v>
      </c>
      <c r="L36" s="1">
        <f>NMRResults[[#This Row],[Date Run]]</f>
        <v>0</v>
      </c>
      <c r="M36" s="1">
        <f>ICPList[[#This Row],[Date Run]]</f>
        <v>46098</v>
      </c>
      <c r="N36" s="1">
        <f>GCResults[[#This Row],[Date Run ]]</f>
        <v>0</v>
      </c>
    </row>
    <row r="37" spans="1:14" ht="14.45" x14ac:dyDescent="0.25">
      <c r="A37" t="str">
        <f>SampleList[[#This Row],[Experiment ID]]</f>
        <v>HPHT_095</v>
      </c>
      <c r="B37" t="str">
        <f>SampleList[[#This Row],[Sample Description]]</f>
        <v>Tamarack W:R 1:1, low fluid level</v>
      </c>
      <c r="C37" s="1">
        <f>SampleList[[#This Row],[Date Sampled]]</f>
        <v>46092</v>
      </c>
      <c r="D37">
        <f>SampleList[[#This Row],[Duration (Days)]]</f>
        <v>4</v>
      </c>
      <c r="E37">
        <f>NMRResults[[#This Row],[Ammonium Concentration (mM)]]</f>
        <v>0</v>
      </c>
      <c r="F37" t="str">
        <f>GCResults[[#This Row],[H2 (ppm)]]</f>
        <v/>
      </c>
      <c r="G37">
        <f>GCResults[[#This Row],[Total Gas Volume (mL), gas cylinder = 3785mL]]</f>
        <v>0</v>
      </c>
      <c r="H37">
        <f>GCResults[[#This Row],[Pressure on Sampling (PSI), 145PSI=1MPa]]</f>
        <v>3552.5</v>
      </c>
      <c r="I37">
        <f>pHCondMod[[#This Row],[Sample pH]]</f>
        <v>0</v>
      </c>
      <c r="J37">
        <f>pHCondMod[[#This Row],[Sample Conductivity (mS/cm)]]</f>
        <v>0</v>
      </c>
      <c r="K37">
        <f>pHCondMod[[#This Row],[Modification Description]]</f>
        <v>0</v>
      </c>
      <c r="L37" s="1">
        <f>NMRResults[[#This Row],[Date Run]]</f>
        <v>0</v>
      </c>
      <c r="M37" s="1">
        <f>ICPList[[#This Row],[Date Run]]</f>
        <v>0</v>
      </c>
      <c r="N37" s="1">
        <f>GCResults[[#This Row],[Date Run ]]</f>
        <v>0</v>
      </c>
    </row>
    <row r="38" spans="1:14" ht="14.45" x14ac:dyDescent="0.25">
      <c r="A38" t="str">
        <f>SampleList[[#This Row],[Experiment ID]]</f>
        <v>HPHT_103</v>
      </c>
      <c r="B38" t="str">
        <f>SampleList[[#This Row],[Sample Description]]</f>
        <v>Pre-rxn brine check</v>
      </c>
      <c r="C38" s="1">
        <f>SampleList[[#This Row],[Date Sampled]]</f>
        <v>46099</v>
      </c>
      <c r="D38">
        <f>SampleList[[#This Row],[Duration (Days)]]</f>
        <v>0</v>
      </c>
      <c r="E38">
        <f>NMRResults[[#This Row],[Ammonium Concentration (mM)]]</f>
        <v>3.6764705882352945E-3</v>
      </c>
      <c r="F38" t="str">
        <f>GCResults[[#This Row],[H2 (ppm)]]</f>
        <v/>
      </c>
      <c r="G38">
        <f>GCResults[[#This Row],[Total Gas Volume (mL), gas cylinder = 3785mL]]</f>
        <v>0</v>
      </c>
      <c r="H38">
        <f>GCResults[[#This Row],[Pressure on Sampling (PSI), 145PSI=1MPa]]</f>
        <v>3552.5</v>
      </c>
      <c r="I38">
        <f>pHCondMod[[#This Row],[Sample pH]]</f>
        <v>0</v>
      </c>
      <c r="J38">
        <f>pHCondMod[[#This Row],[Sample Conductivity (mS/cm)]]</f>
        <v>0</v>
      </c>
      <c r="K38">
        <f>pHCondMod[[#This Row],[Modification Description]]</f>
        <v>0</v>
      </c>
      <c r="L38" s="1">
        <f>NMRResults[[#This Row],[Date Run]]</f>
        <v>46099</v>
      </c>
      <c r="M38" s="1">
        <f>ICPList[[#This Row],[Date Run]]</f>
        <v>0</v>
      </c>
      <c r="N38" s="1">
        <f>GCResults[[#This Row],[Date Run ]]</f>
        <v>0</v>
      </c>
    </row>
    <row r="39" spans="1:14" ht="14.45" x14ac:dyDescent="0.25">
      <c r="A39" t="str">
        <f>SampleList[[#This Row],[Experiment ID]]</f>
        <v>HPHT_104</v>
      </c>
      <c r="B39" t="str">
        <f>SampleList[[#This Row],[Sample Description]]</f>
        <v>Pre-rxn brine check</v>
      </c>
      <c r="C39" s="1">
        <f>SampleList[[#This Row],[Date Sampled]]</f>
        <v>46099</v>
      </c>
      <c r="D39">
        <f>SampleList[[#This Row],[Duration (Days)]]</f>
        <v>0</v>
      </c>
      <c r="E39">
        <f>NMRResults[[#This Row],[Ammonium Concentration (mM)]]</f>
        <v>1.1029411764705883E-2</v>
      </c>
      <c r="F39" t="str">
        <f>GCResults[[#This Row],[H2 (ppm)]]</f>
        <v/>
      </c>
      <c r="G39">
        <f>GCResults[[#This Row],[Total Gas Volume (mL), gas cylinder = 3785mL]]</f>
        <v>0</v>
      </c>
      <c r="H39">
        <f>GCResults[[#This Row],[Pressure on Sampling (PSI), 145PSI=1MPa]]</f>
        <v>3552.5</v>
      </c>
      <c r="I39">
        <f>pHCondMod[[#This Row],[Sample pH]]</f>
        <v>0</v>
      </c>
      <c r="J39">
        <f>pHCondMod[[#This Row],[Sample Conductivity (mS/cm)]]</f>
        <v>0</v>
      </c>
      <c r="K39">
        <f>pHCondMod[[#This Row],[Modification Description]]</f>
        <v>0</v>
      </c>
      <c r="L39" s="1">
        <f>NMRResults[[#This Row],[Date Run]]</f>
        <v>46099</v>
      </c>
      <c r="M39" s="1">
        <f>ICPList[[#This Row],[Date Run]]</f>
        <v>0</v>
      </c>
      <c r="N39" s="1">
        <f>GCResults[[#This Row],[Date Run ]]</f>
        <v>0</v>
      </c>
    </row>
    <row r="40" spans="1:14" ht="14.45" x14ac:dyDescent="0.25">
      <c r="A40" t="str">
        <f>SampleList[[#This Row],[Experiment ID]]</f>
        <v>HPHT_096</v>
      </c>
      <c r="B40" t="str">
        <f>SampleList[[#This Row],[Sample Description]]</f>
        <v>NMR tube 10 from 3/16/26</v>
      </c>
      <c r="C40" s="1">
        <f>SampleList[[#This Row],[Date Sampled]]</f>
        <v>46097</v>
      </c>
      <c r="D40">
        <f>SampleList[[#This Row],[Duration (Days)]]</f>
        <v>10</v>
      </c>
      <c r="E40">
        <f>NMRResults[[#This Row],[Ammonium Concentration (mM)]]</f>
        <v>0.94485294117647056</v>
      </c>
      <c r="F40" t="str">
        <f>GCResults[[#This Row],[H2 (ppm)]]</f>
        <v/>
      </c>
      <c r="G40">
        <f>GCResults[[#This Row],[Total Gas Volume (mL), gas cylinder = 3785mL]]</f>
        <v>0</v>
      </c>
      <c r="H40">
        <f>GCResults[[#This Row],[Pressure on Sampling (PSI), 145PSI=1MPa]]</f>
        <v>3552.5</v>
      </c>
      <c r="I40">
        <f>pHCondMod[[#This Row],[Sample pH]]</f>
        <v>0</v>
      </c>
      <c r="J40">
        <f>pHCondMod[[#This Row],[Sample Conductivity (mS/cm)]]</f>
        <v>0</v>
      </c>
      <c r="K40">
        <f>pHCondMod[[#This Row],[Modification Description]]</f>
        <v>0</v>
      </c>
      <c r="L40" s="1">
        <f>NMRResults[[#This Row],[Date Run]]</f>
        <v>46099</v>
      </c>
      <c r="M40" s="1">
        <f>ICPList[[#This Row],[Date Run]]</f>
        <v>0</v>
      </c>
      <c r="N40" s="1">
        <f>GCResults[[#This Row],[Date Run ]]</f>
        <v>0</v>
      </c>
    </row>
    <row r="41" spans="1:14" ht="14.45" x14ac:dyDescent="0.25">
      <c r="A41" t="str">
        <f>SampleList[[#This Row],[Experiment ID]]</f>
        <v>NMR Standard</v>
      </c>
      <c r="B41" t="str">
        <f>SampleList[[#This Row],[Sample Description]]</f>
        <v>NH4 Standard NMR</v>
      </c>
      <c r="C41" s="1">
        <f>SampleList[[#This Row],[Date Sampled]]</f>
        <v>46099</v>
      </c>
      <c r="D41">
        <f>SampleList[[#This Row],[Duration (Days)]]</f>
        <v>0</v>
      </c>
      <c r="E41">
        <f>NMRResults[[#This Row],[Ammonium Concentration (mM)]]</f>
        <v>0.38939051918735895</v>
      </c>
      <c r="F41" t="str">
        <f>GCResults[[#This Row],[H2 (ppm)]]</f>
        <v/>
      </c>
      <c r="G41">
        <f>GCResults[[#This Row],[Total Gas Volume (mL), gas cylinder = 3785mL]]</f>
        <v>0</v>
      </c>
      <c r="H41">
        <f>GCResults[[#This Row],[Pressure on Sampling (PSI), 145PSI=1MPa]]</f>
        <v>3552.5</v>
      </c>
      <c r="I41">
        <f>pHCondMod[[#This Row],[Sample pH]]</f>
        <v>0</v>
      </c>
      <c r="J41">
        <f>pHCondMod[[#This Row],[Sample Conductivity (mS/cm)]]</f>
        <v>0</v>
      </c>
      <c r="K41">
        <f>pHCondMod[[#This Row],[Modification Description]]</f>
        <v>0</v>
      </c>
      <c r="L41" s="1">
        <f>NMRResults[[#This Row],[Date Run]]</f>
        <v>46099</v>
      </c>
      <c r="M41" s="1">
        <f>ICPList[[#This Row],[Date Run]]</f>
        <v>0</v>
      </c>
      <c r="N41" s="1">
        <f>GCResults[[#This Row],[Date Run ]]</f>
        <v>0</v>
      </c>
    </row>
    <row r="42" spans="1:14" ht="14.45" x14ac:dyDescent="0.25">
      <c r="A42" t="str">
        <f>SampleList[[#This Row],[Experiment ID]]</f>
        <v>HPHT_070_Desorption</v>
      </c>
      <c r="B42" t="str">
        <f>SampleList[[#This Row],[Sample Description]]</f>
        <v>Desorption test</v>
      </c>
      <c r="C42" s="1">
        <f>SampleList[[#This Row],[Date Sampled]]</f>
        <v>46099</v>
      </c>
      <c r="D42">
        <f>SampleList[[#This Row],[Duration (Days)]]</f>
        <v>5</v>
      </c>
      <c r="E42">
        <f>NMRResults[[#This Row],[Ammonium Concentration (mM)]]</f>
        <v>5.1470588235294129E-2</v>
      </c>
      <c r="F42" t="str">
        <f>GCResults[[#This Row],[H2 (ppm)]]</f>
        <v/>
      </c>
      <c r="G42">
        <f>GCResults[[#This Row],[Total Gas Volume (mL), gas cylinder = 3785mL]]</f>
        <v>0</v>
      </c>
      <c r="H42">
        <f>GCResults[[#This Row],[Pressure on Sampling (PSI), 145PSI=1MPa]]</f>
        <v>3552.5</v>
      </c>
      <c r="I42">
        <f>pHCondMod[[#This Row],[Sample pH]]</f>
        <v>0</v>
      </c>
      <c r="J42">
        <f>pHCondMod[[#This Row],[Sample Conductivity (mS/cm)]]</f>
        <v>0</v>
      </c>
      <c r="K42">
        <f>pHCondMod[[#This Row],[Modification Description]]</f>
        <v>0</v>
      </c>
      <c r="L42" s="1">
        <f>NMRResults[[#This Row],[Date Run]]</f>
        <v>46099</v>
      </c>
      <c r="M42" s="1">
        <f>ICPList[[#This Row],[Date Run]]</f>
        <v>0</v>
      </c>
      <c r="N42" s="1">
        <f>GCResults[[#This Row],[Date Run ]]</f>
        <v>0</v>
      </c>
    </row>
    <row r="43" spans="1:14" ht="14.45" x14ac:dyDescent="0.25">
      <c r="A43" t="str">
        <f>SampleList[[#This Row],[Experiment ID]]</f>
        <v>HPHT_089</v>
      </c>
      <c r="B43" t="str">
        <f>SampleList[[#This Row],[Sample Description]]</f>
        <v>Liquid and Gas sample</v>
      </c>
      <c r="C43" s="1">
        <f>SampleList[[#This Row],[Date Sampled]]</f>
        <v>46100</v>
      </c>
      <c r="D43">
        <f>SampleList[[#This Row],[Duration (Days)]]</f>
        <v>3</v>
      </c>
      <c r="E43">
        <f>NMRResults[[#This Row],[Ammonium Concentration (mM)]]</f>
        <v>0.72794117647058831</v>
      </c>
      <c r="F43">
        <f>GCResults[[#This Row],[H2 (ppm)]]</f>
        <v>1012.9292596557686</v>
      </c>
      <c r="G43">
        <f>GCResults[[#This Row],[Total Gas Volume (mL), gas cylinder = 3785mL]]</f>
        <v>3785</v>
      </c>
      <c r="H43">
        <f>GCResults[[#This Row],[Pressure on Sampling (PSI), 145PSI=1MPa]]</f>
        <v>14.5</v>
      </c>
      <c r="I43">
        <f>pHCondMod[[#This Row],[Sample pH]]</f>
        <v>10.31</v>
      </c>
      <c r="J43">
        <f>pHCondMod[[#This Row],[Sample Conductivity (mS/cm)]]</f>
        <v>40.36</v>
      </c>
      <c r="K43" t="str">
        <f>pHCondMod[[#This Row],[Modification Description]]</f>
        <v>-1.67g wet rock.</v>
      </c>
      <c r="L43" s="1">
        <f>NMRResults[[#This Row],[Date Run]]</f>
        <v>46101</v>
      </c>
      <c r="M43" s="1">
        <f>ICPList[[#This Row],[Date Run]]</f>
        <v>0</v>
      </c>
      <c r="N43" s="1">
        <f>GCResults[[#This Row],[Date Run ]]</f>
        <v>46100</v>
      </c>
    </row>
    <row r="44" spans="1:14" ht="14.45" x14ac:dyDescent="0.25">
      <c r="A44" t="str">
        <f>SampleList[[#This Row],[Experiment ID]]</f>
        <v>HPHT_096</v>
      </c>
      <c r="B44" t="str">
        <f>SampleList[[#This Row],[Sample Description]]</f>
        <v>Liquid and Gas sample</v>
      </c>
      <c r="C44" s="1">
        <f>SampleList[[#This Row],[Date Sampled]]</f>
        <v>46100</v>
      </c>
      <c r="D44">
        <f>SampleList[[#This Row],[Duration (Days)]]</f>
        <v>13</v>
      </c>
      <c r="E44">
        <f>NMRResults[[#This Row],[Ammonium Concentration (mM)]]</f>
        <v>0.27941176470588236</v>
      </c>
      <c r="F44">
        <f>GCResults[[#This Row],[H2 (ppm)]]</f>
        <v>354.11348101787036</v>
      </c>
      <c r="G44">
        <f>GCResults[[#This Row],[Total Gas Volume (mL), gas cylinder = 3785mL]]</f>
        <v>3785</v>
      </c>
      <c r="H44">
        <f>GCResults[[#This Row],[Pressure on Sampling (PSI), 145PSI=1MPa]]</f>
        <v>14.5</v>
      </c>
      <c r="I44">
        <f>pHCondMod[[#This Row],[Sample pH]]</f>
        <v>7.3</v>
      </c>
      <c r="J44">
        <f>pHCondMod[[#This Row],[Sample Conductivity (mS/cm)]]</f>
        <v>9.9</v>
      </c>
      <c r="K44" t="str">
        <f>pHCondMod[[#This Row],[Modification Description]]</f>
        <v>+1mL 1M KOH. pH 7.3 --&gt; pH 9.9, EC 9.9 mS/cm.</v>
      </c>
      <c r="L44" s="1">
        <f>NMRResults[[#This Row],[Date Run]]</f>
        <v>46101</v>
      </c>
      <c r="M44" s="1">
        <f>ICPList[[#This Row],[Date Run]]</f>
        <v>0</v>
      </c>
      <c r="N44" s="1">
        <f>GCResults[[#This Row],[Date Run ]]</f>
        <v>46100</v>
      </c>
    </row>
    <row r="45" spans="1:14" ht="14.45" x14ac:dyDescent="0.25">
      <c r="A45" t="str">
        <f>SampleList[[#This Row],[Experiment ID]]</f>
        <v>HPHT_079</v>
      </c>
      <c r="B45" t="str">
        <f>SampleList[[#This Row],[Sample Description]]</f>
        <v>Gas sample</v>
      </c>
      <c r="C45" s="1">
        <f>SampleList[[#This Row],[Date Sampled]]</f>
        <v>46100</v>
      </c>
      <c r="D45">
        <f>SampleList[[#This Row],[Duration (Days)]]</f>
        <v>42</v>
      </c>
      <c r="E45">
        <f>NMRResults[[#This Row],[Ammonium Concentration (mM)]]</f>
        <v>0</v>
      </c>
      <c r="F45">
        <f>GCResults[[#This Row],[H2 (ppm)]]</f>
        <v>1309.3963600428228</v>
      </c>
      <c r="G45">
        <f>GCResults[[#This Row],[Total Gas Volume (mL), gas cylinder = 3785mL]]</f>
        <v>3785</v>
      </c>
      <c r="H45">
        <f>GCResults[[#This Row],[Pressure on Sampling (PSI), 145PSI=1MPa]]</f>
        <v>39.150000000000006</v>
      </c>
      <c r="I45">
        <f>pHCondMod[[#This Row],[Sample pH]]</f>
        <v>0</v>
      </c>
      <c r="J45">
        <f>pHCondMod[[#This Row],[Sample Conductivity (mS/cm)]]</f>
        <v>0</v>
      </c>
      <c r="K45">
        <f>pHCondMod[[#This Row],[Modification Description]]</f>
        <v>0</v>
      </c>
      <c r="L45" s="1">
        <f>NMRResults[[#This Row],[Date Run]]</f>
        <v>0</v>
      </c>
      <c r="M45" s="1">
        <f>ICPList[[#This Row],[Date Run]]</f>
        <v>0</v>
      </c>
      <c r="N45" s="1">
        <f>GCResults[[#This Row],[Date Run ]]</f>
        <v>46100</v>
      </c>
    </row>
    <row r="46" spans="1:14" ht="14.45" x14ac:dyDescent="0.25">
      <c r="A46" t="str">
        <f>SampleList[[#This Row],[Experiment ID]]</f>
        <v>HPHT_097</v>
      </c>
      <c r="B46" t="str">
        <f>SampleList[[#This Row],[Sample Description]]</f>
        <v>Liquid sample</v>
      </c>
      <c r="C46" s="1">
        <f>SampleList[[#This Row],[Date Sampled]]</f>
        <v>46101</v>
      </c>
      <c r="D46">
        <f>SampleList[[#This Row],[Duration (Days)]]</f>
        <v>8</v>
      </c>
      <c r="E46">
        <f>NMRResults[[#This Row],[Ammonium Concentration (mM)]]</f>
        <v>0.84191176470588236</v>
      </c>
      <c r="F46" t="str">
        <f>GCResults[[#This Row],[H2 (ppm)]]</f>
        <v/>
      </c>
      <c r="G46">
        <f>GCResults[[#This Row],[Total Gas Volume (mL), gas cylinder = 3785mL]]</f>
        <v>0</v>
      </c>
      <c r="H46">
        <f>GCResults[[#This Row],[Pressure on Sampling (PSI), 145PSI=1MPa]]</f>
        <v>3552.5</v>
      </c>
      <c r="I46">
        <f>pHCondMod[[#This Row],[Sample pH]]</f>
        <v>0</v>
      </c>
      <c r="J46">
        <f>pHCondMod[[#This Row],[Sample Conductivity (mS/cm)]]</f>
        <v>0</v>
      </c>
      <c r="K46">
        <f>pHCondMod[[#This Row],[Modification Description]]</f>
        <v>0</v>
      </c>
      <c r="L46" s="1">
        <f>NMRResults[[#This Row],[Date Run]]</f>
        <v>46101</v>
      </c>
      <c r="M46" s="1">
        <f>ICPList[[#This Row],[Date Run]]</f>
        <v>0</v>
      </c>
      <c r="N46" s="1">
        <f>GCResults[[#This Row],[Date Run ]]</f>
        <v>0</v>
      </c>
    </row>
    <row r="47" spans="1:14" ht="14.45" x14ac:dyDescent="0.25">
      <c r="A47" t="str">
        <f>SampleList[[#This Row],[Experiment ID]]</f>
        <v>HPHT_105</v>
      </c>
      <c r="B47" t="str">
        <f>SampleList[[#This Row],[Sample Description]]</f>
        <v>Liquid and Gas sample</v>
      </c>
      <c r="C47" s="1">
        <f>SampleList[[#This Row],[Date Sampled]]</f>
        <v>46101</v>
      </c>
      <c r="D47">
        <f>SampleList[[#This Row],[Duration (Days)]]</f>
        <v>3</v>
      </c>
      <c r="E47">
        <f>NMRResults[[#This Row],[Ammonium Concentration (mM)]]</f>
        <v>0.63235294117647056</v>
      </c>
      <c r="F47">
        <f>GCResults[[#This Row],[H2 (ppm)]]</f>
        <v>0</v>
      </c>
      <c r="G47">
        <f>GCResults[[#This Row],[Total Gas Volume (mL), gas cylinder = 3785mL]]</f>
        <v>3825</v>
      </c>
      <c r="H47">
        <f>GCResults[[#This Row],[Pressure on Sampling (PSI), 145PSI=1MPa]]</f>
        <v>3552.5</v>
      </c>
      <c r="I47">
        <f>pHCondMod[[#This Row],[Sample pH]]</f>
        <v>0</v>
      </c>
      <c r="J47">
        <f>pHCondMod[[#This Row],[Sample Conductivity (mS/cm)]]</f>
        <v>0</v>
      </c>
      <c r="K47">
        <f>pHCondMod[[#This Row],[Modification Description]]</f>
        <v>0</v>
      </c>
      <c r="L47" s="1">
        <f>NMRResults[[#This Row],[Date Run]]</f>
        <v>46101</v>
      </c>
      <c r="M47" s="1">
        <f>ICPList[[#This Row],[Date Run]]</f>
        <v>0</v>
      </c>
      <c r="N47" s="1">
        <f>GCResults[[#This Row],[Date Run ]]</f>
        <v>46101</v>
      </c>
    </row>
    <row r="48" spans="1:14" x14ac:dyDescent="0.25">
      <c r="A48" t="str">
        <f>SampleList[[#This Row],[Experiment ID]]</f>
        <v>150uL NMR Standard</v>
      </c>
      <c r="B48" t="str">
        <f>SampleList[[#This Row],[Sample Description]]</f>
        <v>150uL 1mM NH4Cl</v>
      </c>
      <c r="C48" s="1">
        <f>SampleList[[#This Row],[Date Sampled]]</f>
        <v>46101</v>
      </c>
      <c r="D48">
        <f>SampleList[[#This Row],[Duration (Days)]]</f>
        <v>0</v>
      </c>
      <c r="E48">
        <f>NMRResults[[#This Row],[Ammonium Concentration (mM)]]</f>
        <v>0.37302483069977427</v>
      </c>
      <c r="F48" t="str">
        <f>GCResults[[#This Row],[H2 (ppm)]]</f>
        <v/>
      </c>
      <c r="G48">
        <f>GCResults[[#This Row],[Total Gas Volume (mL), gas cylinder = 3785mL]]</f>
        <v>0</v>
      </c>
      <c r="H48">
        <f>GCResults[[#This Row],[Pressure on Sampling (PSI), 145PSI=1MPa]]</f>
        <v>3552.5</v>
      </c>
      <c r="I48">
        <f>pHCondMod[[#This Row],[Sample pH]]</f>
        <v>0</v>
      </c>
      <c r="J48">
        <f>pHCondMod[[#This Row],[Sample Conductivity (mS/cm)]]</f>
        <v>0</v>
      </c>
      <c r="K48">
        <f>pHCondMod[[#This Row],[Modification Description]]</f>
        <v>0</v>
      </c>
      <c r="L48" s="1">
        <f>NMRResults[[#This Row],[Date Run]]</f>
        <v>46101</v>
      </c>
      <c r="M48" s="1">
        <f>ICPList[[#This Row],[Date Run]]</f>
        <v>0</v>
      </c>
      <c r="N48" s="1">
        <f>GCResults[[#This Row],[Date Run ]]</f>
        <v>0</v>
      </c>
    </row>
    <row r="49" spans="1:14" ht="14.45" x14ac:dyDescent="0.25">
      <c r="A49" t="str">
        <f>SampleList[[#This Row],[Experiment ID]]</f>
        <v>HPHT_096</v>
      </c>
      <c r="B49" t="str">
        <f>SampleList[[#This Row],[Sample Description]]</f>
        <v>Liquid and gas sample, +450mg Pd</v>
      </c>
      <c r="C49" s="1">
        <f>SampleList[[#This Row],[Date Sampled]]</f>
        <v>46104</v>
      </c>
      <c r="D49">
        <f>SampleList[[#This Row],[Duration (Days)]]</f>
        <v>17</v>
      </c>
      <c r="E49">
        <f>NMRResults[[#This Row],[Ammonium Concentration (mM)]]</f>
        <v>0</v>
      </c>
      <c r="F49" t="str">
        <f>GCResults[[#This Row],[H2 (ppm)]]</f>
        <v/>
      </c>
      <c r="G49">
        <f>GCResults[[#This Row],[Total Gas Volume (mL), gas cylinder = 3785mL]]</f>
        <v>0</v>
      </c>
      <c r="H49">
        <f>GCResults[[#This Row],[Pressure on Sampling (PSI), 145PSI=1MPa]]</f>
        <v>0</v>
      </c>
      <c r="I49">
        <f>pHCondMod[[#This Row],[Sample pH]]</f>
        <v>0</v>
      </c>
      <c r="J49">
        <f>pHCondMod[[#This Row],[Sample Conductivity (mS/cm)]]</f>
        <v>0</v>
      </c>
      <c r="K49" t="str">
        <f>pHCondMod[[#This Row],[Modification Description]]</f>
        <v>Added 450mg Pd/C catalyst</v>
      </c>
      <c r="L49" s="1">
        <f>NMRResults[[#This Row],[Date Run]]</f>
        <v>0</v>
      </c>
      <c r="M49" s="1">
        <f>ICPList[[#This Row],[Date Run]]</f>
        <v>0</v>
      </c>
      <c r="N49" s="1">
        <f>GCResults[[#This Row],[Date Run ]]</f>
        <v>0</v>
      </c>
    </row>
    <row r="50" spans="1:14" ht="14.45" x14ac:dyDescent="0.25">
      <c r="A50" t="str">
        <f>SampleList[[#This Row],[Experiment ID]]</f>
        <v>HPHT_089</v>
      </c>
      <c r="B50" t="str">
        <f>SampleList[[#This Row],[Sample Description]]</f>
        <v>Liquid and gas sample, pH adjust</v>
      </c>
      <c r="C50" s="1">
        <f>SampleList[[#This Row],[Date Sampled]]</f>
        <v>46104</v>
      </c>
      <c r="D50">
        <f>SampleList[[#This Row],[Duration (Days)]]</f>
        <v>7</v>
      </c>
      <c r="E50">
        <f>NMRResults[[#This Row],[Ammonium Concentration (mM)]]</f>
        <v>0</v>
      </c>
      <c r="F50" t="str">
        <f>GCResults[[#This Row],[H2 (ppm)]]</f>
        <v/>
      </c>
      <c r="G50">
        <f>GCResults[[#This Row],[Total Gas Volume (mL), gas cylinder = 3785mL]]</f>
        <v>0</v>
      </c>
      <c r="H50">
        <f>GCResults[[#This Row],[Pressure on Sampling (PSI), 145PSI=1MPa]]</f>
        <v>0</v>
      </c>
      <c r="I50">
        <f>pHCondMod[[#This Row],[Sample pH]]</f>
        <v>0</v>
      </c>
      <c r="J50">
        <f>pHCondMod[[#This Row],[Sample Conductivity (mS/cm)]]</f>
        <v>0</v>
      </c>
      <c r="K50" t="str">
        <f>pHCondMod[[#This Row],[Modification Description]]</f>
        <v>pH adjust with KOH to pH 10</v>
      </c>
      <c r="L50" s="1">
        <f>NMRResults[[#This Row],[Date Run]]</f>
        <v>0</v>
      </c>
      <c r="M50" s="1">
        <f>ICPList[[#This Row],[Date Run]]</f>
        <v>0</v>
      </c>
      <c r="N50" s="1">
        <f>GCResults[[#This Row],[Date Run ]]</f>
        <v>0</v>
      </c>
    </row>
    <row r="51" spans="1:14" ht="14.45" x14ac:dyDescent="0.25">
      <c r="A51" t="str">
        <f>SampleList[[#This Row],[Experiment ID]]</f>
        <v>HPHT_079</v>
      </c>
      <c r="B51" t="str">
        <f>SampleList[[#This Row],[Sample Description]]</f>
        <v>Gas sample only</v>
      </c>
      <c r="C51" s="1">
        <f>SampleList[[#This Row],[Date Sampled]]</f>
        <v>46104</v>
      </c>
      <c r="D51">
        <f>SampleList[[#This Row],[Duration (Days)]]</f>
        <v>46</v>
      </c>
      <c r="E51">
        <f>NMRResults[[#This Row],[Ammonium Concentration (mM)]]</f>
        <v>0</v>
      </c>
      <c r="F51" t="str">
        <f>GCResults[[#This Row],[H2 (ppm)]]</f>
        <v/>
      </c>
      <c r="G51">
        <f>GCResults[[#This Row],[Total Gas Volume (mL), gas cylinder = 3785mL]]</f>
        <v>0</v>
      </c>
      <c r="H51">
        <f>GCResults[[#This Row],[Pressure on Sampling (PSI), 145PSI=1MPa]]</f>
        <v>0</v>
      </c>
      <c r="I51">
        <f>pHCondMod[[#This Row],[Sample pH]]</f>
        <v>0</v>
      </c>
      <c r="J51">
        <f>pHCondMod[[#This Row],[Sample Conductivity (mS/cm)]]</f>
        <v>0</v>
      </c>
      <c r="K51">
        <f>pHCondMod[[#This Row],[Modification Description]]</f>
        <v>0</v>
      </c>
      <c r="L51" s="1">
        <f>NMRResults[[#This Row],[Date Run]]</f>
        <v>0</v>
      </c>
      <c r="M51" s="1">
        <f>ICPList[[#This Row],[Date Run]]</f>
        <v>0</v>
      </c>
      <c r="N51" s="1">
        <f>GCResults[[#This Row],[Date Run ]]</f>
        <v>0</v>
      </c>
    </row>
    <row r="52" spans="1:14" ht="14.45" x14ac:dyDescent="0.25">
      <c r="A52" t="str">
        <f>SampleList[[#This Row],[Experiment ID]]</f>
        <v>HPHT_097</v>
      </c>
      <c r="B52" t="str">
        <f>SampleList[[#This Row],[Sample Description]]</f>
        <v>Liquid and gas sample, pH adjust</v>
      </c>
      <c r="C52" s="1">
        <f>SampleList[[#This Row],[Date Sampled]]</f>
        <v>46104</v>
      </c>
      <c r="D52">
        <f>SampleList[[#This Row],[Duration (Days)]]</f>
        <v>11</v>
      </c>
      <c r="E52">
        <f>NMRResults[[#This Row],[Ammonium Concentration (mM)]]</f>
        <v>0</v>
      </c>
      <c r="F52" t="str">
        <f>GCResults[[#This Row],[H2 (ppm)]]</f>
        <v/>
      </c>
      <c r="G52">
        <f>GCResults[[#This Row],[Total Gas Volume (mL), gas cylinder = 3785mL]]</f>
        <v>0</v>
      </c>
      <c r="H52">
        <f>GCResults[[#This Row],[Pressure on Sampling (PSI), 145PSI=1MPa]]</f>
        <v>0</v>
      </c>
      <c r="I52">
        <f>pHCondMod[[#This Row],[Sample pH]]</f>
        <v>0</v>
      </c>
      <c r="J52">
        <f>pHCondMod[[#This Row],[Sample Conductivity (mS/cm)]]</f>
        <v>0</v>
      </c>
      <c r="K52">
        <f>pHCondMod[[#This Row],[Modification Description]]</f>
        <v>0</v>
      </c>
      <c r="L52" s="1">
        <f>NMRResults[[#This Row],[Date Run]]</f>
        <v>0</v>
      </c>
      <c r="M52" s="1">
        <f>ICPList[[#This Row],[Date Run]]</f>
        <v>0</v>
      </c>
      <c r="N52" s="1">
        <f>GCResults[[#This Row],[Date Run ]]</f>
        <v>0</v>
      </c>
    </row>
    <row r="53" spans="1:14" ht="14.45" x14ac:dyDescent="0.25">
      <c r="A53" t="str">
        <f>SampleList[[#This Row],[Experiment ID]]</f>
        <v>HPHT_103</v>
      </c>
      <c r="B53" t="str">
        <f>SampleList[[#This Row],[Sample Description]]</f>
        <v>Liquid sample only</v>
      </c>
      <c r="C53" s="1">
        <f>SampleList[[#This Row],[Date Sampled]]</f>
        <v>46104</v>
      </c>
      <c r="D53">
        <f>SampleList[[#This Row],[Duration (Days)]]</f>
        <v>3</v>
      </c>
      <c r="E53">
        <f>NMRResults[[#This Row],[Ammonium Concentration (mM)]]</f>
        <v>0</v>
      </c>
      <c r="F53" t="str">
        <f>GCResults[[#This Row],[H2 (ppm)]]</f>
        <v/>
      </c>
      <c r="G53">
        <f>GCResults[[#This Row],[Total Gas Volume (mL), gas cylinder = 3785mL]]</f>
        <v>0</v>
      </c>
      <c r="H53">
        <f>GCResults[[#This Row],[Pressure on Sampling (PSI), 145PSI=1MPa]]</f>
        <v>3552.5</v>
      </c>
      <c r="I53">
        <f>pHCondMod[[#This Row],[Sample pH]]</f>
        <v>0</v>
      </c>
      <c r="J53">
        <f>pHCondMod[[#This Row],[Sample Conductivity (mS/cm)]]</f>
        <v>0</v>
      </c>
      <c r="K53">
        <f>pHCondMod[[#This Row],[Modification Description]]</f>
        <v>0</v>
      </c>
      <c r="L53" s="1">
        <f>NMRResults[[#This Row],[Date Run]]</f>
        <v>0</v>
      </c>
      <c r="M53" s="1">
        <f>ICPList[[#This Row],[Date Run]]</f>
        <v>0</v>
      </c>
      <c r="N53" s="1">
        <f>GCResults[[#This Row],[Date Run ]]</f>
        <v>0</v>
      </c>
    </row>
    <row r="54" spans="1:14" x14ac:dyDescent="0.25">
      <c r="A54" t="str">
        <f>SampleList[[#This Row],[Experiment ID]]</f>
        <v>HPHT_104</v>
      </c>
      <c r="B54" t="str">
        <f>SampleList[[#This Row],[Sample Description]]</f>
        <v>Liquid sample only</v>
      </c>
      <c r="C54" s="1">
        <f>SampleList[[#This Row],[Date Sampled]]</f>
        <v>46104</v>
      </c>
      <c r="D54">
        <f>SampleList[[#This Row],[Duration (Days)]]</f>
        <v>3</v>
      </c>
      <c r="E54">
        <f>NMRResults[[#This Row],[Ammonium Concentration (mM)]]</f>
        <v>0</v>
      </c>
      <c r="F54" t="str">
        <f>GCResults[[#This Row],[H2 (ppm)]]</f>
        <v/>
      </c>
      <c r="G54">
        <f>GCResults[[#This Row],[Total Gas Volume (mL), gas cylinder = 3785mL]]</f>
        <v>0</v>
      </c>
      <c r="H54">
        <f>GCResults[[#This Row],[Pressure on Sampling (PSI), 145PSI=1MPa]]</f>
        <v>3552.5</v>
      </c>
      <c r="I54">
        <f>pHCondMod[[#This Row],[Sample pH]]</f>
        <v>0</v>
      </c>
      <c r="J54">
        <f>pHCondMod[[#This Row],[Sample Conductivity (mS/cm)]]</f>
        <v>0</v>
      </c>
      <c r="K54">
        <f>pHCondMod[[#This Row],[Modification Description]]</f>
        <v>0</v>
      </c>
      <c r="L54" s="1">
        <f>NMRResults[[#This Row],[Date Run]]</f>
        <v>0</v>
      </c>
      <c r="M54" s="1">
        <f>ICPList[[#This Row],[Date Run]]</f>
        <v>0</v>
      </c>
      <c r="N54" s="1">
        <f>GCResults[[#This Row],[Date Run ]]</f>
        <v>0</v>
      </c>
    </row>
    <row r="55" spans="1:14" ht="14.45" x14ac:dyDescent="0.25">
      <c r="A55" t="str">
        <f>SampleList[[#This Row],[Experiment ID]]</f>
        <v>HPHT_107</v>
      </c>
      <c r="B55" t="str">
        <f>SampleList[[#This Row],[Sample Description]]</f>
        <v>Liquid and gas sample</v>
      </c>
      <c r="C55" s="1">
        <f>SampleList[[#This Row],[Date Sampled]]</f>
        <v>46104</v>
      </c>
      <c r="D55">
        <f>SampleList[[#This Row],[Duration (Days)]]</f>
        <v>3</v>
      </c>
      <c r="E55">
        <f>NMRResults[[#This Row],[Ammonium Concentration (mM)]]</f>
        <v>0</v>
      </c>
      <c r="F55" t="str">
        <f>GCResults[[#This Row],[H2 (ppm)]]</f>
        <v/>
      </c>
      <c r="G55">
        <f>GCResults[[#This Row],[Total Gas Volume (mL), gas cylinder = 3785mL]]</f>
        <v>0</v>
      </c>
      <c r="H55">
        <f>GCResults[[#This Row],[Pressure on Sampling (PSI), 145PSI=1MPa]]</f>
        <v>0</v>
      </c>
      <c r="I55">
        <f>pHCondMod[[#This Row],[Sample pH]]</f>
        <v>0</v>
      </c>
      <c r="J55">
        <f>pHCondMod[[#This Row],[Sample Conductivity (mS/cm)]]</f>
        <v>0</v>
      </c>
      <c r="K55">
        <f>pHCondMod[[#This Row],[Modification Description]]</f>
        <v>0</v>
      </c>
      <c r="L55" s="1">
        <f>NMRResults[[#This Row],[Date Run]]</f>
        <v>0</v>
      </c>
      <c r="M55" s="1">
        <f>ICPList[[#This Row],[Date Run]]</f>
        <v>0</v>
      </c>
      <c r="N55" s="1">
        <f>GCResults[[#This Row],[Date Run ]]</f>
        <v>0</v>
      </c>
    </row>
    <row r="56" spans="1:14" ht="14.45" x14ac:dyDescent="0.25">
      <c r="A56">
        <f>SampleList[[#This Row],[Experiment ID]]</f>
        <v>0</v>
      </c>
      <c r="B56">
        <f>SampleList[[#This Row],[Sample Description]]</f>
        <v>0</v>
      </c>
      <c r="C56" s="1">
        <f>SampleList[[#This Row],[Date Sampled]]</f>
        <v>0</v>
      </c>
      <c r="D56">
        <f>SampleList[[#This Row],[Duration (Days)]]</f>
        <v>0</v>
      </c>
      <c r="E56">
        <f>NMRResults[[#This Row],[Ammonium Concentration (mM)]]</f>
        <v>0</v>
      </c>
      <c r="F56" t="str">
        <f>GCResults[[#This Row],[H2 (ppm)]]</f>
        <v/>
      </c>
      <c r="G56">
        <f>GCResults[[#This Row],[Total Gas Volume (mL), gas cylinder = 3785mL]]</f>
        <v>0</v>
      </c>
      <c r="H56">
        <f>GCResults[[#This Row],[Pressure on Sampling (PSI), 145PSI=1MPa]]</f>
        <v>3552.5</v>
      </c>
      <c r="I56">
        <f>pHCondMod[[#This Row],[Sample pH]]</f>
        <v>0</v>
      </c>
      <c r="J56">
        <f>pHCondMod[[#This Row],[Sample Conductivity (mS/cm)]]</f>
        <v>0</v>
      </c>
      <c r="K56">
        <f>pHCondMod[[#This Row],[Modification Description]]</f>
        <v>0</v>
      </c>
      <c r="L56" s="1">
        <f>NMRResults[[#This Row],[Date Run]]</f>
        <v>0</v>
      </c>
      <c r="M56" s="1">
        <f>ICPList[[#This Row],[Date Run]]</f>
        <v>0</v>
      </c>
      <c r="N56" s="1">
        <f>GCResults[[#This Row],[Date Run ]]</f>
        <v>0</v>
      </c>
    </row>
    <row r="57" spans="1:14" ht="14.45" x14ac:dyDescent="0.25">
      <c r="A57">
        <f>SampleList[[#This Row],[Experiment ID]]</f>
        <v>0</v>
      </c>
      <c r="B57">
        <f>SampleList[[#This Row],[Sample Description]]</f>
        <v>0</v>
      </c>
      <c r="C57" s="1">
        <f>SampleList[[#This Row],[Date Sampled]]</f>
        <v>0</v>
      </c>
      <c r="D57">
        <f>SampleList[[#This Row],[Duration (Days)]]</f>
        <v>0</v>
      </c>
      <c r="E57">
        <f>NMRResults[[#This Row],[Ammonium Concentration (mM)]]</f>
        <v>0</v>
      </c>
      <c r="F57" t="str">
        <f>GCResults[[#This Row],[H2 (ppm)]]</f>
        <v/>
      </c>
      <c r="G57">
        <f>GCResults[[#This Row],[Total Gas Volume (mL), gas cylinder = 3785mL]]</f>
        <v>0</v>
      </c>
      <c r="H57">
        <f>GCResults[[#This Row],[Pressure on Sampling (PSI), 145PSI=1MPa]]</f>
        <v>3552.5</v>
      </c>
      <c r="I57">
        <f>pHCondMod[[#This Row],[Sample pH]]</f>
        <v>0</v>
      </c>
      <c r="J57">
        <f>pHCondMod[[#This Row],[Sample Conductivity (mS/cm)]]</f>
        <v>0</v>
      </c>
      <c r="K57">
        <f>pHCondMod[[#This Row],[Modification Description]]</f>
        <v>0</v>
      </c>
      <c r="L57" s="1">
        <f>NMRResults[[#This Row],[Date Run]]</f>
        <v>0</v>
      </c>
      <c r="M57" s="1">
        <f>ICPList[[#This Row],[Date Run]]</f>
        <v>0</v>
      </c>
      <c r="N57" s="1">
        <f>GCResults[[#This Row],[Date Run ]]</f>
        <v>0</v>
      </c>
    </row>
    <row r="58" spans="1:14" ht="14.45" x14ac:dyDescent="0.25">
      <c r="A58">
        <f>SampleList[[#This Row],[Experiment ID]]</f>
        <v>0</v>
      </c>
      <c r="B58">
        <f>SampleList[[#This Row],[Sample Description]]</f>
        <v>0</v>
      </c>
      <c r="C58" s="1">
        <f>SampleList[[#This Row],[Date Sampled]]</f>
        <v>0</v>
      </c>
      <c r="D58">
        <f>SampleList[[#This Row],[Duration (Days)]]</f>
        <v>0</v>
      </c>
      <c r="E58">
        <f>NMRResults[[#This Row],[Ammonium Concentration (mM)]]</f>
        <v>0</v>
      </c>
      <c r="F58" t="str">
        <f>GCResults[[#This Row],[H2 (ppm)]]</f>
        <v/>
      </c>
      <c r="G58">
        <f>GCResults[[#This Row],[Total Gas Volume (mL), gas cylinder = 3785mL]]</f>
        <v>0</v>
      </c>
      <c r="H58">
        <f>GCResults[[#This Row],[Pressure on Sampling (PSI), 145PSI=1MPa]]</f>
        <v>3552.5</v>
      </c>
      <c r="I58">
        <f>pHCondMod[[#This Row],[Sample pH]]</f>
        <v>0</v>
      </c>
      <c r="J58">
        <f>pHCondMod[[#This Row],[Sample Conductivity (mS/cm)]]</f>
        <v>0</v>
      </c>
      <c r="K58">
        <f>pHCondMod[[#This Row],[Modification Description]]</f>
        <v>0</v>
      </c>
      <c r="L58" s="1">
        <f>NMRResults[[#This Row],[Date Run]]</f>
        <v>0</v>
      </c>
      <c r="M58" s="1">
        <f>ICPList[[#This Row],[Date Run]]</f>
        <v>0</v>
      </c>
      <c r="N58" s="1">
        <f>GCResults[[#This Row],[Date Run ]]</f>
        <v>0</v>
      </c>
    </row>
    <row r="59" spans="1:14" ht="14.45" x14ac:dyDescent="0.25">
      <c r="A59">
        <f>SampleList[[#This Row],[Experiment ID]]</f>
        <v>0</v>
      </c>
      <c r="B59">
        <f>SampleList[[#This Row],[Sample Description]]</f>
        <v>0</v>
      </c>
      <c r="C59" s="1">
        <f>SampleList[[#This Row],[Date Sampled]]</f>
        <v>0</v>
      </c>
      <c r="D59">
        <f>SampleList[[#This Row],[Duration (Days)]]</f>
        <v>0</v>
      </c>
      <c r="E59">
        <f>NMRResults[[#This Row],[Ammonium Concentration (mM)]]</f>
        <v>0</v>
      </c>
      <c r="F59" t="str">
        <f>GCResults[[#This Row],[H2 (ppm)]]</f>
        <v/>
      </c>
      <c r="G59">
        <f>GCResults[[#This Row],[Total Gas Volume (mL), gas cylinder = 3785mL]]</f>
        <v>0</v>
      </c>
      <c r="H59">
        <f>GCResults[[#This Row],[Pressure on Sampling (PSI), 145PSI=1MPa]]</f>
        <v>3552.5</v>
      </c>
      <c r="I59">
        <f>pHCondMod[[#This Row],[Sample pH]]</f>
        <v>0</v>
      </c>
      <c r="J59">
        <f>pHCondMod[[#This Row],[Sample Conductivity (mS/cm)]]</f>
        <v>0</v>
      </c>
      <c r="K59">
        <f>pHCondMod[[#This Row],[Modification Description]]</f>
        <v>0</v>
      </c>
      <c r="L59" s="1">
        <f>NMRResults[[#This Row],[Date Run]]</f>
        <v>0</v>
      </c>
      <c r="M59" s="1">
        <f>ICPList[[#This Row],[Date Run]]</f>
        <v>0</v>
      </c>
      <c r="N59" s="1">
        <f>GCResults[[#This Row],[Date Run ]]</f>
        <v>0</v>
      </c>
    </row>
    <row r="60" spans="1:14" ht="14.45" x14ac:dyDescent="0.25">
      <c r="A60">
        <f>SampleList[[#This Row],[Experiment ID]]</f>
        <v>0</v>
      </c>
      <c r="B60">
        <f>SampleList[[#This Row],[Sample Description]]</f>
        <v>0</v>
      </c>
      <c r="C60" s="1">
        <f>SampleList[[#This Row],[Date Sampled]]</f>
        <v>0</v>
      </c>
      <c r="D60">
        <f>SampleList[[#This Row],[Duration (Days)]]</f>
        <v>0</v>
      </c>
      <c r="E60">
        <f>NMRResults[[#This Row],[Ammonium Concentration (mM)]]</f>
        <v>0</v>
      </c>
      <c r="F60" t="str">
        <f>GCResults[[#This Row],[H2 (ppm)]]</f>
        <v/>
      </c>
      <c r="G60">
        <f>GCResults[[#This Row],[Total Gas Volume (mL), gas cylinder = 3785mL]]</f>
        <v>0</v>
      </c>
      <c r="H60">
        <f>GCResults[[#This Row],[Pressure on Sampling (PSI), 145PSI=1MPa]]</f>
        <v>3552.5</v>
      </c>
      <c r="I60">
        <f>pHCondMod[[#This Row],[Sample pH]]</f>
        <v>0</v>
      </c>
      <c r="J60">
        <f>pHCondMod[[#This Row],[Sample Conductivity (mS/cm)]]</f>
        <v>0</v>
      </c>
      <c r="K60">
        <f>pHCondMod[[#This Row],[Modification Description]]</f>
        <v>0</v>
      </c>
      <c r="L60" s="1">
        <f>NMRResults[[#This Row],[Date Run]]</f>
        <v>0</v>
      </c>
      <c r="M60" s="1">
        <f>ICPList[[#This Row],[Date Run]]</f>
        <v>0</v>
      </c>
      <c r="N60" s="1">
        <f>GCResults[[#This Row],[Date Run ]]</f>
        <v>0</v>
      </c>
    </row>
    <row r="61" spans="1:14" ht="14.45" x14ac:dyDescent="0.25">
      <c r="A61">
        <f>SampleList[[#This Row],[Experiment ID]]</f>
        <v>0</v>
      </c>
      <c r="B61">
        <f>SampleList[[#This Row],[Sample Description]]</f>
        <v>0</v>
      </c>
      <c r="C61" s="1">
        <f>SampleList[[#This Row],[Date Sampled]]</f>
        <v>0</v>
      </c>
      <c r="D61">
        <f>SampleList[[#This Row],[Duration (Days)]]</f>
        <v>0</v>
      </c>
      <c r="E61">
        <f>NMRResults[[#This Row],[Ammonium Concentration (mM)]]</f>
        <v>0</v>
      </c>
      <c r="F61" t="str">
        <f>GCResults[[#This Row],[H2 (ppm)]]</f>
        <v/>
      </c>
      <c r="G61">
        <f>GCResults[[#This Row],[Total Gas Volume (mL), gas cylinder = 3785mL]]</f>
        <v>0</v>
      </c>
      <c r="H61">
        <f>GCResults[[#This Row],[Pressure on Sampling (PSI), 145PSI=1MPa]]</f>
        <v>3552.5</v>
      </c>
      <c r="I61">
        <f>pHCondMod[[#This Row],[Sample pH]]</f>
        <v>0</v>
      </c>
      <c r="J61">
        <f>pHCondMod[[#This Row],[Sample Conductivity (mS/cm)]]</f>
        <v>0</v>
      </c>
      <c r="K61">
        <f>pHCondMod[[#This Row],[Modification Description]]</f>
        <v>0</v>
      </c>
      <c r="L61" s="1">
        <f>NMRResults[[#This Row],[Date Run]]</f>
        <v>0</v>
      </c>
      <c r="M61" s="1">
        <f>ICPList[[#This Row],[Date Run]]</f>
        <v>0</v>
      </c>
      <c r="N61" s="1">
        <f>GCResults[[#This Row],[Date Run ]]</f>
        <v>0</v>
      </c>
    </row>
    <row r="62" spans="1:14" ht="14.45" x14ac:dyDescent="0.25">
      <c r="A62">
        <f>SampleList[[#This Row],[Experiment ID]]</f>
        <v>0</v>
      </c>
      <c r="B62">
        <f>SampleList[[#This Row],[Sample Description]]</f>
        <v>0</v>
      </c>
      <c r="C62" s="1">
        <f>SampleList[[#This Row],[Date Sampled]]</f>
        <v>0</v>
      </c>
      <c r="D62">
        <f>SampleList[[#This Row],[Duration (Days)]]</f>
        <v>0</v>
      </c>
      <c r="E62">
        <f>NMRResults[[#This Row],[Ammonium Concentration (mM)]]</f>
        <v>0</v>
      </c>
      <c r="F62" t="str">
        <f>GCResults[[#This Row],[H2 (ppm)]]</f>
        <v/>
      </c>
      <c r="G62">
        <f>GCResults[[#This Row],[Total Gas Volume (mL), gas cylinder = 3785mL]]</f>
        <v>0</v>
      </c>
      <c r="H62">
        <f>GCResults[[#This Row],[Pressure on Sampling (PSI), 145PSI=1MPa]]</f>
        <v>3552.5</v>
      </c>
      <c r="I62">
        <f>pHCondMod[[#This Row],[Sample pH]]</f>
        <v>0</v>
      </c>
      <c r="J62">
        <f>pHCondMod[[#This Row],[Sample Conductivity (mS/cm)]]</f>
        <v>0</v>
      </c>
      <c r="K62">
        <f>pHCondMod[[#This Row],[Modification Description]]</f>
        <v>0</v>
      </c>
      <c r="L62" s="1">
        <f>NMRResults[[#This Row],[Date Run]]</f>
        <v>0</v>
      </c>
      <c r="M62" s="1">
        <f>ICPList[[#This Row],[Date Run]]</f>
        <v>0</v>
      </c>
      <c r="N62" s="1">
        <f>GCResults[[#This Row],[Date Run ]]</f>
        <v>0</v>
      </c>
    </row>
    <row r="63" spans="1:14" ht="14.45" x14ac:dyDescent="0.25">
      <c r="A63">
        <f>SampleList[[#This Row],[Experiment ID]]</f>
        <v>0</v>
      </c>
      <c r="B63">
        <f>SampleList[[#This Row],[Sample Description]]</f>
        <v>0</v>
      </c>
      <c r="C63" s="1">
        <f>SampleList[[#This Row],[Date Sampled]]</f>
        <v>0</v>
      </c>
      <c r="D63">
        <f>SampleList[[#This Row],[Duration (Days)]]</f>
        <v>0</v>
      </c>
      <c r="E63">
        <f>NMRResults[[#This Row],[Ammonium Concentration (mM)]]</f>
        <v>0</v>
      </c>
      <c r="F63" t="str">
        <f>GCResults[[#This Row],[H2 (ppm)]]</f>
        <v/>
      </c>
      <c r="G63">
        <f>GCResults[[#This Row],[Total Gas Volume (mL), gas cylinder = 3785mL]]</f>
        <v>0</v>
      </c>
      <c r="H63">
        <f>GCResults[[#This Row],[Pressure on Sampling (PSI), 145PSI=1MPa]]</f>
        <v>3552.5</v>
      </c>
      <c r="I63">
        <f>pHCondMod[[#This Row],[Sample pH]]</f>
        <v>0</v>
      </c>
      <c r="J63">
        <f>pHCondMod[[#This Row],[Sample Conductivity (mS/cm)]]</f>
        <v>0</v>
      </c>
      <c r="K63">
        <f>pHCondMod[[#This Row],[Modification Description]]</f>
        <v>0</v>
      </c>
      <c r="L63" s="1">
        <f>NMRResults[[#This Row],[Date Run]]</f>
        <v>0</v>
      </c>
      <c r="M63" s="1">
        <f>ICPList[[#This Row],[Date Run]]</f>
        <v>0</v>
      </c>
      <c r="N63" s="1">
        <f>GCResults[[#This Row],[Date Run ]]</f>
        <v>0</v>
      </c>
    </row>
    <row r="64" spans="1:14" ht="14.45" x14ac:dyDescent="0.25">
      <c r="A64">
        <f>SampleList[[#This Row],[Experiment ID]]</f>
        <v>0</v>
      </c>
      <c r="B64">
        <f>SampleList[[#This Row],[Sample Description]]</f>
        <v>0</v>
      </c>
      <c r="C64" s="1">
        <f>SampleList[[#This Row],[Date Sampled]]</f>
        <v>0</v>
      </c>
      <c r="D64">
        <f>SampleList[[#This Row],[Duration (Days)]]</f>
        <v>0</v>
      </c>
      <c r="E64">
        <f>NMRResults[[#This Row],[Ammonium Concentration (mM)]]</f>
        <v>0</v>
      </c>
      <c r="F64" t="str">
        <f>GCResults[[#This Row],[H2 (ppm)]]</f>
        <v/>
      </c>
      <c r="G64">
        <f>GCResults[[#This Row],[Total Gas Volume (mL), gas cylinder = 3785mL]]</f>
        <v>0</v>
      </c>
      <c r="H64">
        <f>GCResults[[#This Row],[Pressure on Sampling (PSI), 145PSI=1MPa]]</f>
        <v>3552.5</v>
      </c>
      <c r="I64">
        <f>pHCondMod[[#This Row],[Sample pH]]</f>
        <v>0</v>
      </c>
      <c r="J64">
        <f>pHCondMod[[#This Row],[Sample Conductivity (mS/cm)]]</f>
        <v>0</v>
      </c>
      <c r="K64">
        <f>pHCondMod[[#This Row],[Modification Description]]</f>
        <v>0</v>
      </c>
      <c r="L64" s="1">
        <f>NMRResults[[#This Row],[Date Run]]</f>
        <v>0</v>
      </c>
      <c r="M64" s="1">
        <f>ICPList[[#This Row],[Date Run]]</f>
        <v>0</v>
      </c>
      <c r="N64" s="1">
        <f>GCResults[[#This Row],[Date Run ]]</f>
        <v>0</v>
      </c>
    </row>
    <row r="65" spans="1:14" ht="14.45" x14ac:dyDescent="0.25">
      <c r="A65">
        <f>SampleList[[#This Row],[Experiment ID]]</f>
        <v>0</v>
      </c>
      <c r="B65">
        <f>SampleList[[#This Row],[Sample Description]]</f>
        <v>0</v>
      </c>
      <c r="C65" s="1">
        <f>SampleList[[#This Row],[Date Sampled]]</f>
        <v>0</v>
      </c>
      <c r="D65">
        <f>SampleList[[#This Row],[Duration (Days)]]</f>
        <v>0</v>
      </c>
      <c r="E65">
        <f>NMRResults[[#This Row],[Ammonium Concentration (mM)]]</f>
        <v>0</v>
      </c>
      <c r="F65" t="str">
        <f>GCResults[[#This Row],[H2 (ppm)]]</f>
        <v/>
      </c>
      <c r="G65">
        <f>GCResults[[#This Row],[Total Gas Volume (mL), gas cylinder = 3785mL]]</f>
        <v>0</v>
      </c>
      <c r="H65">
        <f>GCResults[[#This Row],[Pressure on Sampling (PSI), 145PSI=1MPa]]</f>
        <v>3552.5</v>
      </c>
      <c r="I65">
        <f>pHCondMod[[#This Row],[Sample pH]]</f>
        <v>0</v>
      </c>
      <c r="J65">
        <f>pHCondMod[[#This Row],[Sample Conductivity (mS/cm)]]</f>
        <v>0</v>
      </c>
      <c r="K65">
        <f>pHCondMod[[#This Row],[Modification Description]]</f>
        <v>0</v>
      </c>
      <c r="L65" s="1">
        <f>NMRResults[[#This Row],[Date Run]]</f>
        <v>0</v>
      </c>
      <c r="M65" s="1">
        <f>ICPList[[#This Row],[Date Run]]</f>
        <v>0</v>
      </c>
      <c r="N65" s="1">
        <f>GCResults[[#This Row],[Date Run ]]</f>
        <v>0</v>
      </c>
    </row>
    <row r="66" spans="1:14" ht="14.45" x14ac:dyDescent="0.25">
      <c r="A66">
        <f>SampleList[[#This Row],[Experiment ID]]</f>
        <v>0</v>
      </c>
      <c r="B66">
        <f>SampleList[[#This Row],[Sample Description]]</f>
        <v>0</v>
      </c>
      <c r="C66" s="1">
        <f>SampleList[[#This Row],[Date Sampled]]</f>
        <v>0</v>
      </c>
      <c r="D66">
        <f>SampleList[[#This Row],[Duration (Days)]]</f>
        <v>0</v>
      </c>
      <c r="E66">
        <f>NMRResults[[#This Row],[Ammonium Concentration (mM)]]</f>
        <v>0</v>
      </c>
      <c r="F66" t="str">
        <f>GCResults[[#This Row],[H2 (ppm)]]</f>
        <v/>
      </c>
      <c r="G66">
        <f>GCResults[[#This Row],[Total Gas Volume (mL), gas cylinder = 3785mL]]</f>
        <v>0</v>
      </c>
      <c r="H66">
        <f>GCResults[[#This Row],[Pressure on Sampling (PSI), 145PSI=1MPa]]</f>
        <v>3552.5</v>
      </c>
      <c r="I66">
        <f>pHCondMod[[#This Row],[Sample pH]]</f>
        <v>0</v>
      </c>
      <c r="J66">
        <f>pHCondMod[[#This Row],[Sample Conductivity (mS/cm)]]</f>
        <v>0</v>
      </c>
      <c r="K66">
        <f>pHCondMod[[#This Row],[Modification Description]]</f>
        <v>0</v>
      </c>
      <c r="L66" s="1">
        <f>NMRResults[[#This Row],[Date Run]]</f>
        <v>0</v>
      </c>
      <c r="M66" s="1">
        <f>ICPList[[#This Row],[Date Run]]</f>
        <v>0</v>
      </c>
      <c r="N66" s="1">
        <f>GCResults[[#This Row],[Date Run ]]</f>
        <v>0</v>
      </c>
    </row>
    <row r="67" spans="1:14" ht="14.45" x14ac:dyDescent="0.25">
      <c r="A67">
        <f>SampleList[[#This Row],[Experiment ID]]</f>
        <v>0</v>
      </c>
      <c r="B67">
        <f>SampleList[[#This Row],[Sample Description]]</f>
        <v>0</v>
      </c>
      <c r="C67" s="1">
        <f>SampleList[[#This Row],[Date Sampled]]</f>
        <v>0</v>
      </c>
      <c r="D67">
        <f>SampleList[[#This Row],[Duration (Days)]]</f>
        <v>0</v>
      </c>
      <c r="E67">
        <f>NMRResults[[#This Row],[Ammonium Concentration (mM)]]</f>
        <v>0</v>
      </c>
      <c r="F67" t="str">
        <f>GCResults[[#This Row],[H2 (ppm)]]</f>
        <v/>
      </c>
      <c r="G67">
        <f>GCResults[[#This Row],[Total Gas Volume (mL), gas cylinder = 3785mL]]</f>
        <v>0</v>
      </c>
      <c r="H67">
        <f>GCResults[[#This Row],[Pressure on Sampling (PSI), 145PSI=1MPa]]</f>
        <v>3552.5</v>
      </c>
      <c r="I67">
        <f>pHCondMod[[#This Row],[Sample pH]]</f>
        <v>0</v>
      </c>
      <c r="J67">
        <f>pHCondMod[[#This Row],[Sample Conductivity (mS/cm)]]</f>
        <v>0</v>
      </c>
      <c r="K67">
        <f>pHCondMod[[#This Row],[Modification Description]]</f>
        <v>0</v>
      </c>
      <c r="L67" s="1">
        <f>NMRResults[[#This Row],[Date Run]]</f>
        <v>0</v>
      </c>
      <c r="M67" s="1">
        <f>ICPList[[#This Row],[Date Run]]</f>
        <v>0</v>
      </c>
      <c r="N67" s="1">
        <f>GCResults[[#This Row],[Date Run ]]</f>
        <v>0</v>
      </c>
    </row>
    <row r="68" spans="1:14" ht="14.45" x14ac:dyDescent="0.25">
      <c r="A68">
        <f>SampleList[[#This Row],[Experiment ID]]</f>
        <v>0</v>
      </c>
      <c r="B68">
        <f>SampleList[[#This Row],[Sample Description]]</f>
        <v>0</v>
      </c>
      <c r="C68" s="1">
        <f>SampleList[[#This Row],[Date Sampled]]</f>
        <v>0</v>
      </c>
      <c r="D68">
        <f>SampleList[[#This Row],[Duration (Days)]]</f>
        <v>0</v>
      </c>
      <c r="E68">
        <f>NMRResults[[#This Row],[Ammonium Concentration (mM)]]</f>
        <v>0</v>
      </c>
      <c r="F68" t="str">
        <f>GCResults[[#This Row],[H2 (ppm)]]</f>
        <v/>
      </c>
      <c r="G68">
        <f>GCResults[[#This Row],[Total Gas Volume (mL), gas cylinder = 3785mL]]</f>
        <v>0</v>
      </c>
      <c r="H68">
        <f>GCResults[[#This Row],[Pressure on Sampling (PSI), 145PSI=1MPa]]</f>
        <v>3552.5</v>
      </c>
      <c r="I68">
        <f>pHCondMod[[#This Row],[Sample pH]]</f>
        <v>0</v>
      </c>
      <c r="J68">
        <f>pHCondMod[[#This Row],[Sample Conductivity (mS/cm)]]</f>
        <v>0</v>
      </c>
      <c r="K68">
        <f>pHCondMod[[#This Row],[Modification Description]]</f>
        <v>0</v>
      </c>
      <c r="L68" s="1">
        <f>NMRResults[[#This Row],[Date Run]]</f>
        <v>0</v>
      </c>
      <c r="M68" s="1">
        <f>ICPList[[#This Row],[Date Run]]</f>
        <v>0</v>
      </c>
      <c r="N68" s="1">
        <f>GCResults[[#This Row],[Date Run ]]</f>
        <v>0</v>
      </c>
    </row>
    <row r="69" spans="1:14" ht="14.45" x14ac:dyDescent="0.25">
      <c r="A69">
        <f>SampleList[[#This Row],[Experiment ID]]</f>
        <v>0</v>
      </c>
      <c r="B69">
        <f>SampleList[[#This Row],[Sample Description]]</f>
        <v>0</v>
      </c>
      <c r="C69" s="1">
        <f>SampleList[[#This Row],[Date Sampled]]</f>
        <v>0</v>
      </c>
      <c r="D69">
        <f>SampleList[[#This Row],[Duration (Days)]]</f>
        <v>0</v>
      </c>
      <c r="E69">
        <f>NMRResults[[#This Row],[Ammonium Concentration (mM)]]</f>
        <v>0</v>
      </c>
      <c r="F69" t="str">
        <f>GCResults[[#This Row],[H2 (ppm)]]</f>
        <v/>
      </c>
      <c r="G69">
        <f>GCResults[[#This Row],[Total Gas Volume (mL), gas cylinder = 3785mL]]</f>
        <v>0</v>
      </c>
      <c r="H69">
        <f>GCResults[[#This Row],[Pressure on Sampling (PSI), 145PSI=1MPa]]</f>
        <v>3552.5</v>
      </c>
      <c r="I69">
        <f>pHCondMod[[#This Row],[Sample pH]]</f>
        <v>0</v>
      </c>
      <c r="J69">
        <f>pHCondMod[[#This Row],[Sample Conductivity (mS/cm)]]</f>
        <v>0</v>
      </c>
      <c r="K69">
        <f>pHCondMod[[#This Row],[Modification Description]]</f>
        <v>0</v>
      </c>
      <c r="L69" s="1">
        <f>NMRResults[[#This Row],[Date Run]]</f>
        <v>0</v>
      </c>
      <c r="M69" s="1">
        <f>ICPList[[#This Row],[Date Run]]</f>
        <v>0</v>
      </c>
      <c r="N69" s="1">
        <f>GCResults[[#This Row],[Date Run ]]</f>
        <v>0</v>
      </c>
    </row>
    <row r="70" spans="1:14" ht="14.45" x14ac:dyDescent="0.25">
      <c r="A70">
        <f>SampleList[[#This Row],[Experiment ID]]</f>
        <v>0</v>
      </c>
      <c r="B70">
        <f>SampleList[[#This Row],[Sample Description]]</f>
        <v>0</v>
      </c>
      <c r="C70" s="1">
        <f>SampleList[[#This Row],[Date Sampled]]</f>
        <v>0</v>
      </c>
      <c r="D70">
        <f>SampleList[[#This Row],[Duration (Days)]]</f>
        <v>0</v>
      </c>
      <c r="E70">
        <f>NMRResults[[#This Row],[Ammonium Concentration (mM)]]</f>
        <v>0</v>
      </c>
      <c r="F70" t="str">
        <f>GCResults[[#This Row],[H2 (ppm)]]</f>
        <v/>
      </c>
      <c r="G70">
        <f>GCResults[[#This Row],[Total Gas Volume (mL), gas cylinder = 3785mL]]</f>
        <v>0</v>
      </c>
      <c r="H70">
        <f>GCResults[[#This Row],[Pressure on Sampling (PSI), 145PSI=1MPa]]</f>
        <v>3552.5</v>
      </c>
      <c r="I70">
        <f>pHCondMod[[#This Row],[Sample pH]]</f>
        <v>0</v>
      </c>
      <c r="J70">
        <f>pHCondMod[[#This Row],[Sample Conductivity (mS/cm)]]</f>
        <v>0</v>
      </c>
      <c r="K70">
        <f>pHCondMod[[#This Row],[Modification Description]]</f>
        <v>0</v>
      </c>
      <c r="L70" s="1">
        <f>NMRResults[[#This Row],[Date Run]]</f>
        <v>0</v>
      </c>
      <c r="M70" s="1">
        <f>ICPList[[#This Row],[Date Run]]</f>
        <v>0</v>
      </c>
      <c r="N70" s="1">
        <f>GCResults[[#This Row],[Date Run ]]</f>
        <v>0</v>
      </c>
    </row>
    <row r="71" spans="1:14" ht="14.45" x14ac:dyDescent="0.25">
      <c r="A71">
        <f>SampleList[[#This Row],[Experiment ID]]</f>
        <v>0</v>
      </c>
      <c r="B71">
        <f>SampleList[[#This Row],[Sample Description]]</f>
        <v>0</v>
      </c>
      <c r="C71" s="1">
        <f>SampleList[[#This Row],[Date Sampled]]</f>
        <v>0</v>
      </c>
      <c r="D71">
        <f>SampleList[[#This Row],[Duration (Days)]]</f>
        <v>0</v>
      </c>
      <c r="E71">
        <f>NMRResults[[#This Row],[Ammonium Concentration (mM)]]</f>
        <v>0</v>
      </c>
      <c r="F71" t="str">
        <f>GCResults[[#This Row],[H2 (ppm)]]</f>
        <v/>
      </c>
      <c r="G71">
        <f>GCResults[[#This Row],[Total Gas Volume (mL), gas cylinder = 3785mL]]</f>
        <v>0</v>
      </c>
      <c r="H71">
        <f>GCResults[[#This Row],[Pressure on Sampling (PSI), 145PSI=1MPa]]</f>
        <v>3552.5</v>
      </c>
      <c r="I71">
        <f>pHCondMod[[#This Row],[Sample pH]]</f>
        <v>0</v>
      </c>
      <c r="J71">
        <f>pHCondMod[[#This Row],[Sample Conductivity (mS/cm)]]</f>
        <v>0</v>
      </c>
      <c r="K71">
        <f>pHCondMod[[#This Row],[Modification Description]]</f>
        <v>0</v>
      </c>
      <c r="L71" s="1">
        <f>NMRResults[[#This Row],[Date Run]]</f>
        <v>0</v>
      </c>
      <c r="M71" s="1">
        <f>ICPList[[#This Row],[Date Run]]</f>
        <v>0</v>
      </c>
      <c r="N71" s="1">
        <f>GCResults[[#This Row],[Date Run ]]</f>
        <v>0</v>
      </c>
    </row>
    <row r="72" spans="1:14" ht="14.45" x14ac:dyDescent="0.25">
      <c r="A72">
        <f>SampleList[[#This Row],[Experiment ID]]</f>
        <v>0</v>
      </c>
      <c r="B72">
        <f>SampleList[[#This Row],[Sample Description]]</f>
        <v>0</v>
      </c>
      <c r="C72" s="1">
        <f>SampleList[[#This Row],[Date Sampled]]</f>
        <v>0</v>
      </c>
      <c r="D72">
        <f>SampleList[[#This Row],[Duration (Days)]]</f>
        <v>0</v>
      </c>
      <c r="E72">
        <f>NMRResults[[#This Row],[Ammonium Concentration (mM)]]</f>
        <v>0</v>
      </c>
      <c r="F72" t="str">
        <f>GCResults[[#This Row],[H2 (ppm)]]</f>
        <v/>
      </c>
      <c r="G72">
        <f>GCResults[[#This Row],[Total Gas Volume (mL), gas cylinder = 3785mL]]</f>
        <v>0</v>
      </c>
      <c r="H72">
        <f>GCResults[[#This Row],[Pressure on Sampling (PSI), 145PSI=1MPa]]</f>
        <v>3552.5</v>
      </c>
      <c r="I72">
        <f>pHCondMod[[#This Row],[Sample pH]]</f>
        <v>0</v>
      </c>
      <c r="J72">
        <f>pHCondMod[[#This Row],[Sample Conductivity (mS/cm)]]</f>
        <v>0</v>
      </c>
      <c r="K72">
        <f>pHCondMod[[#This Row],[Modification Description]]</f>
        <v>0</v>
      </c>
      <c r="L72" s="1">
        <f>NMRResults[[#This Row],[Date Run]]</f>
        <v>0</v>
      </c>
      <c r="M72" s="1">
        <f>ICPList[[#This Row],[Date Run]]</f>
        <v>0</v>
      </c>
      <c r="N72" s="1">
        <f>GCResults[[#This Row],[Date Run ]]</f>
        <v>0</v>
      </c>
    </row>
    <row r="73" spans="1:14" ht="14.45" x14ac:dyDescent="0.25">
      <c r="A73">
        <f>SampleList[[#This Row],[Experiment ID]]</f>
        <v>0</v>
      </c>
      <c r="B73">
        <f>SampleList[[#This Row],[Sample Description]]</f>
        <v>0</v>
      </c>
      <c r="C73" s="1">
        <f>SampleList[[#This Row],[Date Sampled]]</f>
        <v>0</v>
      </c>
      <c r="D73">
        <f>SampleList[[#This Row],[Duration (Days)]]</f>
        <v>0</v>
      </c>
      <c r="E73">
        <f>NMRResults[[#This Row],[Ammonium Concentration (mM)]]</f>
        <v>0</v>
      </c>
      <c r="F73" t="str">
        <f>GCResults[[#This Row],[H2 (ppm)]]</f>
        <v/>
      </c>
      <c r="G73">
        <f>GCResults[[#This Row],[Total Gas Volume (mL), gas cylinder = 3785mL]]</f>
        <v>0</v>
      </c>
      <c r="H73">
        <f>GCResults[[#This Row],[Pressure on Sampling (PSI), 145PSI=1MPa]]</f>
        <v>3552.5</v>
      </c>
      <c r="I73">
        <f>pHCondMod[[#This Row],[Sample pH]]</f>
        <v>0</v>
      </c>
      <c r="J73">
        <f>pHCondMod[[#This Row],[Sample Conductivity (mS/cm)]]</f>
        <v>0</v>
      </c>
      <c r="K73">
        <f>pHCondMod[[#This Row],[Modification Description]]</f>
        <v>0</v>
      </c>
      <c r="L73" s="1">
        <f>NMRResults[[#This Row],[Date Run]]</f>
        <v>0</v>
      </c>
      <c r="M73" s="1">
        <f>ICPList[[#This Row],[Date Run]]</f>
        <v>0</v>
      </c>
      <c r="N73" s="1">
        <f>GCResults[[#This Row],[Date Run ]]</f>
        <v>0</v>
      </c>
    </row>
    <row r="74" spans="1:14" ht="14.45" x14ac:dyDescent="0.25">
      <c r="A74">
        <f>SampleList[[#This Row],[Experiment ID]]</f>
        <v>0</v>
      </c>
      <c r="B74">
        <f>SampleList[[#This Row],[Sample Description]]</f>
        <v>0</v>
      </c>
      <c r="C74" s="1">
        <f>SampleList[[#This Row],[Date Sampled]]</f>
        <v>0</v>
      </c>
      <c r="D74">
        <f>SampleList[[#This Row],[Duration (Days)]]</f>
        <v>0</v>
      </c>
      <c r="E74">
        <f>NMRResults[[#This Row],[Ammonium Concentration (mM)]]</f>
        <v>0</v>
      </c>
      <c r="F74" t="str">
        <f>GCResults[[#This Row],[H2 (ppm)]]</f>
        <v/>
      </c>
      <c r="G74">
        <f>GCResults[[#This Row],[Total Gas Volume (mL), gas cylinder = 3785mL]]</f>
        <v>0</v>
      </c>
      <c r="H74">
        <f>GCResults[[#This Row],[Pressure on Sampling (PSI), 145PSI=1MPa]]</f>
        <v>3552.5</v>
      </c>
      <c r="I74">
        <f>pHCondMod[[#This Row],[Sample pH]]</f>
        <v>0</v>
      </c>
      <c r="J74">
        <f>pHCondMod[[#This Row],[Sample Conductivity (mS/cm)]]</f>
        <v>0</v>
      </c>
      <c r="K74">
        <f>pHCondMod[[#This Row],[Modification Description]]</f>
        <v>0</v>
      </c>
      <c r="L74" s="1">
        <f>NMRResults[[#This Row],[Date Run]]</f>
        <v>0</v>
      </c>
      <c r="M74" s="1">
        <f>ICPList[[#This Row],[Date Run]]</f>
        <v>0</v>
      </c>
      <c r="N74" s="1">
        <f>GCResults[[#This Row],[Date Run ]]</f>
        <v>0</v>
      </c>
    </row>
    <row r="75" spans="1:14" ht="14.45" x14ac:dyDescent="0.25">
      <c r="A75">
        <f>SampleList[[#This Row],[Experiment ID]]</f>
        <v>0</v>
      </c>
      <c r="B75">
        <f>SampleList[[#This Row],[Sample Description]]</f>
        <v>0</v>
      </c>
      <c r="C75" s="1">
        <f>SampleList[[#This Row],[Date Sampled]]</f>
        <v>0</v>
      </c>
      <c r="D75">
        <f>SampleList[[#This Row],[Duration (Days)]]</f>
        <v>0</v>
      </c>
      <c r="E75">
        <f>NMRResults[[#This Row],[Ammonium Concentration (mM)]]</f>
        <v>0</v>
      </c>
      <c r="F75" t="str">
        <f>GCResults[[#This Row],[H2 (ppm)]]</f>
        <v/>
      </c>
      <c r="G75">
        <f>GCResults[[#This Row],[Total Gas Volume (mL), gas cylinder = 3785mL]]</f>
        <v>0</v>
      </c>
      <c r="H75">
        <f>GCResults[[#This Row],[Pressure on Sampling (PSI), 145PSI=1MPa]]</f>
        <v>3552.5</v>
      </c>
      <c r="I75">
        <f>pHCondMod[[#This Row],[Sample pH]]</f>
        <v>0</v>
      </c>
      <c r="J75">
        <f>pHCondMod[[#This Row],[Sample Conductivity (mS/cm)]]</f>
        <v>0</v>
      </c>
      <c r="K75">
        <f>pHCondMod[[#This Row],[Modification Description]]</f>
        <v>0</v>
      </c>
      <c r="L75" s="1">
        <f>NMRResults[[#This Row],[Date Run]]</f>
        <v>0</v>
      </c>
      <c r="M75" s="1">
        <f>ICPList[[#This Row],[Date Run]]</f>
        <v>0</v>
      </c>
      <c r="N75" s="1">
        <f>GCResults[[#This Row],[Date Run ]]</f>
        <v>0</v>
      </c>
    </row>
    <row r="76" spans="1:14" ht="14.45" x14ac:dyDescent="0.25">
      <c r="A76">
        <f>SampleList[[#This Row],[Experiment ID]]</f>
        <v>0</v>
      </c>
      <c r="B76">
        <f>SampleList[[#This Row],[Sample Description]]</f>
        <v>0</v>
      </c>
      <c r="C76" s="1">
        <f>SampleList[[#This Row],[Date Sampled]]</f>
        <v>0</v>
      </c>
      <c r="D76">
        <f>SampleList[[#This Row],[Duration (Days)]]</f>
        <v>0</v>
      </c>
      <c r="E76">
        <f>NMRResults[[#This Row],[Ammonium Concentration (mM)]]</f>
        <v>0</v>
      </c>
      <c r="F76" t="str">
        <f>GCResults[[#This Row],[H2 (ppm)]]</f>
        <v/>
      </c>
      <c r="G76">
        <f>GCResults[[#This Row],[Total Gas Volume (mL), gas cylinder = 3785mL]]</f>
        <v>0</v>
      </c>
      <c r="H76">
        <f>GCResults[[#This Row],[Pressure on Sampling (PSI), 145PSI=1MPa]]</f>
        <v>3552.5</v>
      </c>
      <c r="I76">
        <f>pHCondMod[[#This Row],[Sample pH]]</f>
        <v>0</v>
      </c>
      <c r="J76">
        <f>pHCondMod[[#This Row],[Sample Conductivity (mS/cm)]]</f>
        <v>0</v>
      </c>
      <c r="K76">
        <f>pHCondMod[[#This Row],[Modification Description]]</f>
        <v>0</v>
      </c>
      <c r="L76" s="1">
        <f>NMRResults[[#This Row],[Date Run]]</f>
        <v>0</v>
      </c>
      <c r="M76" s="1">
        <f>ICPList[[#This Row],[Date Run]]</f>
        <v>0</v>
      </c>
      <c r="N76" s="1">
        <f>GCResults[[#This Row],[Date Run ]]</f>
        <v>0</v>
      </c>
    </row>
    <row r="77" spans="1:14" ht="14.45" x14ac:dyDescent="0.25">
      <c r="A77">
        <f>SampleList[[#This Row],[Experiment ID]]</f>
        <v>0</v>
      </c>
      <c r="B77">
        <f>SampleList[[#This Row],[Sample Description]]</f>
        <v>0</v>
      </c>
      <c r="C77" s="1">
        <f>SampleList[[#This Row],[Date Sampled]]</f>
        <v>0</v>
      </c>
      <c r="D77">
        <f>SampleList[[#This Row],[Duration (Days)]]</f>
        <v>0</v>
      </c>
      <c r="E77">
        <f>NMRResults[[#This Row],[Ammonium Concentration (mM)]]</f>
        <v>0</v>
      </c>
      <c r="F77" t="str">
        <f>GCResults[[#This Row],[H2 (ppm)]]</f>
        <v/>
      </c>
      <c r="G77">
        <f>GCResults[[#This Row],[Total Gas Volume (mL), gas cylinder = 3785mL]]</f>
        <v>0</v>
      </c>
      <c r="H77">
        <f>GCResults[[#This Row],[Pressure on Sampling (PSI), 145PSI=1MPa]]</f>
        <v>3552.5</v>
      </c>
      <c r="I77">
        <f>pHCondMod[[#This Row],[Sample pH]]</f>
        <v>0</v>
      </c>
      <c r="J77">
        <f>pHCondMod[[#This Row],[Sample Conductivity (mS/cm)]]</f>
        <v>0</v>
      </c>
      <c r="K77">
        <f>pHCondMod[[#This Row],[Modification Description]]</f>
        <v>0</v>
      </c>
      <c r="L77" s="1">
        <f>NMRResults[[#This Row],[Date Run]]</f>
        <v>0</v>
      </c>
      <c r="M77" s="1">
        <f>ICPList[[#This Row],[Date Run]]</f>
        <v>0</v>
      </c>
      <c r="N77" s="1">
        <f>GCResults[[#This Row],[Date Run ]]</f>
        <v>0</v>
      </c>
    </row>
    <row r="78" spans="1:14" ht="14.45" x14ac:dyDescent="0.25">
      <c r="A78">
        <f>SampleList[[#This Row],[Experiment ID]]</f>
        <v>0</v>
      </c>
      <c r="B78">
        <f>SampleList[[#This Row],[Sample Description]]</f>
        <v>0</v>
      </c>
      <c r="C78" s="1">
        <f>SampleList[[#This Row],[Date Sampled]]</f>
        <v>0</v>
      </c>
      <c r="D78">
        <f>SampleList[[#This Row],[Duration (Days)]]</f>
        <v>0</v>
      </c>
      <c r="E78">
        <f>NMRResults[[#This Row],[Ammonium Concentration (mM)]]</f>
        <v>0</v>
      </c>
      <c r="F78" t="str">
        <f>GCResults[[#This Row],[H2 (ppm)]]</f>
        <v/>
      </c>
      <c r="G78">
        <f>GCResults[[#This Row],[Total Gas Volume (mL), gas cylinder = 3785mL]]</f>
        <v>0</v>
      </c>
      <c r="H78">
        <f>GCResults[[#This Row],[Pressure on Sampling (PSI), 145PSI=1MPa]]</f>
        <v>3552.5</v>
      </c>
      <c r="I78">
        <f>pHCondMod[[#This Row],[Sample pH]]</f>
        <v>0</v>
      </c>
      <c r="J78">
        <f>pHCondMod[[#This Row],[Sample Conductivity (mS/cm)]]</f>
        <v>0</v>
      </c>
      <c r="K78">
        <f>pHCondMod[[#This Row],[Modification Description]]</f>
        <v>0</v>
      </c>
      <c r="L78" s="1">
        <f>NMRResults[[#This Row],[Date Run]]</f>
        <v>0</v>
      </c>
      <c r="M78" s="1">
        <f>ICPList[[#This Row],[Date Run]]</f>
        <v>0</v>
      </c>
      <c r="N78" s="1">
        <f>GCResults[[#This Row],[Date Run ]]</f>
        <v>0</v>
      </c>
    </row>
    <row r="79" spans="1:14" ht="14.45" x14ac:dyDescent="0.25">
      <c r="A79">
        <f>SampleList[[#This Row],[Experiment ID]]</f>
        <v>0</v>
      </c>
      <c r="B79">
        <f>SampleList[[#This Row],[Sample Description]]</f>
        <v>0</v>
      </c>
      <c r="C79" s="1">
        <f>SampleList[[#This Row],[Date Sampled]]</f>
        <v>0</v>
      </c>
      <c r="D79">
        <f>SampleList[[#This Row],[Duration (Days)]]</f>
        <v>0</v>
      </c>
      <c r="E79">
        <f>NMRResults[[#This Row],[Ammonium Concentration (mM)]]</f>
        <v>0</v>
      </c>
      <c r="F79" t="str">
        <f>GCResults[[#This Row],[H2 (ppm)]]</f>
        <v/>
      </c>
      <c r="G79">
        <f>GCResults[[#This Row],[Total Gas Volume (mL), gas cylinder = 3785mL]]</f>
        <v>0</v>
      </c>
      <c r="H79">
        <f>GCResults[[#This Row],[Pressure on Sampling (PSI), 145PSI=1MPa]]</f>
        <v>3552.5</v>
      </c>
      <c r="I79">
        <f>pHCondMod[[#This Row],[Sample pH]]</f>
        <v>0</v>
      </c>
      <c r="J79">
        <f>pHCondMod[[#This Row],[Sample Conductivity (mS/cm)]]</f>
        <v>0</v>
      </c>
      <c r="K79">
        <f>pHCondMod[[#This Row],[Modification Description]]</f>
        <v>0</v>
      </c>
      <c r="L79" s="1">
        <f>NMRResults[[#This Row],[Date Run]]</f>
        <v>0</v>
      </c>
      <c r="M79" s="1">
        <f>ICPList[[#This Row],[Date Run]]</f>
        <v>0</v>
      </c>
      <c r="N79" s="1">
        <f>GCResults[[#This Row],[Date Run ]]</f>
        <v>0</v>
      </c>
    </row>
    <row r="80" spans="1:14" ht="14.45" x14ac:dyDescent="0.25">
      <c r="A80">
        <f>SampleList[[#This Row],[Experiment ID]]</f>
        <v>0</v>
      </c>
      <c r="B80">
        <f>SampleList[[#This Row],[Sample Description]]</f>
        <v>0</v>
      </c>
      <c r="C80" s="1">
        <f>SampleList[[#This Row],[Date Sampled]]</f>
        <v>0</v>
      </c>
      <c r="D80">
        <f>SampleList[[#This Row],[Duration (Days)]]</f>
        <v>0</v>
      </c>
      <c r="E80">
        <f>NMRResults[[#This Row],[Ammonium Concentration (mM)]]</f>
        <v>0</v>
      </c>
      <c r="F80" t="str">
        <f>GCResults[[#This Row],[H2 (ppm)]]</f>
        <v/>
      </c>
      <c r="G80">
        <f>GCResults[[#This Row],[Total Gas Volume (mL), gas cylinder = 3785mL]]</f>
        <v>0</v>
      </c>
      <c r="H80">
        <f>GCResults[[#This Row],[Pressure on Sampling (PSI), 145PSI=1MPa]]</f>
        <v>3552.5</v>
      </c>
      <c r="I80">
        <f>pHCondMod[[#This Row],[Sample pH]]</f>
        <v>0</v>
      </c>
      <c r="J80">
        <f>pHCondMod[[#This Row],[Sample Conductivity (mS/cm)]]</f>
        <v>0</v>
      </c>
      <c r="K80">
        <f>pHCondMod[[#This Row],[Modification Description]]</f>
        <v>0</v>
      </c>
      <c r="L80" s="1">
        <f>NMRResults[[#This Row],[Date Run]]</f>
        <v>0</v>
      </c>
      <c r="M80" s="1">
        <f>ICPList[[#This Row],[Date Run]]</f>
        <v>0</v>
      </c>
      <c r="N80" s="1">
        <f>GCResults[[#This Row],[Date Run ]]</f>
        <v>0</v>
      </c>
    </row>
    <row r="81" spans="1:14" ht="14.45" x14ac:dyDescent="0.25">
      <c r="A81">
        <f>SampleList[[#This Row],[Experiment ID]]</f>
        <v>0</v>
      </c>
      <c r="B81">
        <f>SampleList[[#This Row],[Sample Description]]</f>
        <v>0</v>
      </c>
      <c r="C81" s="1">
        <f>SampleList[[#This Row],[Date Sampled]]</f>
        <v>0</v>
      </c>
      <c r="D81">
        <f>SampleList[[#This Row],[Duration (Days)]]</f>
        <v>0</v>
      </c>
      <c r="E81">
        <f>NMRResults[[#This Row],[Ammonium Concentration (mM)]]</f>
        <v>0</v>
      </c>
      <c r="F81" t="str">
        <f>GCResults[[#This Row],[H2 (ppm)]]</f>
        <v/>
      </c>
      <c r="G81">
        <f>GCResults[[#This Row],[Total Gas Volume (mL), gas cylinder = 3785mL]]</f>
        <v>0</v>
      </c>
      <c r="H81">
        <f>GCResults[[#This Row],[Pressure on Sampling (PSI), 145PSI=1MPa]]</f>
        <v>3552.5</v>
      </c>
      <c r="I81">
        <f>pHCondMod[[#This Row],[Sample pH]]</f>
        <v>0</v>
      </c>
      <c r="J81">
        <f>pHCondMod[[#This Row],[Sample Conductivity (mS/cm)]]</f>
        <v>0</v>
      </c>
      <c r="K81">
        <f>pHCondMod[[#This Row],[Modification Description]]</f>
        <v>0</v>
      </c>
      <c r="L81" s="1">
        <f>NMRResults[[#This Row],[Date Run]]</f>
        <v>0</v>
      </c>
      <c r="M81" s="1">
        <f>ICPList[[#This Row],[Date Run]]</f>
        <v>0</v>
      </c>
      <c r="N81" s="1">
        <f>GCResults[[#This Row],[Date Run ]]</f>
        <v>0</v>
      </c>
    </row>
    <row r="82" spans="1:14" ht="14.45" x14ac:dyDescent="0.25">
      <c r="A82">
        <f>SampleList[[#This Row],[Experiment ID]]</f>
        <v>0</v>
      </c>
      <c r="B82">
        <f>SampleList[[#This Row],[Sample Description]]</f>
        <v>0</v>
      </c>
      <c r="C82" s="1">
        <f>SampleList[[#This Row],[Date Sampled]]</f>
        <v>0</v>
      </c>
      <c r="D82">
        <f>SampleList[[#This Row],[Duration (Days)]]</f>
        <v>0</v>
      </c>
      <c r="E82">
        <f>NMRResults[[#This Row],[Ammonium Concentration (mM)]]</f>
        <v>0</v>
      </c>
      <c r="F82" t="str">
        <f>GCResults[[#This Row],[H2 (ppm)]]</f>
        <v/>
      </c>
      <c r="G82">
        <f>GCResults[[#This Row],[Total Gas Volume (mL), gas cylinder = 3785mL]]</f>
        <v>0</v>
      </c>
      <c r="H82">
        <f>GCResults[[#This Row],[Pressure on Sampling (PSI), 145PSI=1MPa]]</f>
        <v>3552.5</v>
      </c>
      <c r="I82">
        <f>pHCondMod[[#This Row],[Sample pH]]</f>
        <v>0</v>
      </c>
      <c r="J82">
        <f>pHCondMod[[#This Row],[Sample Conductivity (mS/cm)]]</f>
        <v>0</v>
      </c>
      <c r="K82">
        <f>pHCondMod[[#This Row],[Modification Description]]</f>
        <v>0</v>
      </c>
      <c r="L82" s="1">
        <f>NMRResults[[#This Row],[Date Run]]</f>
        <v>0</v>
      </c>
      <c r="M82" s="1">
        <f>ICPList[[#This Row],[Date Run]]</f>
        <v>0</v>
      </c>
      <c r="N82" s="1">
        <f>GCResults[[#This Row],[Date Run ]]</f>
        <v>0</v>
      </c>
    </row>
    <row r="83" spans="1:14" ht="14.45" x14ac:dyDescent="0.25">
      <c r="A83">
        <f>SampleList[[#This Row],[Experiment ID]]</f>
        <v>0</v>
      </c>
      <c r="B83">
        <f>SampleList[[#This Row],[Sample Description]]</f>
        <v>0</v>
      </c>
      <c r="C83" s="1">
        <f>SampleList[[#This Row],[Date Sampled]]</f>
        <v>0</v>
      </c>
      <c r="D83">
        <f>SampleList[[#This Row],[Duration (Days)]]</f>
        <v>0</v>
      </c>
      <c r="E83">
        <f>NMRResults[[#This Row],[Ammonium Concentration (mM)]]</f>
        <v>0</v>
      </c>
      <c r="F83" t="str">
        <f>GCResults[[#This Row],[H2 (ppm)]]</f>
        <v/>
      </c>
      <c r="G83">
        <f>GCResults[[#This Row],[Total Gas Volume (mL), gas cylinder = 3785mL]]</f>
        <v>0</v>
      </c>
      <c r="H83">
        <f>GCResults[[#This Row],[Pressure on Sampling (PSI), 145PSI=1MPa]]</f>
        <v>3552.5</v>
      </c>
      <c r="I83">
        <f>pHCondMod[[#This Row],[Sample pH]]</f>
        <v>0</v>
      </c>
      <c r="J83">
        <f>pHCondMod[[#This Row],[Sample Conductivity (mS/cm)]]</f>
        <v>0</v>
      </c>
      <c r="K83">
        <f>pHCondMod[[#This Row],[Modification Description]]</f>
        <v>0</v>
      </c>
      <c r="L83" s="1">
        <f>NMRResults[[#This Row],[Date Run]]</f>
        <v>0</v>
      </c>
      <c r="M83" s="1">
        <f>ICPList[[#This Row],[Date Run]]</f>
        <v>0</v>
      </c>
      <c r="N83" s="1">
        <f>GCResults[[#This Row],[Date Run ]]</f>
        <v>0</v>
      </c>
    </row>
    <row r="84" spans="1:14" ht="14.45" x14ac:dyDescent="0.25">
      <c r="A84">
        <f>SampleList[[#This Row],[Experiment ID]]</f>
        <v>0</v>
      </c>
      <c r="B84">
        <f>SampleList[[#This Row],[Sample Description]]</f>
        <v>0</v>
      </c>
      <c r="C84" s="1">
        <f>SampleList[[#This Row],[Date Sampled]]</f>
        <v>0</v>
      </c>
      <c r="D84">
        <f>SampleList[[#This Row],[Duration (Days)]]</f>
        <v>0</v>
      </c>
      <c r="E84">
        <f>NMRResults[[#This Row],[Ammonium Concentration (mM)]]</f>
        <v>0</v>
      </c>
      <c r="F84" t="str">
        <f>GCResults[[#This Row],[H2 (ppm)]]</f>
        <v/>
      </c>
      <c r="G84">
        <f>GCResults[[#This Row],[Total Gas Volume (mL), gas cylinder = 3785mL]]</f>
        <v>0</v>
      </c>
      <c r="H84">
        <f>GCResults[[#This Row],[Pressure on Sampling (PSI), 145PSI=1MPa]]</f>
        <v>3552.5</v>
      </c>
      <c r="I84">
        <f>pHCondMod[[#This Row],[Sample pH]]</f>
        <v>0</v>
      </c>
      <c r="J84">
        <f>pHCondMod[[#This Row],[Sample Conductivity (mS/cm)]]</f>
        <v>0</v>
      </c>
      <c r="K84">
        <f>pHCondMod[[#This Row],[Modification Description]]</f>
        <v>0</v>
      </c>
      <c r="L84" s="1">
        <f>NMRResults[[#This Row],[Date Run]]</f>
        <v>0</v>
      </c>
      <c r="M84" s="1">
        <f>ICPList[[#This Row],[Date Run]]</f>
        <v>0</v>
      </c>
      <c r="N84" s="1">
        <f>GCResults[[#This Row],[Date Run ]]</f>
        <v>0</v>
      </c>
    </row>
    <row r="85" spans="1:14" ht="14.45" x14ac:dyDescent="0.25">
      <c r="A85">
        <f>SampleList[[#This Row],[Experiment ID]]</f>
        <v>0</v>
      </c>
      <c r="B85">
        <f>SampleList[[#This Row],[Sample Description]]</f>
        <v>0</v>
      </c>
      <c r="C85" s="1">
        <f>SampleList[[#This Row],[Date Sampled]]</f>
        <v>0</v>
      </c>
      <c r="D85">
        <f>SampleList[[#This Row],[Duration (Days)]]</f>
        <v>0</v>
      </c>
      <c r="E85">
        <f>NMRResults[[#This Row],[Ammonium Concentration (mM)]]</f>
        <v>0</v>
      </c>
      <c r="F85" t="str">
        <f>GCResults[[#This Row],[H2 (ppm)]]</f>
        <v/>
      </c>
      <c r="G85">
        <f>GCResults[[#This Row],[Total Gas Volume (mL), gas cylinder = 3785mL]]</f>
        <v>0</v>
      </c>
      <c r="H85">
        <f>GCResults[[#This Row],[Pressure on Sampling (PSI), 145PSI=1MPa]]</f>
        <v>3552.5</v>
      </c>
      <c r="I85">
        <f>pHCondMod[[#This Row],[Sample pH]]</f>
        <v>0</v>
      </c>
      <c r="J85">
        <f>pHCondMod[[#This Row],[Sample Conductivity (mS/cm)]]</f>
        <v>0</v>
      </c>
      <c r="K85">
        <f>pHCondMod[[#This Row],[Modification Description]]</f>
        <v>0</v>
      </c>
      <c r="L85" s="1">
        <f>NMRResults[[#This Row],[Date Run]]</f>
        <v>0</v>
      </c>
      <c r="M85" s="1">
        <f>ICPList[[#This Row],[Date Run]]</f>
        <v>0</v>
      </c>
      <c r="N85" s="1">
        <f>GCResults[[#This Row],[Date Run ]]</f>
        <v>0</v>
      </c>
    </row>
    <row r="86" spans="1:14" ht="14.45" x14ac:dyDescent="0.25">
      <c r="A86">
        <f>SampleList[[#This Row],[Experiment ID]]</f>
        <v>0</v>
      </c>
      <c r="B86">
        <f>SampleList[[#This Row],[Sample Description]]</f>
        <v>0</v>
      </c>
      <c r="C86" s="1">
        <f>SampleList[[#This Row],[Date Sampled]]</f>
        <v>0</v>
      </c>
      <c r="D86">
        <f>SampleList[[#This Row],[Duration (Days)]]</f>
        <v>0</v>
      </c>
      <c r="E86">
        <f>NMRResults[[#This Row],[Ammonium Concentration (mM)]]</f>
        <v>0</v>
      </c>
      <c r="F86" t="str">
        <f>GCResults[[#This Row],[H2 (ppm)]]</f>
        <v/>
      </c>
      <c r="G86">
        <f>GCResults[[#This Row],[Total Gas Volume (mL), gas cylinder = 3785mL]]</f>
        <v>0</v>
      </c>
      <c r="H86">
        <f>GCResults[[#This Row],[Pressure on Sampling (PSI), 145PSI=1MPa]]</f>
        <v>3552.5</v>
      </c>
      <c r="I86">
        <f>pHCondMod[[#This Row],[Sample pH]]</f>
        <v>0</v>
      </c>
      <c r="J86">
        <f>pHCondMod[[#This Row],[Sample Conductivity (mS/cm)]]</f>
        <v>0</v>
      </c>
      <c r="K86">
        <f>pHCondMod[[#This Row],[Modification Description]]</f>
        <v>0</v>
      </c>
      <c r="L86" s="1">
        <f>NMRResults[[#This Row],[Date Run]]</f>
        <v>0</v>
      </c>
      <c r="M86" s="1">
        <f>ICPList[[#This Row],[Date Run]]</f>
        <v>0</v>
      </c>
      <c r="N86" s="1">
        <f>GCResults[[#This Row],[Date Run ]]</f>
        <v>0</v>
      </c>
    </row>
    <row r="87" spans="1:14" ht="14.45" x14ac:dyDescent="0.25">
      <c r="A87">
        <f>SampleList[[#This Row],[Experiment ID]]</f>
        <v>0</v>
      </c>
      <c r="B87">
        <f>SampleList[[#This Row],[Sample Description]]</f>
        <v>0</v>
      </c>
      <c r="C87" s="1">
        <f>SampleList[[#This Row],[Date Sampled]]</f>
        <v>0</v>
      </c>
      <c r="D87">
        <f>SampleList[[#This Row],[Duration (Days)]]</f>
        <v>0</v>
      </c>
      <c r="E87">
        <f>NMRResults[[#This Row],[Ammonium Concentration (mM)]]</f>
        <v>0</v>
      </c>
      <c r="F87" t="str">
        <f>GCResults[[#This Row],[H2 (ppm)]]</f>
        <v/>
      </c>
      <c r="G87">
        <f>GCResults[[#This Row],[Total Gas Volume (mL), gas cylinder = 3785mL]]</f>
        <v>0</v>
      </c>
      <c r="H87">
        <f>GCResults[[#This Row],[Pressure on Sampling (PSI), 145PSI=1MPa]]</f>
        <v>3552.5</v>
      </c>
      <c r="I87">
        <f>pHCondMod[[#This Row],[Sample pH]]</f>
        <v>0</v>
      </c>
      <c r="J87">
        <f>pHCondMod[[#This Row],[Sample Conductivity (mS/cm)]]</f>
        <v>0</v>
      </c>
      <c r="K87">
        <f>pHCondMod[[#This Row],[Modification Description]]</f>
        <v>0</v>
      </c>
      <c r="L87" s="1">
        <f>NMRResults[[#This Row],[Date Run]]</f>
        <v>0</v>
      </c>
      <c r="M87" s="1">
        <f>ICPList[[#This Row],[Date Run]]</f>
        <v>0</v>
      </c>
      <c r="N87" s="1">
        <f>GCResults[[#This Row],[Date Run ]]</f>
        <v>0</v>
      </c>
    </row>
    <row r="88" spans="1:14" ht="14.45" x14ac:dyDescent="0.25">
      <c r="A88">
        <f>SampleList[[#This Row],[Experiment ID]]</f>
        <v>0</v>
      </c>
      <c r="B88">
        <f>SampleList[[#This Row],[Sample Description]]</f>
        <v>0</v>
      </c>
      <c r="C88" s="1">
        <f>SampleList[[#This Row],[Date Sampled]]</f>
        <v>0</v>
      </c>
      <c r="D88">
        <f>SampleList[[#This Row],[Duration (Days)]]</f>
        <v>0</v>
      </c>
      <c r="E88">
        <f>NMRResults[[#This Row],[Ammonium Concentration (mM)]]</f>
        <v>0</v>
      </c>
      <c r="F88" t="str">
        <f>GCResults[[#This Row],[H2 (ppm)]]</f>
        <v/>
      </c>
      <c r="G88">
        <f>GCResults[[#This Row],[Total Gas Volume (mL), gas cylinder = 3785mL]]</f>
        <v>0</v>
      </c>
      <c r="H88">
        <f>GCResults[[#This Row],[Pressure on Sampling (PSI), 145PSI=1MPa]]</f>
        <v>3552.5</v>
      </c>
      <c r="I88">
        <f>pHCondMod[[#This Row],[Sample pH]]</f>
        <v>0</v>
      </c>
      <c r="J88">
        <f>pHCondMod[[#This Row],[Sample Conductivity (mS/cm)]]</f>
        <v>0</v>
      </c>
      <c r="K88">
        <f>pHCondMod[[#This Row],[Modification Description]]</f>
        <v>0</v>
      </c>
      <c r="L88" s="1">
        <f>NMRResults[[#This Row],[Date Run]]</f>
        <v>0</v>
      </c>
      <c r="M88" s="1">
        <f>ICPList[[#This Row],[Date Run]]</f>
        <v>0</v>
      </c>
      <c r="N88" s="1">
        <f>GCResults[[#This Row],[Date Run ]]</f>
        <v>0</v>
      </c>
    </row>
    <row r="89" spans="1:14" ht="14.45" x14ac:dyDescent="0.25">
      <c r="A89">
        <f>SampleList[[#This Row],[Experiment ID]]</f>
        <v>0</v>
      </c>
      <c r="B89">
        <f>SampleList[[#This Row],[Sample Description]]</f>
        <v>0</v>
      </c>
      <c r="C89" s="1">
        <f>SampleList[[#This Row],[Date Sampled]]</f>
        <v>0</v>
      </c>
      <c r="D89">
        <f>SampleList[[#This Row],[Duration (Days)]]</f>
        <v>0</v>
      </c>
      <c r="E89">
        <f>NMRResults[[#This Row],[Ammonium Concentration (mM)]]</f>
        <v>0</v>
      </c>
      <c r="F89" t="str">
        <f>GCResults[[#This Row],[H2 (ppm)]]</f>
        <v/>
      </c>
      <c r="G89">
        <f>GCResults[[#This Row],[Total Gas Volume (mL), gas cylinder = 3785mL]]</f>
        <v>0</v>
      </c>
      <c r="H89">
        <f>GCResults[[#This Row],[Pressure on Sampling (PSI), 145PSI=1MPa]]</f>
        <v>3552.5</v>
      </c>
      <c r="I89">
        <f>pHCondMod[[#This Row],[Sample pH]]</f>
        <v>0</v>
      </c>
      <c r="J89">
        <f>pHCondMod[[#This Row],[Sample Conductivity (mS/cm)]]</f>
        <v>0</v>
      </c>
      <c r="K89">
        <f>pHCondMod[[#This Row],[Modification Description]]</f>
        <v>0</v>
      </c>
      <c r="L89" s="1">
        <f>NMRResults[[#This Row],[Date Run]]</f>
        <v>0</v>
      </c>
      <c r="M89" s="1">
        <f>ICPList[[#This Row],[Date Run]]</f>
        <v>0</v>
      </c>
      <c r="N89" s="1">
        <f>GCResults[[#This Row],[Date Run ]]</f>
        <v>0</v>
      </c>
    </row>
    <row r="90" spans="1:14" ht="14.45" x14ac:dyDescent="0.25">
      <c r="A90">
        <f>SampleList[[#This Row],[Experiment ID]]</f>
        <v>0</v>
      </c>
      <c r="B90">
        <f>SampleList[[#This Row],[Sample Description]]</f>
        <v>0</v>
      </c>
      <c r="C90" s="1">
        <f>SampleList[[#This Row],[Date Sampled]]</f>
        <v>0</v>
      </c>
      <c r="D90">
        <f>SampleList[[#This Row],[Duration (Days)]]</f>
        <v>0</v>
      </c>
      <c r="E90">
        <f>NMRResults[[#This Row],[Ammonium Concentration (mM)]]</f>
        <v>0</v>
      </c>
      <c r="F90" t="str">
        <f>GCResults[[#This Row],[H2 (ppm)]]</f>
        <v/>
      </c>
      <c r="G90">
        <f>GCResults[[#This Row],[Total Gas Volume (mL), gas cylinder = 3785mL]]</f>
        <v>0</v>
      </c>
      <c r="H90">
        <f>GCResults[[#This Row],[Pressure on Sampling (PSI), 145PSI=1MPa]]</f>
        <v>3552.5</v>
      </c>
      <c r="I90">
        <f>pHCondMod[[#This Row],[Sample pH]]</f>
        <v>0</v>
      </c>
      <c r="J90">
        <f>pHCondMod[[#This Row],[Sample Conductivity (mS/cm)]]</f>
        <v>0</v>
      </c>
      <c r="K90">
        <f>pHCondMod[[#This Row],[Modification Description]]</f>
        <v>0</v>
      </c>
      <c r="L90" s="1">
        <f>NMRResults[[#This Row],[Date Run]]</f>
        <v>0</v>
      </c>
      <c r="M90" s="1">
        <f>ICPList[[#This Row],[Date Run]]</f>
        <v>0</v>
      </c>
      <c r="N90" s="1">
        <f>GCResults[[#This Row],[Date Run ]]</f>
        <v>0</v>
      </c>
    </row>
    <row r="91" spans="1:14" ht="14.45" x14ac:dyDescent="0.25">
      <c r="A91">
        <f>SampleList[[#This Row],[Experiment ID]]</f>
        <v>0</v>
      </c>
      <c r="B91">
        <f>SampleList[[#This Row],[Sample Description]]</f>
        <v>0</v>
      </c>
      <c r="C91" s="1">
        <f>SampleList[[#This Row],[Date Sampled]]</f>
        <v>0</v>
      </c>
      <c r="D91">
        <f>SampleList[[#This Row],[Duration (Days)]]</f>
        <v>0</v>
      </c>
      <c r="E91">
        <f>NMRResults[[#This Row],[Ammonium Concentration (mM)]]</f>
        <v>0</v>
      </c>
      <c r="F91" t="str">
        <f>GCResults[[#This Row],[H2 (ppm)]]</f>
        <v/>
      </c>
      <c r="G91">
        <f>GCResults[[#This Row],[Total Gas Volume (mL), gas cylinder = 3785mL]]</f>
        <v>0</v>
      </c>
      <c r="H91">
        <f>GCResults[[#This Row],[Pressure on Sampling (PSI), 145PSI=1MPa]]</f>
        <v>3552.5</v>
      </c>
      <c r="I91">
        <f>pHCondMod[[#This Row],[Sample pH]]</f>
        <v>0</v>
      </c>
      <c r="J91">
        <f>pHCondMod[[#This Row],[Sample Conductivity (mS/cm)]]</f>
        <v>0</v>
      </c>
      <c r="K91">
        <f>pHCondMod[[#This Row],[Modification Description]]</f>
        <v>0</v>
      </c>
      <c r="L91" s="1">
        <f>NMRResults[[#This Row],[Date Run]]</f>
        <v>0</v>
      </c>
      <c r="M91" s="1">
        <f>ICPList[[#This Row],[Date Run]]</f>
        <v>0</v>
      </c>
      <c r="N91" s="1">
        <f>GCResults[[#This Row],[Date Run ]]</f>
        <v>0</v>
      </c>
    </row>
    <row r="92" spans="1:14" ht="14.45" x14ac:dyDescent="0.25">
      <c r="A92">
        <f>SampleList[[#This Row],[Experiment ID]]</f>
        <v>0</v>
      </c>
      <c r="B92">
        <f>SampleList[[#This Row],[Sample Description]]</f>
        <v>0</v>
      </c>
      <c r="C92" s="1">
        <f>SampleList[[#This Row],[Date Sampled]]</f>
        <v>0</v>
      </c>
      <c r="D92">
        <f>SampleList[[#This Row],[Duration (Days)]]</f>
        <v>0</v>
      </c>
      <c r="E92">
        <f>NMRResults[[#This Row],[Ammonium Concentration (mM)]]</f>
        <v>0</v>
      </c>
      <c r="F92" t="str">
        <f>GCResults[[#This Row],[H2 (ppm)]]</f>
        <v/>
      </c>
      <c r="G92">
        <f>GCResults[[#This Row],[Total Gas Volume (mL), gas cylinder = 3785mL]]</f>
        <v>0</v>
      </c>
      <c r="H92">
        <f>GCResults[[#This Row],[Pressure on Sampling (PSI), 145PSI=1MPa]]</f>
        <v>3552.5</v>
      </c>
      <c r="I92">
        <f>pHCondMod[[#This Row],[Sample pH]]</f>
        <v>0</v>
      </c>
      <c r="J92">
        <f>pHCondMod[[#This Row],[Sample Conductivity (mS/cm)]]</f>
        <v>0</v>
      </c>
      <c r="K92">
        <f>pHCondMod[[#This Row],[Modification Description]]</f>
        <v>0</v>
      </c>
      <c r="L92" s="1">
        <f>NMRResults[[#This Row],[Date Run]]</f>
        <v>0</v>
      </c>
      <c r="M92" s="1">
        <f>ICPList[[#This Row],[Date Run]]</f>
        <v>0</v>
      </c>
      <c r="N92" s="1">
        <f>GCResults[[#This Row],[Date Run ]]</f>
        <v>0</v>
      </c>
    </row>
    <row r="93" spans="1:14" ht="14.45" x14ac:dyDescent="0.25">
      <c r="A93">
        <f>SampleList[[#This Row],[Experiment ID]]</f>
        <v>0</v>
      </c>
      <c r="B93">
        <f>SampleList[[#This Row],[Sample Description]]</f>
        <v>0</v>
      </c>
      <c r="C93" s="1">
        <f>SampleList[[#This Row],[Date Sampled]]</f>
        <v>0</v>
      </c>
      <c r="D93">
        <f>SampleList[[#This Row],[Duration (Days)]]</f>
        <v>0</v>
      </c>
      <c r="E93">
        <f>NMRResults[[#This Row],[Ammonium Concentration (mM)]]</f>
        <v>0</v>
      </c>
      <c r="F93" t="str">
        <f>GCResults[[#This Row],[H2 (ppm)]]</f>
        <v/>
      </c>
      <c r="G93">
        <f>GCResults[[#This Row],[Total Gas Volume (mL), gas cylinder = 3785mL]]</f>
        <v>0</v>
      </c>
      <c r="H93">
        <f>GCResults[[#This Row],[Pressure on Sampling (PSI), 145PSI=1MPa]]</f>
        <v>3552.5</v>
      </c>
      <c r="I93">
        <f>pHCondMod[[#This Row],[Sample pH]]</f>
        <v>0</v>
      </c>
      <c r="J93">
        <f>pHCondMod[[#This Row],[Sample Conductivity (mS/cm)]]</f>
        <v>0</v>
      </c>
      <c r="K93">
        <f>pHCondMod[[#This Row],[Modification Description]]</f>
        <v>0</v>
      </c>
      <c r="L93" s="1">
        <f>NMRResults[[#This Row],[Date Run]]</f>
        <v>0</v>
      </c>
      <c r="M93" s="1">
        <f>ICPList[[#This Row],[Date Run]]</f>
        <v>0</v>
      </c>
      <c r="N93" s="1">
        <f>GCResults[[#This Row],[Date Run ]]</f>
        <v>0</v>
      </c>
    </row>
    <row r="94" spans="1:14" ht="14.45" x14ac:dyDescent="0.25">
      <c r="A94">
        <f>SampleList[[#This Row],[Experiment ID]]</f>
        <v>0</v>
      </c>
      <c r="B94">
        <f>SampleList[[#This Row],[Sample Description]]</f>
        <v>0</v>
      </c>
      <c r="C94" s="1">
        <f>SampleList[[#This Row],[Date Sampled]]</f>
        <v>0</v>
      </c>
      <c r="D94">
        <f>SampleList[[#This Row],[Duration (Days)]]</f>
        <v>0</v>
      </c>
      <c r="E94">
        <f>NMRResults[[#This Row],[Ammonium Concentration (mM)]]</f>
        <v>0</v>
      </c>
      <c r="F94" t="str">
        <f>GCResults[[#This Row],[H2 (ppm)]]</f>
        <v/>
      </c>
      <c r="G94">
        <f>GCResults[[#This Row],[Total Gas Volume (mL), gas cylinder = 3785mL]]</f>
        <v>0</v>
      </c>
      <c r="H94">
        <f>GCResults[[#This Row],[Pressure on Sampling (PSI), 145PSI=1MPa]]</f>
        <v>3552.5</v>
      </c>
      <c r="I94">
        <f>pHCondMod[[#This Row],[Sample pH]]</f>
        <v>0</v>
      </c>
      <c r="J94">
        <f>pHCondMod[[#This Row],[Sample Conductivity (mS/cm)]]</f>
        <v>0</v>
      </c>
      <c r="K94">
        <f>pHCondMod[[#This Row],[Modification Description]]</f>
        <v>0</v>
      </c>
      <c r="L94" s="1">
        <f>NMRResults[[#This Row],[Date Run]]</f>
        <v>0</v>
      </c>
      <c r="M94" s="1">
        <f>ICPList[[#This Row],[Date Run]]</f>
        <v>0</v>
      </c>
      <c r="N94" s="1">
        <f>GCResults[[#This Row],[Date Run ]]</f>
        <v>0</v>
      </c>
    </row>
    <row r="95" spans="1:14" ht="14.45" x14ac:dyDescent="0.25">
      <c r="A95">
        <f>SampleList[[#This Row],[Experiment ID]]</f>
        <v>0</v>
      </c>
      <c r="B95">
        <f>SampleList[[#This Row],[Sample Description]]</f>
        <v>0</v>
      </c>
      <c r="C95" s="1">
        <f>SampleList[[#This Row],[Date Sampled]]</f>
        <v>0</v>
      </c>
      <c r="D95">
        <f>SampleList[[#This Row],[Duration (Days)]]</f>
        <v>0</v>
      </c>
      <c r="E95">
        <f>NMRResults[[#This Row],[Ammonium Concentration (mM)]]</f>
        <v>0</v>
      </c>
      <c r="F95" t="str">
        <f>GCResults[[#This Row],[H2 (ppm)]]</f>
        <v/>
      </c>
      <c r="G95">
        <f>GCResults[[#This Row],[Total Gas Volume (mL), gas cylinder = 3785mL]]</f>
        <v>0</v>
      </c>
      <c r="H95">
        <f>GCResults[[#This Row],[Pressure on Sampling (PSI), 145PSI=1MPa]]</f>
        <v>3552.5</v>
      </c>
      <c r="I95">
        <f>pHCondMod[[#This Row],[Sample pH]]</f>
        <v>0</v>
      </c>
      <c r="J95">
        <f>pHCondMod[[#This Row],[Sample Conductivity (mS/cm)]]</f>
        <v>0</v>
      </c>
      <c r="K95">
        <f>pHCondMod[[#This Row],[Modification Description]]</f>
        <v>0</v>
      </c>
      <c r="L95" s="1">
        <f>NMRResults[[#This Row],[Date Run]]</f>
        <v>0</v>
      </c>
      <c r="M95" s="1">
        <f>ICPList[[#This Row],[Date Run]]</f>
        <v>0</v>
      </c>
      <c r="N95" s="1">
        <f>GCResults[[#This Row],[Date Run ]]</f>
        <v>0</v>
      </c>
    </row>
    <row r="96" spans="1:14" ht="14.45" x14ac:dyDescent="0.25">
      <c r="A96">
        <f>SampleList[[#This Row],[Experiment ID]]</f>
        <v>0</v>
      </c>
      <c r="B96">
        <f>SampleList[[#This Row],[Sample Description]]</f>
        <v>0</v>
      </c>
      <c r="C96" s="1">
        <f>SampleList[[#This Row],[Date Sampled]]</f>
        <v>0</v>
      </c>
      <c r="D96">
        <f>SampleList[[#This Row],[Duration (Days)]]</f>
        <v>0</v>
      </c>
      <c r="E96">
        <f>NMRResults[[#This Row],[Ammonium Concentration (mM)]]</f>
        <v>0</v>
      </c>
      <c r="F96" t="str">
        <f>GCResults[[#This Row],[H2 (ppm)]]</f>
        <v/>
      </c>
      <c r="G96">
        <f>GCResults[[#This Row],[Total Gas Volume (mL), gas cylinder = 3785mL]]</f>
        <v>0</v>
      </c>
      <c r="H96">
        <f>GCResults[[#This Row],[Pressure on Sampling (PSI), 145PSI=1MPa]]</f>
        <v>3552.5</v>
      </c>
      <c r="I96">
        <f>pHCondMod[[#This Row],[Sample pH]]</f>
        <v>0</v>
      </c>
      <c r="J96">
        <f>pHCondMod[[#This Row],[Sample Conductivity (mS/cm)]]</f>
        <v>0</v>
      </c>
      <c r="K96">
        <f>pHCondMod[[#This Row],[Modification Description]]</f>
        <v>0</v>
      </c>
      <c r="L96" s="1">
        <f>NMRResults[[#This Row],[Date Run]]</f>
        <v>0</v>
      </c>
      <c r="M96" s="1">
        <f>ICPList[[#This Row],[Date Run]]</f>
        <v>0</v>
      </c>
      <c r="N96" s="1">
        <f>GCResults[[#This Row],[Date Run ]]</f>
        <v>0</v>
      </c>
    </row>
    <row r="97" spans="1:14" ht="14.45" x14ac:dyDescent="0.25">
      <c r="A97">
        <f>SampleList[[#This Row],[Experiment ID]]</f>
        <v>0</v>
      </c>
      <c r="B97">
        <f>SampleList[[#This Row],[Sample Description]]</f>
        <v>0</v>
      </c>
      <c r="C97" s="1">
        <f>SampleList[[#This Row],[Date Sampled]]</f>
        <v>0</v>
      </c>
      <c r="D97">
        <f>SampleList[[#This Row],[Duration (Days)]]</f>
        <v>0</v>
      </c>
      <c r="E97">
        <f>NMRResults[[#This Row],[Ammonium Concentration (mM)]]</f>
        <v>0</v>
      </c>
      <c r="F97" t="str">
        <f>GCResults[[#This Row],[H2 (ppm)]]</f>
        <v/>
      </c>
      <c r="G97">
        <f>GCResults[[#This Row],[Total Gas Volume (mL), gas cylinder = 3785mL]]</f>
        <v>0</v>
      </c>
      <c r="H97">
        <f>GCResults[[#This Row],[Pressure on Sampling (PSI), 145PSI=1MPa]]</f>
        <v>3552.5</v>
      </c>
      <c r="I97">
        <f>pHCondMod[[#This Row],[Sample pH]]</f>
        <v>0</v>
      </c>
      <c r="J97">
        <f>pHCondMod[[#This Row],[Sample Conductivity (mS/cm)]]</f>
        <v>0</v>
      </c>
      <c r="K97">
        <f>pHCondMod[[#This Row],[Modification Description]]</f>
        <v>0</v>
      </c>
      <c r="L97" s="1">
        <f>NMRResults[[#This Row],[Date Run]]</f>
        <v>0</v>
      </c>
      <c r="M97" s="1">
        <f>ICPList[[#This Row],[Date Run]]</f>
        <v>0</v>
      </c>
      <c r="N97" s="1">
        <f>GCResults[[#This Row],[Date Run ]]</f>
        <v>0</v>
      </c>
    </row>
    <row r="98" spans="1:14" ht="14.45" x14ac:dyDescent="0.25">
      <c r="A98">
        <f>SampleList[[#This Row],[Experiment ID]]</f>
        <v>0</v>
      </c>
      <c r="B98">
        <f>SampleList[[#This Row],[Sample Description]]</f>
        <v>0</v>
      </c>
      <c r="C98" s="1">
        <f>SampleList[[#This Row],[Date Sampled]]</f>
        <v>0</v>
      </c>
      <c r="D98">
        <f>SampleList[[#This Row],[Duration (Days)]]</f>
        <v>0</v>
      </c>
      <c r="E98">
        <f>NMRResults[[#This Row],[Ammonium Concentration (mM)]]</f>
        <v>0</v>
      </c>
      <c r="F98" t="str">
        <f>GCResults[[#This Row],[H2 (ppm)]]</f>
        <v/>
      </c>
      <c r="G98">
        <f>GCResults[[#This Row],[Total Gas Volume (mL), gas cylinder = 3785mL]]</f>
        <v>0</v>
      </c>
      <c r="H98">
        <f>GCResults[[#This Row],[Pressure on Sampling (PSI), 145PSI=1MPa]]</f>
        <v>3552.5</v>
      </c>
      <c r="I98">
        <f>pHCondMod[[#This Row],[Sample pH]]</f>
        <v>0</v>
      </c>
      <c r="J98">
        <f>pHCondMod[[#This Row],[Sample Conductivity (mS/cm)]]</f>
        <v>0</v>
      </c>
      <c r="K98">
        <f>pHCondMod[[#This Row],[Modification Description]]</f>
        <v>0</v>
      </c>
      <c r="L98" s="1">
        <f>NMRResults[[#This Row],[Date Run]]</f>
        <v>0</v>
      </c>
      <c r="M98" s="1">
        <f>ICPList[[#This Row],[Date Run]]</f>
        <v>0</v>
      </c>
      <c r="N98" s="1">
        <f>GCResults[[#This Row],[Date Run ]]</f>
        <v>0</v>
      </c>
    </row>
    <row r="99" spans="1:14" ht="14.45" x14ac:dyDescent="0.25">
      <c r="A99">
        <f>SampleList[[#This Row],[Experiment ID]]</f>
        <v>0</v>
      </c>
      <c r="B99">
        <f>SampleList[[#This Row],[Sample Description]]</f>
        <v>0</v>
      </c>
      <c r="C99" s="1">
        <f>SampleList[[#This Row],[Date Sampled]]</f>
        <v>0</v>
      </c>
      <c r="D99">
        <f>SampleList[[#This Row],[Duration (Days)]]</f>
        <v>0</v>
      </c>
      <c r="E99">
        <f>NMRResults[[#This Row],[Ammonium Concentration (mM)]]</f>
        <v>0</v>
      </c>
      <c r="F99" t="str">
        <f>GCResults[[#This Row],[H2 (ppm)]]</f>
        <v/>
      </c>
      <c r="G99">
        <f>GCResults[[#This Row],[Total Gas Volume (mL), gas cylinder = 3785mL]]</f>
        <v>0</v>
      </c>
      <c r="H99">
        <f>GCResults[[#This Row],[Pressure on Sampling (PSI), 145PSI=1MPa]]</f>
        <v>3552.5</v>
      </c>
      <c r="I99">
        <f>pHCondMod[[#This Row],[Sample pH]]</f>
        <v>0</v>
      </c>
      <c r="J99">
        <f>pHCondMod[[#This Row],[Sample Conductivity (mS/cm)]]</f>
        <v>0</v>
      </c>
      <c r="K99">
        <f>pHCondMod[[#This Row],[Modification Description]]</f>
        <v>0</v>
      </c>
      <c r="L99" s="1">
        <f>NMRResults[[#This Row],[Date Run]]</f>
        <v>0</v>
      </c>
      <c r="M99" s="1">
        <f>ICPList[[#This Row],[Date Run]]</f>
        <v>0</v>
      </c>
      <c r="N99" s="1">
        <f>GCResults[[#This Row],[Date Run ]]</f>
        <v>0</v>
      </c>
    </row>
    <row r="100" spans="1:14" ht="14.45" x14ac:dyDescent="0.25">
      <c r="A100">
        <f>SampleList[[#This Row],[Experiment ID]]</f>
        <v>0</v>
      </c>
      <c r="B100">
        <f>SampleList[[#This Row],[Sample Description]]</f>
        <v>0</v>
      </c>
      <c r="C100" s="1">
        <f>SampleList[[#This Row],[Date Sampled]]</f>
        <v>0</v>
      </c>
      <c r="D100">
        <f>SampleList[[#This Row],[Duration (Days)]]</f>
        <v>0</v>
      </c>
      <c r="E100">
        <f>NMRResults[[#This Row],[Ammonium Concentration (mM)]]</f>
        <v>0</v>
      </c>
      <c r="F100" t="str">
        <f>GCResults[[#This Row],[H2 (ppm)]]</f>
        <v/>
      </c>
      <c r="G100">
        <f>GCResults[[#This Row],[Total Gas Volume (mL), gas cylinder = 3785mL]]</f>
        <v>0</v>
      </c>
      <c r="H100">
        <f>GCResults[[#This Row],[Pressure on Sampling (PSI), 145PSI=1MPa]]</f>
        <v>3552.5</v>
      </c>
      <c r="I100">
        <f>pHCondMod[[#This Row],[Sample pH]]</f>
        <v>0</v>
      </c>
      <c r="J100">
        <f>pHCondMod[[#This Row],[Sample Conductivity (mS/cm)]]</f>
        <v>0</v>
      </c>
      <c r="K100">
        <f>pHCondMod[[#This Row],[Modification Description]]</f>
        <v>0</v>
      </c>
      <c r="L100" s="1">
        <f>NMRResults[[#This Row],[Date Run]]</f>
        <v>0</v>
      </c>
      <c r="M100" s="1">
        <f>ICPList[[#This Row],[Date Run]]</f>
        <v>0</v>
      </c>
      <c r="N100" s="1">
        <f>GCResults[[#This Row],[Date Run ]]</f>
        <v>0</v>
      </c>
    </row>
    <row r="101" spans="1:14" ht="14.45" x14ac:dyDescent="0.25">
      <c r="A101">
        <f>SampleList[[#This Row],[Experiment ID]]</f>
        <v>0</v>
      </c>
      <c r="B101">
        <f>SampleList[[#This Row],[Sample Description]]</f>
        <v>0</v>
      </c>
      <c r="C101" s="1">
        <f>SampleList[[#This Row],[Date Sampled]]</f>
        <v>0</v>
      </c>
      <c r="D101">
        <f>SampleList[[#This Row],[Duration (Days)]]</f>
        <v>0</v>
      </c>
      <c r="E101">
        <f>NMRResults[[#This Row],[Ammonium Concentration (mM)]]</f>
        <v>0</v>
      </c>
      <c r="F101" t="str">
        <f>GCResults[[#This Row],[H2 (ppm)]]</f>
        <v/>
      </c>
      <c r="G101">
        <f>GCResults[[#This Row],[Total Gas Volume (mL), gas cylinder = 3785mL]]</f>
        <v>0</v>
      </c>
      <c r="H101">
        <f>GCResults[[#This Row],[Pressure on Sampling (PSI), 145PSI=1MPa]]</f>
        <v>3552.5</v>
      </c>
      <c r="I101">
        <f>pHCondMod[[#This Row],[Sample pH]]</f>
        <v>0</v>
      </c>
      <c r="J101">
        <f>pHCondMod[[#This Row],[Sample Conductivity (mS/cm)]]</f>
        <v>0</v>
      </c>
      <c r="K101">
        <f>pHCondMod[[#This Row],[Modification Description]]</f>
        <v>0</v>
      </c>
      <c r="L101" s="1">
        <f>NMRResults[[#This Row],[Date Run]]</f>
        <v>0</v>
      </c>
      <c r="M101" s="1">
        <f>ICPList[[#This Row],[Date Run]]</f>
        <v>0</v>
      </c>
      <c r="N101" s="1">
        <f>GCResults[[#This Row],[Date Run ]]</f>
        <v>0</v>
      </c>
    </row>
    <row r="102" spans="1:14" ht="14.45" x14ac:dyDescent="0.25">
      <c r="A102">
        <f>SampleList[[#This Row],[Experiment ID]]</f>
        <v>0</v>
      </c>
      <c r="B102">
        <f>SampleList[[#This Row],[Sample Description]]</f>
        <v>0</v>
      </c>
      <c r="C102" s="1">
        <f>SampleList[[#This Row],[Date Sampled]]</f>
        <v>0</v>
      </c>
      <c r="D102">
        <f>SampleList[[#This Row],[Duration (Days)]]</f>
        <v>0</v>
      </c>
      <c r="E102">
        <f>NMRResults[[#This Row],[Ammonium Concentration (mM)]]</f>
        <v>0</v>
      </c>
      <c r="F102" t="str">
        <f>GCResults[[#This Row],[H2 (ppm)]]</f>
        <v/>
      </c>
      <c r="G102">
        <f>GCResults[[#This Row],[Total Gas Volume (mL), gas cylinder = 3785mL]]</f>
        <v>0</v>
      </c>
      <c r="H102">
        <f>GCResults[[#This Row],[Pressure on Sampling (PSI), 145PSI=1MPa]]</f>
        <v>3552.5</v>
      </c>
      <c r="I102">
        <f>pHCondMod[[#This Row],[Sample pH]]</f>
        <v>0</v>
      </c>
      <c r="J102">
        <f>pHCondMod[[#This Row],[Sample Conductivity (mS/cm)]]</f>
        <v>0</v>
      </c>
      <c r="K102">
        <f>pHCondMod[[#This Row],[Modification Description]]</f>
        <v>0</v>
      </c>
      <c r="L102" s="1">
        <f>NMRResults[[#This Row],[Date Run]]</f>
        <v>0</v>
      </c>
      <c r="M102" s="1">
        <f>ICPList[[#This Row],[Date Run]]</f>
        <v>0</v>
      </c>
      <c r="N102" s="1">
        <f>GCResults[[#This Row],[Date Run ]]</f>
        <v>0</v>
      </c>
    </row>
    <row r="103" spans="1:14" ht="14.45" x14ac:dyDescent="0.25">
      <c r="A103">
        <f>SampleList[[#This Row],[Experiment ID]]</f>
        <v>0</v>
      </c>
      <c r="B103">
        <f>SampleList[[#This Row],[Sample Description]]</f>
        <v>0</v>
      </c>
      <c r="C103" s="1">
        <f>SampleList[[#This Row],[Date Sampled]]</f>
        <v>0</v>
      </c>
      <c r="D103">
        <f>SampleList[[#This Row],[Duration (Days)]]</f>
        <v>0</v>
      </c>
      <c r="E103">
        <f>NMRResults[[#This Row],[Ammonium Concentration (mM)]]</f>
        <v>0</v>
      </c>
      <c r="F103" t="str">
        <f>GCResults[[#This Row],[H2 (ppm)]]</f>
        <v/>
      </c>
      <c r="G103">
        <f>GCResults[[#This Row],[Total Gas Volume (mL), gas cylinder = 3785mL]]</f>
        <v>0</v>
      </c>
      <c r="H103">
        <f>GCResults[[#This Row],[Pressure on Sampling (PSI), 145PSI=1MPa]]</f>
        <v>3552.5</v>
      </c>
      <c r="I103">
        <f>pHCondMod[[#This Row],[Sample pH]]</f>
        <v>0</v>
      </c>
      <c r="J103">
        <f>pHCondMod[[#This Row],[Sample Conductivity (mS/cm)]]</f>
        <v>0</v>
      </c>
      <c r="K103">
        <f>pHCondMod[[#This Row],[Modification Description]]</f>
        <v>0</v>
      </c>
      <c r="L103" s="1">
        <f>NMRResults[[#This Row],[Date Run]]</f>
        <v>0</v>
      </c>
      <c r="M103" s="1">
        <f>ICPList[[#This Row],[Date Run]]</f>
        <v>0</v>
      </c>
      <c r="N103" s="1">
        <f>GCResults[[#This Row],[Date Run ]]</f>
        <v>0</v>
      </c>
    </row>
    <row r="104" spans="1:14" ht="14.45" x14ac:dyDescent="0.25">
      <c r="A104">
        <f>SampleList[[#This Row],[Experiment ID]]</f>
        <v>0</v>
      </c>
      <c r="B104">
        <f>SampleList[[#This Row],[Sample Description]]</f>
        <v>0</v>
      </c>
      <c r="C104" s="1">
        <f>SampleList[[#This Row],[Date Sampled]]</f>
        <v>0</v>
      </c>
      <c r="D104">
        <f>SampleList[[#This Row],[Duration (Days)]]</f>
        <v>0</v>
      </c>
      <c r="E104">
        <f>NMRResults[[#This Row],[Ammonium Concentration (mM)]]</f>
        <v>0</v>
      </c>
      <c r="F104" t="str">
        <f>GCResults[[#This Row],[H2 (ppm)]]</f>
        <v/>
      </c>
      <c r="G104">
        <f>GCResults[[#This Row],[Total Gas Volume (mL), gas cylinder = 3785mL]]</f>
        <v>0</v>
      </c>
      <c r="H104">
        <f>GCResults[[#This Row],[Pressure on Sampling (PSI), 145PSI=1MPa]]</f>
        <v>3552.5</v>
      </c>
      <c r="I104">
        <f>pHCondMod[[#This Row],[Sample pH]]</f>
        <v>0</v>
      </c>
      <c r="J104">
        <f>pHCondMod[[#This Row],[Sample Conductivity (mS/cm)]]</f>
        <v>0</v>
      </c>
      <c r="K104">
        <f>pHCondMod[[#This Row],[Modification Description]]</f>
        <v>0</v>
      </c>
      <c r="L104" s="1">
        <f>NMRResults[[#This Row],[Date Run]]</f>
        <v>0</v>
      </c>
      <c r="M104" s="1">
        <f>ICPList[[#This Row],[Date Run]]</f>
        <v>0</v>
      </c>
      <c r="N104" s="1">
        <f>GCResults[[#This Row],[Date Run ]]</f>
        <v>0</v>
      </c>
    </row>
    <row r="105" spans="1:14" ht="14.45" x14ac:dyDescent="0.25">
      <c r="A105">
        <f>SampleList[[#This Row],[Experiment ID]]</f>
        <v>0</v>
      </c>
      <c r="B105">
        <f>SampleList[[#This Row],[Sample Description]]</f>
        <v>0</v>
      </c>
      <c r="C105" s="1">
        <f>SampleList[[#This Row],[Date Sampled]]</f>
        <v>0</v>
      </c>
      <c r="D105">
        <f>SampleList[[#This Row],[Duration (Days)]]</f>
        <v>0</v>
      </c>
      <c r="E105">
        <f>NMRResults[[#This Row],[Ammonium Concentration (mM)]]</f>
        <v>0</v>
      </c>
      <c r="F105" t="str">
        <f>GCResults[[#This Row],[H2 (ppm)]]</f>
        <v/>
      </c>
      <c r="G105">
        <f>GCResults[[#This Row],[Total Gas Volume (mL), gas cylinder = 3785mL]]</f>
        <v>0</v>
      </c>
      <c r="H105">
        <f>GCResults[[#This Row],[Pressure on Sampling (PSI), 145PSI=1MPa]]</f>
        <v>3552.5</v>
      </c>
      <c r="I105">
        <f>pHCondMod[[#This Row],[Sample pH]]</f>
        <v>0</v>
      </c>
      <c r="J105">
        <f>pHCondMod[[#This Row],[Sample Conductivity (mS/cm)]]</f>
        <v>0</v>
      </c>
      <c r="K105">
        <f>pHCondMod[[#This Row],[Modification Description]]</f>
        <v>0</v>
      </c>
      <c r="L105" s="1">
        <f>NMRResults[[#This Row],[Date Run]]</f>
        <v>0</v>
      </c>
      <c r="M105" s="1">
        <f>ICPList[[#This Row],[Date Run]]</f>
        <v>0</v>
      </c>
      <c r="N105" s="1">
        <f>GCResults[[#This Row],[Date Run ]]</f>
        <v>0</v>
      </c>
    </row>
    <row r="106" spans="1:14" ht="14.45" x14ac:dyDescent="0.25">
      <c r="A106">
        <f>SampleList[[#This Row],[Experiment ID]]</f>
        <v>0</v>
      </c>
      <c r="B106">
        <f>SampleList[[#This Row],[Sample Description]]</f>
        <v>0</v>
      </c>
      <c r="C106" s="1">
        <f>SampleList[[#This Row],[Date Sampled]]</f>
        <v>0</v>
      </c>
      <c r="D106">
        <f>SampleList[[#This Row],[Duration (Days)]]</f>
        <v>0</v>
      </c>
      <c r="E106">
        <f>NMRResults[[#This Row],[Ammonium Concentration (mM)]]</f>
        <v>0</v>
      </c>
      <c r="F106" t="str">
        <f>GCResults[[#This Row],[H2 (ppm)]]</f>
        <v/>
      </c>
      <c r="G106">
        <f>GCResults[[#This Row],[Total Gas Volume (mL), gas cylinder = 3785mL]]</f>
        <v>0</v>
      </c>
      <c r="H106">
        <f>GCResults[[#This Row],[Pressure on Sampling (PSI), 145PSI=1MPa]]</f>
        <v>3552.5</v>
      </c>
      <c r="I106">
        <f>pHCondMod[[#This Row],[Sample pH]]</f>
        <v>0</v>
      </c>
      <c r="J106">
        <f>pHCondMod[[#This Row],[Sample Conductivity (mS/cm)]]</f>
        <v>0</v>
      </c>
      <c r="K106">
        <f>pHCondMod[[#This Row],[Modification Description]]</f>
        <v>0</v>
      </c>
      <c r="L106" s="1">
        <f>NMRResults[[#This Row],[Date Run]]</f>
        <v>0</v>
      </c>
      <c r="M106" s="1">
        <f>ICPList[[#This Row],[Date Run]]</f>
        <v>0</v>
      </c>
      <c r="N106" s="1">
        <f>GCResults[[#This Row],[Date Run ]]</f>
        <v>0</v>
      </c>
    </row>
    <row r="107" spans="1:14" ht="14.45" x14ac:dyDescent="0.25">
      <c r="A107">
        <f>SampleList[[#This Row],[Experiment ID]]</f>
        <v>0</v>
      </c>
      <c r="B107">
        <f>SampleList[[#This Row],[Sample Description]]</f>
        <v>0</v>
      </c>
      <c r="C107" s="1">
        <f>SampleList[[#This Row],[Date Sampled]]</f>
        <v>0</v>
      </c>
      <c r="D107">
        <f>SampleList[[#This Row],[Duration (Days)]]</f>
        <v>0</v>
      </c>
      <c r="E107">
        <f>NMRResults[[#This Row],[Ammonium Concentration (mM)]]</f>
        <v>0</v>
      </c>
      <c r="F107" t="str">
        <f>GCResults[[#This Row],[H2 (ppm)]]</f>
        <v/>
      </c>
      <c r="G107">
        <f>GCResults[[#This Row],[Total Gas Volume (mL), gas cylinder = 3785mL]]</f>
        <v>0</v>
      </c>
      <c r="H107">
        <f>GCResults[[#This Row],[Pressure on Sampling (PSI), 145PSI=1MPa]]</f>
        <v>3552.5</v>
      </c>
      <c r="I107">
        <f>pHCondMod[[#This Row],[Sample pH]]</f>
        <v>0</v>
      </c>
      <c r="J107">
        <f>pHCondMod[[#This Row],[Sample Conductivity (mS/cm)]]</f>
        <v>0</v>
      </c>
      <c r="K107">
        <f>pHCondMod[[#This Row],[Modification Description]]</f>
        <v>0</v>
      </c>
      <c r="L107" s="1">
        <f>NMRResults[[#This Row],[Date Run]]</f>
        <v>0</v>
      </c>
      <c r="M107" s="1">
        <f>ICPList[[#This Row],[Date Run]]</f>
        <v>0</v>
      </c>
      <c r="N107" s="1">
        <f>GCResults[[#This Row],[Date Run ]]</f>
        <v>0</v>
      </c>
    </row>
    <row r="108" spans="1:14" ht="14.45" x14ac:dyDescent="0.25">
      <c r="A108">
        <f>SampleList[[#This Row],[Experiment ID]]</f>
        <v>0</v>
      </c>
      <c r="B108">
        <f>SampleList[[#This Row],[Sample Description]]</f>
        <v>0</v>
      </c>
      <c r="C108" s="1">
        <f>SampleList[[#This Row],[Date Sampled]]</f>
        <v>0</v>
      </c>
      <c r="D108">
        <f>SampleList[[#This Row],[Duration (Days)]]</f>
        <v>0</v>
      </c>
      <c r="E108">
        <f>NMRResults[[#This Row],[Ammonium Concentration (mM)]]</f>
        <v>0</v>
      </c>
      <c r="F108" t="str">
        <f>GCResults[[#This Row],[H2 (ppm)]]</f>
        <v/>
      </c>
      <c r="G108">
        <f>GCResults[[#This Row],[Total Gas Volume (mL), gas cylinder = 3785mL]]</f>
        <v>0</v>
      </c>
      <c r="H108">
        <f>GCResults[[#This Row],[Pressure on Sampling (PSI), 145PSI=1MPa]]</f>
        <v>3552.5</v>
      </c>
      <c r="I108">
        <f>pHCondMod[[#This Row],[Sample pH]]</f>
        <v>0</v>
      </c>
      <c r="J108">
        <f>pHCondMod[[#This Row],[Sample Conductivity (mS/cm)]]</f>
        <v>0</v>
      </c>
      <c r="K108">
        <f>pHCondMod[[#This Row],[Modification Description]]</f>
        <v>0</v>
      </c>
      <c r="L108" s="1">
        <f>NMRResults[[#This Row],[Date Run]]</f>
        <v>0</v>
      </c>
      <c r="M108" s="1">
        <f>ICPList[[#This Row],[Date Run]]</f>
        <v>0</v>
      </c>
      <c r="N108" s="1">
        <f>GCResults[[#This Row],[Date Run ]]</f>
        <v>0</v>
      </c>
    </row>
    <row r="109" spans="1:14" ht="14.45" x14ac:dyDescent="0.25">
      <c r="A109">
        <f>SampleList[[#This Row],[Experiment ID]]</f>
        <v>0</v>
      </c>
      <c r="B109">
        <f>SampleList[[#This Row],[Sample Description]]</f>
        <v>0</v>
      </c>
      <c r="C109" s="1">
        <f>SampleList[[#This Row],[Date Sampled]]</f>
        <v>0</v>
      </c>
      <c r="D109">
        <f>SampleList[[#This Row],[Duration (Days)]]</f>
        <v>0</v>
      </c>
      <c r="E109">
        <f>NMRResults[[#This Row],[Ammonium Concentration (mM)]]</f>
        <v>0</v>
      </c>
      <c r="F109" t="str">
        <f>GCResults[[#This Row],[H2 (ppm)]]</f>
        <v/>
      </c>
      <c r="G109">
        <f>GCResults[[#This Row],[Total Gas Volume (mL), gas cylinder = 3785mL]]</f>
        <v>0</v>
      </c>
      <c r="H109">
        <f>GCResults[[#This Row],[Pressure on Sampling (PSI), 145PSI=1MPa]]</f>
        <v>3552.5</v>
      </c>
      <c r="I109">
        <f>pHCondMod[[#This Row],[Sample pH]]</f>
        <v>0</v>
      </c>
      <c r="J109">
        <f>pHCondMod[[#This Row],[Sample Conductivity (mS/cm)]]</f>
        <v>0</v>
      </c>
      <c r="K109">
        <f>pHCondMod[[#This Row],[Modification Description]]</f>
        <v>0</v>
      </c>
      <c r="L109" s="1">
        <f>NMRResults[[#This Row],[Date Run]]</f>
        <v>0</v>
      </c>
      <c r="M109" s="1">
        <f>ICPList[[#This Row],[Date Run]]</f>
        <v>0</v>
      </c>
      <c r="N109" s="1">
        <f>GCResults[[#This Row],[Date Run ]]</f>
        <v>0</v>
      </c>
    </row>
    <row r="110" spans="1:14" ht="14.45" x14ac:dyDescent="0.25">
      <c r="A110">
        <f>SampleList[[#This Row],[Experiment ID]]</f>
        <v>0</v>
      </c>
      <c r="B110">
        <f>SampleList[[#This Row],[Sample Description]]</f>
        <v>0</v>
      </c>
      <c r="C110" s="1">
        <f>SampleList[[#This Row],[Date Sampled]]</f>
        <v>0</v>
      </c>
      <c r="D110">
        <f>SampleList[[#This Row],[Duration (Days)]]</f>
        <v>0</v>
      </c>
      <c r="E110">
        <f>NMRResults[[#This Row],[Ammonium Concentration (mM)]]</f>
        <v>0</v>
      </c>
      <c r="F110" t="str">
        <f>GCResults[[#This Row],[H2 (ppm)]]</f>
        <v/>
      </c>
      <c r="G110">
        <f>GCResults[[#This Row],[Total Gas Volume (mL), gas cylinder = 3785mL]]</f>
        <v>0</v>
      </c>
      <c r="H110">
        <f>GCResults[[#This Row],[Pressure on Sampling (PSI), 145PSI=1MPa]]</f>
        <v>3552.5</v>
      </c>
      <c r="I110">
        <f>pHCondMod[[#This Row],[Sample pH]]</f>
        <v>0</v>
      </c>
      <c r="J110">
        <f>pHCondMod[[#This Row],[Sample Conductivity (mS/cm)]]</f>
        <v>0</v>
      </c>
      <c r="K110">
        <f>pHCondMod[[#This Row],[Modification Description]]</f>
        <v>0</v>
      </c>
      <c r="L110" s="1">
        <f>NMRResults[[#This Row],[Date Run]]</f>
        <v>0</v>
      </c>
      <c r="M110" s="1">
        <f>ICPList[[#This Row],[Date Run]]</f>
        <v>0</v>
      </c>
      <c r="N110" s="1">
        <f>GCResults[[#This Row],[Date Run ]]</f>
        <v>0</v>
      </c>
    </row>
    <row r="111" spans="1:14" ht="14.45" x14ac:dyDescent="0.25">
      <c r="A111">
        <f>SampleList[[#This Row],[Experiment ID]]</f>
        <v>0</v>
      </c>
      <c r="B111">
        <f>SampleList[[#This Row],[Sample Description]]</f>
        <v>0</v>
      </c>
      <c r="C111" s="1">
        <f>SampleList[[#This Row],[Date Sampled]]</f>
        <v>0</v>
      </c>
      <c r="D111">
        <f>SampleList[[#This Row],[Duration (Days)]]</f>
        <v>0</v>
      </c>
      <c r="E111">
        <f>NMRResults[[#This Row],[Ammonium Concentration (mM)]]</f>
        <v>0</v>
      </c>
      <c r="F111" t="str">
        <f>GCResults[[#This Row],[H2 (ppm)]]</f>
        <v/>
      </c>
      <c r="G111">
        <f>GCResults[[#This Row],[Total Gas Volume (mL), gas cylinder = 3785mL]]</f>
        <v>0</v>
      </c>
      <c r="H111">
        <f>GCResults[[#This Row],[Pressure on Sampling (PSI), 145PSI=1MPa]]</f>
        <v>3552.5</v>
      </c>
      <c r="I111">
        <f>pHCondMod[[#This Row],[Sample pH]]</f>
        <v>0</v>
      </c>
      <c r="J111">
        <f>pHCondMod[[#This Row],[Sample Conductivity (mS/cm)]]</f>
        <v>0</v>
      </c>
      <c r="K111">
        <f>pHCondMod[[#This Row],[Modification Description]]</f>
        <v>0</v>
      </c>
      <c r="L111" s="1">
        <f>NMRResults[[#This Row],[Date Run]]</f>
        <v>0</v>
      </c>
      <c r="M111" s="1">
        <f>ICPList[[#This Row],[Date Run]]</f>
        <v>0</v>
      </c>
      <c r="N111" s="1">
        <f>GCResults[[#This Row],[Date Run ]]</f>
        <v>0</v>
      </c>
    </row>
    <row r="112" spans="1:14" ht="14.45" x14ac:dyDescent="0.25">
      <c r="A112">
        <f>SampleList[[#This Row],[Experiment ID]]</f>
        <v>0</v>
      </c>
      <c r="B112">
        <f>SampleList[[#This Row],[Sample Description]]</f>
        <v>0</v>
      </c>
      <c r="C112" s="1">
        <f>SampleList[[#This Row],[Date Sampled]]</f>
        <v>0</v>
      </c>
      <c r="D112">
        <f>SampleList[[#This Row],[Duration (Days)]]</f>
        <v>0</v>
      </c>
      <c r="E112">
        <f>NMRResults[[#This Row],[Ammonium Concentration (mM)]]</f>
        <v>0</v>
      </c>
      <c r="F112" t="str">
        <f>GCResults[[#This Row],[H2 (ppm)]]</f>
        <v/>
      </c>
      <c r="G112">
        <f>GCResults[[#This Row],[Total Gas Volume (mL), gas cylinder = 3785mL]]</f>
        <v>0</v>
      </c>
      <c r="H112">
        <f>GCResults[[#This Row],[Pressure on Sampling (PSI), 145PSI=1MPa]]</f>
        <v>3552.5</v>
      </c>
      <c r="I112">
        <f>pHCondMod[[#This Row],[Sample pH]]</f>
        <v>0</v>
      </c>
      <c r="J112">
        <f>pHCondMod[[#This Row],[Sample Conductivity (mS/cm)]]</f>
        <v>0</v>
      </c>
      <c r="K112">
        <f>pHCondMod[[#This Row],[Modification Description]]</f>
        <v>0</v>
      </c>
      <c r="L112" s="1">
        <f>NMRResults[[#This Row],[Date Run]]</f>
        <v>0</v>
      </c>
      <c r="M112" s="1">
        <f>ICPList[[#This Row],[Date Run]]</f>
        <v>0</v>
      </c>
      <c r="N112" s="1">
        <f>GCResults[[#This Row],[Date Run ]]</f>
        <v>0</v>
      </c>
    </row>
    <row r="113" spans="1:14" ht="14.45" x14ac:dyDescent="0.25">
      <c r="A113">
        <f>SampleList[[#This Row],[Experiment ID]]</f>
        <v>0</v>
      </c>
      <c r="B113">
        <f>SampleList[[#This Row],[Sample Description]]</f>
        <v>0</v>
      </c>
      <c r="C113" s="1">
        <f>SampleList[[#This Row],[Date Sampled]]</f>
        <v>0</v>
      </c>
      <c r="D113">
        <f>SampleList[[#This Row],[Duration (Days)]]</f>
        <v>0</v>
      </c>
      <c r="E113">
        <f>NMRResults[[#This Row],[Ammonium Concentration (mM)]]</f>
        <v>0</v>
      </c>
      <c r="F113" t="str">
        <f>GCResults[[#This Row],[H2 (ppm)]]</f>
        <v/>
      </c>
      <c r="G113">
        <f>GCResults[[#This Row],[Total Gas Volume (mL), gas cylinder = 3785mL]]</f>
        <v>0</v>
      </c>
      <c r="H113">
        <f>GCResults[[#This Row],[Pressure on Sampling (PSI), 145PSI=1MPa]]</f>
        <v>3552.5</v>
      </c>
      <c r="I113">
        <f>pHCondMod[[#This Row],[Sample pH]]</f>
        <v>0</v>
      </c>
      <c r="J113">
        <f>pHCondMod[[#This Row],[Sample Conductivity (mS/cm)]]</f>
        <v>0</v>
      </c>
      <c r="K113">
        <f>pHCondMod[[#This Row],[Modification Description]]</f>
        <v>0</v>
      </c>
      <c r="L113" s="1">
        <f>NMRResults[[#This Row],[Date Run]]</f>
        <v>0</v>
      </c>
      <c r="M113" s="1">
        <f>ICPList[[#This Row],[Date Run]]</f>
        <v>0</v>
      </c>
      <c r="N113" s="1">
        <f>GCResults[[#This Row],[Date Run ]]</f>
        <v>0</v>
      </c>
    </row>
    <row r="114" spans="1:14" ht="14.45" x14ac:dyDescent="0.25">
      <c r="A114">
        <f>SampleList[[#This Row],[Experiment ID]]</f>
        <v>0</v>
      </c>
      <c r="B114">
        <f>SampleList[[#This Row],[Sample Description]]</f>
        <v>0</v>
      </c>
      <c r="C114" s="1">
        <f>SampleList[[#This Row],[Date Sampled]]</f>
        <v>0</v>
      </c>
      <c r="D114">
        <f>SampleList[[#This Row],[Duration (Days)]]</f>
        <v>0</v>
      </c>
      <c r="E114">
        <f>NMRResults[[#This Row],[Ammonium Concentration (mM)]]</f>
        <v>0</v>
      </c>
      <c r="F114" t="str">
        <f>GCResults[[#This Row],[H2 (ppm)]]</f>
        <v/>
      </c>
      <c r="G114">
        <f>GCResults[[#This Row],[Total Gas Volume (mL), gas cylinder = 3785mL]]</f>
        <v>0</v>
      </c>
      <c r="H114">
        <f>GCResults[[#This Row],[Pressure on Sampling (PSI), 145PSI=1MPa]]</f>
        <v>3552.5</v>
      </c>
      <c r="I114">
        <f>pHCondMod[[#This Row],[Sample pH]]</f>
        <v>0</v>
      </c>
      <c r="J114">
        <f>pHCondMod[[#This Row],[Sample Conductivity (mS/cm)]]</f>
        <v>0</v>
      </c>
      <c r="K114">
        <f>pHCondMod[[#This Row],[Modification Description]]</f>
        <v>0</v>
      </c>
      <c r="L114" s="1">
        <f>NMRResults[[#This Row],[Date Run]]</f>
        <v>0</v>
      </c>
      <c r="M114" s="1">
        <f>ICPList[[#This Row],[Date Run]]</f>
        <v>0</v>
      </c>
      <c r="N114" s="1">
        <f>GCResults[[#This Row],[Date Run ]]</f>
        <v>0</v>
      </c>
    </row>
    <row r="115" spans="1:14" ht="14.45" x14ac:dyDescent="0.25">
      <c r="A115">
        <f>SampleList[[#This Row],[Experiment ID]]</f>
        <v>0</v>
      </c>
      <c r="B115">
        <f>SampleList[[#This Row],[Sample Description]]</f>
        <v>0</v>
      </c>
      <c r="C115" s="1">
        <f>SampleList[[#This Row],[Date Sampled]]</f>
        <v>0</v>
      </c>
      <c r="D115">
        <f>SampleList[[#This Row],[Duration (Days)]]</f>
        <v>0</v>
      </c>
      <c r="E115">
        <f>NMRResults[[#This Row],[Ammonium Concentration (mM)]]</f>
        <v>0</v>
      </c>
      <c r="F115" t="str">
        <f>GCResults[[#This Row],[H2 (ppm)]]</f>
        <v/>
      </c>
      <c r="G115">
        <f>GCResults[[#This Row],[Total Gas Volume (mL), gas cylinder = 3785mL]]</f>
        <v>0</v>
      </c>
      <c r="H115">
        <f>GCResults[[#This Row],[Pressure on Sampling (PSI), 145PSI=1MPa]]</f>
        <v>3552.5</v>
      </c>
      <c r="I115">
        <f>pHCondMod[[#This Row],[Sample pH]]</f>
        <v>0</v>
      </c>
      <c r="J115">
        <f>pHCondMod[[#This Row],[Sample Conductivity (mS/cm)]]</f>
        <v>0</v>
      </c>
      <c r="K115">
        <f>pHCondMod[[#This Row],[Modification Description]]</f>
        <v>0</v>
      </c>
      <c r="L115" s="1">
        <f>NMRResults[[#This Row],[Date Run]]</f>
        <v>0</v>
      </c>
      <c r="M115" s="1">
        <f>ICPList[[#This Row],[Date Run]]</f>
        <v>0</v>
      </c>
      <c r="N115" s="1">
        <f>GCResults[[#This Row],[Date Run ]]</f>
        <v>0</v>
      </c>
    </row>
    <row r="116" spans="1:14" ht="14.45" x14ac:dyDescent="0.25">
      <c r="A116">
        <f>SampleList[[#This Row],[Experiment ID]]</f>
        <v>0</v>
      </c>
      <c r="B116">
        <f>SampleList[[#This Row],[Sample Description]]</f>
        <v>0</v>
      </c>
      <c r="C116" s="1">
        <f>SampleList[[#This Row],[Date Sampled]]</f>
        <v>0</v>
      </c>
      <c r="D116">
        <f>SampleList[[#This Row],[Duration (Days)]]</f>
        <v>0</v>
      </c>
      <c r="E116">
        <f>NMRResults[[#This Row],[Ammonium Concentration (mM)]]</f>
        <v>0</v>
      </c>
      <c r="F116" t="str">
        <f>GCResults[[#This Row],[H2 (ppm)]]</f>
        <v/>
      </c>
      <c r="G116">
        <f>GCResults[[#This Row],[Total Gas Volume (mL), gas cylinder = 3785mL]]</f>
        <v>0</v>
      </c>
      <c r="H116">
        <f>GCResults[[#This Row],[Pressure on Sampling (PSI), 145PSI=1MPa]]</f>
        <v>3552.5</v>
      </c>
      <c r="I116">
        <f>pHCondMod[[#This Row],[Sample pH]]</f>
        <v>0</v>
      </c>
      <c r="J116">
        <f>pHCondMod[[#This Row],[Sample Conductivity (mS/cm)]]</f>
        <v>0</v>
      </c>
      <c r="K116">
        <f>pHCondMod[[#This Row],[Modification Description]]</f>
        <v>0</v>
      </c>
      <c r="L116" s="1">
        <f>NMRResults[[#This Row],[Date Run]]</f>
        <v>0</v>
      </c>
      <c r="M116" s="1">
        <f>ICPList[[#This Row],[Date Run]]</f>
        <v>0</v>
      </c>
      <c r="N116" s="1">
        <f>GCResults[[#This Row],[Date Run ]]</f>
        <v>0</v>
      </c>
    </row>
    <row r="117" spans="1:14" ht="14.45" x14ac:dyDescent="0.25">
      <c r="A117">
        <f>SampleList[[#This Row],[Experiment ID]]</f>
        <v>0</v>
      </c>
      <c r="B117">
        <f>SampleList[[#This Row],[Sample Description]]</f>
        <v>0</v>
      </c>
      <c r="C117" s="1">
        <f>SampleList[[#This Row],[Date Sampled]]</f>
        <v>0</v>
      </c>
      <c r="D117">
        <f>SampleList[[#This Row],[Duration (Days)]]</f>
        <v>0</v>
      </c>
      <c r="E117">
        <f>NMRResults[[#This Row],[Ammonium Concentration (mM)]]</f>
        <v>0</v>
      </c>
      <c r="F117" t="str">
        <f>GCResults[[#This Row],[H2 (ppm)]]</f>
        <v/>
      </c>
      <c r="G117">
        <f>GCResults[[#This Row],[Total Gas Volume (mL), gas cylinder = 3785mL]]</f>
        <v>0</v>
      </c>
      <c r="H117">
        <f>GCResults[[#This Row],[Pressure on Sampling (PSI), 145PSI=1MPa]]</f>
        <v>3552.5</v>
      </c>
      <c r="I117">
        <f>pHCondMod[[#This Row],[Sample pH]]</f>
        <v>0</v>
      </c>
      <c r="J117">
        <f>pHCondMod[[#This Row],[Sample Conductivity (mS/cm)]]</f>
        <v>0</v>
      </c>
      <c r="K117">
        <f>pHCondMod[[#This Row],[Modification Description]]</f>
        <v>0</v>
      </c>
      <c r="L117" s="1">
        <f>NMRResults[[#This Row],[Date Run]]</f>
        <v>0</v>
      </c>
      <c r="M117" s="1">
        <f>ICPList[[#This Row],[Date Run]]</f>
        <v>0</v>
      </c>
      <c r="N117" s="1">
        <f>GCResults[[#This Row],[Date Run ]]</f>
        <v>0</v>
      </c>
    </row>
    <row r="118" spans="1:14" ht="14.45" x14ac:dyDescent="0.25">
      <c r="A118">
        <f>SampleList[[#This Row],[Experiment ID]]</f>
        <v>0</v>
      </c>
      <c r="B118">
        <f>SampleList[[#This Row],[Sample Description]]</f>
        <v>0</v>
      </c>
      <c r="C118" s="1">
        <f>SampleList[[#This Row],[Date Sampled]]</f>
        <v>0</v>
      </c>
      <c r="D118">
        <f>SampleList[[#This Row],[Duration (Days)]]</f>
        <v>0</v>
      </c>
      <c r="E118">
        <f>NMRResults[[#This Row],[Ammonium Concentration (mM)]]</f>
        <v>0</v>
      </c>
      <c r="F118" t="str">
        <f>GCResults[[#This Row],[H2 (ppm)]]</f>
        <v/>
      </c>
      <c r="G118">
        <f>GCResults[[#This Row],[Total Gas Volume (mL), gas cylinder = 3785mL]]</f>
        <v>0</v>
      </c>
      <c r="H118">
        <f>GCResults[[#This Row],[Pressure on Sampling (PSI), 145PSI=1MPa]]</f>
        <v>3552.5</v>
      </c>
      <c r="I118">
        <f>pHCondMod[[#This Row],[Sample pH]]</f>
        <v>0</v>
      </c>
      <c r="J118">
        <f>pHCondMod[[#This Row],[Sample Conductivity (mS/cm)]]</f>
        <v>0</v>
      </c>
      <c r="K118">
        <f>pHCondMod[[#This Row],[Modification Description]]</f>
        <v>0</v>
      </c>
      <c r="L118" s="1">
        <f>NMRResults[[#This Row],[Date Run]]</f>
        <v>0</v>
      </c>
      <c r="M118" s="1">
        <f>ICPList[[#This Row],[Date Run]]</f>
        <v>0</v>
      </c>
      <c r="N118" s="1">
        <f>GCResults[[#This Row],[Date Run ]]</f>
        <v>0</v>
      </c>
    </row>
    <row r="119" spans="1:14" ht="14.45" x14ac:dyDescent="0.25">
      <c r="A119">
        <f>SampleList[[#This Row],[Experiment ID]]</f>
        <v>0</v>
      </c>
      <c r="B119">
        <f>SampleList[[#This Row],[Sample Description]]</f>
        <v>0</v>
      </c>
      <c r="C119" s="1">
        <f>SampleList[[#This Row],[Date Sampled]]</f>
        <v>0</v>
      </c>
      <c r="D119">
        <f>SampleList[[#This Row],[Duration (Days)]]</f>
        <v>0</v>
      </c>
      <c r="E119">
        <f>NMRResults[[#This Row],[Ammonium Concentration (mM)]]</f>
        <v>0</v>
      </c>
      <c r="F119" t="str">
        <f>GCResults[[#This Row],[H2 (ppm)]]</f>
        <v/>
      </c>
      <c r="G119">
        <f>GCResults[[#This Row],[Total Gas Volume (mL), gas cylinder = 3785mL]]</f>
        <v>0</v>
      </c>
      <c r="H119">
        <f>GCResults[[#This Row],[Pressure on Sampling (PSI), 145PSI=1MPa]]</f>
        <v>3552.5</v>
      </c>
      <c r="I119">
        <f>pHCondMod[[#This Row],[Sample pH]]</f>
        <v>0</v>
      </c>
      <c r="J119">
        <f>pHCondMod[[#This Row],[Sample Conductivity (mS/cm)]]</f>
        <v>0</v>
      </c>
      <c r="K119">
        <f>pHCondMod[[#This Row],[Modification Description]]</f>
        <v>0</v>
      </c>
      <c r="L119" s="1">
        <f>NMRResults[[#This Row],[Date Run]]</f>
        <v>0</v>
      </c>
      <c r="M119" s="1">
        <f>ICPList[[#This Row],[Date Run]]</f>
        <v>0</v>
      </c>
      <c r="N119" s="1">
        <f>GCResults[[#This Row],[Date Run ]]</f>
        <v>0</v>
      </c>
    </row>
    <row r="120" spans="1:14" ht="14.45" x14ac:dyDescent="0.25">
      <c r="A120">
        <f>SampleList[[#This Row],[Experiment ID]]</f>
        <v>0</v>
      </c>
      <c r="B120">
        <f>SampleList[[#This Row],[Sample Description]]</f>
        <v>0</v>
      </c>
      <c r="C120" s="1">
        <f>SampleList[[#This Row],[Date Sampled]]</f>
        <v>0</v>
      </c>
      <c r="D120">
        <f>SampleList[[#This Row],[Duration (Days)]]</f>
        <v>0</v>
      </c>
      <c r="E120">
        <f>NMRResults[[#This Row],[Ammonium Concentration (mM)]]</f>
        <v>0</v>
      </c>
      <c r="F120" t="str">
        <f>GCResults[[#This Row],[H2 (ppm)]]</f>
        <v/>
      </c>
      <c r="G120">
        <f>GCResults[[#This Row],[Total Gas Volume (mL), gas cylinder = 3785mL]]</f>
        <v>0</v>
      </c>
      <c r="H120">
        <f>GCResults[[#This Row],[Pressure on Sampling (PSI), 145PSI=1MPa]]</f>
        <v>3552.5</v>
      </c>
      <c r="I120">
        <f>pHCondMod[[#This Row],[Sample pH]]</f>
        <v>0</v>
      </c>
      <c r="J120">
        <f>pHCondMod[[#This Row],[Sample Conductivity (mS/cm)]]</f>
        <v>0</v>
      </c>
      <c r="K120">
        <f>pHCondMod[[#This Row],[Modification Description]]</f>
        <v>0</v>
      </c>
      <c r="L120" s="1">
        <f>NMRResults[[#This Row],[Date Run]]</f>
        <v>0</v>
      </c>
      <c r="M120" s="1">
        <f>ICPList[[#This Row],[Date Run]]</f>
        <v>0</v>
      </c>
      <c r="N120" s="1">
        <f>GCResults[[#This Row],[Date Run ]]</f>
        <v>0</v>
      </c>
    </row>
    <row r="121" spans="1:14" ht="14.45" x14ac:dyDescent="0.25">
      <c r="A121">
        <f>SampleList[[#This Row],[Experiment ID]]</f>
        <v>0</v>
      </c>
      <c r="B121">
        <f>SampleList[[#This Row],[Sample Description]]</f>
        <v>0</v>
      </c>
      <c r="C121" s="1">
        <f>SampleList[[#This Row],[Date Sampled]]</f>
        <v>0</v>
      </c>
      <c r="D121">
        <f>SampleList[[#This Row],[Duration (Days)]]</f>
        <v>0</v>
      </c>
      <c r="E121">
        <f>NMRResults[[#This Row],[Ammonium Concentration (mM)]]</f>
        <v>0</v>
      </c>
      <c r="F121" t="str">
        <f>GCResults[[#This Row],[H2 (ppm)]]</f>
        <v/>
      </c>
      <c r="G121">
        <f>GCResults[[#This Row],[Total Gas Volume (mL), gas cylinder = 3785mL]]</f>
        <v>0</v>
      </c>
      <c r="H121">
        <f>GCResults[[#This Row],[Pressure on Sampling (PSI), 145PSI=1MPa]]</f>
        <v>3552.5</v>
      </c>
      <c r="I121">
        <f>pHCondMod[[#This Row],[Sample pH]]</f>
        <v>0</v>
      </c>
      <c r="J121">
        <f>pHCondMod[[#This Row],[Sample Conductivity (mS/cm)]]</f>
        <v>0</v>
      </c>
      <c r="K121">
        <f>pHCondMod[[#This Row],[Modification Description]]</f>
        <v>0</v>
      </c>
      <c r="L121" s="1">
        <f>NMRResults[[#This Row],[Date Run]]</f>
        <v>0</v>
      </c>
      <c r="M121" s="1">
        <f>ICPList[[#This Row],[Date Run]]</f>
        <v>0</v>
      </c>
      <c r="N121" s="1">
        <f>GCResults[[#This Row],[Date Run ]]</f>
        <v>0</v>
      </c>
    </row>
    <row r="122" spans="1:14" ht="14.45" x14ac:dyDescent="0.25">
      <c r="A122">
        <f>SampleList[[#This Row],[Experiment ID]]</f>
        <v>0</v>
      </c>
      <c r="B122">
        <f>SampleList[[#This Row],[Sample Description]]</f>
        <v>0</v>
      </c>
      <c r="C122" s="1">
        <f>SampleList[[#This Row],[Date Sampled]]</f>
        <v>0</v>
      </c>
      <c r="D122">
        <f>SampleList[[#This Row],[Duration (Days)]]</f>
        <v>0</v>
      </c>
      <c r="E122">
        <f>NMRResults[[#This Row],[Ammonium Concentration (mM)]]</f>
        <v>0</v>
      </c>
      <c r="F122" t="str">
        <f>GCResults[[#This Row],[H2 (ppm)]]</f>
        <v/>
      </c>
      <c r="G122">
        <f>GCResults[[#This Row],[Total Gas Volume (mL), gas cylinder = 3785mL]]</f>
        <v>0</v>
      </c>
      <c r="H122">
        <f>GCResults[[#This Row],[Pressure on Sampling (PSI), 145PSI=1MPa]]</f>
        <v>3552.5</v>
      </c>
      <c r="I122">
        <f>pHCondMod[[#This Row],[Sample pH]]</f>
        <v>0</v>
      </c>
      <c r="J122">
        <f>pHCondMod[[#This Row],[Sample Conductivity (mS/cm)]]</f>
        <v>0</v>
      </c>
      <c r="K122">
        <f>pHCondMod[[#This Row],[Modification Description]]</f>
        <v>0</v>
      </c>
      <c r="L122" s="1">
        <f>NMRResults[[#This Row],[Date Run]]</f>
        <v>0</v>
      </c>
      <c r="M122" s="1">
        <f>ICPList[[#This Row],[Date Run]]</f>
        <v>0</v>
      </c>
      <c r="N122" s="1">
        <f>GCResults[[#This Row],[Date Run ]]</f>
        <v>0</v>
      </c>
    </row>
    <row r="123" spans="1:14" ht="14.45" x14ac:dyDescent="0.25">
      <c r="A123">
        <f>SampleList[[#This Row],[Experiment ID]]</f>
        <v>0</v>
      </c>
      <c r="B123">
        <f>SampleList[[#This Row],[Sample Description]]</f>
        <v>0</v>
      </c>
      <c r="C123" s="1">
        <f>SampleList[[#This Row],[Date Sampled]]</f>
        <v>0</v>
      </c>
      <c r="D123">
        <f>SampleList[[#This Row],[Duration (Days)]]</f>
        <v>0</v>
      </c>
      <c r="E123">
        <f>NMRResults[[#This Row],[Ammonium Concentration (mM)]]</f>
        <v>0</v>
      </c>
      <c r="F123" t="str">
        <f>GCResults[[#This Row],[H2 (ppm)]]</f>
        <v/>
      </c>
      <c r="G123">
        <f>GCResults[[#This Row],[Total Gas Volume (mL), gas cylinder = 3785mL]]</f>
        <v>0</v>
      </c>
      <c r="H123">
        <f>GCResults[[#This Row],[Pressure on Sampling (PSI), 145PSI=1MPa]]</f>
        <v>3552.5</v>
      </c>
      <c r="I123">
        <f>pHCondMod[[#This Row],[Sample pH]]</f>
        <v>0</v>
      </c>
      <c r="J123">
        <f>pHCondMod[[#This Row],[Sample Conductivity (mS/cm)]]</f>
        <v>0</v>
      </c>
      <c r="K123">
        <f>pHCondMod[[#This Row],[Modification Description]]</f>
        <v>0</v>
      </c>
      <c r="L123" s="1">
        <f>NMRResults[[#This Row],[Date Run]]</f>
        <v>0</v>
      </c>
      <c r="M123" s="1">
        <f>ICPList[[#This Row],[Date Run]]</f>
        <v>0</v>
      </c>
      <c r="N123" s="1">
        <f>GCResults[[#This Row],[Date Run ]]</f>
        <v>0</v>
      </c>
    </row>
    <row r="124" spans="1:14" ht="14.45" x14ac:dyDescent="0.25">
      <c r="A124">
        <f>SampleList[[#This Row],[Experiment ID]]</f>
        <v>0</v>
      </c>
      <c r="B124">
        <f>SampleList[[#This Row],[Sample Description]]</f>
        <v>0</v>
      </c>
      <c r="C124" s="1">
        <f>SampleList[[#This Row],[Date Sampled]]</f>
        <v>0</v>
      </c>
      <c r="D124">
        <f>SampleList[[#This Row],[Duration (Days)]]</f>
        <v>0</v>
      </c>
      <c r="E124">
        <f>NMRResults[[#This Row],[Ammonium Concentration (mM)]]</f>
        <v>0</v>
      </c>
      <c r="F124" t="str">
        <f>GCResults[[#This Row],[H2 (ppm)]]</f>
        <v/>
      </c>
      <c r="G124">
        <f>GCResults[[#This Row],[Total Gas Volume (mL), gas cylinder = 3785mL]]</f>
        <v>0</v>
      </c>
      <c r="H124">
        <f>GCResults[[#This Row],[Pressure on Sampling (PSI), 145PSI=1MPa]]</f>
        <v>3552.5</v>
      </c>
      <c r="I124">
        <f>pHCondMod[[#This Row],[Sample pH]]</f>
        <v>0</v>
      </c>
      <c r="J124">
        <f>pHCondMod[[#This Row],[Sample Conductivity (mS/cm)]]</f>
        <v>0</v>
      </c>
      <c r="K124">
        <f>pHCondMod[[#This Row],[Modification Description]]</f>
        <v>0</v>
      </c>
      <c r="L124" s="1">
        <f>NMRResults[[#This Row],[Date Run]]</f>
        <v>0</v>
      </c>
      <c r="M124" s="1">
        <f>ICPList[[#This Row],[Date Run]]</f>
        <v>0</v>
      </c>
      <c r="N124" s="1">
        <f>GCResults[[#This Row],[Date Run ]]</f>
        <v>0</v>
      </c>
    </row>
    <row r="125" spans="1:14" ht="14.45" x14ac:dyDescent="0.25">
      <c r="A125">
        <f>SampleList[[#This Row],[Experiment ID]]</f>
        <v>0</v>
      </c>
      <c r="B125">
        <f>SampleList[[#This Row],[Sample Description]]</f>
        <v>0</v>
      </c>
      <c r="C125" s="1">
        <f>SampleList[[#This Row],[Date Sampled]]</f>
        <v>0</v>
      </c>
      <c r="D125">
        <f>SampleList[[#This Row],[Duration (Days)]]</f>
        <v>0</v>
      </c>
      <c r="E125">
        <f>NMRResults[[#This Row],[Ammonium Concentration (mM)]]</f>
        <v>0</v>
      </c>
      <c r="F125" t="str">
        <f>GCResults[[#This Row],[H2 (ppm)]]</f>
        <v/>
      </c>
      <c r="G125">
        <f>GCResults[[#This Row],[Total Gas Volume (mL), gas cylinder = 3785mL]]</f>
        <v>0</v>
      </c>
      <c r="H125">
        <f>GCResults[[#This Row],[Pressure on Sampling (PSI), 145PSI=1MPa]]</f>
        <v>3552.5</v>
      </c>
      <c r="I125">
        <f>pHCondMod[[#This Row],[Sample pH]]</f>
        <v>0</v>
      </c>
      <c r="J125">
        <f>pHCondMod[[#This Row],[Sample Conductivity (mS/cm)]]</f>
        <v>0</v>
      </c>
      <c r="K125">
        <f>pHCondMod[[#This Row],[Modification Description]]</f>
        <v>0</v>
      </c>
      <c r="L125" s="1">
        <f>NMRResults[[#This Row],[Date Run]]</f>
        <v>0</v>
      </c>
      <c r="M125" s="1">
        <f>ICPList[[#This Row],[Date Run]]</f>
        <v>0</v>
      </c>
      <c r="N125" s="1">
        <f>GCResults[[#This Row],[Date Run ]]</f>
        <v>0</v>
      </c>
    </row>
    <row r="126" spans="1:14" ht="14.45" x14ac:dyDescent="0.25">
      <c r="A126">
        <f>SampleList[[#This Row],[Experiment ID]]</f>
        <v>0</v>
      </c>
      <c r="B126">
        <f>SampleList[[#This Row],[Sample Description]]</f>
        <v>0</v>
      </c>
      <c r="C126" s="1">
        <f>SampleList[[#This Row],[Date Sampled]]</f>
        <v>0</v>
      </c>
      <c r="D126">
        <f>SampleList[[#This Row],[Duration (Days)]]</f>
        <v>0</v>
      </c>
      <c r="E126">
        <f>NMRResults[[#This Row],[Ammonium Concentration (mM)]]</f>
        <v>0</v>
      </c>
      <c r="F126" t="str">
        <f>GCResults[[#This Row],[H2 (ppm)]]</f>
        <v/>
      </c>
      <c r="G126">
        <f>GCResults[[#This Row],[Total Gas Volume (mL), gas cylinder = 3785mL]]</f>
        <v>0</v>
      </c>
      <c r="H126">
        <f>GCResults[[#This Row],[Pressure on Sampling (PSI), 145PSI=1MPa]]</f>
        <v>3552.5</v>
      </c>
      <c r="I126">
        <f>pHCondMod[[#This Row],[Sample pH]]</f>
        <v>0</v>
      </c>
      <c r="J126">
        <f>pHCondMod[[#This Row],[Sample Conductivity (mS/cm)]]</f>
        <v>0</v>
      </c>
      <c r="K126">
        <f>pHCondMod[[#This Row],[Modification Description]]</f>
        <v>0</v>
      </c>
      <c r="L126" s="1">
        <f>NMRResults[[#This Row],[Date Run]]</f>
        <v>0</v>
      </c>
      <c r="M126" s="1">
        <f>ICPList[[#This Row],[Date Run]]</f>
        <v>0</v>
      </c>
      <c r="N126" s="1">
        <f>GCResults[[#This Row],[Date Run ]]</f>
        <v>0</v>
      </c>
    </row>
    <row r="127" spans="1:14" ht="14.45" x14ac:dyDescent="0.25">
      <c r="A127">
        <f>SampleList[[#This Row],[Experiment ID]]</f>
        <v>0</v>
      </c>
      <c r="B127">
        <f>SampleList[[#This Row],[Sample Description]]</f>
        <v>0</v>
      </c>
      <c r="C127" s="1">
        <f>SampleList[[#This Row],[Date Sampled]]</f>
        <v>0</v>
      </c>
      <c r="D127">
        <f>SampleList[[#This Row],[Duration (Days)]]</f>
        <v>0</v>
      </c>
      <c r="E127">
        <f>NMRResults[[#This Row],[Ammonium Concentration (mM)]]</f>
        <v>0</v>
      </c>
      <c r="F127" t="str">
        <f>GCResults[[#This Row],[H2 (ppm)]]</f>
        <v/>
      </c>
      <c r="G127">
        <f>GCResults[[#This Row],[Total Gas Volume (mL), gas cylinder = 3785mL]]</f>
        <v>0</v>
      </c>
      <c r="H127">
        <f>GCResults[[#This Row],[Pressure on Sampling (PSI), 145PSI=1MPa]]</f>
        <v>3552.5</v>
      </c>
      <c r="I127">
        <f>pHCondMod[[#This Row],[Sample pH]]</f>
        <v>0</v>
      </c>
      <c r="J127">
        <f>pHCondMod[[#This Row],[Sample Conductivity (mS/cm)]]</f>
        <v>0</v>
      </c>
      <c r="K127">
        <f>pHCondMod[[#This Row],[Modification Description]]</f>
        <v>0</v>
      </c>
      <c r="L127" s="1">
        <f>NMRResults[[#This Row],[Date Run]]</f>
        <v>0</v>
      </c>
      <c r="M127" s="1">
        <f>ICPList[[#This Row],[Date Run]]</f>
        <v>0</v>
      </c>
      <c r="N127" s="1">
        <f>GCResults[[#This Row],[Date Run ]]</f>
        <v>0</v>
      </c>
    </row>
    <row r="128" spans="1:14" ht="14.45" x14ac:dyDescent="0.25">
      <c r="A128">
        <f>SampleList[[#This Row],[Experiment ID]]</f>
        <v>0</v>
      </c>
      <c r="B128">
        <f>SampleList[[#This Row],[Sample Description]]</f>
        <v>0</v>
      </c>
      <c r="C128" s="1">
        <f>SampleList[[#This Row],[Date Sampled]]</f>
        <v>0</v>
      </c>
      <c r="D128">
        <f>SampleList[[#This Row],[Duration (Days)]]</f>
        <v>0</v>
      </c>
      <c r="E128">
        <f>NMRResults[[#This Row],[Ammonium Concentration (mM)]]</f>
        <v>0</v>
      </c>
      <c r="F128" t="str">
        <f>GCResults[[#This Row],[H2 (ppm)]]</f>
        <v/>
      </c>
      <c r="G128">
        <f>GCResults[[#This Row],[Total Gas Volume (mL), gas cylinder = 3785mL]]</f>
        <v>0</v>
      </c>
      <c r="H128">
        <f>GCResults[[#This Row],[Pressure on Sampling (PSI), 145PSI=1MPa]]</f>
        <v>3552.5</v>
      </c>
      <c r="I128">
        <f>pHCondMod[[#This Row],[Sample pH]]</f>
        <v>0</v>
      </c>
      <c r="J128">
        <f>pHCondMod[[#This Row],[Sample Conductivity (mS/cm)]]</f>
        <v>0</v>
      </c>
      <c r="K128">
        <f>pHCondMod[[#This Row],[Modification Description]]</f>
        <v>0</v>
      </c>
      <c r="L128" s="1">
        <f>NMRResults[[#This Row],[Date Run]]</f>
        <v>0</v>
      </c>
      <c r="M128" s="1">
        <f>ICPList[[#This Row],[Date Run]]</f>
        <v>0</v>
      </c>
      <c r="N128" s="1">
        <f>GCResults[[#This Row],[Date Run ]]</f>
        <v>0</v>
      </c>
    </row>
    <row r="129" spans="1:14" ht="14.45" x14ac:dyDescent="0.25">
      <c r="A129">
        <f>SampleList[[#This Row],[Experiment ID]]</f>
        <v>0</v>
      </c>
      <c r="B129">
        <f>SampleList[[#This Row],[Sample Description]]</f>
        <v>0</v>
      </c>
      <c r="C129" s="1">
        <f>SampleList[[#This Row],[Date Sampled]]</f>
        <v>0</v>
      </c>
      <c r="D129">
        <f>SampleList[[#This Row],[Duration (Days)]]</f>
        <v>0</v>
      </c>
      <c r="E129">
        <f>NMRResults[[#This Row],[Ammonium Concentration (mM)]]</f>
        <v>0</v>
      </c>
      <c r="F129" t="str">
        <f>GCResults[[#This Row],[H2 (ppm)]]</f>
        <v/>
      </c>
      <c r="G129">
        <f>GCResults[[#This Row],[Total Gas Volume (mL), gas cylinder = 3785mL]]</f>
        <v>0</v>
      </c>
      <c r="H129">
        <f>GCResults[[#This Row],[Pressure on Sampling (PSI), 145PSI=1MPa]]</f>
        <v>3552.5</v>
      </c>
      <c r="I129">
        <f>pHCondMod[[#This Row],[Sample pH]]</f>
        <v>0</v>
      </c>
      <c r="J129">
        <f>pHCondMod[[#This Row],[Sample Conductivity (mS/cm)]]</f>
        <v>0</v>
      </c>
      <c r="K129">
        <f>pHCondMod[[#This Row],[Modification Description]]</f>
        <v>0</v>
      </c>
      <c r="L129" s="1">
        <f>NMRResults[[#This Row],[Date Run]]</f>
        <v>0</v>
      </c>
      <c r="M129" s="1">
        <f>ICPList[[#This Row],[Date Run]]</f>
        <v>0</v>
      </c>
      <c r="N129" s="1">
        <f>GCResults[[#This Row],[Date Run ]]</f>
        <v>0</v>
      </c>
    </row>
    <row r="130" spans="1:14" ht="14.45" x14ac:dyDescent="0.25">
      <c r="A130">
        <f>SampleList[[#This Row],[Experiment ID]]</f>
        <v>0</v>
      </c>
      <c r="B130">
        <f>SampleList[[#This Row],[Sample Description]]</f>
        <v>0</v>
      </c>
      <c r="C130" s="1">
        <f>SampleList[[#This Row],[Date Sampled]]</f>
        <v>0</v>
      </c>
      <c r="D130">
        <f>SampleList[[#This Row],[Duration (Days)]]</f>
        <v>0</v>
      </c>
      <c r="E130">
        <f>NMRResults[[#This Row],[Ammonium Concentration (mM)]]</f>
        <v>0</v>
      </c>
      <c r="F130" t="str">
        <f>GCResults[[#This Row],[H2 (ppm)]]</f>
        <v/>
      </c>
      <c r="G130">
        <f>GCResults[[#This Row],[Total Gas Volume (mL), gas cylinder = 3785mL]]</f>
        <v>0</v>
      </c>
      <c r="H130">
        <f>GCResults[[#This Row],[Pressure on Sampling (PSI), 145PSI=1MPa]]</f>
        <v>3552.5</v>
      </c>
      <c r="I130">
        <f>pHCondMod[[#This Row],[Sample pH]]</f>
        <v>0</v>
      </c>
      <c r="J130">
        <f>pHCondMod[[#This Row],[Sample Conductivity (mS/cm)]]</f>
        <v>0</v>
      </c>
      <c r="K130">
        <f>pHCondMod[[#This Row],[Modification Description]]</f>
        <v>0</v>
      </c>
      <c r="L130" s="1">
        <f>NMRResults[[#This Row],[Date Run]]</f>
        <v>0</v>
      </c>
      <c r="M130" s="1">
        <f>ICPList[[#This Row],[Date Run]]</f>
        <v>0</v>
      </c>
      <c r="N130" s="1">
        <f>GCResults[[#This Row],[Date Run ]]</f>
        <v>0</v>
      </c>
    </row>
    <row r="131" spans="1:14" ht="14.45" x14ac:dyDescent="0.25">
      <c r="A131">
        <f>SampleList[[#This Row],[Experiment ID]]</f>
        <v>0</v>
      </c>
      <c r="B131">
        <f>SampleList[[#This Row],[Sample Description]]</f>
        <v>0</v>
      </c>
      <c r="C131" s="1">
        <f>SampleList[[#This Row],[Date Sampled]]</f>
        <v>0</v>
      </c>
      <c r="D131">
        <f>SampleList[[#This Row],[Duration (Days)]]</f>
        <v>0</v>
      </c>
      <c r="E131">
        <f>NMRResults[[#This Row],[Ammonium Concentration (mM)]]</f>
        <v>0</v>
      </c>
      <c r="F131" t="str">
        <f>GCResults[[#This Row],[H2 (ppm)]]</f>
        <v/>
      </c>
      <c r="G131">
        <f>GCResults[[#This Row],[Total Gas Volume (mL), gas cylinder = 3785mL]]</f>
        <v>0</v>
      </c>
      <c r="H131">
        <f>GCResults[[#This Row],[Pressure on Sampling (PSI), 145PSI=1MPa]]</f>
        <v>3552.5</v>
      </c>
      <c r="I131">
        <f>pHCondMod[[#This Row],[Sample pH]]</f>
        <v>0</v>
      </c>
      <c r="J131">
        <f>pHCondMod[[#This Row],[Sample Conductivity (mS/cm)]]</f>
        <v>0</v>
      </c>
      <c r="K131">
        <f>pHCondMod[[#This Row],[Modification Description]]</f>
        <v>0</v>
      </c>
      <c r="L131" s="1">
        <f>NMRResults[[#This Row],[Date Run]]</f>
        <v>0</v>
      </c>
      <c r="M131" s="1">
        <f>ICPList[[#This Row],[Date Run]]</f>
        <v>0</v>
      </c>
      <c r="N131" s="1">
        <f>GCResults[[#This Row],[Date Run ]]</f>
        <v>0</v>
      </c>
    </row>
    <row r="132" spans="1:14" ht="14.45" x14ac:dyDescent="0.25">
      <c r="A132">
        <f>SampleList[[#This Row],[Experiment ID]]</f>
        <v>0</v>
      </c>
      <c r="B132">
        <f>SampleList[[#This Row],[Sample Description]]</f>
        <v>0</v>
      </c>
      <c r="C132" s="1">
        <f>SampleList[[#This Row],[Date Sampled]]</f>
        <v>0</v>
      </c>
      <c r="D132">
        <f>SampleList[[#This Row],[Duration (Days)]]</f>
        <v>0</v>
      </c>
      <c r="E132">
        <f>NMRResults[[#This Row],[Ammonium Concentration (mM)]]</f>
        <v>0</v>
      </c>
      <c r="F132" t="str">
        <f>GCResults[[#This Row],[H2 (ppm)]]</f>
        <v/>
      </c>
      <c r="G132">
        <f>GCResults[[#This Row],[Total Gas Volume (mL), gas cylinder = 3785mL]]</f>
        <v>0</v>
      </c>
      <c r="H132">
        <f>GCResults[[#This Row],[Pressure on Sampling (PSI), 145PSI=1MPa]]</f>
        <v>3552.5</v>
      </c>
      <c r="I132">
        <f>pHCondMod[[#This Row],[Sample pH]]</f>
        <v>0</v>
      </c>
      <c r="J132">
        <f>pHCondMod[[#This Row],[Sample Conductivity (mS/cm)]]</f>
        <v>0</v>
      </c>
      <c r="K132">
        <f>pHCondMod[[#This Row],[Modification Description]]</f>
        <v>0</v>
      </c>
      <c r="L132" s="1">
        <f>NMRResults[[#This Row],[Date Run]]</f>
        <v>0</v>
      </c>
      <c r="M132" s="1">
        <f>ICPList[[#This Row],[Date Run]]</f>
        <v>0</v>
      </c>
      <c r="N132" s="1">
        <f>GCResults[[#This Row],[Date Run ]]</f>
        <v>0</v>
      </c>
    </row>
    <row r="133" spans="1:14" ht="14.45" x14ac:dyDescent="0.25">
      <c r="A133">
        <f>SampleList[[#This Row],[Experiment ID]]</f>
        <v>0</v>
      </c>
      <c r="B133">
        <f>SampleList[[#This Row],[Sample Description]]</f>
        <v>0</v>
      </c>
      <c r="C133" s="1">
        <f>SampleList[[#This Row],[Date Sampled]]</f>
        <v>0</v>
      </c>
      <c r="D133">
        <f>SampleList[[#This Row],[Duration (Days)]]</f>
        <v>0</v>
      </c>
      <c r="E133">
        <f>NMRResults[[#This Row],[Ammonium Concentration (mM)]]</f>
        <v>0</v>
      </c>
      <c r="F133" t="str">
        <f>GCResults[[#This Row],[H2 (ppm)]]</f>
        <v/>
      </c>
      <c r="G133">
        <f>GCResults[[#This Row],[Total Gas Volume (mL), gas cylinder = 3785mL]]</f>
        <v>0</v>
      </c>
      <c r="H133">
        <f>GCResults[[#This Row],[Pressure on Sampling (PSI), 145PSI=1MPa]]</f>
        <v>3552.5</v>
      </c>
      <c r="I133">
        <f>pHCondMod[[#This Row],[Sample pH]]</f>
        <v>0</v>
      </c>
      <c r="J133">
        <f>pHCondMod[[#This Row],[Sample Conductivity (mS/cm)]]</f>
        <v>0</v>
      </c>
      <c r="K133">
        <f>pHCondMod[[#This Row],[Modification Description]]</f>
        <v>0</v>
      </c>
      <c r="L133" s="1">
        <f>NMRResults[[#This Row],[Date Run]]</f>
        <v>0</v>
      </c>
      <c r="M133" s="1">
        <f>ICPList[[#This Row],[Date Run]]</f>
        <v>0</v>
      </c>
      <c r="N133" s="1">
        <f>GCResults[[#This Row],[Date Run ]]</f>
        <v>0</v>
      </c>
    </row>
    <row r="134" spans="1:14" ht="14.45" x14ac:dyDescent="0.25">
      <c r="A134">
        <f>SampleList[[#This Row],[Experiment ID]]</f>
        <v>0</v>
      </c>
      <c r="B134">
        <f>SampleList[[#This Row],[Sample Description]]</f>
        <v>0</v>
      </c>
      <c r="C134" s="1">
        <f>SampleList[[#This Row],[Date Sampled]]</f>
        <v>0</v>
      </c>
      <c r="D134">
        <f>SampleList[[#This Row],[Duration (Days)]]</f>
        <v>0</v>
      </c>
      <c r="E134">
        <f>NMRResults[[#This Row],[Ammonium Concentration (mM)]]</f>
        <v>0</v>
      </c>
      <c r="F134" t="str">
        <f>GCResults[[#This Row],[H2 (ppm)]]</f>
        <v/>
      </c>
      <c r="G134">
        <f>GCResults[[#This Row],[Total Gas Volume (mL), gas cylinder = 3785mL]]</f>
        <v>0</v>
      </c>
      <c r="H134">
        <f>GCResults[[#This Row],[Pressure on Sampling (PSI), 145PSI=1MPa]]</f>
        <v>3552.5</v>
      </c>
      <c r="I134">
        <f>pHCondMod[[#This Row],[Sample pH]]</f>
        <v>0</v>
      </c>
      <c r="J134">
        <f>pHCondMod[[#This Row],[Sample Conductivity (mS/cm)]]</f>
        <v>0</v>
      </c>
      <c r="K134">
        <f>pHCondMod[[#This Row],[Modification Description]]</f>
        <v>0</v>
      </c>
      <c r="L134" s="1">
        <f>NMRResults[[#This Row],[Date Run]]</f>
        <v>0</v>
      </c>
      <c r="M134" s="1">
        <f>ICPList[[#This Row],[Date Run]]</f>
        <v>0</v>
      </c>
      <c r="N134" s="1">
        <f>GCResults[[#This Row],[Date Run ]]</f>
        <v>0</v>
      </c>
    </row>
    <row r="135" spans="1:14" ht="14.45" x14ac:dyDescent="0.25">
      <c r="A135">
        <f>SampleList[[#This Row],[Experiment ID]]</f>
        <v>0</v>
      </c>
      <c r="B135">
        <f>SampleList[[#This Row],[Sample Description]]</f>
        <v>0</v>
      </c>
      <c r="C135" s="1">
        <f>SampleList[[#This Row],[Date Sampled]]</f>
        <v>0</v>
      </c>
      <c r="D135">
        <f>SampleList[[#This Row],[Duration (Days)]]</f>
        <v>0</v>
      </c>
      <c r="E135">
        <f>NMRResults[[#This Row],[Ammonium Concentration (mM)]]</f>
        <v>0</v>
      </c>
      <c r="F135" t="str">
        <f>GCResults[[#This Row],[H2 (ppm)]]</f>
        <v/>
      </c>
      <c r="G135">
        <f>GCResults[[#This Row],[Total Gas Volume (mL), gas cylinder = 3785mL]]</f>
        <v>0</v>
      </c>
      <c r="H135">
        <f>GCResults[[#This Row],[Pressure on Sampling (PSI), 145PSI=1MPa]]</f>
        <v>3552.5</v>
      </c>
      <c r="I135">
        <f>pHCondMod[[#This Row],[Sample pH]]</f>
        <v>0</v>
      </c>
      <c r="J135">
        <f>pHCondMod[[#This Row],[Sample Conductivity (mS/cm)]]</f>
        <v>0</v>
      </c>
      <c r="K135">
        <f>pHCondMod[[#This Row],[Modification Description]]</f>
        <v>0</v>
      </c>
      <c r="L135" s="1">
        <f>NMRResults[[#This Row],[Date Run]]</f>
        <v>0</v>
      </c>
      <c r="M135" s="1">
        <f>ICPList[[#This Row],[Date Run]]</f>
        <v>0</v>
      </c>
      <c r="N135" s="1">
        <f>GCResults[[#This Row],[Date Run ]]</f>
        <v>0</v>
      </c>
    </row>
    <row r="136" spans="1:14" ht="14.45" x14ac:dyDescent="0.25">
      <c r="A136">
        <f>SampleList[[#This Row],[Experiment ID]]</f>
        <v>0</v>
      </c>
      <c r="B136">
        <f>SampleList[[#This Row],[Sample Description]]</f>
        <v>0</v>
      </c>
      <c r="C136" s="1">
        <f>SampleList[[#This Row],[Date Sampled]]</f>
        <v>0</v>
      </c>
      <c r="D136">
        <f>SampleList[[#This Row],[Duration (Days)]]</f>
        <v>0</v>
      </c>
      <c r="E136">
        <f>NMRResults[[#This Row],[Ammonium Concentration (mM)]]</f>
        <v>0</v>
      </c>
      <c r="F136" t="str">
        <f>GCResults[[#This Row],[H2 (ppm)]]</f>
        <v/>
      </c>
      <c r="G136">
        <f>GCResults[[#This Row],[Total Gas Volume (mL), gas cylinder = 3785mL]]</f>
        <v>0</v>
      </c>
      <c r="H136">
        <f>GCResults[[#This Row],[Pressure on Sampling (PSI), 145PSI=1MPa]]</f>
        <v>3552.5</v>
      </c>
      <c r="I136">
        <f>pHCondMod[[#This Row],[Sample pH]]</f>
        <v>0</v>
      </c>
      <c r="J136">
        <f>pHCondMod[[#This Row],[Sample Conductivity (mS/cm)]]</f>
        <v>0</v>
      </c>
      <c r="K136">
        <f>pHCondMod[[#This Row],[Modification Description]]</f>
        <v>0</v>
      </c>
      <c r="L136" s="1">
        <f>NMRResults[[#This Row],[Date Run]]</f>
        <v>0</v>
      </c>
      <c r="M136" s="1">
        <f>ICPList[[#This Row],[Date Run]]</f>
        <v>0</v>
      </c>
      <c r="N136" s="1">
        <f>GCResults[[#This Row],[Date Run ]]</f>
        <v>0</v>
      </c>
    </row>
    <row r="137" spans="1:14" ht="14.45" x14ac:dyDescent="0.25">
      <c r="A137">
        <f>SampleList[[#This Row],[Experiment ID]]</f>
        <v>0</v>
      </c>
      <c r="B137">
        <f>SampleList[[#This Row],[Sample Description]]</f>
        <v>0</v>
      </c>
      <c r="C137" s="1">
        <f>SampleList[[#This Row],[Date Sampled]]</f>
        <v>0</v>
      </c>
      <c r="D137">
        <f>SampleList[[#This Row],[Duration (Days)]]</f>
        <v>0</v>
      </c>
      <c r="E137">
        <f>NMRResults[[#This Row],[Ammonium Concentration (mM)]]</f>
        <v>0</v>
      </c>
      <c r="F137" t="str">
        <f>GCResults[[#This Row],[H2 (ppm)]]</f>
        <v/>
      </c>
      <c r="G137">
        <f>GCResults[[#This Row],[Total Gas Volume (mL), gas cylinder = 3785mL]]</f>
        <v>0</v>
      </c>
      <c r="H137">
        <f>GCResults[[#This Row],[Pressure on Sampling (PSI), 145PSI=1MPa]]</f>
        <v>3552.5</v>
      </c>
      <c r="I137">
        <f>pHCondMod[[#This Row],[Sample pH]]</f>
        <v>0</v>
      </c>
      <c r="J137">
        <f>pHCondMod[[#This Row],[Sample Conductivity (mS/cm)]]</f>
        <v>0</v>
      </c>
      <c r="K137">
        <f>pHCondMod[[#This Row],[Modification Description]]</f>
        <v>0</v>
      </c>
      <c r="L137" s="1">
        <f>NMRResults[[#This Row],[Date Run]]</f>
        <v>0</v>
      </c>
      <c r="M137" s="1">
        <f>ICPList[[#This Row],[Date Run]]</f>
        <v>0</v>
      </c>
      <c r="N137" s="1">
        <f>GCResults[[#This Row],[Date Run ]]</f>
        <v>0</v>
      </c>
    </row>
    <row r="138" spans="1:14" ht="14.45" x14ac:dyDescent="0.25">
      <c r="A138">
        <f>SampleList[[#This Row],[Experiment ID]]</f>
        <v>0</v>
      </c>
      <c r="B138">
        <f>SampleList[[#This Row],[Sample Description]]</f>
        <v>0</v>
      </c>
      <c r="C138" s="1">
        <f>SampleList[[#This Row],[Date Sampled]]</f>
        <v>0</v>
      </c>
      <c r="D138">
        <f>SampleList[[#This Row],[Duration (Days)]]</f>
        <v>0</v>
      </c>
      <c r="E138">
        <f>NMRResults[[#This Row],[Ammonium Concentration (mM)]]</f>
        <v>0</v>
      </c>
      <c r="F138" t="str">
        <f>GCResults[[#This Row],[H2 (ppm)]]</f>
        <v/>
      </c>
      <c r="G138">
        <f>GCResults[[#This Row],[Total Gas Volume (mL), gas cylinder = 3785mL]]</f>
        <v>0</v>
      </c>
      <c r="H138">
        <f>GCResults[[#This Row],[Pressure on Sampling (PSI), 145PSI=1MPa]]</f>
        <v>3552.5</v>
      </c>
      <c r="I138">
        <f>pHCondMod[[#This Row],[Sample pH]]</f>
        <v>0</v>
      </c>
      <c r="J138">
        <f>pHCondMod[[#This Row],[Sample Conductivity (mS/cm)]]</f>
        <v>0</v>
      </c>
      <c r="K138">
        <f>pHCondMod[[#This Row],[Modification Description]]</f>
        <v>0</v>
      </c>
      <c r="L138" s="1">
        <f>NMRResults[[#This Row],[Date Run]]</f>
        <v>0</v>
      </c>
      <c r="M138" s="1">
        <f>ICPList[[#This Row],[Date Run]]</f>
        <v>0</v>
      </c>
      <c r="N138" s="1">
        <f>GCResults[[#This Row],[Date Run ]]</f>
        <v>0</v>
      </c>
    </row>
    <row r="139" spans="1:14" ht="14.45" x14ac:dyDescent="0.25">
      <c r="A139">
        <f>SampleList[[#This Row],[Experiment ID]]</f>
        <v>0</v>
      </c>
      <c r="B139">
        <f>SampleList[[#This Row],[Sample Description]]</f>
        <v>0</v>
      </c>
      <c r="C139" s="1">
        <f>SampleList[[#This Row],[Date Sampled]]</f>
        <v>0</v>
      </c>
      <c r="D139">
        <f>SampleList[[#This Row],[Duration (Days)]]</f>
        <v>0</v>
      </c>
      <c r="E139">
        <f>NMRResults[[#This Row],[Ammonium Concentration (mM)]]</f>
        <v>0</v>
      </c>
      <c r="F139" t="str">
        <f>GCResults[[#This Row],[H2 (ppm)]]</f>
        <v/>
      </c>
      <c r="G139">
        <f>GCResults[[#This Row],[Total Gas Volume (mL), gas cylinder = 3785mL]]</f>
        <v>0</v>
      </c>
      <c r="H139">
        <f>GCResults[[#This Row],[Pressure on Sampling (PSI), 145PSI=1MPa]]</f>
        <v>3552.5</v>
      </c>
      <c r="I139">
        <f>pHCondMod[[#This Row],[Sample pH]]</f>
        <v>0</v>
      </c>
      <c r="J139">
        <f>pHCondMod[[#This Row],[Sample Conductivity (mS/cm)]]</f>
        <v>0</v>
      </c>
      <c r="K139">
        <f>pHCondMod[[#This Row],[Modification Description]]</f>
        <v>0</v>
      </c>
      <c r="L139" s="1">
        <f>NMRResults[[#This Row],[Date Run]]</f>
        <v>0</v>
      </c>
      <c r="M139" s="1">
        <f>ICPList[[#This Row],[Date Run]]</f>
        <v>0</v>
      </c>
      <c r="N139" s="1">
        <f>GCResults[[#This Row],[Date Run ]]</f>
        <v>0</v>
      </c>
    </row>
    <row r="140" spans="1:14" ht="14.45" x14ac:dyDescent="0.25">
      <c r="A140">
        <f>SampleList[[#This Row],[Experiment ID]]</f>
        <v>0</v>
      </c>
      <c r="B140">
        <f>SampleList[[#This Row],[Sample Description]]</f>
        <v>0</v>
      </c>
      <c r="C140" s="1">
        <f>SampleList[[#This Row],[Date Sampled]]</f>
        <v>0</v>
      </c>
      <c r="D140">
        <f>SampleList[[#This Row],[Duration (Days)]]</f>
        <v>0</v>
      </c>
      <c r="E140">
        <f>NMRResults[[#This Row],[Ammonium Concentration (mM)]]</f>
        <v>0</v>
      </c>
      <c r="F140" t="str">
        <f>GCResults[[#This Row],[H2 (ppm)]]</f>
        <v/>
      </c>
      <c r="G140">
        <f>GCResults[[#This Row],[Total Gas Volume (mL), gas cylinder = 3785mL]]</f>
        <v>0</v>
      </c>
      <c r="H140">
        <f>GCResults[[#This Row],[Pressure on Sampling (PSI), 145PSI=1MPa]]</f>
        <v>3552.5</v>
      </c>
      <c r="I140">
        <f>pHCondMod[[#This Row],[Sample pH]]</f>
        <v>0</v>
      </c>
      <c r="J140">
        <f>pHCondMod[[#This Row],[Sample Conductivity (mS/cm)]]</f>
        <v>0</v>
      </c>
      <c r="K140">
        <f>pHCondMod[[#This Row],[Modification Description]]</f>
        <v>0</v>
      </c>
      <c r="L140" s="1">
        <f>NMRResults[[#This Row],[Date Run]]</f>
        <v>0</v>
      </c>
      <c r="M140" s="1">
        <f>ICPList[[#This Row],[Date Run]]</f>
        <v>0</v>
      </c>
      <c r="N140" s="1">
        <f>GCResults[[#This Row],[Date Run ]]</f>
        <v>0</v>
      </c>
    </row>
    <row r="141" spans="1:14" ht="14.45" x14ac:dyDescent="0.25">
      <c r="A141">
        <f>SampleList[[#This Row],[Experiment ID]]</f>
        <v>0</v>
      </c>
      <c r="B141">
        <f>SampleList[[#This Row],[Sample Description]]</f>
        <v>0</v>
      </c>
      <c r="C141" s="1">
        <f>SampleList[[#This Row],[Date Sampled]]</f>
        <v>0</v>
      </c>
      <c r="D141">
        <f>SampleList[[#This Row],[Duration (Days)]]</f>
        <v>0</v>
      </c>
      <c r="E141">
        <f>NMRResults[[#This Row],[Ammonium Concentration (mM)]]</f>
        <v>0</v>
      </c>
      <c r="F141" t="str">
        <f>GCResults[[#This Row],[H2 (ppm)]]</f>
        <v/>
      </c>
      <c r="G141">
        <f>GCResults[[#This Row],[Total Gas Volume (mL), gas cylinder = 3785mL]]</f>
        <v>0</v>
      </c>
      <c r="H141">
        <f>GCResults[[#This Row],[Pressure on Sampling (PSI), 145PSI=1MPa]]</f>
        <v>3552.5</v>
      </c>
      <c r="I141">
        <f>pHCondMod[[#This Row],[Sample pH]]</f>
        <v>0</v>
      </c>
      <c r="J141">
        <f>pHCondMod[[#This Row],[Sample Conductivity (mS/cm)]]</f>
        <v>0</v>
      </c>
      <c r="K141">
        <f>pHCondMod[[#This Row],[Modification Description]]</f>
        <v>0</v>
      </c>
      <c r="L141" s="1">
        <f>NMRResults[[#This Row],[Date Run]]</f>
        <v>0</v>
      </c>
      <c r="M141" s="1">
        <f>ICPList[[#This Row],[Date Run]]</f>
        <v>0</v>
      </c>
      <c r="N141" s="1">
        <f>GCResults[[#This Row],[Date Run ]]</f>
        <v>0</v>
      </c>
    </row>
    <row r="142" spans="1:14" ht="14.45" x14ac:dyDescent="0.25">
      <c r="A142">
        <f>SampleList[[#This Row],[Experiment ID]]</f>
        <v>0</v>
      </c>
      <c r="B142">
        <f>SampleList[[#This Row],[Sample Description]]</f>
        <v>0</v>
      </c>
      <c r="C142" s="1">
        <f>SampleList[[#This Row],[Date Sampled]]</f>
        <v>0</v>
      </c>
      <c r="D142">
        <f>SampleList[[#This Row],[Duration (Days)]]</f>
        <v>0</v>
      </c>
      <c r="E142">
        <f>NMRResults[[#This Row],[Ammonium Concentration (mM)]]</f>
        <v>0</v>
      </c>
      <c r="F142" t="str">
        <f>GCResults[[#This Row],[H2 (ppm)]]</f>
        <v/>
      </c>
      <c r="G142">
        <f>GCResults[[#This Row],[Total Gas Volume (mL), gas cylinder = 3785mL]]</f>
        <v>0</v>
      </c>
      <c r="H142">
        <f>GCResults[[#This Row],[Pressure on Sampling (PSI), 145PSI=1MPa]]</f>
        <v>3552.5</v>
      </c>
      <c r="I142">
        <f>pHCondMod[[#This Row],[Sample pH]]</f>
        <v>0</v>
      </c>
      <c r="J142">
        <f>pHCondMod[[#This Row],[Sample Conductivity (mS/cm)]]</f>
        <v>0</v>
      </c>
      <c r="K142">
        <f>pHCondMod[[#This Row],[Modification Description]]</f>
        <v>0</v>
      </c>
      <c r="L142" s="1">
        <f>NMRResults[[#This Row],[Date Run]]</f>
        <v>0</v>
      </c>
      <c r="M142" s="1">
        <f>ICPList[[#This Row],[Date Run]]</f>
        <v>0</v>
      </c>
      <c r="N142" s="1">
        <f>GCResults[[#This Row],[Date Run ]]</f>
        <v>0</v>
      </c>
    </row>
    <row r="143" spans="1:14" ht="14.45" x14ac:dyDescent="0.25">
      <c r="A143">
        <f>SampleList[[#This Row],[Experiment ID]]</f>
        <v>0</v>
      </c>
      <c r="B143">
        <f>SampleList[[#This Row],[Sample Description]]</f>
        <v>0</v>
      </c>
      <c r="C143" s="1">
        <f>SampleList[[#This Row],[Date Sampled]]</f>
        <v>0</v>
      </c>
      <c r="D143">
        <f>SampleList[[#This Row],[Duration (Days)]]</f>
        <v>0</v>
      </c>
      <c r="E143">
        <f>NMRResults[[#This Row],[Ammonium Concentration (mM)]]</f>
        <v>0</v>
      </c>
      <c r="F143" t="str">
        <f>GCResults[[#This Row],[H2 (ppm)]]</f>
        <v/>
      </c>
      <c r="G143">
        <f>GCResults[[#This Row],[Total Gas Volume (mL), gas cylinder = 3785mL]]</f>
        <v>0</v>
      </c>
      <c r="H143">
        <f>GCResults[[#This Row],[Pressure on Sampling (PSI), 145PSI=1MPa]]</f>
        <v>3552.5</v>
      </c>
      <c r="I143">
        <f>pHCondMod[[#This Row],[Sample pH]]</f>
        <v>0</v>
      </c>
      <c r="J143">
        <f>pHCondMod[[#This Row],[Sample Conductivity (mS/cm)]]</f>
        <v>0</v>
      </c>
      <c r="K143">
        <f>pHCondMod[[#This Row],[Modification Description]]</f>
        <v>0</v>
      </c>
      <c r="L143" s="1">
        <f>NMRResults[[#This Row],[Date Run]]</f>
        <v>0</v>
      </c>
      <c r="M143" s="1">
        <f>ICPList[[#This Row],[Date Run]]</f>
        <v>0</v>
      </c>
      <c r="N143" s="1">
        <f>GCResults[[#This Row],[Date Run ]]</f>
        <v>0</v>
      </c>
    </row>
    <row r="144" spans="1:14" ht="14.45" x14ac:dyDescent="0.25">
      <c r="A144">
        <f>SampleList[[#This Row],[Experiment ID]]</f>
        <v>0</v>
      </c>
      <c r="B144">
        <f>SampleList[[#This Row],[Sample Description]]</f>
        <v>0</v>
      </c>
      <c r="C144" s="1">
        <f>SampleList[[#This Row],[Date Sampled]]</f>
        <v>0</v>
      </c>
      <c r="D144">
        <f>SampleList[[#This Row],[Duration (Days)]]</f>
        <v>0</v>
      </c>
      <c r="E144">
        <f>NMRResults[[#This Row],[Ammonium Concentration (mM)]]</f>
        <v>0</v>
      </c>
      <c r="F144" t="str">
        <f>GCResults[[#This Row],[H2 (ppm)]]</f>
        <v/>
      </c>
      <c r="G144">
        <f>GCResults[[#This Row],[Total Gas Volume (mL), gas cylinder = 3785mL]]</f>
        <v>0</v>
      </c>
      <c r="H144">
        <f>GCResults[[#This Row],[Pressure on Sampling (PSI), 145PSI=1MPa]]</f>
        <v>3552.5</v>
      </c>
      <c r="I144">
        <f>pHCondMod[[#This Row],[Sample pH]]</f>
        <v>0</v>
      </c>
      <c r="J144">
        <f>pHCondMod[[#This Row],[Sample Conductivity (mS/cm)]]</f>
        <v>0</v>
      </c>
      <c r="K144">
        <f>pHCondMod[[#This Row],[Modification Description]]</f>
        <v>0</v>
      </c>
      <c r="L144" s="1">
        <f>NMRResults[[#This Row],[Date Run]]</f>
        <v>0</v>
      </c>
      <c r="M144" s="1">
        <f>ICPList[[#This Row],[Date Run]]</f>
        <v>0</v>
      </c>
      <c r="N144" s="1">
        <f>GCResults[[#This Row],[Date Run ]]</f>
        <v>0</v>
      </c>
    </row>
    <row r="145" spans="1:14" ht="14.45" x14ac:dyDescent="0.25">
      <c r="A145">
        <f>SampleList[[#This Row],[Experiment ID]]</f>
        <v>0</v>
      </c>
      <c r="B145">
        <f>SampleList[[#This Row],[Sample Description]]</f>
        <v>0</v>
      </c>
      <c r="C145" s="1">
        <f>SampleList[[#This Row],[Date Sampled]]</f>
        <v>0</v>
      </c>
      <c r="D145">
        <f>SampleList[[#This Row],[Duration (Days)]]</f>
        <v>0</v>
      </c>
      <c r="E145">
        <f>NMRResults[[#This Row],[Ammonium Concentration (mM)]]</f>
        <v>0</v>
      </c>
      <c r="F145" t="str">
        <f>GCResults[[#This Row],[H2 (ppm)]]</f>
        <v/>
      </c>
      <c r="G145">
        <f>GCResults[[#This Row],[Total Gas Volume (mL), gas cylinder = 3785mL]]</f>
        <v>0</v>
      </c>
      <c r="H145">
        <f>GCResults[[#This Row],[Pressure on Sampling (PSI), 145PSI=1MPa]]</f>
        <v>3552.5</v>
      </c>
      <c r="I145">
        <f>pHCondMod[[#This Row],[Sample pH]]</f>
        <v>0</v>
      </c>
      <c r="J145">
        <f>pHCondMod[[#This Row],[Sample Conductivity (mS/cm)]]</f>
        <v>0</v>
      </c>
      <c r="K145">
        <f>pHCondMod[[#This Row],[Modification Description]]</f>
        <v>0</v>
      </c>
      <c r="L145" s="1">
        <f>NMRResults[[#This Row],[Date Run]]</f>
        <v>0</v>
      </c>
      <c r="M145" s="1">
        <f>ICPList[[#This Row],[Date Run]]</f>
        <v>0</v>
      </c>
      <c r="N145" s="1">
        <f>GCResults[[#This Row],[Date Run ]]</f>
        <v>0</v>
      </c>
    </row>
    <row r="146" spans="1:14" ht="14.45" x14ac:dyDescent="0.25">
      <c r="A146">
        <f>SampleList[[#This Row],[Experiment ID]]</f>
        <v>0</v>
      </c>
      <c r="B146">
        <f>SampleList[[#This Row],[Sample Description]]</f>
        <v>0</v>
      </c>
      <c r="C146" s="1">
        <f>SampleList[[#This Row],[Date Sampled]]</f>
        <v>0</v>
      </c>
      <c r="D146">
        <f>SampleList[[#This Row],[Duration (Days)]]</f>
        <v>0</v>
      </c>
      <c r="E146">
        <f>NMRResults[[#This Row],[Ammonium Concentration (mM)]]</f>
        <v>0</v>
      </c>
      <c r="F146" t="str">
        <f>GCResults[[#This Row],[H2 (ppm)]]</f>
        <v/>
      </c>
      <c r="G146">
        <f>GCResults[[#This Row],[Total Gas Volume (mL), gas cylinder = 3785mL]]</f>
        <v>0</v>
      </c>
      <c r="H146">
        <f>GCResults[[#This Row],[Pressure on Sampling (PSI), 145PSI=1MPa]]</f>
        <v>3552.5</v>
      </c>
      <c r="I146">
        <f>pHCondMod[[#This Row],[Sample pH]]</f>
        <v>0</v>
      </c>
      <c r="J146">
        <f>pHCondMod[[#This Row],[Sample Conductivity (mS/cm)]]</f>
        <v>0</v>
      </c>
      <c r="K146">
        <f>pHCondMod[[#This Row],[Modification Description]]</f>
        <v>0</v>
      </c>
      <c r="L146" s="1">
        <f>NMRResults[[#This Row],[Date Run]]</f>
        <v>0</v>
      </c>
      <c r="M146" s="1">
        <f>ICPList[[#This Row],[Date Run]]</f>
        <v>0</v>
      </c>
      <c r="N146" s="1">
        <f>GCResults[[#This Row],[Date Run ]]</f>
        <v>0</v>
      </c>
    </row>
    <row r="147" spans="1:14" ht="14.45" x14ac:dyDescent="0.25">
      <c r="A147">
        <f>SampleList[[#This Row],[Experiment ID]]</f>
        <v>0</v>
      </c>
      <c r="B147">
        <f>SampleList[[#This Row],[Sample Description]]</f>
        <v>0</v>
      </c>
      <c r="C147" s="1">
        <f>SampleList[[#This Row],[Date Sampled]]</f>
        <v>0</v>
      </c>
      <c r="D147">
        <f>SampleList[[#This Row],[Duration (Days)]]</f>
        <v>0</v>
      </c>
      <c r="E147">
        <f>NMRResults[[#This Row],[Ammonium Concentration (mM)]]</f>
        <v>0</v>
      </c>
      <c r="F147" t="str">
        <f>GCResults[[#This Row],[H2 (ppm)]]</f>
        <v/>
      </c>
      <c r="G147">
        <f>GCResults[[#This Row],[Total Gas Volume (mL), gas cylinder = 3785mL]]</f>
        <v>0</v>
      </c>
      <c r="H147">
        <f>GCResults[[#This Row],[Pressure on Sampling (PSI), 145PSI=1MPa]]</f>
        <v>3552.5</v>
      </c>
      <c r="I147">
        <f>pHCondMod[[#This Row],[Sample pH]]</f>
        <v>0</v>
      </c>
      <c r="J147">
        <f>pHCondMod[[#This Row],[Sample Conductivity (mS/cm)]]</f>
        <v>0</v>
      </c>
      <c r="K147">
        <f>pHCondMod[[#This Row],[Modification Description]]</f>
        <v>0</v>
      </c>
      <c r="L147" s="1">
        <f>NMRResults[[#This Row],[Date Run]]</f>
        <v>0</v>
      </c>
      <c r="M147" s="1">
        <f>ICPList[[#This Row],[Date Run]]</f>
        <v>0</v>
      </c>
      <c r="N147" s="1">
        <f>GCResults[[#This Row],[Date Run ]]</f>
        <v>0</v>
      </c>
    </row>
    <row r="148" spans="1:14" ht="14.45" x14ac:dyDescent="0.25">
      <c r="A148">
        <f>SampleList[[#This Row],[Experiment ID]]</f>
        <v>0</v>
      </c>
      <c r="B148">
        <f>SampleList[[#This Row],[Sample Description]]</f>
        <v>0</v>
      </c>
      <c r="C148" s="1">
        <f>SampleList[[#This Row],[Date Sampled]]</f>
        <v>0</v>
      </c>
      <c r="D148">
        <f>SampleList[[#This Row],[Duration (Days)]]</f>
        <v>0</v>
      </c>
      <c r="E148">
        <f>NMRResults[[#This Row],[Ammonium Concentration (mM)]]</f>
        <v>0</v>
      </c>
      <c r="F148" t="str">
        <f>GCResults[[#This Row],[H2 (ppm)]]</f>
        <v/>
      </c>
      <c r="G148">
        <f>GCResults[[#This Row],[Total Gas Volume (mL), gas cylinder = 3785mL]]</f>
        <v>0</v>
      </c>
      <c r="H148">
        <f>GCResults[[#This Row],[Pressure on Sampling (PSI), 145PSI=1MPa]]</f>
        <v>3552.5</v>
      </c>
      <c r="I148">
        <f>pHCondMod[[#This Row],[Sample pH]]</f>
        <v>0</v>
      </c>
      <c r="J148">
        <f>pHCondMod[[#This Row],[Sample Conductivity (mS/cm)]]</f>
        <v>0</v>
      </c>
      <c r="K148">
        <f>pHCondMod[[#This Row],[Modification Description]]</f>
        <v>0</v>
      </c>
      <c r="L148" s="1">
        <f>NMRResults[[#This Row],[Date Run]]</f>
        <v>0</v>
      </c>
      <c r="M148" s="1">
        <f>ICPList[[#This Row],[Date Run]]</f>
        <v>0</v>
      </c>
      <c r="N148" s="1">
        <f>GCResults[[#This Row],[Date Run ]]</f>
        <v>0</v>
      </c>
    </row>
    <row r="149" spans="1:14" ht="14.45" x14ac:dyDescent="0.25">
      <c r="A149">
        <f>SampleList[[#This Row],[Experiment ID]]</f>
        <v>0</v>
      </c>
      <c r="B149">
        <f>SampleList[[#This Row],[Sample Description]]</f>
        <v>0</v>
      </c>
      <c r="C149" s="1">
        <f>SampleList[[#This Row],[Date Sampled]]</f>
        <v>0</v>
      </c>
      <c r="D149">
        <f>SampleList[[#This Row],[Duration (Days)]]</f>
        <v>0</v>
      </c>
      <c r="E149">
        <f>NMRResults[[#This Row],[Ammonium Concentration (mM)]]</f>
        <v>0</v>
      </c>
      <c r="F149" t="str">
        <f>GCResults[[#This Row],[H2 (ppm)]]</f>
        <v/>
      </c>
      <c r="G149">
        <f>GCResults[[#This Row],[Total Gas Volume (mL), gas cylinder = 3785mL]]</f>
        <v>0</v>
      </c>
      <c r="H149">
        <f>GCResults[[#This Row],[Pressure on Sampling (PSI), 145PSI=1MPa]]</f>
        <v>3552.5</v>
      </c>
      <c r="I149">
        <f>pHCondMod[[#This Row],[Sample pH]]</f>
        <v>0</v>
      </c>
      <c r="J149">
        <f>pHCondMod[[#This Row],[Sample Conductivity (mS/cm)]]</f>
        <v>0</v>
      </c>
      <c r="K149">
        <f>pHCondMod[[#This Row],[Modification Description]]</f>
        <v>0</v>
      </c>
      <c r="L149" s="1">
        <f>NMRResults[[#This Row],[Date Run]]</f>
        <v>0</v>
      </c>
      <c r="M149" s="1">
        <f>ICPList[[#This Row],[Date Run]]</f>
        <v>0</v>
      </c>
      <c r="N149" s="1">
        <f>GCResults[[#This Row],[Date Run ]]</f>
        <v>0</v>
      </c>
    </row>
    <row r="150" spans="1:14" ht="14.45" x14ac:dyDescent="0.25">
      <c r="A150">
        <f>SampleList[[#This Row],[Experiment ID]]</f>
        <v>0</v>
      </c>
      <c r="B150">
        <f>SampleList[[#This Row],[Sample Description]]</f>
        <v>0</v>
      </c>
      <c r="C150" s="1">
        <f>SampleList[[#This Row],[Date Sampled]]</f>
        <v>0</v>
      </c>
      <c r="D150">
        <f>SampleList[[#This Row],[Duration (Days)]]</f>
        <v>0</v>
      </c>
      <c r="E150">
        <f>NMRResults[[#This Row],[Ammonium Concentration (mM)]]</f>
        <v>0</v>
      </c>
      <c r="F150" t="str">
        <f>GCResults[[#This Row],[H2 (ppm)]]</f>
        <v/>
      </c>
      <c r="G150">
        <f>GCResults[[#This Row],[Total Gas Volume (mL), gas cylinder = 3785mL]]</f>
        <v>0</v>
      </c>
      <c r="H150">
        <f>GCResults[[#This Row],[Pressure on Sampling (PSI), 145PSI=1MPa]]</f>
        <v>3552.5</v>
      </c>
      <c r="I150">
        <f>pHCondMod[[#This Row],[Sample pH]]</f>
        <v>0</v>
      </c>
      <c r="J150">
        <f>pHCondMod[[#This Row],[Sample Conductivity (mS/cm)]]</f>
        <v>0</v>
      </c>
      <c r="K150">
        <f>pHCondMod[[#This Row],[Modification Description]]</f>
        <v>0</v>
      </c>
      <c r="L150" s="1">
        <f>NMRResults[[#This Row],[Date Run]]</f>
        <v>0</v>
      </c>
      <c r="M150" s="1">
        <f>ICPList[[#This Row],[Date Run]]</f>
        <v>0</v>
      </c>
      <c r="N150" s="1">
        <f>GCResults[[#This Row],[Date Run ]]</f>
        <v>0</v>
      </c>
    </row>
    <row r="151" spans="1:14" ht="14.45" x14ac:dyDescent="0.25">
      <c r="A151">
        <f>SampleList[[#This Row],[Experiment ID]]</f>
        <v>0</v>
      </c>
      <c r="B151">
        <f>SampleList[[#This Row],[Sample Description]]</f>
        <v>0</v>
      </c>
      <c r="C151" s="1">
        <f>SampleList[[#This Row],[Date Sampled]]</f>
        <v>0</v>
      </c>
      <c r="D151">
        <f>SampleList[[#This Row],[Duration (Days)]]</f>
        <v>0</v>
      </c>
      <c r="E151">
        <f>NMRResults[[#This Row],[Ammonium Concentration (mM)]]</f>
        <v>0</v>
      </c>
      <c r="F151" t="str">
        <f>GCResults[[#This Row],[H2 (ppm)]]</f>
        <v/>
      </c>
      <c r="G151">
        <f>GCResults[[#This Row],[Total Gas Volume (mL), gas cylinder = 3785mL]]</f>
        <v>0</v>
      </c>
      <c r="H151">
        <f>GCResults[[#This Row],[Pressure on Sampling (PSI), 145PSI=1MPa]]</f>
        <v>3552.5</v>
      </c>
      <c r="I151">
        <f>pHCondMod[[#This Row],[Sample pH]]</f>
        <v>0</v>
      </c>
      <c r="J151">
        <f>pHCondMod[[#This Row],[Sample Conductivity (mS/cm)]]</f>
        <v>0</v>
      </c>
      <c r="K151">
        <f>pHCondMod[[#This Row],[Modification Description]]</f>
        <v>0</v>
      </c>
      <c r="L151" s="1">
        <f>NMRResults[[#This Row],[Date Run]]</f>
        <v>0</v>
      </c>
      <c r="M151" s="1">
        <f>ICPList[[#This Row],[Date Run]]</f>
        <v>0</v>
      </c>
      <c r="N151" s="1">
        <f>GCResults[[#This Row],[Date Run ]]</f>
        <v>0</v>
      </c>
    </row>
    <row r="152" spans="1:14" ht="14.45" x14ac:dyDescent="0.25">
      <c r="A152">
        <f>SampleList[[#This Row],[Experiment ID]]</f>
        <v>0</v>
      </c>
      <c r="B152">
        <f>SampleList[[#This Row],[Sample Description]]</f>
        <v>0</v>
      </c>
      <c r="C152" s="1">
        <f>SampleList[[#This Row],[Date Sampled]]</f>
        <v>0</v>
      </c>
      <c r="D152">
        <f>SampleList[[#This Row],[Duration (Days)]]</f>
        <v>0</v>
      </c>
      <c r="E152">
        <f>NMRResults[[#This Row],[Ammonium Concentration (mM)]]</f>
        <v>0</v>
      </c>
      <c r="F152" t="str">
        <f>GCResults[[#This Row],[H2 (ppm)]]</f>
        <v/>
      </c>
      <c r="G152">
        <f>GCResults[[#This Row],[Total Gas Volume (mL), gas cylinder = 3785mL]]</f>
        <v>0</v>
      </c>
      <c r="H152">
        <f>GCResults[[#This Row],[Pressure on Sampling (PSI), 145PSI=1MPa]]</f>
        <v>3552.5</v>
      </c>
      <c r="I152">
        <f>pHCondMod[[#This Row],[Sample pH]]</f>
        <v>0</v>
      </c>
      <c r="J152">
        <f>pHCondMod[[#This Row],[Sample Conductivity (mS/cm)]]</f>
        <v>0</v>
      </c>
      <c r="K152">
        <f>pHCondMod[[#This Row],[Modification Description]]</f>
        <v>0</v>
      </c>
      <c r="L152" s="1">
        <f>NMRResults[[#This Row],[Date Run]]</f>
        <v>0</v>
      </c>
      <c r="M152" s="1">
        <f>ICPList[[#This Row],[Date Run]]</f>
        <v>0</v>
      </c>
      <c r="N152" s="1">
        <f>GCResults[[#This Row],[Date Run ]]</f>
        <v>0</v>
      </c>
    </row>
    <row r="153" spans="1:14" ht="14.45" x14ac:dyDescent="0.25">
      <c r="A153">
        <f>SampleList[[#This Row],[Experiment ID]]</f>
        <v>0</v>
      </c>
      <c r="B153">
        <f>SampleList[[#This Row],[Sample Description]]</f>
        <v>0</v>
      </c>
      <c r="C153" s="1">
        <f>SampleList[[#This Row],[Date Sampled]]</f>
        <v>0</v>
      </c>
      <c r="D153">
        <f>SampleList[[#This Row],[Duration (Days)]]</f>
        <v>0</v>
      </c>
      <c r="E153">
        <f>NMRResults[[#This Row],[Ammonium Concentration (mM)]]</f>
        <v>0</v>
      </c>
      <c r="F153" t="str">
        <f>GCResults[[#This Row],[H2 (ppm)]]</f>
        <v/>
      </c>
      <c r="G153">
        <f>GCResults[[#This Row],[Total Gas Volume (mL), gas cylinder = 3785mL]]</f>
        <v>0</v>
      </c>
      <c r="H153">
        <f>GCResults[[#This Row],[Pressure on Sampling (PSI), 145PSI=1MPa]]</f>
        <v>3552.5</v>
      </c>
      <c r="I153">
        <f>pHCondMod[[#This Row],[Sample pH]]</f>
        <v>0</v>
      </c>
      <c r="J153">
        <f>pHCondMod[[#This Row],[Sample Conductivity (mS/cm)]]</f>
        <v>0</v>
      </c>
      <c r="K153">
        <f>pHCondMod[[#This Row],[Modification Description]]</f>
        <v>0</v>
      </c>
      <c r="L153" s="1">
        <f>NMRResults[[#This Row],[Date Run]]</f>
        <v>0</v>
      </c>
      <c r="M153" s="1">
        <f>ICPList[[#This Row],[Date Run]]</f>
        <v>0</v>
      </c>
      <c r="N153" s="1">
        <f>GCResults[[#This Row],[Date Run ]]</f>
        <v>0</v>
      </c>
    </row>
    <row r="154" spans="1:14" ht="14.45" x14ac:dyDescent="0.25">
      <c r="A154">
        <f>SampleList[[#This Row],[Experiment ID]]</f>
        <v>0</v>
      </c>
      <c r="B154">
        <f>SampleList[[#This Row],[Sample Description]]</f>
        <v>0</v>
      </c>
      <c r="C154" s="1">
        <f>SampleList[[#This Row],[Date Sampled]]</f>
        <v>0</v>
      </c>
      <c r="D154">
        <f>SampleList[[#This Row],[Duration (Days)]]</f>
        <v>0</v>
      </c>
      <c r="E154">
        <f>NMRResults[[#This Row],[Ammonium Concentration (mM)]]</f>
        <v>0</v>
      </c>
      <c r="F154" t="str">
        <f>GCResults[[#This Row],[H2 (ppm)]]</f>
        <v/>
      </c>
      <c r="G154">
        <f>GCResults[[#This Row],[Total Gas Volume (mL), gas cylinder = 3785mL]]</f>
        <v>0</v>
      </c>
      <c r="H154">
        <f>GCResults[[#This Row],[Pressure on Sampling (PSI), 145PSI=1MPa]]</f>
        <v>3552.5</v>
      </c>
      <c r="I154">
        <f>pHCondMod[[#This Row],[Sample pH]]</f>
        <v>0</v>
      </c>
      <c r="J154">
        <f>pHCondMod[[#This Row],[Sample Conductivity (mS/cm)]]</f>
        <v>0</v>
      </c>
      <c r="K154">
        <f>pHCondMod[[#This Row],[Modification Description]]</f>
        <v>0</v>
      </c>
      <c r="L154" s="1">
        <f>NMRResults[[#This Row],[Date Run]]</f>
        <v>0</v>
      </c>
      <c r="M154" s="1">
        <f>ICPList[[#This Row],[Date Run]]</f>
        <v>0</v>
      </c>
      <c r="N154" s="1">
        <f>GCResults[[#This Row],[Date Run ]]</f>
        <v>0</v>
      </c>
    </row>
    <row r="155" spans="1:14" ht="14.45" x14ac:dyDescent="0.25">
      <c r="A155">
        <f>SampleList[[#This Row],[Experiment ID]]</f>
        <v>0</v>
      </c>
      <c r="B155">
        <f>SampleList[[#This Row],[Sample Description]]</f>
        <v>0</v>
      </c>
      <c r="C155" s="1">
        <f>SampleList[[#This Row],[Date Sampled]]</f>
        <v>0</v>
      </c>
      <c r="D155">
        <f>SampleList[[#This Row],[Duration (Days)]]</f>
        <v>0</v>
      </c>
      <c r="E155">
        <f>NMRResults[[#This Row],[Ammonium Concentration (mM)]]</f>
        <v>0</v>
      </c>
      <c r="F155" t="str">
        <f>GCResults[[#This Row],[H2 (ppm)]]</f>
        <v/>
      </c>
      <c r="G155">
        <f>GCResults[[#This Row],[Total Gas Volume (mL), gas cylinder = 3785mL]]</f>
        <v>0</v>
      </c>
      <c r="H155">
        <f>GCResults[[#This Row],[Pressure on Sampling (PSI), 145PSI=1MPa]]</f>
        <v>3552.5</v>
      </c>
      <c r="I155">
        <f>pHCondMod[[#This Row],[Sample pH]]</f>
        <v>0</v>
      </c>
      <c r="J155">
        <f>pHCondMod[[#This Row],[Sample Conductivity (mS/cm)]]</f>
        <v>0</v>
      </c>
      <c r="K155">
        <f>pHCondMod[[#This Row],[Modification Description]]</f>
        <v>0</v>
      </c>
      <c r="L155" s="1">
        <f>NMRResults[[#This Row],[Date Run]]</f>
        <v>0</v>
      </c>
      <c r="M155" s="1">
        <f>ICPList[[#This Row],[Date Run]]</f>
        <v>0</v>
      </c>
      <c r="N155" s="1">
        <f>GCResults[[#This Row],[Date Run ]]</f>
        <v>0</v>
      </c>
    </row>
    <row r="156" spans="1:14" ht="14.45" x14ac:dyDescent="0.25">
      <c r="A156">
        <f>SampleList[[#This Row],[Experiment ID]]</f>
        <v>0</v>
      </c>
      <c r="B156">
        <f>SampleList[[#This Row],[Sample Description]]</f>
        <v>0</v>
      </c>
      <c r="C156" s="1">
        <f>SampleList[[#This Row],[Date Sampled]]</f>
        <v>0</v>
      </c>
      <c r="D156">
        <f>SampleList[[#This Row],[Duration (Days)]]</f>
        <v>0</v>
      </c>
      <c r="E156">
        <f>NMRResults[[#This Row],[Ammonium Concentration (mM)]]</f>
        <v>0</v>
      </c>
      <c r="F156" t="str">
        <f>GCResults[[#This Row],[H2 (ppm)]]</f>
        <v/>
      </c>
      <c r="G156">
        <f>GCResults[[#This Row],[Total Gas Volume (mL), gas cylinder = 3785mL]]</f>
        <v>0</v>
      </c>
      <c r="H156">
        <f>GCResults[[#This Row],[Pressure on Sampling (PSI), 145PSI=1MPa]]</f>
        <v>3552.5</v>
      </c>
      <c r="I156">
        <f>pHCondMod[[#This Row],[Sample pH]]</f>
        <v>0</v>
      </c>
      <c r="J156">
        <f>pHCondMod[[#This Row],[Sample Conductivity (mS/cm)]]</f>
        <v>0</v>
      </c>
      <c r="K156">
        <f>pHCondMod[[#This Row],[Modification Description]]</f>
        <v>0</v>
      </c>
      <c r="L156" s="1">
        <f>NMRResults[[#This Row],[Date Run]]</f>
        <v>0</v>
      </c>
      <c r="M156" s="1">
        <f>ICPList[[#This Row],[Date Run]]</f>
        <v>0</v>
      </c>
      <c r="N156" s="1">
        <f>GCResults[[#This Row],[Date Run ]]</f>
        <v>0</v>
      </c>
    </row>
    <row r="157" spans="1:14" ht="14.45" x14ac:dyDescent="0.25">
      <c r="A157">
        <f>SampleList[[#This Row],[Experiment ID]]</f>
        <v>0</v>
      </c>
      <c r="B157">
        <f>SampleList[[#This Row],[Sample Description]]</f>
        <v>0</v>
      </c>
      <c r="C157" s="1">
        <f>SampleList[[#This Row],[Date Sampled]]</f>
        <v>0</v>
      </c>
      <c r="D157">
        <f>SampleList[[#This Row],[Duration (Days)]]</f>
        <v>0</v>
      </c>
      <c r="E157">
        <f>NMRResults[[#This Row],[Ammonium Concentration (mM)]]</f>
        <v>0</v>
      </c>
      <c r="F157" t="str">
        <f>GCResults[[#This Row],[H2 (ppm)]]</f>
        <v/>
      </c>
      <c r="G157">
        <f>GCResults[[#This Row],[Total Gas Volume (mL), gas cylinder = 3785mL]]</f>
        <v>0</v>
      </c>
      <c r="H157">
        <f>GCResults[[#This Row],[Pressure on Sampling (PSI), 145PSI=1MPa]]</f>
        <v>3552.5</v>
      </c>
      <c r="I157">
        <f>pHCondMod[[#This Row],[Sample pH]]</f>
        <v>0</v>
      </c>
      <c r="J157">
        <f>pHCondMod[[#This Row],[Sample Conductivity (mS/cm)]]</f>
        <v>0</v>
      </c>
      <c r="K157">
        <f>pHCondMod[[#This Row],[Modification Description]]</f>
        <v>0</v>
      </c>
      <c r="L157" s="1">
        <f>NMRResults[[#This Row],[Date Run]]</f>
        <v>0</v>
      </c>
      <c r="M157" s="1">
        <f>ICPList[[#This Row],[Date Run]]</f>
        <v>0</v>
      </c>
      <c r="N157" s="1">
        <f>GCResults[[#This Row],[Date Run ]]</f>
        <v>0</v>
      </c>
    </row>
    <row r="158" spans="1:14" ht="14.45" x14ac:dyDescent="0.25">
      <c r="A158">
        <f>SampleList[[#This Row],[Experiment ID]]</f>
        <v>0</v>
      </c>
      <c r="B158">
        <f>SampleList[[#This Row],[Sample Description]]</f>
        <v>0</v>
      </c>
      <c r="C158" s="1">
        <f>SampleList[[#This Row],[Date Sampled]]</f>
        <v>0</v>
      </c>
      <c r="D158">
        <f>SampleList[[#This Row],[Duration (Days)]]</f>
        <v>0</v>
      </c>
      <c r="E158">
        <f>NMRResults[[#This Row],[Ammonium Concentration (mM)]]</f>
        <v>0</v>
      </c>
      <c r="F158" t="str">
        <f>GCResults[[#This Row],[H2 (ppm)]]</f>
        <v/>
      </c>
      <c r="G158">
        <f>GCResults[[#This Row],[Total Gas Volume (mL), gas cylinder = 3785mL]]</f>
        <v>0</v>
      </c>
      <c r="H158">
        <f>GCResults[[#This Row],[Pressure on Sampling (PSI), 145PSI=1MPa]]</f>
        <v>3552.5</v>
      </c>
      <c r="I158">
        <f>pHCondMod[[#This Row],[Sample pH]]</f>
        <v>0</v>
      </c>
      <c r="J158">
        <f>pHCondMod[[#This Row],[Sample Conductivity (mS/cm)]]</f>
        <v>0</v>
      </c>
      <c r="K158">
        <f>pHCondMod[[#This Row],[Modification Description]]</f>
        <v>0</v>
      </c>
      <c r="L158" s="1">
        <f>NMRResults[[#This Row],[Date Run]]</f>
        <v>0</v>
      </c>
      <c r="M158" s="1">
        <f>ICPList[[#This Row],[Date Run]]</f>
        <v>0</v>
      </c>
      <c r="N158" s="1">
        <f>GCResults[[#This Row],[Date Run ]]</f>
        <v>0</v>
      </c>
    </row>
    <row r="159" spans="1:14" ht="14.45" x14ac:dyDescent="0.25">
      <c r="A159">
        <f>SampleList[[#This Row],[Experiment ID]]</f>
        <v>0</v>
      </c>
      <c r="B159">
        <f>SampleList[[#This Row],[Sample Description]]</f>
        <v>0</v>
      </c>
      <c r="C159" s="1">
        <f>SampleList[[#This Row],[Date Sampled]]</f>
        <v>0</v>
      </c>
      <c r="D159">
        <f>SampleList[[#This Row],[Duration (Days)]]</f>
        <v>0</v>
      </c>
      <c r="E159">
        <f>NMRResults[[#This Row],[Ammonium Concentration (mM)]]</f>
        <v>0</v>
      </c>
      <c r="F159" t="str">
        <f>GCResults[[#This Row],[H2 (ppm)]]</f>
        <v/>
      </c>
      <c r="G159">
        <f>GCResults[[#This Row],[Total Gas Volume (mL), gas cylinder = 3785mL]]</f>
        <v>0</v>
      </c>
      <c r="H159">
        <f>GCResults[[#This Row],[Pressure on Sampling (PSI), 145PSI=1MPa]]</f>
        <v>3552.5</v>
      </c>
      <c r="I159">
        <f>pHCondMod[[#This Row],[Sample pH]]</f>
        <v>0</v>
      </c>
      <c r="J159">
        <f>pHCondMod[[#This Row],[Sample Conductivity (mS/cm)]]</f>
        <v>0</v>
      </c>
      <c r="K159">
        <f>pHCondMod[[#This Row],[Modification Description]]</f>
        <v>0</v>
      </c>
      <c r="L159" s="1">
        <f>NMRResults[[#This Row],[Date Run]]</f>
        <v>0</v>
      </c>
      <c r="M159" s="1">
        <f>ICPList[[#This Row],[Date Run]]</f>
        <v>0</v>
      </c>
      <c r="N159" s="1">
        <f>GCResults[[#This Row],[Date Run ]]</f>
        <v>0</v>
      </c>
    </row>
    <row r="160" spans="1:14" ht="14.45" x14ac:dyDescent="0.25">
      <c r="A160">
        <f>SampleList[[#This Row],[Experiment ID]]</f>
        <v>0</v>
      </c>
      <c r="B160">
        <f>SampleList[[#This Row],[Sample Description]]</f>
        <v>0</v>
      </c>
      <c r="C160" s="1">
        <f>SampleList[[#This Row],[Date Sampled]]</f>
        <v>0</v>
      </c>
      <c r="D160">
        <f>SampleList[[#This Row],[Duration (Days)]]</f>
        <v>0</v>
      </c>
      <c r="E160">
        <f>NMRResults[[#This Row],[Ammonium Concentration (mM)]]</f>
        <v>0</v>
      </c>
      <c r="F160" t="str">
        <f>GCResults[[#This Row],[H2 (ppm)]]</f>
        <v/>
      </c>
      <c r="G160">
        <f>GCResults[[#This Row],[Total Gas Volume (mL), gas cylinder = 3785mL]]</f>
        <v>0</v>
      </c>
      <c r="H160">
        <f>GCResults[[#This Row],[Pressure on Sampling (PSI), 145PSI=1MPa]]</f>
        <v>3552.5</v>
      </c>
      <c r="I160">
        <f>pHCondMod[[#This Row],[Sample pH]]</f>
        <v>0</v>
      </c>
      <c r="J160">
        <f>pHCondMod[[#This Row],[Sample Conductivity (mS/cm)]]</f>
        <v>0</v>
      </c>
      <c r="K160">
        <f>pHCondMod[[#This Row],[Modification Description]]</f>
        <v>0</v>
      </c>
      <c r="L160" s="1">
        <f>NMRResults[[#This Row],[Date Run]]</f>
        <v>0</v>
      </c>
      <c r="M160" s="1">
        <f>ICPList[[#This Row],[Date Run]]</f>
        <v>0</v>
      </c>
      <c r="N160" s="1">
        <f>GCResults[[#This Row],[Date Run ]]</f>
        <v>0</v>
      </c>
    </row>
    <row r="161" spans="1:14" ht="14.45" x14ac:dyDescent="0.25">
      <c r="A161">
        <f>SampleList[[#This Row],[Experiment ID]]</f>
        <v>0</v>
      </c>
      <c r="B161">
        <f>SampleList[[#This Row],[Sample Description]]</f>
        <v>0</v>
      </c>
      <c r="C161" s="1">
        <f>SampleList[[#This Row],[Date Sampled]]</f>
        <v>0</v>
      </c>
      <c r="D161">
        <f>SampleList[[#This Row],[Duration (Days)]]</f>
        <v>0</v>
      </c>
      <c r="E161">
        <f>NMRResults[[#This Row],[Ammonium Concentration (mM)]]</f>
        <v>0</v>
      </c>
      <c r="F161" t="str">
        <f>GCResults[[#This Row],[H2 (ppm)]]</f>
        <v/>
      </c>
      <c r="G161">
        <f>GCResults[[#This Row],[Total Gas Volume (mL), gas cylinder = 3785mL]]</f>
        <v>0</v>
      </c>
      <c r="H161">
        <f>GCResults[[#This Row],[Pressure on Sampling (PSI), 145PSI=1MPa]]</f>
        <v>3552.5</v>
      </c>
      <c r="I161">
        <f>pHCondMod[[#This Row],[Sample pH]]</f>
        <v>0</v>
      </c>
      <c r="J161">
        <f>pHCondMod[[#This Row],[Sample Conductivity (mS/cm)]]</f>
        <v>0</v>
      </c>
      <c r="K161">
        <f>pHCondMod[[#This Row],[Modification Description]]</f>
        <v>0</v>
      </c>
      <c r="L161" s="1">
        <f>NMRResults[[#This Row],[Date Run]]</f>
        <v>0</v>
      </c>
      <c r="M161" s="1">
        <f>ICPList[[#This Row],[Date Run]]</f>
        <v>0</v>
      </c>
      <c r="N161" s="1">
        <f>GCResults[[#This Row],[Date Run ]]</f>
        <v>0</v>
      </c>
    </row>
    <row r="162" spans="1:14" ht="14.45" x14ac:dyDescent="0.25">
      <c r="A162">
        <f>SampleList[[#This Row],[Experiment ID]]</f>
        <v>0</v>
      </c>
      <c r="B162">
        <f>SampleList[[#This Row],[Sample Description]]</f>
        <v>0</v>
      </c>
      <c r="C162" s="1">
        <f>SampleList[[#This Row],[Date Sampled]]</f>
        <v>0</v>
      </c>
      <c r="D162">
        <f>SampleList[[#This Row],[Duration (Days)]]</f>
        <v>0</v>
      </c>
      <c r="E162">
        <f>NMRResults[[#This Row],[Ammonium Concentration (mM)]]</f>
        <v>0</v>
      </c>
      <c r="F162" t="str">
        <f>GCResults[[#This Row],[H2 (ppm)]]</f>
        <v/>
      </c>
      <c r="G162">
        <f>GCResults[[#This Row],[Total Gas Volume (mL), gas cylinder = 3785mL]]</f>
        <v>0</v>
      </c>
      <c r="H162">
        <f>GCResults[[#This Row],[Pressure on Sampling (PSI), 145PSI=1MPa]]</f>
        <v>3552.5</v>
      </c>
      <c r="I162">
        <f>pHCondMod[[#This Row],[Sample pH]]</f>
        <v>0</v>
      </c>
      <c r="J162">
        <f>pHCondMod[[#This Row],[Sample Conductivity (mS/cm)]]</f>
        <v>0</v>
      </c>
      <c r="K162">
        <f>pHCondMod[[#This Row],[Modification Description]]</f>
        <v>0</v>
      </c>
      <c r="L162" s="1">
        <f>NMRResults[[#This Row],[Date Run]]</f>
        <v>0</v>
      </c>
      <c r="M162" s="1">
        <f>ICPList[[#This Row],[Date Run]]</f>
        <v>0</v>
      </c>
      <c r="N162" s="1">
        <f>GCResults[[#This Row],[Date Run ]]</f>
        <v>0</v>
      </c>
    </row>
    <row r="163" spans="1:14" ht="14.45" x14ac:dyDescent="0.25">
      <c r="A163">
        <f>SampleList[[#This Row],[Experiment ID]]</f>
        <v>0</v>
      </c>
      <c r="B163">
        <f>SampleList[[#This Row],[Sample Description]]</f>
        <v>0</v>
      </c>
      <c r="C163" s="1">
        <f>SampleList[[#This Row],[Date Sampled]]</f>
        <v>0</v>
      </c>
      <c r="D163">
        <f>SampleList[[#This Row],[Duration (Days)]]</f>
        <v>0</v>
      </c>
      <c r="E163">
        <f>NMRResults[[#This Row],[Ammonium Concentration (mM)]]</f>
        <v>0</v>
      </c>
      <c r="F163" t="str">
        <f>GCResults[[#This Row],[H2 (ppm)]]</f>
        <v/>
      </c>
      <c r="G163">
        <f>GCResults[[#This Row],[Total Gas Volume (mL), gas cylinder = 3785mL]]</f>
        <v>0</v>
      </c>
      <c r="H163">
        <f>GCResults[[#This Row],[Pressure on Sampling (PSI), 145PSI=1MPa]]</f>
        <v>3552.5</v>
      </c>
      <c r="I163">
        <f>pHCondMod[[#This Row],[Sample pH]]</f>
        <v>0</v>
      </c>
      <c r="J163">
        <f>pHCondMod[[#This Row],[Sample Conductivity (mS/cm)]]</f>
        <v>0</v>
      </c>
      <c r="K163">
        <f>pHCondMod[[#This Row],[Modification Description]]</f>
        <v>0</v>
      </c>
      <c r="L163" s="1">
        <f>NMRResults[[#This Row],[Date Run]]</f>
        <v>0</v>
      </c>
      <c r="M163" s="1">
        <f>ICPList[[#This Row],[Date Run]]</f>
        <v>0</v>
      </c>
      <c r="N163" s="1">
        <f>GCResults[[#This Row],[Date Run ]]</f>
        <v>0</v>
      </c>
    </row>
    <row r="164" spans="1:14" ht="14.45" x14ac:dyDescent="0.25">
      <c r="A164">
        <f>SampleList[[#This Row],[Experiment ID]]</f>
        <v>0</v>
      </c>
      <c r="B164">
        <f>SampleList[[#This Row],[Sample Description]]</f>
        <v>0</v>
      </c>
      <c r="C164" s="1">
        <f>SampleList[[#This Row],[Date Sampled]]</f>
        <v>0</v>
      </c>
      <c r="D164">
        <f>SampleList[[#This Row],[Duration (Days)]]</f>
        <v>0</v>
      </c>
      <c r="E164">
        <f>NMRResults[[#This Row],[Ammonium Concentration (mM)]]</f>
        <v>0</v>
      </c>
      <c r="F164" t="str">
        <f>GCResults[[#This Row],[H2 (ppm)]]</f>
        <v/>
      </c>
      <c r="G164">
        <f>GCResults[[#This Row],[Total Gas Volume (mL), gas cylinder = 3785mL]]</f>
        <v>0</v>
      </c>
      <c r="H164">
        <f>GCResults[[#This Row],[Pressure on Sampling (PSI), 145PSI=1MPa]]</f>
        <v>3552.5</v>
      </c>
      <c r="I164">
        <f>pHCondMod[[#This Row],[Sample pH]]</f>
        <v>0</v>
      </c>
      <c r="J164">
        <f>pHCondMod[[#This Row],[Sample Conductivity (mS/cm)]]</f>
        <v>0</v>
      </c>
      <c r="K164">
        <f>pHCondMod[[#This Row],[Modification Description]]</f>
        <v>0</v>
      </c>
      <c r="L164" s="1">
        <f>NMRResults[[#This Row],[Date Run]]</f>
        <v>0</v>
      </c>
      <c r="M164" s="1">
        <f>ICPList[[#This Row],[Date Run]]</f>
        <v>0</v>
      </c>
      <c r="N164" s="1">
        <f>GCResults[[#This Row],[Date Run ]]</f>
        <v>0</v>
      </c>
    </row>
    <row r="165" spans="1:14" ht="14.45" x14ac:dyDescent="0.25">
      <c r="A165">
        <f>SampleList[[#This Row],[Experiment ID]]</f>
        <v>0</v>
      </c>
      <c r="B165">
        <f>SampleList[[#This Row],[Sample Description]]</f>
        <v>0</v>
      </c>
      <c r="C165" s="1">
        <f>SampleList[[#This Row],[Date Sampled]]</f>
        <v>0</v>
      </c>
      <c r="D165">
        <f>SampleList[[#This Row],[Duration (Days)]]</f>
        <v>0</v>
      </c>
      <c r="E165">
        <f>NMRResults[[#This Row],[Ammonium Concentration (mM)]]</f>
        <v>0</v>
      </c>
      <c r="F165" t="str">
        <f>GCResults[[#This Row],[H2 (ppm)]]</f>
        <v/>
      </c>
      <c r="G165">
        <f>GCResults[[#This Row],[Total Gas Volume (mL), gas cylinder = 3785mL]]</f>
        <v>0</v>
      </c>
      <c r="H165">
        <f>GCResults[[#This Row],[Pressure on Sampling (PSI), 145PSI=1MPa]]</f>
        <v>3552.5</v>
      </c>
      <c r="I165">
        <f>pHCondMod[[#This Row],[Sample pH]]</f>
        <v>0</v>
      </c>
      <c r="J165">
        <f>pHCondMod[[#This Row],[Sample Conductivity (mS/cm)]]</f>
        <v>0</v>
      </c>
      <c r="K165">
        <f>pHCondMod[[#This Row],[Modification Description]]</f>
        <v>0</v>
      </c>
      <c r="L165" s="1">
        <f>NMRResults[[#This Row],[Date Run]]</f>
        <v>0</v>
      </c>
      <c r="M165" s="1">
        <f>ICPList[[#This Row],[Date Run]]</f>
        <v>0</v>
      </c>
      <c r="N165" s="1">
        <f>GCResults[[#This Row],[Date Run ]]</f>
        <v>0</v>
      </c>
    </row>
    <row r="166" spans="1:14" ht="14.45" x14ac:dyDescent="0.25">
      <c r="A166">
        <f>SampleList[[#This Row],[Experiment ID]]</f>
        <v>0</v>
      </c>
      <c r="B166">
        <f>SampleList[[#This Row],[Sample Description]]</f>
        <v>0</v>
      </c>
      <c r="C166" s="1">
        <f>SampleList[[#This Row],[Date Sampled]]</f>
        <v>0</v>
      </c>
      <c r="D166">
        <f>SampleList[[#This Row],[Duration (Days)]]</f>
        <v>0</v>
      </c>
      <c r="E166">
        <f>NMRResults[[#This Row],[Ammonium Concentration (mM)]]</f>
        <v>0</v>
      </c>
      <c r="F166" t="str">
        <f>GCResults[[#This Row],[H2 (ppm)]]</f>
        <v/>
      </c>
      <c r="G166">
        <f>GCResults[[#This Row],[Total Gas Volume (mL), gas cylinder = 3785mL]]</f>
        <v>0</v>
      </c>
      <c r="H166">
        <f>GCResults[[#This Row],[Pressure on Sampling (PSI), 145PSI=1MPa]]</f>
        <v>3552.5</v>
      </c>
      <c r="I166">
        <f>pHCondMod[[#This Row],[Sample pH]]</f>
        <v>0</v>
      </c>
      <c r="J166">
        <f>pHCondMod[[#This Row],[Sample Conductivity (mS/cm)]]</f>
        <v>0</v>
      </c>
      <c r="K166">
        <f>pHCondMod[[#This Row],[Modification Description]]</f>
        <v>0</v>
      </c>
      <c r="L166" s="1">
        <f>NMRResults[[#This Row],[Date Run]]</f>
        <v>0</v>
      </c>
      <c r="M166" s="1">
        <f>ICPList[[#This Row],[Date Run]]</f>
        <v>0</v>
      </c>
      <c r="N166" s="1">
        <f>GCResults[[#This Row],[Date Run ]]</f>
        <v>0</v>
      </c>
    </row>
    <row r="167" spans="1:14" ht="14.45" x14ac:dyDescent="0.25">
      <c r="A167">
        <f>SampleList[[#This Row],[Experiment ID]]</f>
        <v>0</v>
      </c>
      <c r="B167">
        <f>SampleList[[#This Row],[Sample Description]]</f>
        <v>0</v>
      </c>
      <c r="C167" s="1">
        <f>SampleList[[#This Row],[Date Sampled]]</f>
        <v>0</v>
      </c>
      <c r="D167">
        <f>SampleList[[#This Row],[Duration (Days)]]</f>
        <v>0</v>
      </c>
      <c r="E167">
        <f>NMRResults[[#This Row],[Ammonium Concentration (mM)]]</f>
        <v>0</v>
      </c>
      <c r="F167" t="str">
        <f>GCResults[[#This Row],[H2 (ppm)]]</f>
        <v/>
      </c>
      <c r="G167">
        <f>GCResults[[#This Row],[Total Gas Volume (mL), gas cylinder = 3785mL]]</f>
        <v>0</v>
      </c>
      <c r="H167">
        <f>GCResults[[#This Row],[Pressure on Sampling (PSI), 145PSI=1MPa]]</f>
        <v>3552.5</v>
      </c>
      <c r="I167">
        <f>pHCondMod[[#This Row],[Sample pH]]</f>
        <v>0</v>
      </c>
      <c r="J167">
        <f>pHCondMod[[#This Row],[Sample Conductivity (mS/cm)]]</f>
        <v>0</v>
      </c>
      <c r="K167">
        <f>pHCondMod[[#This Row],[Modification Description]]</f>
        <v>0</v>
      </c>
      <c r="L167" s="1">
        <f>NMRResults[[#This Row],[Date Run]]</f>
        <v>0</v>
      </c>
      <c r="M167" s="1">
        <f>ICPList[[#This Row],[Date Run]]</f>
        <v>0</v>
      </c>
      <c r="N167" s="1">
        <f>GCResults[[#This Row],[Date Run ]]</f>
        <v>0</v>
      </c>
    </row>
    <row r="168" spans="1:14" ht="14.45" x14ac:dyDescent="0.25">
      <c r="A168">
        <f>SampleList[[#This Row],[Experiment ID]]</f>
        <v>0</v>
      </c>
      <c r="B168">
        <f>SampleList[[#This Row],[Sample Description]]</f>
        <v>0</v>
      </c>
      <c r="C168" s="1">
        <f>SampleList[[#This Row],[Date Sampled]]</f>
        <v>0</v>
      </c>
      <c r="D168">
        <f>SampleList[[#This Row],[Duration (Days)]]</f>
        <v>0</v>
      </c>
      <c r="E168">
        <f>NMRResults[[#This Row],[Ammonium Concentration (mM)]]</f>
        <v>0</v>
      </c>
      <c r="F168" t="str">
        <f>GCResults[[#This Row],[H2 (ppm)]]</f>
        <v/>
      </c>
      <c r="G168">
        <f>GCResults[[#This Row],[Total Gas Volume (mL), gas cylinder = 3785mL]]</f>
        <v>0</v>
      </c>
      <c r="H168">
        <f>GCResults[[#This Row],[Pressure on Sampling (PSI), 145PSI=1MPa]]</f>
        <v>3552.5</v>
      </c>
      <c r="I168">
        <f>pHCondMod[[#This Row],[Sample pH]]</f>
        <v>0</v>
      </c>
      <c r="J168">
        <f>pHCondMod[[#This Row],[Sample Conductivity (mS/cm)]]</f>
        <v>0</v>
      </c>
      <c r="K168">
        <f>pHCondMod[[#This Row],[Modification Description]]</f>
        <v>0</v>
      </c>
      <c r="L168" s="1">
        <f>NMRResults[[#This Row],[Date Run]]</f>
        <v>0</v>
      </c>
      <c r="M168" s="1">
        <f>ICPList[[#This Row],[Date Run]]</f>
        <v>0</v>
      </c>
      <c r="N168" s="1">
        <f>GCResults[[#This Row],[Date Run ]]</f>
        <v>0</v>
      </c>
    </row>
    <row r="169" spans="1:14" ht="14.45" x14ac:dyDescent="0.25">
      <c r="A169">
        <f>SampleList[[#This Row],[Experiment ID]]</f>
        <v>0</v>
      </c>
      <c r="B169">
        <f>SampleList[[#This Row],[Sample Description]]</f>
        <v>0</v>
      </c>
      <c r="C169" s="1">
        <f>SampleList[[#This Row],[Date Sampled]]</f>
        <v>0</v>
      </c>
      <c r="D169">
        <f>SampleList[[#This Row],[Duration (Days)]]</f>
        <v>0</v>
      </c>
      <c r="E169">
        <f>NMRResults[[#This Row],[Ammonium Concentration (mM)]]</f>
        <v>0</v>
      </c>
      <c r="F169" t="str">
        <f>GCResults[[#This Row],[H2 (ppm)]]</f>
        <v/>
      </c>
      <c r="G169">
        <f>GCResults[[#This Row],[Total Gas Volume (mL), gas cylinder = 3785mL]]</f>
        <v>0</v>
      </c>
      <c r="H169">
        <f>GCResults[[#This Row],[Pressure on Sampling (PSI), 145PSI=1MPa]]</f>
        <v>3552.5</v>
      </c>
      <c r="I169">
        <f>pHCondMod[[#This Row],[Sample pH]]</f>
        <v>0</v>
      </c>
      <c r="J169">
        <f>pHCondMod[[#This Row],[Sample Conductivity (mS/cm)]]</f>
        <v>0</v>
      </c>
      <c r="K169">
        <f>pHCondMod[[#This Row],[Modification Description]]</f>
        <v>0</v>
      </c>
      <c r="L169" s="1">
        <f>NMRResults[[#This Row],[Date Run]]</f>
        <v>0</v>
      </c>
      <c r="M169" s="1">
        <f>ICPList[[#This Row],[Date Run]]</f>
        <v>0</v>
      </c>
      <c r="N169" s="1">
        <f>GCResults[[#This Row],[Date Run ]]</f>
        <v>0</v>
      </c>
    </row>
    <row r="170" spans="1:14" ht="14.45" x14ac:dyDescent="0.25">
      <c r="A170">
        <f>SampleList[[#This Row],[Experiment ID]]</f>
        <v>0</v>
      </c>
      <c r="B170">
        <f>SampleList[[#This Row],[Sample Description]]</f>
        <v>0</v>
      </c>
      <c r="C170" s="1">
        <f>SampleList[[#This Row],[Date Sampled]]</f>
        <v>0</v>
      </c>
      <c r="D170">
        <f>SampleList[[#This Row],[Duration (Days)]]</f>
        <v>0</v>
      </c>
      <c r="E170">
        <f>NMRResults[[#This Row],[Ammonium Concentration (mM)]]</f>
        <v>0</v>
      </c>
      <c r="F170" t="str">
        <f>GCResults[[#This Row],[H2 (ppm)]]</f>
        <v/>
      </c>
      <c r="G170">
        <f>GCResults[[#This Row],[Total Gas Volume (mL), gas cylinder = 3785mL]]</f>
        <v>0</v>
      </c>
      <c r="H170">
        <f>GCResults[[#This Row],[Pressure on Sampling (PSI), 145PSI=1MPa]]</f>
        <v>3552.5</v>
      </c>
      <c r="I170">
        <f>pHCondMod[[#This Row],[Sample pH]]</f>
        <v>0</v>
      </c>
      <c r="J170">
        <f>pHCondMod[[#This Row],[Sample Conductivity (mS/cm)]]</f>
        <v>0</v>
      </c>
      <c r="K170">
        <f>pHCondMod[[#This Row],[Modification Description]]</f>
        <v>0</v>
      </c>
      <c r="L170" s="1">
        <f>NMRResults[[#This Row],[Date Run]]</f>
        <v>0</v>
      </c>
      <c r="M170" s="1">
        <f>ICPList[[#This Row],[Date Run]]</f>
        <v>0</v>
      </c>
      <c r="N170" s="1">
        <f>GCResults[[#This Row],[Date Run ]]</f>
        <v>0</v>
      </c>
    </row>
    <row r="171" spans="1:14" ht="14.45" x14ac:dyDescent="0.25">
      <c r="A171">
        <f>SampleList[[#This Row],[Experiment ID]]</f>
        <v>0</v>
      </c>
      <c r="B171">
        <f>SampleList[[#This Row],[Sample Description]]</f>
        <v>0</v>
      </c>
      <c r="C171" s="1">
        <f>SampleList[[#This Row],[Date Sampled]]</f>
        <v>0</v>
      </c>
      <c r="D171">
        <f>SampleList[[#This Row],[Duration (Days)]]</f>
        <v>0</v>
      </c>
      <c r="E171">
        <f>NMRResults[[#This Row],[Ammonium Concentration (mM)]]</f>
        <v>0</v>
      </c>
      <c r="F171" t="str">
        <f>GCResults[[#This Row],[H2 (ppm)]]</f>
        <v/>
      </c>
      <c r="G171">
        <f>GCResults[[#This Row],[Total Gas Volume (mL), gas cylinder = 3785mL]]</f>
        <v>0</v>
      </c>
      <c r="H171">
        <f>GCResults[[#This Row],[Pressure on Sampling (PSI), 145PSI=1MPa]]</f>
        <v>3552.5</v>
      </c>
      <c r="I171">
        <f>pHCondMod[[#This Row],[Sample pH]]</f>
        <v>0</v>
      </c>
      <c r="J171">
        <f>pHCondMod[[#This Row],[Sample Conductivity (mS/cm)]]</f>
        <v>0</v>
      </c>
      <c r="K171">
        <f>pHCondMod[[#This Row],[Modification Description]]</f>
        <v>0</v>
      </c>
      <c r="L171" s="1">
        <f>NMRResults[[#This Row],[Date Run]]</f>
        <v>0</v>
      </c>
      <c r="M171" s="1">
        <f>ICPList[[#This Row],[Date Run]]</f>
        <v>0</v>
      </c>
      <c r="N171" s="1">
        <f>GCResults[[#This Row],[Date Run ]]</f>
        <v>0</v>
      </c>
    </row>
    <row r="172" spans="1:14" ht="14.45" x14ac:dyDescent="0.25">
      <c r="A172">
        <f>SampleList[[#This Row],[Experiment ID]]</f>
        <v>0</v>
      </c>
      <c r="B172">
        <f>SampleList[[#This Row],[Sample Description]]</f>
        <v>0</v>
      </c>
      <c r="C172" s="1">
        <f>SampleList[[#This Row],[Date Sampled]]</f>
        <v>0</v>
      </c>
      <c r="D172">
        <f>SampleList[[#This Row],[Duration (Days)]]</f>
        <v>0</v>
      </c>
      <c r="E172">
        <f>NMRResults[[#This Row],[Ammonium Concentration (mM)]]</f>
        <v>0</v>
      </c>
      <c r="F172" t="str">
        <f>GCResults[[#This Row],[H2 (ppm)]]</f>
        <v/>
      </c>
      <c r="G172">
        <f>GCResults[[#This Row],[Total Gas Volume (mL), gas cylinder = 3785mL]]</f>
        <v>0</v>
      </c>
      <c r="H172">
        <f>GCResults[[#This Row],[Pressure on Sampling (PSI), 145PSI=1MPa]]</f>
        <v>3552.5</v>
      </c>
      <c r="I172">
        <f>pHCondMod[[#This Row],[Sample pH]]</f>
        <v>0</v>
      </c>
      <c r="J172">
        <f>pHCondMod[[#This Row],[Sample Conductivity (mS/cm)]]</f>
        <v>0</v>
      </c>
      <c r="K172">
        <f>pHCondMod[[#This Row],[Modification Description]]</f>
        <v>0</v>
      </c>
      <c r="L172" s="1">
        <f>NMRResults[[#This Row],[Date Run]]</f>
        <v>0</v>
      </c>
      <c r="M172" s="1">
        <f>ICPList[[#This Row],[Date Run]]</f>
        <v>0</v>
      </c>
      <c r="N172" s="1">
        <f>GCResults[[#This Row],[Date Run ]]</f>
        <v>0</v>
      </c>
    </row>
    <row r="173" spans="1:14" ht="14.45" x14ac:dyDescent="0.25">
      <c r="A173">
        <f>SampleList[[#This Row],[Experiment ID]]</f>
        <v>0</v>
      </c>
      <c r="B173">
        <f>SampleList[[#This Row],[Sample Description]]</f>
        <v>0</v>
      </c>
      <c r="C173" s="1">
        <f>SampleList[[#This Row],[Date Sampled]]</f>
        <v>0</v>
      </c>
      <c r="D173">
        <f>SampleList[[#This Row],[Duration (Days)]]</f>
        <v>0</v>
      </c>
      <c r="E173">
        <f>NMRResults[[#This Row],[Ammonium Concentration (mM)]]</f>
        <v>0</v>
      </c>
      <c r="F173" t="str">
        <f>GCResults[[#This Row],[H2 (ppm)]]</f>
        <v/>
      </c>
      <c r="G173">
        <f>GCResults[[#This Row],[Total Gas Volume (mL), gas cylinder = 3785mL]]</f>
        <v>0</v>
      </c>
      <c r="H173">
        <f>GCResults[[#This Row],[Pressure on Sampling (PSI), 145PSI=1MPa]]</f>
        <v>3552.5</v>
      </c>
      <c r="I173">
        <f>pHCondMod[[#This Row],[Sample pH]]</f>
        <v>0</v>
      </c>
      <c r="J173">
        <f>pHCondMod[[#This Row],[Sample Conductivity (mS/cm)]]</f>
        <v>0</v>
      </c>
      <c r="K173">
        <f>pHCondMod[[#This Row],[Modification Description]]</f>
        <v>0</v>
      </c>
      <c r="L173" s="1">
        <f>NMRResults[[#This Row],[Date Run]]</f>
        <v>0</v>
      </c>
      <c r="M173" s="1">
        <f>ICPList[[#This Row],[Date Run]]</f>
        <v>0</v>
      </c>
      <c r="N173" s="1">
        <f>GCResults[[#This Row],[Date Run ]]</f>
        <v>0</v>
      </c>
    </row>
    <row r="174" spans="1:14" ht="14.45" x14ac:dyDescent="0.25">
      <c r="A174">
        <f>SampleList[[#This Row],[Experiment ID]]</f>
        <v>0</v>
      </c>
      <c r="B174">
        <f>SampleList[[#This Row],[Sample Description]]</f>
        <v>0</v>
      </c>
      <c r="C174" s="1">
        <f>SampleList[[#This Row],[Date Sampled]]</f>
        <v>0</v>
      </c>
      <c r="D174">
        <f>SampleList[[#This Row],[Duration (Days)]]</f>
        <v>0</v>
      </c>
      <c r="E174">
        <f>NMRResults[[#This Row],[Ammonium Concentration (mM)]]</f>
        <v>0</v>
      </c>
      <c r="F174" t="str">
        <f>GCResults[[#This Row],[H2 (ppm)]]</f>
        <v/>
      </c>
      <c r="G174">
        <f>GCResults[[#This Row],[Total Gas Volume (mL), gas cylinder = 3785mL]]</f>
        <v>0</v>
      </c>
      <c r="H174">
        <f>GCResults[[#This Row],[Pressure on Sampling (PSI), 145PSI=1MPa]]</f>
        <v>3552.5</v>
      </c>
      <c r="I174">
        <f>pHCondMod[[#This Row],[Sample pH]]</f>
        <v>0</v>
      </c>
      <c r="J174">
        <f>pHCondMod[[#This Row],[Sample Conductivity (mS/cm)]]</f>
        <v>0</v>
      </c>
      <c r="K174">
        <f>pHCondMod[[#This Row],[Modification Description]]</f>
        <v>0</v>
      </c>
      <c r="L174" s="1">
        <f>NMRResults[[#This Row],[Date Run]]</f>
        <v>0</v>
      </c>
      <c r="M174" s="1">
        <f>ICPList[[#This Row],[Date Run]]</f>
        <v>0</v>
      </c>
      <c r="N174" s="1">
        <f>GCResults[[#This Row],[Date Run ]]</f>
        <v>0</v>
      </c>
    </row>
    <row r="175" spans="1:14" ht="14.45" x14ac:dyDescent="0.25">
      <c r="A175">
        <f>SampleList[[#This Row],[Experiment ID]]</f>
        <v>0</v>
      </c>
      <c r="B175">
        <f>SampleList[[#This Row],[Sample Description]]</f>
        <v>0</v>
      </c>
      <c r="C175" s="1">
        <f>SampleList[[#This Row],[Date Sampled]]</f>
        <v>0</v>
      </c>
      <c r="D175">
        <f>SampleList[[#This Row],[Duration (Days)]]</f>
        <v>0</v>
      </c>
      <c r="E175">
        <f>NMRResults[[#This Row],[Ammonium Concentration (mM)]]</f>
        <v>0</v>
      </c>
      <c r="F175" t="str">
        <f>GCResults[[#This Row],[H2 (ppm)]]</f>
        <v/>
      </c>
      <c r="G175">
        <f>GCResults[[#This Row],[Total Gas Volume (mL), gas cylinder = 3785mL]]</f>
        <v>0</v>
      </c>
      <c r="H175">
        <f>GCResults[[#This Row],[Pressure on Sampling (PSI), 145PSI=1MPa]]</f>
        <v>3552.5</v>
      </c>
      <c r="I175">
        <f>pHCondMod[[#This Row],[Sample pH]]</f>
        <v>0</v>
      </c>
      <c r="J175">
        <f>pHCondMod[[#This Row],[Sample Conductivity (mS/cm)]]</f>
        <v>0</v>
      </c>
      <c r="K175">
        <f>pHCondMod[[#This Row],[Modification Description]]</f>
        <v>0</v>
      </c>
      <c r="L175" s="1">
        <f>NMRResults[[#This Row],[Date Run]]</f>
        <v>0</v>
      </c>
      <c r="M175" s="1">
        <f>ICPList[[#This Row],[Date Run]]</f>
        <v>0</v>
      </c>
      <c r="N175" s="1">
        <f>GCResults[[#This Row],[Date Run ]]</f>
        <v>0</v>
      </c>
    </row>
    <row r="176" spans="1:14" ht="14.45" x14ac:dyDescent="0.25">
      <c r="A176">
        <f>SampleList[[#This Row],[Experiment ID]]</f>
        <v>0</v>
      </c>
      <c r="B176">
        <f>SampleList[[#This Row],[Sample Description]]</f>
        <v>0</v>
      </c>
      <c r="C176" s="1">
        <f>SampleList[[#This Row],[Date Sampled]]</f>
        <v>0</v>
      </c>
      <c r="D176">
        <f>SampleList[[#This Row],[Duration (Days)]]</f>
        <v>0</v>
      </c>
      <c r="E176">
        <f>NMRResults[[#This Row],[Ammonium Concentration (mM)]]</f>
        <v>0</v>
      </c>
      <c r="F176" t="str">
        <f>GCResults[[#This Row],[H2 (ppm)]]</f>
        <v/>
      </c>
      <c r="G176">
        <f>GCResults[[#This Row],[Total Gas Volume (mL), gas cylinder = 3785mL]]</f>
        <v>0</v>
      </c>
      <c r="H176">
        <f>GCResults[[#This Row],[Pressure on Sampling (PSI), 145PSI=1MPa]]</f>
        <v>3552.5</v>
      </c>
      <c r="I176">
        <f>pHCondMod[[#This Row],[Sample pH]]</f>
        <v>0</v>
      </c>
      <c r="J176">
        <f>pHCondMod[[#This Row],[Sample Conductivity (mS/cm)]]</f>
        <v>0</v>
      </c>
      <c r="K176">
        <f>pHCondMod[[#This Row],[Modification Description]]</f>
        <v>0</v>
      </c>
      <c r="L176" s="1">
        <f>NMRResults[[#This Row],[Date Run]]</f>
        <v>0</v>
      </c>
      <c r="M176" s="1">
        <f>ICPList[[#This Row],[Date Run]]</f>
        <v>0</v>
      </c>
      <c r="N176" s="1">
        <f>GCResults[[#This Row],[Date Run ]]</f>
        <v>0</v>
      </c>
    </row>
    <row r="177" spans="1:14" ht="14.45" x14ac:dyDescent="0.25">
      <c r="A177">
        <f>SampleList[[#This Row],[Experiment ID]]</f>
        <v>0</v>
      </c>
      <c r="B177">
        <f>SampleList[[#This Row],[Sample Description]]</f>
        <v>0</v>
      </c>
      <c r="C177" s="1">
        <f>SampleList[[#This Row],[Date Sampled]]</f>
        <v>0</v>
      </c>
      <c r="D177">
        <f>SampleList[[#This Row],[Duration (Days)]]</f>
        <v>0</v>
      </c>
      <c r="E177">
        <f>NMRResults[[#This Row],[Ammonium Concentration (mM)]]</f>
        <v>0</v>
      </c>
      <c r="F177" t="str">
        <f>GCResults[[#This Row],[H2 (ppm)]]</f>
        <v/>
      </c>
      <c r="G177">
        <f>GCResults[[#This Row],[Total Gas Volume (mL), gas cylinder = 3785mL]]</f>
        <v>0</v>
      </c>
      <c r="H177">
        <f>GCResults[[#This Row],[Pressure on Sampling (PSI), 145PSI=1MPa]]</f>
        <v>3552.5</v>
      </c>
      <c r="I177">
        <f>pHCondMod[[#This Row],[Sample pH]]</f>
        <v>0</v>
      </c>
      <c r="J177">
        <f>pHCondMod[[#This Row],[Sample Conductivity (mS/cm)]]</f>
        <v>0</v>
      </c>
      <c r="K177">
        <f>pHCondMod[[#This Row],[Modification Description]]</f>
        <v>0</v>
      </c>
      <c r="L177" s="1">
        <f>NMRResults[[#This Row],[Date Run]]</f>
        <v>0</v>
      </c>
      <c r="M177" s="1">
        <f>ICPList[[#This Row],[Date Run]]</f>
        <v>0</v>
      </c>
      <c r="N177" s="1">
        <f>GCResults[[#This Row],[Date Run ]]</f>
        <v>0</v>
      </c>
    </row>
    <row r="178" spans="1:14" ht="14.45" x14ac:dyDescent="0.25">
      <c r="A178">
        <f>SampleList[[#This Row],[Experiment ID]]</f>
        <v>0</v>
      </c>
      <c r="B178">
        <f>SampleList[[#This Row],[Sample Description]]</f>
        <v>0</v>
      </c>
      <c r="C178" s="1">
        <f>SampleList[[#This Row],[Date Sampled]]</f>
        <v>0</v>
      </c>
      <c r="D178">
        <f>SampleList[[#This Row],[Duration (Days)]]</f>
        <v>0</v>
      </c>
      <c r="E178">
        <f>NMRResults[[#This Row],[Ammonium Concentration (mM)]]</f>
        <v>0</v>
      </c>
      <c r="F178" t="str">
        <f>GCResults[[#This Row],[H2 (ppm)]]</f>
        <v/>
      </c>
      <c r="G178">
        <f>GCResults[[#This Row],[Total Gas Volume (mL), gas cylinder = 3785mL]]</f>
        <v>0</v>
      </c>
      <c r="H178">
        <f>GCResults[[#This Row],[Pressure on Sampling (PSI), 145PSI=1MPa]]</f>
        <v>3552.5</v>
      </c>
      <c r="I178">
        <f>pHCondMod[[#This Row],[Sample pH]]</f>
        <v>0</v>
      </c>
      <c r="J178">
        <f>pHCondMod[[#This Row],[Sample Conductivity (mS/cm)]]</f>
        <v>0</v>
      </c>
      <c r="K178">
        <f>pHCondMod[[#This Row],[Modification Description]]</f>
        <v>0</v>
      </c>
      <c r="L178" s="1">
        <f>NMRResults[[#This Row],[Date Run]]</f>
        <v>0</v>
      </c>
      <c r="M178" s="1">
        <f>ICPList[[#This Row],[Date Run]]</f>
        <v>0</v>
      </c>
      <c r="N178" s="1">
        <f>GCResults[[#This Row],[Date Run ]]</f>
        <v>0</v>
      </c>
    </row>
    <row r="179" spans="1:14" ht="14.45" x14ac:dyDescent="0.25">
      <c r="A179">
        <f>SampleList[[#This Row],[Experiment ID]]</f>
        <v>0</v>
      </c>
      <c r="B179">
        <f>SampleList[[#This Row],[Sample Description]]</f>
        <v>0</v>
      </c>
      <c r="C179" s="1">
        <f>SampleList[[#This Row],[Date Sampled]]</f>
        <v>0</v>
      </c>
      <c r="D179">
        <f>SampleList[[#This Row],[Duration (Days)]]</f>
        <v>0</v>
      </c>
      <c r="E179">
        <f>NMRResults[[#This Row],[Ammonium Concentration (mM)]]</f>
        <v>0</v>
      </c>
      <c r="F179" t="str">
        <f>GCResults[[#This Row],[H2 (ppm)]]</f>
        <v/>
      </c>
      <c r="G179">
        <f>GCResults[[#This Row],[Total Gas Volume (mL), gas cylinder = 3785mL]]</f>
        <v>0</v>
      </c>
      <c r="H179">
        <f>GCResults[[#This Row],[Pressure on Sampling (PSI), 145PSI=1MPa]]</f>
        <v>3552.5</v>
      </c>
      <c r="I179">
        <f>pHCondMod[[#This Row],[Sample pH]]</f>
        <v>0</v>
      </c>
      <c r="J179">
        <f>pHCondMod[[#This Row],[Sample Conductivity (mS/cm)]]</f>
        <v>0</v>
      </c>
      <c r="K179">
        <f>pHCondMod[[#This Row],[Modification Description]]</f>
        <v>0</v>
      </c>
      <c r="L179" s="1">
        <f>NMRResults[[#This Row],[Date Run]]</f>
        <v>0</v>
      </c>
      <c r="M179" s="1">
        <f>ICPList[[#This Row],[Date Run]]</f>
        <v>0</v>
      </c>
      <c r="N179" s="1">
        <f>GCResults[[#This Row],[Date Run ]]</f>
        <v>0</v>
      </c>
    </row>
    <row r="180" spans="1:14" ht="14.45" x14ac:dyDescent="0.25">
      <c r="A180">
        <f>SampleList[[#This Row],[Experiment ID]]</f>
        <v>0</v>
      </c>
      <c r="B180">
        <f>SampleList[[#This Row],[Sample Description]]</f>
        <v>0</v>
      </c>
      <c r="C180" s="1">
        <f>SampleList[[#This Row],[Date Sampled]]</f>
        <v>0</v>
      </c>
      <c r="D180">
        <f>SampleList[[#This Row],[Duration (Days)]]</f>
        <v>0</v>
      </c>
      <c r="E180">
        <f>NMRResults[[#This Row],[Ammonium Concentration (mM)]]</f>
        <v>0</v>
      </c>
      <c r="F180" t="str">
        <f>GCResults[[#This Row],[H2 (ppm)]]</f>
        <v/>
      </c>
      <c r="G180">
        <f>GCResults[[#This Row],[Total Gas Volume (mL), gas cylinder = 3785mL]]</f>
        <v>0</v>
      </c>
      <c r="H180">
        <f>GCResults[[#This Row],[Pressure on Sampling (PSI), 145PSI=1MPa]]</f>
        <v>3552.5</v>
      </c>
      <c r="I180">
        <f>pHCondMod[[#This Row],[Sample pH]]</f>
        <v>0</v>
      </c>
      <c r="J180">
        <f>pHCondMod[[#This Row],[Sample Conductivity (mS/cm)]]</f>
        <v>0</v>
      </c>
      <c r="K180">
        <f>pHCondMod[[#This Row],[Modification Description]]</f>
        <v>0</v>
      </c>
      <c r="L180" s="1">
        <f>NMRResults[[#This Row],[Date Run]]</f>
        <v>0</v>
      </c>
      <c r="M180" s="1">
        <f>ICPList[[#This Row],[Date Run]]</f>
        <v>0</v>
      </c>
      <c r="N180" s="1">
        <f>GCResults[[#This Row],[Date Run ]]</f>
        <v>0</v>
      </c>
    </row>
    <row r="181" spans="1:14" ht="14.45" x14ac:dyDescent="0.25">
      <c r="A181">
        <f>SampleList[[#This Row],[Experiment ID]]</f>
        <v>0</v>
      </c>
      <c r="B181">
        <f>SampleList[[#This Row],[Sample Description]]</f>
        <v>0</v>
      </c>
      <c r="C181" s="1">
        <f>SampleList[[#This Row],[Date Sampled]]</f>
        <v>0</v>
      </c>
      <c r="D181">
        <f>SampleList[[#This Row],[Duration (Days)]]</f>
        <v>0</v>
      </c>
      <c r="E181">
        <f>NMRResults[[#This Row],[Ammonium Concentration (mM)]]</f>
        <v>0</v>
      </c>
      <c r="F181" t="str">
        <f>GCResults[[#This Row],[H2 (ppm)]]</f>
        <v/>
      </c>
      <c r="G181">
        <f>GCResults[[#This Row],[Total Gas Volume (mL), gas cylinder = 3785mL]]</f>
        <v>0</v>
      </c>
      <c r="H181">
        <f>GCResults[[#This Row],[Pressure on Sampling (PSI), 145PSI=1MPa]]</f>
        <v>3552.5</v>
      </c>
      <c r="I181">
        <f>pHCondMod[[#This Row],[Sample pH]]</f>
        <v>0</v>
      </c>
      <c r="J181">
        <f>pHCondMod[[#This Row],[Sample Conductivity (mS/cm)]]</f>
        <v>0</v>
      </c>
      <c r="K181">
        <f>pHCondMod[[#This Row],[Modification Description]]</f>
        <v>0</v>
      </c>
      <c r="L181" s="1">
        <f>NMRResults[[#This Row],[Date Run]]</f>
        <v>0</v>
      </c>
      <c r="M181" s="1">
        <f>ICPList[[#This Row],[Date Run]]</f>
        <v>0</v>
      </c>
      <c r="N181" s="1">
        <f>GCResults[[#This Row],[Date Run ]]</f>
        <v>0</v>
      </c>
    </row>
    <row r="182" spans="1:14" ht="14.45" x14ac:dyDescent="0.25">
      <c r="A182">
        <f>SampleList[[#This Row],[Experiment ID]]</f>
        <v>0</v>
      </c>
      <c r="B182">
        <f>SampleList[[#This Row],[Sample Description]]</f>
        <v>0</v>
      </c>
      <c r="C182" s="1">
        <f>SampleList[[#This Row],[Date Sampled]]</f>
        <v>0</v>
      </c>
      <c r="D182">
        <f>SampleList[[#This Row],[Duration (Days)]]</f>
        <v>0</v>
      </c>
      <c r="E182">
        <f>NMRResults[[#This Row],[Ammonium Concentration (mM)]]</f>
        <v>0</v>
      </c>
      <c r="F182" t="str">
        <f>GCResults[[#This Row],[H2 (ppm)]]</f>
        <v/>
      </c>
      <c r="G182">
        <f>GCResults[[#This Row],[Total Gas Volume (mL), gas cylinder = 3785mL]]</f>
        <v>0</v>
      </c>
      <c r="H182">
        <f>GCResults[[#This Row],[Pressure on Sampling (PSI), 145PSI=1MPa]]</f>
        <v>3552.5</v>
      </c>
      <c r="I182">
        <f>pHCondMod[[#This Row],[Sample pH]]</f>
        <v>0</v>
      </c>
      <c r="J182">
        <f>pHCondMod[[#This Row],[Sample Conductivity (mS/cm)]]</f>
        <v>0</v>
      </c>
      <c r="K182">
        <f>pHCondMod[[#This Row],[Modification Description]]</f>
        <v>0</v>
      </c>
      <c r="L182" s="1">
        <f>NMRResults[[#This Row],[Date Run]]</f>
        <v>0</v>
      </c>
      <c r="M182" s="1">
        <f>ICPList[[#This Row],[Date Run]]</f>
        <v>0</v>
      </c>
      <c r="N182" s="1">
        <f>GCResults[[#This Row],[Date Run ]]</f>
        <v>0</v>
      </c>
    </row>
    <row r="183" spans="1:14" ht="14.45" x14ac:dyDescent="0.25">
      <c r="A183">
        <f>SampleList[[#This Row],[Experiment ID]]</f>
        <v>0</v>
      </c>
      <c r="B183">
        <f>SampleList[[#This Row],[Sample Description]]</f>
        <v>0</v>
      </c>
      <c r="C183" s="1">
        <f>SampleList[[#This Row],[Date Sampled]]</f>
        <v>0</v>
      </c>
      <c r="D183">
        <f>SampleList[[#This Row],[Duration (Days)]]</f>
        <v>0</v>
      </c>
      <c r="E183">
        <f>NMRResults[[#This Row],[Ammonium Concentration (mM)]]</f>
        <v>0</v>
      </c>
      <c r="F183" t="str">
        <f>GCResults[[#This Row],[H2 (ppm)]]</f>
        <v/>
      </c>
      <c r="G183">
        <f>GCResults[[#This Row],[Total Gas Volume (mL), gas cylinder = 3785mL]]</f>
        <v>0</v>
      </c>
      <c r="H183">
        <f>GCResults[[#This Row],[Pressure on Sampling (PSI), 145PSI=1MPa]]</f>
        <v>3552.5</v>
      </c>
      <c r="I183">
        <f>pHCondMod[[#This Row],[Sample pH]]</f>
        <v>0</v>
      </c>
      <c r="J183">
        <f>pHCondMod[[#This Row],[Sample Conductivity (mS/cm)]]</f>
        <v>0</v>
      </c>
      <c r="K183">
        <f>pHCondMod[[#This Row],[Modification Description]]</f>
        <v>0</v>
      </c>
      <c r="L183" s="1">
        <f>NMRResults[[#This Row],[Date Run]]</f>
        <v>0</v>
      </c>
      <c r="M183" s="1">
        <f>ICPList[[#This Row],[Date Run]]</f>
        <v>0</v>
      </c>
      <c r="N183" s="1">
        <f>GCResults[[#This Row],[Date Run ]]</f>
        <v>0</v>
      </c>
    </row>
    <row r="184" spans="1:14" ht="14.45" x14ac:dyDescent="0.25">
      <c r="A184">
        <f>SampleList[[#This Row],[Experiment ID]]</f>
        <v>0</v>
      </c>
      <c r="B184">
        <f>SampleList[[#This Row],[Sample Description]]</f>
        <v>0</v>
      </c>
      <c r="C184" s="1">
        <f>SampleList[[#This Row],[Date Sampled]]</f>
        <v>0</v>
      </c>
      <c r="D184">
        <f>SampleList[[#This Row],[Duration (Days)]]</f>
        <v>0</v>
      </c>
      <c r="E184">
        <f>NMRResults[[#This Row],[Ammonium Concentration (mM)]]</f>
        <v>0</v>
      </c>
      <c r="F184" t="str">
        <f>GCResults[[#This Row],[H2 (ppm)]]</f>
        <v/>
      </c>
      <c r="G184">
        <f>GCResults[[#This Row],[Total Gas Volume (mL), gas cylinder = 3785mL]]</f>
        <v>0</v>
      </c>
      <c r="H184">
        <f>GCResults[[#This Row],[Pressure on Sampling (PSI), 145PSI=1MPa]]</f>
        <v>3552.5</v>
      </c>
      <c r="I184">
        <f>pHCondMod[[#This Row],[Sample pH]]</f>
        <v>0</v>
      </c>
      <c r="J184">
        <f>pHCondMod[[#This Row],[Sample Conductivity (mS/cm)]]</f>
        <v>0</v>
      </c>
      <c r="K184">
        <f>pHCondMod[[#This Row],[Modification Description]]</f>
        <v>0</v>
      </c>
      <c r="L184" s="1">
        <f>NMRResults[[#This Row],[Date Run]]</f>
        <v>0</v>
      </c>
      <c r="M184" s="1">
        <f>ICPList[[#This Row],[Date Run]]</f>
        <v>0</v>
      </c>
      <c r="N184" s="1">
        <f>GCResults[[#This Row],[Date Run ]]</f>
        <v>0</v>
      </c>
    </row>
    <row r="185" spans="1:14" ht="14.45" x14ac:dyDescent="0.25">
      <c r="A185">
        <f>SampleList[[#This Row],[Experiment ID]]</f>
        <v>0</v>
      </c>
      <c r="B185">
        <f>SampleList[[#This Row],[Sample Description]]</f>
        <v>0</v>
      </c>
      <c r="C185" s="1">
        <f>SampleList[[#This Row],[Date Sampled]]</f>
        <v>0</v>
      </c>
      <c r="D185">
        <f>SampleList[[#This Row],[Duration (Days)]]</f>
        <v>0</v>
      </c>
      <c r="E185">
        <f>NMRResults[[#This Row],[Ammonium Concentration (mM)]]</f>
        <v>0</v>
      </c>
      <c r="F185" t="str">
        <f>GCResults[[#This Row],[H2 (ppm)]]</f>
        <v/>
      </c>
      <c r="G185">
        <f>GCResults[[#This Row],[Total Gas Volume (mL), gas cylinder = 3785mL]]</f>
        <v>0</v>
      </c>
      <c r="H185">
        <f>GCResults[[#This Row],[Pressure on Sampling (PSI), 145PSI=1MPa]]</f>
        <v>3552.5</v>
      </c>
      <c r="I185">
        <f>pHCondMod[[#This Row],[Sample pH]]</f>
        <v>0</v>
      </c>
      <c r="J185">
        <f>pHCondMod[[#This Row],[Sample Conductivity (mS/cm)]]</f>
        <v>0</v>
      </c>
      <c r="K185">
        <f>pHCondMod[[#This Row],[Modification Description]]</f>
        <v>0</v>
      </c>
      <c r="L185" s="1">
        <f>NMRResults[[#This Row],[Date Run]]</f>
        <v>0</v>
      </c>
      <c r="M185" s="1">
        <f>ICPList[[#This Row],[Date Run]]</f>
        <v>0</v>
      </c>
      <c r="N185" s="1">
        <f>GCResults[[#This Row],[Date Run ]]</f>
        <v>0</v>
      </c>
    </row>
    <row r="186" spans="1:14" ht="14.45" x14ac:dyDescent="0.25">
      <c r="A186">
        <f>SampleList[[#This Row],[Experiment ID]]</f>
        <v>0</v>
      </c>
      <c r="B186">
        <f>SampleList[[#This Row],[Sample Description]]</f>
        <v>0</v>
      </c>
      <c r="C186" s="1">
        <f>SampleList[[#This Row],[Date Sampled]]</f>
        <v>0</v>
      </c>
      <c r="D186">
        <f>SampleList[[#This Row],[Duration (Days)]]</f>
        <v>0</v>
      </c>
      <c r="E186">
        <f>NMRResults[[#This Row],[Ammonium Concentration (mM)]]</f>
        <v>0</v>
      </c>
      <c r="F186" t="str">
        <f>GCResults[[#This Row],[H2 (ppm)]]</f>
        <v/>
      </c>
      <c r="G186">
        <f>GCResults[[#This Row],[Total Gas Volume (mL), gas cylinder = 3785mL]]</f>
        <v>0</v>
      </c>
      <c r="H186">
        <f>GCResults[[#This Row],[Pressure on Sampling (PSI), 145PSI=1MPa]]</f>
        <v>3552.5</v>
      </c>
      <c r="I186">
        <f>pHCondMod[[#This Row],[Sample pH]]</f>
        <v>0</v>
      </c>
      <c r="J186">
        <f>pHCondMod[[#This Row],[Sample Conductivity (mS/cm)]]</f>
        <v>0</v>
      </c>
      <c r="K186">
        <f>pHCondMod[[#This Row],[Modification Description]]</f>
        <v>0</v>
      </c>
      <c r="L186" s="1">
        <f>NMRResults[[#This Row],[Date Run]]</f>
        <v>0</v>
      </c>
      <c r="M186" s="1">
        <f>ICPList[[#This Row],[Date Run]]</f>
        <v>0</v>
      </c>
      <c r="N186" s="1">
        <f>GCResults[[#This Row],[Date Run ]]</f>
        <v>0</v>
      </c>
    </row>
    <row r="187" spans="1:14" ht="14.45" x14ac:dyDescent="0.25">
      <c r="A187">
        <f>SampleList[[#This Row],[Experiment ID]]</f>
        <v>0</v>
      </c>
      <c r="B187">
        <f>SampleList[[#This Row],[Sample Description]]</f>
        <v>0</v>
      </c>
      <c r="C187" s="1">
        <f>SampleList[[#This Row],[Date Sampled]]</f>
        <v>0</v>
      </c>
      <c r="D187">
        <f>SampleList[[#This Row],[Duration (Days)]]</f>
        <v>0</v>
      </c>
      <c r="E187">
        <f>NMRResults[[#This Row],[Ammonium Concentration (mM)]]</f>
        <v>0</v>
      </c>
      <c r="F187" t="str">
        <f>GCResults[[#This Row],[H2 (ppm)]]</f>
        <v/>
      </c>
      <c r="G187">
        <f>GCResults[[#This Row],[Total Gas Volume (mL), gas cylinder = 3785mL]]</f>
        <v>0</v>
      </c>
      <c r="H187">
        <f>GCResults[[#This Row],[Pressure on Sampling (PSI), 145PSI=1MPa]]</f>
        <v>3552.5</v>
      </c>
      <c r="I187">
        <f>pHCondMod[[#This Row],[Sample pH]]</f>
        <v>0</v>
      </c>
      <c r="J187">
        <f>pHCondMod[[#This Row],[Sample Conductivity (mS/cm)]]</f>
        <v>0</v>
      </c>
      <c r="K187">
        <f>pHCondMod[[#This Row],[Modification Description]]</f>
        <v>0</v>
      </c>
      <c r="L187" s="1">
        <f>NMRResults[[#This Row],[Date Run]]</f>
        <v>0</v>
      </c>
      <c r="M187" s="1">
        <f>ICPList[[#This Row],[Date Run]]</f>
        <v>0</v>
      </c>
      <c r="N187" s="1">
        <f>GCResults[[#This Row],[Date Run ]]</f>
        <v>0</v>
      </c>
    </row>
    <row r="188" spans="1:14" ht="14.45" x14ac:dyDescent="0.25">
      <c r="A188">
        <f>SampleList[[#This Row],[Experiment ID]]</f>
        <v>0</v>
      </c>
      <c r="B188">
        <f>SampleList[[#This Row],[Sample Description]]</f>
        <v>0</v>
      </c>
      <c r="C188" s="1">
        <f>SampleList[[#This Row],[Date Sampled]]</f>
        <v>0</v>
      </c>
      <c r="D188">
        <f>SampleList[[#This Row],[Duration (Days)]]</f>
        <v>0</v>
      </c>
      <c r="E188">
        <f>NMRResults[[#This Row],[Ammonium Concentration (mM)]]</f>
        <v>0</v>
      </c>
      <c r="F188" t="str">
        <f>GCResults[[#This Row],[H2 (ppm)]]</f>
        <v/>
      </c>
      <c r="G188">
        <f>GCResults[[#This Row],[Total Gas Volume (mL), gas cylinder = 3785mL]]</f>
        <v>0</v>
      </c>
      <c r="H188">
        <f>GCResults[[#This Row],[Pressure on Sampling (PSI), 145PSI=1MPa]]</f>
        <v>3552.5</v>
      </c>
      <c r="I188">
        <f>pHCondMod[[#This Row],[Sample pH]]</f>
        <v>0</v>
      </c>
      <c r="J188">
        <f>pHCondMod[[#This Row],[Sample Conductivity (mS/cm)]]</f>
        <v>0</v>
      </c>
      <c r="K188">
        <f>pHCondMod[[#This Row],[Modification Description]]</f>
        <v>0</v>
      </c>
      <c r="L188" s="1">
        <f>NMRResults[[#This Row],[Date Run]]</f>
        <v>0</v>
      </c>
      <c r="M188" s="1">
        <f>ICPList[[#This Row],[Date Run]]</f>
        <v>0</v>
      </c>
      <c r="N188" s="1">
        <f>GCResults[[#This Row],[Date Run ]]</f>
        <v>0</v>
      </c>
    </row>
    <row r="189" spans="1:14" ht="14.45" x14ac:dyDescent="0.25">
      <c r="A189">
        <f>SampleList[[#This Row],[Experiment ID]]</f>
        <v>0</v>
      </c>
      <c r="B189">
        <f>SampleList[[#This Row],[Sample Description]]</f>
        <v>0</v>
      </c>
      <c r="C189" s="1">
        <f>SampleList[[#This Row],[Date Sampled]]</f>
        <v>0</v>
      </c>
      <c r="D189">
        <f>SampleList[[#This Row],[Duration (Days)]]</f>
        <v>0</v>
      </c>
      <c r="E189">
        <f>NMRResults[[#This Row],[Ammonium Concentration (mM)]]</f>
        <v>0</v>
      </c>
      <c r="F189" t="str">
        <f>GCResults[[#This Row],[H2 (ppm)]]</f>
        <v/>
      </c>
      <c r="G189">
        <f>GCResults[[#This Row],[Total Gas Volume (mL), gas cylinder = 3785mL]]</f>
        <v>0</v>
      </c>
      <c r="H189">
        <f>GCResults[[#This Row],[Pressure on Sampling (PSI), 145PSI=1MPa]]</f>
        <v>3552.5</v>
      </c>
      <c r="I189">
        <f>pHCondMod[[#This Row],[Sample pH]]</f>
        <v>0</v>
      </c>
      <c r="J189">
        <f>pHCondMod[[#This Row],[Sample Conductivity (mS/cm)]]</f>
        <v>0</v>
      </c>
      <c r="K189">
        <f>pHCondMod[[#This Row],[Modification Description]]</f>
        <v>0</v>
      </c>
      <c r="L189" s="1">
        <f>NMRResults[[#This Row],[Date Run]]</f>
        <v>0</v>
      </c>
      <c r="M189" s="1">
        <f>ICPList[[#This Row],[Date Run]]</f>
        <v>0</v>
      </c>
      <c r="N189" s="1">
        <f>GCResults[[#This Row],[Date Run ]]</f>
        <v>0</v>
      </c>
    </row>
    <row r="190" spans="1:14" ht="14.45" x14ac:dyDescent="0.25">
      <c r="A190">
        <f>SampleList[[#This Row],[Experiment ID]]</f>
        <v>0</v>
      </c>
      <c r="B190">
        <f>SampleList[[#This Row],[Sample Description]]</f>
        <v>0</v>
      </c>
      <c r="C190" s="1">
        <f>SampleList[[#This Row],[Date Sampled]]</f>
        <v>0</v>
      </c>
      <c r="D190">
        <f>SampleList[[#This Row],[Duration (Days)]]</f>
        <v>0</v>
      </c>
      <c r="E190">
        <f>NMRResults[[#This Row],[Ammonium Concentration (mM)]]</f>
        <v>0</v>
      </c>
      <c r="F190" t="str">
        <f>GCResults[[#This Row],[H2 (ppm)]]</f>
        <v/>
      </c>
      <c r="G190">
        <f>GCResults[[#This Row],[Total Gas Volume (mL), gas cylinder = 3785mL]]</f>
        <v>0</v>
      </c>
      <c r="H190">
        <f>GCResults[[#This Row],[Pressure on Sampling (PSI), 145PSI=1MPa]]</f>
        <v>3552.5</v>
      </c>
      <c r="I190">
        <f>pHCondMod[[#This Row],[Sample pH]]</f>
        <v>0</v>
      </c>
      <c r="J190">
        <f>pHCondMod[[#This Row],[Sample Conductivity (mS/cm)]]</f>
        <v>0</v>
      </c>
      <c r="K190">
        <f>pHCondMod[[#This Row],[Modification Description]]</f>
        <v>0</v>
      </c>
      <c r="L190" s="1">
        <f>NMRResults[[#This Row],[Date Run]]</f>
        <v>0</v>
      </c>
      <c r="M190" s="1">
        <f>ICPList[[#This Row],[Date Run]]</f>
        <v>0</v>
      </c>
      <c r="N190" s="1">
        <f>GCResults[[#This Row],[Date Run ]]</f>
        <v>0</v>
      </c>
    </row>
    <row r="191" spans="1:14" ht="14.45" x14ac:dyDescent="0.25">
      <c r="A191">
        <f>SampleList[[#This Row],[Experiment ID]]</f>
        <v>0</v>
      </c>
      <c r="B191">
        <f>SampleList[[#This Row],[Sample Description]]</f>
        <v>0</v>
      </c>
      <c r="C191" s="1">
        <f>SampleList[[#This Row],[Date Sampled]]</f>
        <v>0</v>
      </c>
      <c r="D191">
        <f>SampleList[[#This Row],[Duration (Days)]]</f>
        <v>0</v>
      </c>
      <c r="E191">
        <f>NMRResults[[#This Row],[Ammonium Concentration (mM)]]</f>
        <v>0</v>
      </c>
      <c r="F191" t="str">
        <f>GCResults[[#This Row],[H2 (ppm)]]</f>
        <v/>
      </c>
      <c r="G191">
        <f>GCResults[[#This Row],[Total Gas Volume (mL), gas cylinder = 3785mL]]</f>
        <v>0</v>
      </c>
      <c r="H191">
        <f>GCResults[[#This Row],[Pressure on Sampling (PSI), 145PSI=1MPa]]</f>
        <v>3552.5</v>
      </c>
      <c r="I191">
        <f>pHCondMod[[#This Row],[Sample pH]]</f>
        <v>0</v>
      </c>
      <c r="J191">
        <f>pHCondMod[[#This Row],[Sample Conductivity (mS/cm)]]</f>
        <v>0</v>
      </c>
      <c r="K191">
        <f>pHCondMod[[#This Row],[Modification Description]]</f>
        <v>0</v>
      </c>
      <c r="L191" s="1">
        <f>NMRResults[[#This Row],[Date Run]]</f>
        <v>0</v>
      </c>
      <c r="M191" s="1">
        <f>ICPList[[#This Row],[Date Run]]</f>
        <v>0</v>
      </c>
      <c r="N191" s="1">
        <f>GCResults[[#This Row],[Date Run ]]</f>
        <v>0</v>
      </c>
    </row>
    <row r="192" spans="1:14" ht="14.45" x14ac:dyDescent="0.25">
      <c r="A192">
        <f>SampleList[[#This Row],[Experiment ID]]</f>
        <v>0</v>
      </c>
      <c r="B192">
        <f>SampleList[[#This Row],[Sample Description]]</f>
        <v>0</v>
      </c>
      <c r="C192" s="1">
        <f>SampleList[[#This Row],[Date Sampled]]</f>
        <v>0</v>
      </c>
      <c r="D192">
        <f>SampleList[[#This Row],[Duration (Days)]]</f>
        <v>0</v>
      </c>
      <c r="E192">
        <f>NMRResults[[#This Row],[Ammonium Concentration (mM)]]</f>
        <v>0</v>
      </c>
      <c r="F192" t="str">
        <f>GCResults[[#This Row],[H2 (ppm)]]</f>
        <v/>
      </c>
      <c r="G192">
        <f>GCResults[[#This Row],[Total Gas Volume (mL), gas cylinder = 3785mL]]</f>
        <v>0</v>
      </c>
      <c r="H192">
        <f>GCResults[[#This Row],[Pressure on Sampling (PSI), 145PSI=1MPa]]</f>
        <v>3552.5</v>
      </c>
      <c r="I192">
        <f>pHCondMod[[#This Row],[Sample pH]]</f>
        <v>0</v>
      </c>
      <c r="J192">
        <f>pHCondMod[[#This Row],[Sample Conductivity (mS/cm)]]</f>
        <v>0</v>
      </c>
      <c r="K192">
        <f>pHCondMod[[#This Row],[Modification Description]]</f>
        <v>0</v>
      </c>
      <c r="L192" s="1">
        <f>NMRResults[[#This Row],[Date Run]]</f>
        <v>0</v>
      </c>
      <c r="M192" s="1">
        <f>ICPList[[#This Row],[Date Run]]</f>
        <v>0</v>
      </c>
      <c r="N192" s="1">
        <f>GCResults[[#This Row],[Date Run ]]</f>
        <v>0</v>
      </c>
    </row>
    <row r="193" spans="1:14" ht="14.45" x14ac:dyDescent="0.25">
      <c r="A193">
        <f>SampleList[[#This Row],[Experiment ID]]</f>
        <v>0</v>
      </c>
      <c r="B193">
        <f>SampleList[[#This Row],[Sample Description]]</f>
        <v>0</v>
      </c>
      <c r="C193" s="1">
        <f>SampleList[[#This Row],[Date Sampled]]</f>
        <v>0</v>
      </c>
      <c r="D193">
        <f>SampleList[[#This Row],[Duration (Days)]]</f>
        <v>0</v>
      </c>
      <c r="E193">
        <f>NMRResults[[#This Row],[Ammonium Concentration (mM)]]</f>
        <v>0</v>
      </c>
      <c r="F193" t="str">
        <f>GCResults[[#This Row],[H2 (ppm)]]</f>
        <v/>
      </c>
      <c r="G193">
        <f>GCResults[[#This Row],[Total Gas Volume (mL), gas cylinder = 3785mL]]</f>
        <v>0</v>
      </c>
      <c r="H193">
        <f>GCResults[[#This Row],[Pressure on Sampling (PSI), 145PSI=1MPa]]</f>
        <v>3552.5</v>
      </c>
      <c r="I193">
        <f>pHCondMod[[#This Row],[Sample pH]]</f>
        <v>0</v>
      </c>
      <c r="J193">
        <f>pHCondMod[[#This Row],[Sample Conductivity (mS/cm)]]</f>
        <v>0</v>
      </c>
      <c r="K193">
        <f>pHCondMod[[#This Row],[Modification Description]]</f>
        <v>0</v>
      </c>
      <c r="L193" s="1">
        <f>NMRResults[[#This Row],[Date Run]]</f>
        <v>0</v>
      </c>
      <c r="M193" s="1">
        <f>ICPList[[#This Row],[Date Run]]</f>
        <v>0</v>
      </c>
      <c r="N193" s="1">
        <f>GCResults[[#This Row],[Date Run ]]</f>
        <v>0</v>
      </c>
    </row>
    <row r="194" spans="1:14" ht="14.45" x14ac:dyDescent="0.25">
      <c r="A194">
        <f>SampleList[[#This Row],[Experiment ID]]</f>
        <v>0</v>
      </c>
      <c r="B194">
        <f>SampleList[[#This Row],[Sample Description]]</f>
        <v>0</v>
      </c>
      <c r="C194" s="1">
        <f>SampleList[[#This Row],[Date Sampled]]</f>
        <v>0</v>
      </c>
      <c r="D194">
        <f>SampleList[[#This Row],[Duration (Days)]]</f>
        <v>0</v>
      </c>
      <c r="E194">
        <f>NMRResults[[#This Row],[Ammonium Concentration (mM)]]</f>
        <v>0</v>
      </c>
      <c r="F194" t="str">
        <f>GCResults[[#This Row],[H2 (ppm)]]</f>
        <v/>
      </c>
      <c r="G194">
        <f>GCResults[[#This Row],[Total Gas Volume (mL), gas cylinder = 3785mL]]</f>
        <v>0</v>
      </c>
      <c r="H194">
        <f>GCResults[[#This Row],[Pressure on Sampling (PSI), 145PSI=1MPa]]</f>
        <v>3552.5</v>
      </c>
      <c r="I194">
        <f>pHCondMod[[#This Row],[Sample pH]]</f>
        <v>0</v>
      </c>
      <c r="J194">
        <f>pHCondMod[[#This Row],[Sample Conductivity (mS/cm)]]</f>
        <v>0</v>
      </c>
      <c r="K194">
        <f>pHCondMod[[#This Row],[Modification Description]]</f>
        <v>0</v>
      </c>
      <c r="L194" s="1">
        <f>NMRResults[[#This Row],[Date Run]]</f>
        <v>0</v>
      </c>
      <c r="M194" s="1">
        <f>ICPList[[#This Row],[Date Run]]</f>
        <v>0</v>
      </c>
      <c r="N194" s="1">
        <f>GCResults[[#This Row],[Date Run ]]</f>
        <v>0</v>
      </c>
    </row>
    <row r="195" spans="1:14" ht="14.45" x14ac:dyDescent="0.25">
      <c r="A195">
        <f>SampleList[[#This Row],[Experiment ID]]</f>
        <v>0</v>
      </c>
      <c r="B195">
        <f>SampleList[[#This Row],[Sample Description]]</f>
        <v>0</v>
      </c>
      <c r="C195" s="1">
        <f>SampleList[[#This Row],[Date Sampled]]</f>
        <v>0</v>
      </c>
      <c r="D195">
        <f>SampleList[[#This Row],[Duration (Days)]]</f>
        <v>0</v>
      </c>
      <c r="E195">
        <f>NMRResults[[#This Row],[Ammonium Concentration (mM)]]</f>
        <v>0</v>
      </c>
      <c r="F195" t="str">
        <f>GCResults[[#This Row],[H2 (ppm)]]</f>
        <v/>
      </c>
      <c r="G195">
        <f>GCResults[[#This Row],[Total Gas Volume (mL), gas cylinder = 3785mL]]</f>
        <v>0</v>
      </c>
      <c r="H195">
        <f>GCResults[[#This Row],[Pressure on Sampling (PSI), 145PSI=1MPa]]</f>
        <v>3552.5</v>
      </c>
      <c r="I195">
        <f>pHCondMod[[#This Row],[Sample pH]]</f>
        <v>0</v>
      </c>
      <c r="J195">
        <f>pHCondMod[[#This Row],[Sample Conductivity (mS/cm)]]</f>
        <v>0</v>
      </c>
      <c r="K195">
        <f>pHCondMod[[#This Row],[Modification Description]]</f>
        <v>0</v>
      </c>
      <c r="L195" s="1">
        <f>NMRResults[[#This Row],[Date Run]]</f>
        <v>0</v>
      </c>
      <c r="M195" s="1">
        <f>ICPList[[#This Row],[Date Run]]</f>
        <v>0</v>
      </c>
      <c r="N195" s="1">
        <f>GCResults[[#This Row],[Date Run ]]</f>
        <v>0</v>
      </c>
    </row>
    <row r="196" spans="1:14" ht="14.45" x14ac:dyDescent="0.25">
      <c r="A196">
        <f>SampleList[[#This Row],[Experiment ID]]</f>
        <v>0</v>
      </c>
      <c r="B196">
        <f>SampleList[[#This Row],[Sample Description]]</f>
        <v>0</v>
      </c>
      <c r="C196" s="1">
        <f>SampleList[[#This Row],[Date Sampled]]</f>
        <v>0</v>
      </c>
      <c r="D196">
        <f>SampleList[[#This Row],[Duration (Days)]]</f>
        <v>0</v>
      </c>
      <c r="E196">
        <f>NMRResults[[#This Row],[Ammonium Concentration (mM)]]</f>
        <v>0</v>
      </c>
      <c r="F196" t="str">
        <f>GCResults[[#This Row],[H2 (ppm)]]</f>
        <v/>
      </c>
      <c r="G196">
        <f>GCResults[[#This Row],[Total Gas Volume (mL), gas cylinder = 3785mL]]</f>
        <v>0</v>
      </c>
      <c r="H196">
        <f>GCResults[[#This Row],[Pressure on Sampling (PSI), 145PSI=1MPa]]</f>
        <v>3552.5</v>
      </c>
      <c r="I196">
        <f>pHCondMod[[#This Row],[Sample pH]]</f>
        <v>0</v>
      </c>
      <c r="J196">
        <f>pHCondMod[[#This Row],[Sample Conductivity (mS/cm)]]</f>
        <v>0</v>
      </c>
      <c r="K196">
        <f>pHCondMod[[#This Row],[Modification Description]]</f>
        <v>0</v>
      </c>
      <c r="L196" s="1">
        <f>NMRResults[[#This Row],[Date Run]]</f>
        <v>0</v>
      </c>
      <c r="M196" s="1">
        <f>ICPList[[#This Row],[Date Run]]</f>
        <v>0</v>
      </c>
      <c r="N196" s="1">
        <f>GCResults[[#This Row],[Date Run ]]</f>
        <v>0</v>
      </c>
    </row>
    <row r="197" spans="1:14" ht="14.45" x14ac:dyDescent="0.25">
      <c r="A197">
        <f>SampleList[[#This Row],[Experiment ID]]</f>
        <v>0</v>
      </c>
      <c r="B197">
        <f>SampleList[[#This Row],[Sample Description]]</f>
        <v>0</v>
      </c>
      <c r="C197" s="1">
        <f>SampleList[[#This Row],[Date Sampled]]</f>
        <v>0</v>
      </c>
      <c r="D197">
        <f>SampleList[[#This Row],[Duration (Days)]]</f>
        <v>0</v>
      </c>
      <c r="E197">
        <f>NMRResults[[#This Row],[Ammonium Concentration (mM)]]</f>
        <v>0</v>
      </c>
      <c r="F197" t="str">
        <f>GCResults[[#This Row],[H2 (ppm)]]</f>
        <v/>
      </c>
      <c r="G197">
        <f>GCResults[[#This Row],[Total Gas Volume (mL), gas cylinder = 3785mL]]</f>
        <v>0</v>
      </c>
      <c r="H197">
        <f>GCResults[[#This Row],[Pressure on Sampling (PSI), 145PSI=1MPa]]</f>
        <v>3552.5</v>
      </c>
      <c r="I197">
        <f>pHCondMod[[#This Row],[Sample pH]]</f>
        <v>0</v>
      </c>
      <c r="J197">
        <f>pHCondMod[[#This Row],[Sample Conductivity (mS/cm)]]</f>
        <v>0</v>
      </c>
      <c r="K197">
        <f>pHCondMod[[#This Row],[Modification Description]]</f>
        <v>0</v>
      </c>
      <c r="L197" s="1">
        <f>NMRResults[[#This Row],[Date Run]]</f>
        <v>0</v>
      </c>
      <c r="M197" s="1">
        <f>ICPList[[#This Row],[Date Run]]</f>
        <v>0</v>
      </c>
      <c r="N197" s="1">
        <f>GCResults[[#This Row],[Date Run ]]</f>
        <v>0</v>
      </c>
    </row>
    <row r="198" spans="1:14" ht="14.45" x14ac:dyDescent="0.25">
      <c r="A198">
        <f>SampleList[[#This Row],[Experiment ID]]</f>
        <v>0</v>
      </c>
      <c r="B198">
        <f>SampleList[[#This Row],[Sample Description]]</f>
        <v>0</v>
      </c>
      <c r="C198" s="1">
        <f>SampleList[[#This Row],[Date Sampled]]</f>
        <v>0</v>
      </c>
      <c r="D198">
        <f>SampleList[[#This Row],[Duration (Days)]]</f>
        <v>0</v>
      </c>
      <c r="E198">
        <f>NMRResults[[#This Row],[Ammonium Concentration (mM)]]</f>
        <v>0</v>
      </c>
      <c r="F198" t="str">
        <f>GCResults[[#This Row],[H2 (ppm)]]</f>
        <v/>
      </c>
      <c r="G198">
        <f>GCResults[[#This Row],[Total Gas Volume (mL), gas cylinder = 3785mL]]</f>
        <v>0</v>
      </c>
      <c r="H198">
        <f>GCResults[[#This Row],[Pressure on Sampling (PSI), 145PSI=1MPa]]</f>
        <v>3552.5</v>
      </c>
      <c r="I198">
        <f>pHCondMod[[#This Row],[Sample pH]]</f>
        <v>0</v>
      </c>
      <c r="J198">
        <f>pHCondMod[[#This Row],[Sample Conductivity (mS/cm)]]</f>
        <v>0</v>
      </c>
      <c r="K198">
        <f>pHCondMod[[#This Row],[Modification Description]]</f>
        <v>0</v>
      </c>
      <c r="L198" s="1">
        <f>NMRResults[[#This Row],[Date Run]]</f>
        <v>0</v>
      </c>
      <c r="M198" s="1">
        <f>ICPList[[#This Row],[Date Run]]</f>
        <v>0</v>
      </c>
      <c r="N198" s="1">
        <f>GCResults[[#This Row],[Date Run ]]</f>
        <v>0</v>
      </c>
    </row>
    <row r="199" spans="1:14" ht="14.45" x14ac:dyDescent="0.25">
      <c r="A199">
        <f>SampleList[[#This Row],[Experiment ID]]</f>
        <v>0</v>
      </c>
      <c r="B199">
        <f>SampleList[[#This Row],[Sample Description]]</f>
        <v>0</v>
      </c>
      <c r="C199" s="1">
        <f>SampleList[[#This Row],[Date Sampled]]</f>
        <v>0</v>
      </c>
      <c r="D199">
        <f>SampleList[[#This Row],[Duration (Days)]]</f>
        <v>0</v>
      </c>
      <c r="E199">
        <f>NMRResults[[#This Row],[Ammonium Concentration (mM)]]</f>
        <v>0</v>
      </c>
      <c r="F199" t="str">
        <f>GCResults[[#This Row],[H2 (ppm)]]</f>
        <v/>
      </c>
      <c r="G199">
        <f>GCResults[[#This Row],[Total Gas Volume (mL), gas cylinder = 3785mL]]</f>
        <v>0</v>
      </c>
      <c r="H199">
        <f>GCResults[[#This Row],[Pressure on Sampling (PSI), 145PSI=1MPa]]</f>
        <v>3552.5</v>
      </c>
      <c r="I199">
        <f>pHCondMod[[#This Row],[Sample pH]]</f>
        <v>0</v>
      </c>
      <c r="J199">
        <f>pHCondMod[[#This Row],[Sample Conductivity (mS/cm)]]</f>
        <v>0</v>
      </c>
      <c r="K199">
        <f>pHCondMod[[#This Row],[Modification Description]]</f>
        <v>0</v>
      </c>
      <c r="L199" s="1">
        <f>NMRResults[[#This Row],[Date Run]]</f>
        <v>0</v>
      </c>
      <c r="M199" s="1">
        <f>ICPList[[#This Row],[Date Run]]</f>
        <v>0</v>
      </c>
      <c r="N199" s="1">
        <f>GCResults[[#This Row],[Date Run ]]</f>
        <v>0</v>
      </c>
    </row>
    <row r="200" spans="1:14" ht="14.45" x14ac:dyDescent="0.25">
      <c r="A200">
        <f>SampleList[[#This Row],[Experiment ID]]</f>
        <v>0</v>
      </c>
      <c r="B200">
        <f>SampleList[[#This Row],[Sample Description]]</f>
        <v>0</v>
      </c>
      <c r="C200" s="1">
        <f>SampleList[[#This Row],[Date Sampled]]</f>
        <v>0</v>
      </c>
      <c r="D200">
        <f>SampleList[[#This Row],[Duration (Days)]]</f>
        <v>0</v>
      </c>
      <c r="E200">
        <f>NMRResults[[#This Row],[Ammonium Concentration (mM)]]</f>
        <v>0</v>
      </c>
      <c r="F200" t="str">
        <f>GCResults[[#This Row],[H2 (ppm)]]</f>
        <v/>
      </c>
      <c r="G200">
        <f>GCResults[[#This Row],[Total Gas Volume (mL), gas cylinder = 3785mL]]</f>
        <v>0</v>
      </c>
      <c r="H200">
        <f>GCResults[[#This Row],[Pressure on Sampling (PSI), 145PSI=1MPa]]</f>
        <v>3552.5</v>
      </c>
      <c r="I200">
        <f>pHCondMod[[#This Row],[Sample pH]]</f>
        <v>0</v>
      </c>
      <c r="J200">
        <f>pHCondMod[[#This Row],[Sample Conductivity (mS/cm)]]</f>
        <v>0</v>
      </c>
      <c r="K200">
        <f>pHCondMod[[#This Row],[Modification Description]]</f>
        <v>0</v>
      </c>
      <c r="L200" s="1">
        <f>NMRResults[[#This Row],[Date Run]]</f>
        <v>0</v>
      </c>
      <c r="M200" s="1">
        <f>ICPList[[#This Row],[Date Run]]</f>
        <v>0</v>
      </c>
      <c r="N200" s="1">
        <f>GCResults[[#This Row],[Date Run ]]</f>
        <v>0</v>
      </c>
    </row>
    <row r="201" spans="1:14" ht="14.45" x14ac:dyDescent="0.25">
      <c r="A201">
        <f>SampleList[[#This Row],[Experiment ID]]</f>
        <v>0</v>
      </c>
      <c r="B201">
        <f>SampleList[[#This Row],[Sample Description]]</f>
        <v>0</v>
      </c>
      <c r="C201" s="1">
        <f>SampleList[[#This Row],[Date Sampled]]</f>
        <v>0</v>
      </c>
      <c r="D201">
        <f>SampleList[[#This Row],[Duration (Days)]]</f>
        <v>0</v>
      </c>
      <c r="E201">
        <f>NMRResults[[#This Row],[Ammonium Concentration (mM)]]</f>
        <v>0</v>
      </c>
      <c r="F201" t="str">
        <f>GCResults[[#This Row],[H2 (ppm)]]</f>
        <v/>
      </c>
      <c r="G201">
        <f>GCResults[[#This Row],[Total Gas Volume (mL), gas cylinder = 3785mL]]</f>
        <v>0</v>
      </c>
      <c r="H201">
        <f>GCResults[[#This Row],[Pressure on Sampling (PSI), 145PSI=1MPa]]</f>
        <v>3552.5</v>
      </c>
      <c r="I201">
        <f>pHCondMod[[#This Row],[Sample pH]]</f>
        <v>0</v>
      </c>
      <c r="J201">
        <f>pHCondMod[[#This Row],[Sample Conductivity (mS/cm)]]</f>
        <v>0</v>
      </c>
      <c r="K201">
        <f>pHCondMod[[#This Row],[Modification Description]]</f>
        <v>0</v>
      </c>
      <c r="L201" s="1">
        <f>NMRResults[[#This Row],[Date Run]]</f>
        <v>0</v>
      </c>
      <c r="M201" s="1">
        <f>ICPList[[#This Row],[Date Run]]</f>
        <v>0</v>
      </c>
      <c r="N201" s="1">
        <f>GCResults[[#This Row],[Date Run ]]</f>
        <v>0</v>
      </c>
    </row>
    <row r="202" spans="1:14" ht="14.45" x14ac:dyDescent="0.25">
      <c r="A202">
        <f>SampleList[[#This Row],[Experiment ID]]</f>
        <v>0</v>
      </c>
      <c r="B202">
        <f>SampleList[[#This Row],[Sample Description]]</f>
        <v>0</v>
      </c>
      <c r="C202" s="1">
        <f>SampleList[[#This Row],[Date Sampled]]</f>
        <v>0</v>
      </c>
      <c r="D202">
        <f>SampleList[[#This Row],[Duration (Days)]]</f>
        <v>0</v>
      </c>
      <c r="E202">
        <f>NMRResults[[#This Row],[Ammonium Concentration (mM)]]</f>
        <v>0</v>
      </c>
      <c r="F202" t="str">
        <f>GCResults[[#This Row],[H2 (ppm)]]</f>
        <v/>
      </c>
      <c r="G202">
        <f>GCResults[[#This Row],[Total Gas Volume (mL), gas cylinder = 3785mL]]</f>
        <v>0</v>
      </c>
      <c r="H202">
        <f>GCResults[[#This Row],[Pressure on Sampling (PSI), 145PSI=1MPa]]</f>
        <v>3552.5</v>
      </c>
      <c r="I202">
        <f>pHCondMod[[#This Row],[Sample pH]]</f>
        <v>0</v>
      </c>
      <c r="J202">
        <f>pHCondMod[[#This Row],[Sample Conductivity (mS/cm)]]</f>
        <v>0</v>
      </c>
      <c r="K202">
        <f>pHCondMod[[#This Row],[Modification Description]]</f>
        <v>0</v>
      </c>
      <c r="L202" s="1">
        <f>NMRResults[[#This Row],[Date Run]]</f>
        <v>0</v>
      </c>
      <c r="M202" s="1">
        <f>ICPList[[#This Row],[Date Run]]</f>
        <v>0</v>
      </c>
      <c r="N202" s="1">
        <f>GCResults[[#This Row],[Date Run ]]</f>
        <v>0</v>
      </c>
    </row>
    <row r="203" spans="1:14" ht="14.45" x14ac:dyDescent="0.25">
      <c r="A203">
        <f>SampleList[[#This Row],[Experiment ID]]</f>
        <v>0</v>
      </c>
      <c r="B203">
        <f>SampleList[[#This Row],[Sample Description]]</f>
        <v>0</v>
      </c>
      <c r="C203" s="1">
        <f>SampleList[[#This Row],[Date Sampled]]</f>
        <v>0</v>
      </c>
      <c r="D203">
        <f>SampleList[[#This Row],[Duration (Days)]]</f>
        <v>0</v>
      </c>
      <c r="E203">
        <f>NMRResults[[#This Row],[Ammonium Concentration (mM)]]</f>
        <v>0</v>
      </c>
      <c r="F203" t="str">
        <f>GCResults[[#This Row],[H2 (ppm)]]</f>
        <v/>
      </c>
      <c r="G203">
        <f>GCResults[[#This Row],[Total Gas Volume (mL), gas cylinder = 3785mL]]</f>
        <v>0</v>
      </c>
      <c r="H203">
        <f>GCResults[[#This Row],[Pressure on Sampling (PSI), 145PSI=1MPa]]</f>
        <v>3552.5</v>
      </c>
      <c r="I203">
        <f>pHCondMod[[#This Row],[Sample pH]]</f>
        <v>0</v>
      </c>
      <c r="J203">
        <f>pHCondMod[[#This Row],[Sample Conductivity (mS/cm)]]</f>
        <v>0</v>
      </c>
      <c r="K203">
        <f>pHCondMod[[#This Row],[Modification Description]]</f>
        <v>0</v>
      </c>
      <c r="L203" s="1">
        <f>NMRResults[[#This Row],[Date Run]]</f>
        <v>0</v>
      </c>
      <c r="M203" s="1">
        <f>ICPList[[#This Row],[Date Run]]</f>
        <v>0</v>
      </c>
      <c r="N203" s="1">
        <f>GCResults[[#This Row],[Date Run ]]</f>
        <v>0</v>
      </c>
    </row>
    <row r="204" spans="1:14" ht="14.45" x14ac:dyDescent="0.25">
      <c r="A204">
        <f>SampleList[[#This Row],[Experiment ID]]</f>
        <v>0</v>
      </c>
      <c r="B204">
        <f>SampleList[[#This Row],[Sample Description]]</f>
        <v>0</v>
      </c>
      <c r="C204" s="1">
        <f>SampleList[[#This Row],[Date Sampled]]</f>
        <v>0</v>
      </c>
      <c r="D204">
        <f>SampleList[[#This Row],[Duration (Days)]]</f>
        <v>0</v>
      </c>
      <c r="E204">
        <f>NMRResults[[#This Row],[Ammonium Concentration (mM)]]</f>
        <v>0</v>
      </c>
      <c r="F204" t="str">
        <f>GCResults[[#This Row],[H2 (ppm)]]</f>
        <v/>
      </c>
      <c r="G204">
        <f>GCResults[[#This Row],[Total Gas Volume (mL), gas cylinder = 3785mL]]</f>
        <v>0</v>
      </c>
      <c r="H204">
        <f>GCResults[[#This Row],[Pressure on Sampling (PSI), 145PSI=1MPa]]</f>
        <v>3552.5</v>
      </c>
      <c r="I204">
        <f>pHCondMod[[#This Row],[Sample pH]]</f>
        <v>0</v>
      </c>
      <c r="J204">
        <f>pHCondMod[[#This Row],[Sample Conductivity (mS/cm)]]</f>
        <v>0</v>
      </c>
      <c r="K204">
        <f>pHCondMod[[#This Row],[Modification Description]]</f>
        <v>0</v>
      </c>
      <c r="L204" s="1">
        <f>NMRResults[[#This Row],[Date Run]]</f>
        <v>0</v>
      </c>
      <c r="M204" s="1">
        <f>ICPList[[#This Row],[Date Run]]</f>
        <v>0</v>
      </c>
      <c r="N204" s="1">
        <f>GCResults[[#This Row],[Date Run ]]</f>
        <v>0</v>
      </c>
    </row>
    <row r="205" spans="1:14" ht="14.45" x14ac:dyDescent="0.25">
      <c r="A205">
        <f>SampleList[[#This Row],[Experiment ID]]</f>
        <v>0</v>
      </c>
      <c r="B205">
        <f>SampleList[[#This Row],[Sample Description]]</f>
        <v>0</v>
      </c>
      <c r="C205" s="1">
        <f>SampleList[[#This Row],[Date Sampled]]</f>
        <v>0</v>
      </c>
      <c r="D205">
        <f>SampleList[[#This Row],[Duration (Days)]]</f>
        <v>0</v>
      </c>
      <c r="E205">
        <f>NMRResults[[#This Row],[Ammonium Concentration (mM)]]</f>
        <v>0</v>
      </c>
      <c r="F205" t="str">
        <f>GCResults[[#This Row],[H2 (ppm)]]</f>
        <v/>
      </c>
      <c r="G205">
        <f>GCResults[[#This Row],[Total Gas Volume (mL), gas cylinder = 3785mL]]</f>
        <v>0</v>
      </c>
      <c r="H205">
        <f>GCResults[[#This Row],[Pressure on Sampling (PSI), 145PSI=1MPa]]</f>
        <v>3552.5</v>
      </c>
      <c r="I205">
        <f>pHCondMod[[#This Row],[Sample pH]]</f>
        <v>0</v>
      </c>
      <c r="J205">
        <f>pHCondMod[[#This Row],[Sample Conductivity (mS/cm)]]</f>
        <v>0</v>
      </c>
      <c r="K205">
        <f>pHCondMod[[#This Row],[Modification Description]]</f>
        <v>0</v>
      </c>
      <c r="L205" s="1">
        <f>NMRResults[[#This Row],[Date Run]]</f>
        <v>0</v>
      </c>
      <c r="M205" s="1">
        <f>ICPList[[#This Row],[Date Run]]</f>
        <v>0</v>
      </c>
      <c r="N205" s="1">
        <f>GCResults[[#This Row],[Date Run ]]</f>
        <v>0</v>
      </c>
    </row>
    <row r="206" spans="1:14" ht="14.45" x14ac:dyDescent="0.25">
      <c r="A206">
        <f>SampleList[[#This Row],[Experiment ID]]</f>
        <v>0</v>
      </c>
      <c r="B206">
        <f>SampleList[[#This Row],[Sample Description]]</f>
        <v>0</v>
      </c>
      <c r="C206" s="1">
        <f>SampleList[[#This Row],[Date Sampled]]</f>
        <v>0</v>
      </c>
      <c r="D206">
        <f>SampleList[[#This Row],[Duration (Days)]]</f>
        <v>0</v>
      </c>
      <c r="E206">
        <f>NMRResults[[#This Row],[Ammonium Concentration (mM)]]</f>
        <v>0</v>
      </c>
      <c r="F206" t="str">
        <f>GCResults[[#This Row],[H2 (ppm)]]</f>
        <v/>
      </c>
      <c r="G206">
        <f>GCResults[[#This Row],[Total Gas Volume (mL), gas cylinder = 3785mL]]</f>
        <v>0</v>
      </c>
      <c r="H206">
        <f>GCResults[[#This Row],[Pressure on Sampling (PSI), 145PSI=1MPa]]</f>
        <v>3552.5</v>
      </c>
      <c r="I206">
        <f>pHCondMod[[#This Row],[Sample pH]]</f>
        <v>0</v>
      </c>
      <c r="J206">
        <f>pHCondMod[[#This Row],[Sample Conductivity (mS/cm)]]</f>
        <v>0</v>
      </c>
      <c r="K206">
        <f>pHCondMod[[#This Row],[Modification Description]]</f>
        <v>0</v>
      </c>
      <c r="L206" s="1">
        <f>NMRResults[[#This Row],[Date Run]]</f>
        <v>0</v>
      </c>
      <c r="M206" s="1">
        <f>ICPList[[#This Row],[Date Run]]</f>
        <v>0</v>
      </c>
      <c r="N206" s="1">
        <f>GCResults[[#This Row],[Date Run ]]</f>
        <v>0</v>
      </c>
    </row>
    <row r="207" spans="1:14" ht="14.45" x14ac:dyDescent="0.25">
      <c r="A207">
        <f>SampleList[[#This Row],[Experiment ID]]</f>
        <v>0</v>
      </c>
      <c r="B207">
        <f>SampleList[[#This Row],[Sample Description]]</f>
        <v>0</v>
      </c>
      <c r="C207" s="1">
        <f>SampleList[[#This Row],[Date Sampled]]</f>
        <v>0</v>
      </c>
      <c r="D207">
        <f>SampleList[[#This Row],[Duration (Days)]]</f>
        <v>0</v>
      </c>
      <c r="E207">
        <f>NMRResults[[#This Row],[Ammonium Concentration (mM)]]</f>
        <v>0</v>
      </c>
      <c r="F207" t="str">
        <f>GCResults[[#This Row],[H2 (ppm)]]</f>
        <v/>
      </c>
      <c r="G207">
        <f>GCResults[[#This Row],[Total Gas Volume (mL), gas cylinder = 3785mL]]</f>
        <v>0</v>
      </c>
      <c r="H207">
        <f>GCResults[[#This Row],[Pressure on Sampling (PSI), 145PSI=1MPa]]</f>
        <v>3552.5</v>
      </c>
      <c r="I207">
        <f>pHCondMod[[#This Row],[Sample pH]]</f>
        <v>0</v>
      </c>
      <c r="J207">
        <f>pHCondMod[[#This Row],[Sample Conductivity (mS/cm)]]</f>
        <v>0</v>
      </c>
      <c r="K207">
        <f>pHCondMod[[#This Row],[Modification Description]]</f>
        <v>0</v>
      </c>
      <c r="L207" s="1">
        <f>NMRResults[[#This Row],[Date Run]]</f>
        <v>0</v>
      </c>
      <c r="M207" s="1">
        <f>ICPList[[#This Row],[Date Run]]</f>
        <v>0</v>
      </c>
      <c r="N207" s="1">
        <f>GCResults[[#This Row],[Date Run ]]</f>
        <v>0</v>
      </c>
    </row>
    <row r="208" spans="1:14" ht="14.45" x14ac:dyDescent="0.25">
      <c r="A208">
        <f>SampleList[[#This Row],[Experiment ID]]</f>
        <v>0</v>
      </c>
      <c r="B208">
        <f>SampleList[[#This Row],[Sample Description]]</f>
        <v>0</v>
      </c>
      <c r="C208" s="1">
        <f>SampleList[[#This Row],[Date Sampled]]</f>
        <v>0</v>
      </c>
      <c r="D208">
        <f>SampleList[[#This Row],[Duration (Days)]]</f>
        <v>0</v>
      </c>
      <c r="E208">
        <f>NMRResults[[#This Row],[Ammonium Concentration (mM)]]</f>
        <v>0</v>
      </c>
      <c r="F208" t="str">
        <f>GCResults[[#This Row],[H2 (ppm)]]</f>
        <v/>
      </c>
      <c r="G208">
        <f>GCResults[[#This Row],[Total Gas Volume (mL), gas cylinder = 3785mL]]</f>
        <v>0</v>
      </c>
      <c r="H208">
        <f>GCResults[[#This Row],[Pressure on Sampling (PSI), 145PSI=1MPa]]</f>
        <v>3552.5</v>
      </c>
      <c r="I208">
        <f>pHCondMod[[#This Row],[Sample pH]]</f>
        <v>0</v>
      </c>
      <c r="J208">
        <f>pHCondMod[[#This Row],[Sample Conductivity (mS/cm)]]</f>
        <v>0</v>
      </c>
      <c r="K208">
        <f>pHCondMod[[#This Row],[Modification Description]]</f>
        <v>0</v>
      </c>
      <c r="L208" s="1">
        <f>NMRResults[[#This Row],[Date Run]]</f>
        <v>0</v>
      </c>
      <c r="M208" s="1">
        <f>ICPList[[#This Row],[Date Run]]</f>
        <v>0</v>
      </c>
      <c r="N208" s="1">
        <f>GCResults[[#This Row],[Date Run ]]</f>
        <v>0</v>
      </c>
    </row>
    <row r="209" spans="1:14" ht="14.45" x14ac:dyDescent="0.25">
      <c r="A209">
        <f>SampleList[[#This Row],[Experiment ID]]</f>
        <v>0</v>
      </c>
      <c r="B209">
        <f>SampleList[[#This Row],[Sample Description]]</f>
        <v>0</v>
      </c>
      <c r="C209" s="1">
        <f>SampleList[[#This Row],[Date Sampled]]</f>
        <v>0</v>
      </c>
      <c r="D209">
        <f>SampleList[[#This Row],[Duration (Days)]]</f>
        <v>0</v>
      </c>
      <c r="E209">
        <f>NMRResults[[#This Row],[Ammonium Concentration (mM)]]</f>
        <v>0</v>
      </c>
      <c r="F209" t="str">
        <f>GCResults[[#This Row],[H2 (ppm)]]</f>
        <v/>
      </c>
      <c r="G209">
        <f>GCResults[[#This Row],[Total Gas Volume (mL), gas cylinder = 3785mL]]</f>
        <v>0</v>
      </c>
      <c r="H209">
        <f>GCResults[[#This Row],[Pressure on Sampling (PSI), 145PSI=1MPa]]</f>
        <v>3552.5</v>
      </c>
      <c r="I209">
        <f>pHCondMod[[#This Row],[Sample pH]]</f>
        <v>0</v>
      </c>
      <c r="J209">
        <f>pHCondMod[[#This Row],[Sample Conductivity (mS/cm)]]</f>
        <v>0</v>
      </c>
      <c r="K209">
        <f>pHCondMod[[#This Row],[Modification Description]]</f>
        <v>0</v>
      </c>
      <c r="L209" s="1">
        <f>NMRResults[[#This Row],[Date Run]]</f>
        <v>0</v>
      </c>
      <c r="M209" s="1">
        <f>ICPList[[#This Row],[Date Run]]</f>
        <v>0</v>
      </c>
      <c r="N209" s="1">
        <f>GCResults[[#This Row],[Date Run ]]</f>
        <v>0</v>
      </c>
    </row>
    <row r="210" spans="1:14" ht="14.45" x14ac:dyDescent="0.25">
      <c r="A210">
        <f>SampleList[[#This Row],[Experiment ID]]</f>
        <v>0</v>
      </c>
      <c r="B210">
        <f>SampleList[[#This Row],[Sample Description]]</f>
        <v>0</v>
      </c>
      <c r="C210" s="1">
        <f>SampleList[[#This Row],[Date Sampled]]</f>
        <v>0</v>
      </c>
      <c r="D210">
        <f>SampleList[[#This Row],[Duration (Days)]]</f>
        <v>0</v>
      </c>
      <c r="E210">
        <f>NMRResults[[#This Row],[Ammonium Concentration (mM)]]</f>
        <v>0</v>
      </c>
      <c r="F210" t="str">
        <f>GCResults[[#This Row],[H2 (ppm)]]</f>
        <v/>
      </c>
      <c r="G210">
        <f>GCResults[[#This Row],[Total Gas Volume (mL), gas cylinder = 3785mL]]</f>
        <v>0</v>
      </c>
      <c r="H210">
        <f>GCResults[[#This Row],[Pressure on Sampling (PSI), 145PSI=1MPa]]</f>
        <v>3552.5</v>
      </c>
      <c r="I210">
        <f>pHCondMod[[#This Row],[Sample pH]]</f>
        <v>0</v>
      </c>
      <c r="J210">
        <f>pHCondMod[[#This Row],[Sample Conductivity (mS/cm)]]</f>
        <v>0</v>
      </c>
      <c r="K210">
        <f>pHCondMod[[#This Row],[Modification Description]]</f>
        <v>0</v>
      </c>
      <c r="L210" s="1">
        <f>NMRResults[[#This Row],[Date Run]]</f>
        <v>0</v>
      </c>
      <c r="M210" s="1">
        <f>ICPList[[#This Row],[Date Run]]</f>
        <v>0</v>
      </c>
      <c r="N210" s="1">
        <f>GCResults[[#This Row],[Date Run ]]</f>
        <v>0</v>
      </c>
    </row>
    <row r="211" spans="1:14" ht="14.45" x14ac:dyDescent="0.25">
      <c r="A211">
        <f>SampleList[[#This Row],[Experiment ID]]</f>
        <v>0</v>
      </c>
      <c r="B211">
        <f>SampleList[[#This Row],[Sample Description]]</f>
        <v>0</v>
      </c>
      <c r="C211" s="1">
        <f>SampleList[[#This Row],[Date Sampled]]</f>
        <v>0</v>
      </c>
      <c r="D211">
        <f>SampleList[[#This Row],[Duration (Days)]]</f>
        <v>0</v>
      </c>
      <c r="E211">
        <f>NMRResults[[#This Row],[Ammonium Concentration (mM)]]</f>
        <v>0</v>
      </c>
      <c r="F211" t="str">
        <f>GCResults[[#This Row],[H2 (ppm)]]</f>
        <v/>
      </c>
      <c r="G211">
        <f>GCResults[[#This Row],[Total Gas Volume (mL), gas cylinder = 3785mL]]</f>
        <v>0</v>
      </c>
      <c r="H211">
        <f>GCResults[[#This Row],[Pressure on Sampling (PSI), 145PSI=1MPa]]</f>
        <v>3552.5</v>
      </c>
      <c r="I211">
        <f>pHCondMod[[#This Row],[Sample pH]]</f>
        <v>0</v>
      </c>
      <c r="J211">
        <f>pHCondMod[[#This Row],[Sample Conductivity (mS/cm)]]</f>
        <v>0</v>
      </c>
      <c r="K211">
        <f>pHCondMod[[#This Row],[Modification Description]]</f>
        <v>0</v>
      </c>
      <c r="L211" s="1">
        <f>NMRResults[[#This Row],[Date Run]]</f>
        <v>0</v>
      </c>
      <c r="M211" s="1">
        <f>ICPList[[#This Row],[Date Run]]</f>
        <v>0</v>
      </c>
      <c r="N211" s="1">
        <f>GCResults[[#This Row],[Date Run ]]</f>
        <v>0</v>
      </c>
    </row>
    <row r="212" spans="1:14" ht="14.45" x14ac:dyDescent="0.25">
      <c r="A212">
        <f>SampleList[[#This Row],[Experiment ID]]</f>
        <v>0</v>
      </c>
      <c r="B212">
        <f>SampleList[[#This Row],[Sample Description]]</f>
        <v>0</v>
      </c>
      <c r="C212" s="1">
        <f>SampleList[[#This Row],[Date Sampled]]</f>
        <v>0</v>
      </c>
      <c r="D212">
        <f>SampleList[[#This Row],[Duration (Days)]]</f>
        <v>0</v>
      </c>
      <c r="E212">
        <f>NMRResults[[#This Row],[Ammonium Concentration (mM)]]</f>
        <v>0</v>
      </c>
      <c r="F212" t="str">
        <f>GCResults[[#This Row],[H2 (ppm)]]</f>
        <v/>
      </c>
      <c r="G212">
        <f>GCResults[[#This Row],[Total Gas Volume (mL), gas cylinder = 3785mL]]</f>
        <v>0</v>
      </c>
      <c r="H212">
        <f>GCResults[[#This Row],[Pressure on Sampling (PSI), 145PSI=1MPa]]</f>
        <v>3552.5</v>
      </c>
      <c r="I212">
        <f>pHCondMod[[#This Row],[Sample pH]]</f>
        <v>0</v>
      </c>
      <c r="J212">
        <f>pHCondMod[[#This Row],[Sample Conductivity (mS/cm)]]</f>
        <v>0</v>
      </c>
      <c r="K212">
        <f>pHCondMod[[#This Row],[Modification Description]]</f>
        <v>0</v>
      </c>
      <c r="L212" s="1">
        <f>NMRResults[[#This Row],[Date Run]]</f>
        <v>0</v>
      </c>
      <c r="M212" s="1">
        <f>ICPList[[#This Row],[Date Run]]</f>
        <v>0</v>
      </c>
      <c r="N212" s="1">
        <f>GCResults[[#This Row],[Date Run ]]</f>
        <v>0</v>
      </c>
    </row>
    <row r="213" spans="1:14" ht="14.45" x14ac:dyDescent="0.25">
      <c r="A213">
        <f>SampleList[[#This Row],[Experiment ID]]</f>
        <v>0</v>
      </c>
      <c r="B213">
        <f>SampleList[[#This Row],[Sample Description]]</f>
        <v>0</v>
      </c>
      <c r="C213" s="1">
        <f>SampleList[[#This Row],[Date Sampled]]</f>
        <v>0</v>
      </c>
      <c r="D213">
        <f>SampleList[[#This Row],[Duration (Days)]]</f>
        <v>0</v>
      </c>
      <c r="E213">
        <f>NMRResults[[#This Row],[Ammonium Concentration (mM)]]</f>
        <v>0</v>
      </c>
      <c r="F213" t="str">
        <f>GCResults[[#This Row],[H2 (ppm)]]</f>
        <v/>
      </c>
      <c r="G213">
        <f>GCResults[[#This Row],[Total Gas Volume (mL), gas cylinder = 3785mL]]</f>
        <v>0</v>
      </c>
      <c r="H213">
        <f>GCResults[[#This Row],[Pressure on Sampling (PSI), 145PSI=1MPa]]</f>
        <v>3552.5</v>
      </c>
      <c r="I213">
        <f>pHCondMod[[#This Row],[Sample pH]]</f>
        <v>0</v>
      </c>
      <c r="J213">
        <f>pHCondMod[[#This Row],[Sample Conductivity (mS/cm)]]</f>
        <v>0</v>
      </c>
      <c r="K213">
        <f>pHCondMod[[#This Row],[Modification Description]]</f>
        <v>0</v>
      </c>
      <c r="L213" s="1">
        <f>NMRResults[[#This Row],[Date Run]]</f>
        <v>0</v>
      </c>
      <c r="M213" s="1">
        <f>ICPList[[#This Row],[Date Run]]</f>
        <v>0</v>
      </c>
      <c r="N213" s="1">
        <f>GCResults[[#This Row],[Date Run ]]</f>
        <v>0</v>
      </c>
    </row>
    <row r="214" spans="1:14" ht="14.45" x14ac:dyDescent="0.25">
      <c r="A214">
        <f>SampleList[[#This Row],[Experiment ID]]</f>
        <v>0</v>
      </c>
      <c r="B214">
        <f>SampleList[[#This Row],[Sample Description]]</f>
        <v>0</v>
      </c>
      <c r="C214" s="1">
        <f>SampleList[[#This Row],[Date Sampled]]</f>
        <v>0</v>
      </c>
      <c r="D214">
        <f>SampleList[[#This Row],[Duration (Days)]]</f>
        <v>0</v>
      </c>
      <c r="E214">
        <f>NMRResults[[#This Row],[Ammonium Concentration (mM)]]</f>
        <v>0</v>
      </c>
      <c r="F214" t="str">
        <f>GCResults[[#This Row],[H2 (ppm)]]</f>
        <v/>
      </c>
      <c r="G214">
        <f>GCResults[[#This Row],[Total Gas Volume (mL), gas cylinder = 3785mL]]</f>
        <v>0</v>
      </c>
      <c r="H214">
        <f>GCResults[[#This Row],[Pressure on Sampling (PSI), 145PSI=1MPa]]</f>
        <v>3552.5</v>
      </c>
      <c r="I214">
        <f>pHCondMod[[#This Row],[Sample pH]]</f>
        <v>0</v>
      </c>
      <c r="J214">
        <f>pHCondMod[[#This Row],[Sample Conductivity (mS/cm)]]</f>
        <v>0</v>
      </c>
      <c r="K214">
        <f>pHCondMod[[#This Row],[Modification Description]]</f>
        <v>0</v>
      </c>
      <c r="L214" s="1">
        <f>NMRResults[[#This Row],[Date Run]]</f>
        <v>0</v>
      </c>
      <c r="M214" s="1">
        <f>ICPList[[#This Row],[Date Run]]</f>
        <v>0</v>
      </c>
      <c r="N214" s="1">
        <f>GCResults[[#This Row],[Date Run ]]</f>
        <v>0</v>
      </c>
    </row>
    <row r="215" spans="1:14" ht="14.45" x14ac:dyDescent="0.25">
      <c r="A215">
        <f>SampleList[[#This Row],[Experiment ID]]</f>
        <v>0</v>
      </c>
      <c r="B215">
        <f>SampleList[[#This Row],[Sample Description]]</f>
        <v>0</v>
      </c>
      <c r="C215" s="1">
        <f>SampleList[[#This Row],[Date Sampled]]</f>
        <v>0</v>
      </c>
      <c r="D215">
        <f>SampleList[[#This Row],[Duration (Days)]]</f>
        <v>0</v>
      </c>
      <c r="E215">
        <f>NMRResults[[#This Row],[Ammonium Concentration (mM)]]</f>
        <v>0</v>
      </c>
      <c r="F215" t="str">
        <f>GCResults[[#This Row],[H2 (ppm)]]</f>
        <v/>
      </c>
      <c r="G215">
        <f>GCResults[[#This Row],[Total Gas Volume (mL), gas cylinder = 3785mL]]</f>
        <v>0</v>
      </c>
      <c r="H215">
        <f>GCResults[[#This Row],[Pressure on Sampling (PSI), 145PSI=1MPa]]</f>
        <v>3552.5</v>
      </c>
      <c r="I215">
        <f>pHCondMod[[#This Row],[Sample pH]]</f>
        <v>0</v>
      </c>
      <c r="J215">
        <f>pHCondMod[[#This Row],[Sample Conductivity (mS/cm)]]</f>
        <v>0</v>
      </c>
      <c r="K215">
        <f>pHCondMod[[#This Row],[Modification Description]]</f>
        <v>0</v>
      </c>
      <c r="L215" s="1">
        <f>NMRResults[[#This Row],[Date Run]]</f>
        <v>0</v>
      </c>
      <c r="M215" s="1">
        <f>ICPList[[#This Row],[Date Run]]</f>
        <v>0</v>
      </c>
      <c r="N215" s="1">
        <f>GCResults[[#This Row],[Date Run ]]</f>
        <v>0</v>
      </c>
    </row>
    <row r="216" spans="1:14" ht="14.45" x14ac:dyDescent="0.25">
      <c r="A216">
        <f>SampleList[[#This Row],[Experiment ID]]</f>
        <v>0</v>
      </c>
      <c r="B216">
        <f>SampleList[[#This Row],[Sample Description]]</f>
        <v>0</v>
      </c>
      <c r="C216" s="1">
        <f>SampleList[[#This Row],[Date Sampled]]</f>
        <v>0</v>
      </c>
      <c r="D216">
        <f>SampleList[[#This Row],[Duration (Days)]]</f>
        <v>0</v>
      </c>
      <c r="E216">
        <f>NMRResults[[#This Row],[Ammonium Concentration (mM)]]</f>
        <v>0</v>
      </c>
      <c r="F216" t="str">
        <f>GCResults[[#This Row],[H2 (ppm)]]</f>
        <v/>
      </c>
      <c r="G216">
        <f>GCResults[[#This Row],[Total Gas Volume (mL), gas cylinder = 3785mL]]</f>
        <v>0</v>
      </c>
      <c r="H216">
        <f>GCResults[[#This Row],[Pressure on Sampling (PSI), 145PSI=1MPa]]</f>
        <v>3552.5</v>
      </c>
      <c r="I216">
        <f>pHCondMod[[#This Row],[Sample pH]]</f>
        <v>0</v>
      </c>
      <c r="J216">
        <f>pHCondMod[[#This Row],[Sample Conductivity (mS/cm)]]</f>
        <v>0</v>
      </c>
      <c r="K216">
        <f>pHCondMod[[#This Row],[Modification Description]]</f>
        <v>0</v>
      </c>
      <c r="L216" s="1">
        <f>NMRResults[[#This Row],[Date Run]]</f>
        <v>0</v>
      </c>
      <c r="M216" s="1">
        <f>ICPList[[#This Row],[Date Run]]</f>
        <v>0</v>
      </c>
      <c r="N216" s="1">
        <f>GCResults[[#This Row],[Date Run ]]</f>
        <v>0</v>
      </c>
    </row>
    <row r="217" spans="1:14" ht="14.45" x14ac:dyDescent="0.25">
      <c r="A217">
        <f>SampleList[[#This Row],[Experiment ID]]</f>
        <v>0</v>
      </c>
      <c r="B217">
        <f>SampleList[[#This Row],[Sample Description]]</f>
        <v>0</v>
      </c>
      <c r="C217" s="1">
        <f>SampleList[[#This Row],[Date Sampled]]</f>
        <v>0</v>
      </c>
      <c r="D217">
        <f>SampleList[[#This Row],[Duration (Days)]]</f>
        <v>0</v>
      </c>
      <c r="E217">
        <f>NMRResults[[#This Row],[Ammonium Concentration (mM)]]</f>
        <v>0</v>
      </c>
      <c r="F217" t="str">
        <f>GCResults[[#This Row],[H2 (ppm)]]</f>
        <v/>
      </c>
      <c r="G217">
        <f>GCResults[[#This Row],[Total Gas Volume (mL), gas cylinder = 3785mL]]</f>
        <v>0</v>
      </c>
      <c r="H217">
        <f>GCResults[[#This Row],[Pressure on Sampling (PSI), 145PSI=1MPa]]</f>
        <v>3552.5</v>
      </c>
      <c r="I217">
        <f>pHCondMod[[#This Row],[Sample pH]]</f>
        <v>0</v>
      </c>
      <c r="J217">
        <f>pHCondMod[[#This Row],[Sample Conductivity (mS/cm)]]</f>
        <v>0</v>
      </c>
      <c r="K217">
        <f>pHCondMod[[#This Row],[Modification Description]]</f>
        <v>0</v>
      </c>
      <c r="L217" s="1">
        <f>NMRResults[[#This Row],[Date Run]]</f>
        <v>0</v>
      </c>
      <c r="M217" s="1">
        <f>ICPList[[#This Row],[Date Run]]</f>
        <v>0</v>
      </c>
      <c r="N217" s="1">
        <f>GCResults[[#This Row],[Date Run ]]</f>
        <v>0</v>
      </c>
    </row>
    <row r="218" spans="1:14" ht="14.45" x14ac:dyDescent="0.25">
      <c r="A218">
        <f>SampleList[[#This Row],[Experiment ID]]</f>
        <v>0</v>
      </c>
      <c r="B218">
        <f>SampleList[[#This Row],[Sample Description]]</f>
        <v>0</v>
      </c>
      <c r="C218" s="1">
        <f>SampleList[[#This Row],[Date Sampled]]</f>
        <v>0</v>
      </c>
      <c r="D218">
        <f>SampleList[[#This Row],[Duration (Days)]]</f>
        <v>0</v>
      </c>
      <c r="E218">
        <f>NMRResults[[#This Row],[Ammonium Concentration (mM)]]</f>
        <v>0</v>
      </c>
      <c r="F218" t="str">
        <f>GCResults[[#This Row],[H2 (ppm)]]</f>
        <v/>
      </c>
      <c r="G218">
        <f>GCResults[[#This Row],[Total Gas Volume (mL), gas cylinder = 3785mL]]</f>
        <v>0</v>
      </c>
      <c r="H218">
        <f>GCResults[[#This Row],[Pressure on Sampling (PSI), 145PSI=1MPa]]</f>
        <v>3552.5</v>
      </c>
      <c r="I218">
        <f>pHCondMod[[#This Row],[Sample pH]]</f>
        <v>0</v>
      </c>
      <c r="J218">
        <f>pHCondMod[[#This Row],[Sample Conductivity (mS/cm)]]</f>
        <v>0</v>
      </c>
      <c r="K218">
        <f>pHCondMod[[#This Row],[Modification Description]]</f>
        <v>0</v>
      </c>
      <c r="L218" s="1">
        <f>NMRResults[[#This Row],[Date Run]]</f>
        <v>0</v>
      </c>
      <c r="M218" s="1">
        <f>ICPList[[#This Row],[Date Run]]</f>
        <v>0</v>
      </c>
      <c r="N218" s="1">
        <f>GCResults[[#This Row],[Date Run ]]</f>
        <v>0</v>
      </c>
    </row>
    <row r="219" spans="1:14" ht="14.45" x14ac:dyDescent="0.25">
      <c r="A219">
        <f>SampleList[[#This Row],[Experiment ID]]</f>
        <v>0</v>
      </c>
      <c r="B219">
        <f>SampleList[[#This Row],[Sample Description]]</f>
        <v>0</v>
      </c>
      <c r="C219" s="1">
        <f>SampleList[[#This Row],[Date Sampled]]</f>
        <v>0</v>
      </c>
      <c r="D219">
        <f>SampleList[[#This Row],[Duration (Days)]]</f>
        <v>0</v>
      </c>
      <c r="E219">
        <f>NMRResults[[#This Row],[Ammonium Concentration (mM)]]</f>
        <v>0</v>
      </c>
      <c r="F219" t="str">
        <f>GCResults[[#This Row],[H2 (ppm)]]</f>
        <v/>
      </c>
      <c r="G219">
        <f>GCResults[[#This Row],[Total Gas Volume (mL), gas cylinder = 3785mL]]</f>
        <v>0</v>
      </c>
      <c r="H219">
        <f>GCResults[[#This Row],[Pressure on Sampling (PSI), 145PSI=1MPa]]</f>
        <v>3552.5</v>
      </c>
      <c r="I219">
        <f>pHCondMod[[#This Row],[Sample pH]]</f>
        <v>0</v>
      </c>
      <c r="J219">
        <f>pHCondMod[[#This Row],[Sample Conductivity (mS/cm)]]</f>
        <v>0</v>
      </c>
      <c r="K219">
        <f>pHCondMod[[#This Row],[Modification Description]]</f>
        <v>0</v>
      </c>
      <c r="L219" s="1">
        <f>NMRResults[[#This Row],[Date Run]]</f>
        <v>0</v>
      </c>
      <c r="M219" s="1">
        <f>ICPList[[#This Row],[Date Run]]</f>
        <v>0</v>
      </c>
      <c r="N219" s="1">
        <f>GCResults[[#This Row],[Date Run ]]</f>
        <v>0</v>
      </c>
    </row>
    <row r="220" spans="1:14" ht="14.45" x14ac:dyDescent="0.25">
      <c r="A220">
        <f>SampleList[[#This Row],[Experiment ID]]</f>
        <v>0</v>
      </c>
      <c r="B220">
        <f>SampleList[[#This Row],[Sample Description]]</f>
        <v>0</v>
      </c>
      <c r="C220" s="1">
        <f>SampleList[[#This Row],[Date Sampled]]</f>
        <v>0</v>
      </c>
      <c r="D220">
        <f>SampleList[[#This Row],[Duration (Days)]]</f>
        <v>0</v>
      </c>
      <c r="E220">
        <f>NMRResults[[#This Row],[Ammonium Concentration (mM)]]</f>
        <v>0</v>
      </c>
      <c r="F220" t="str">
        <f>GCResults[[#This Row],[H2 (ppm)]]</f>
        <v/>
      </c>
      <c r="G220">
        <f>GCResults[[#This Row],[Total Gas Volume (mL), gas cylinder = 3785mL]]</f>
        <v>0</v>
      </c>
      <c r="H220">
        <f>GCResults[[#This Row],[Pressure on Sampling (PSI), 145PSI=1MPa]]</f>
        <v>3552.5</v>
      </c>
      <c r="I220">
        <f>pHCondMod[[#This Row],[Sample pH]]</f>
        <v>0</v>
      </c>
      <c r="J220">
        <f>pHCondMod[[#This Row],[Sample Conductivity (mS/cm)]]</f>
        <v>0</v>
      </c>
      <c r="K220">
        <f>pHCondMod[[#This Row],[Modification Description]]</f>
        <v>0</v>
      </c>
      <c r="L220" s="1">
        <f>NMRResults[[#This Row],[Date Run]]</f>
        <v>0</v>
      </c>
      <c r="M220" s="1">
        <f>ICPList[[#This Row],[Date Run]]</f>
        <v>0</v>
      </c>
      <c r="N220" s="1">
        <f>GCResults[[#This Row],[Date Run ]]</f>
        <v>0</v>
      </c>
    </row>
    <row r="221" spans="1:14" ht="14.45" x14ac:dyDescent="0.25">
      <c r="A221">
        <f>SampleList[[#This Row],[Experiment ID]]</f>
        <v>0</v>
      </c>
      <c r="B221">
        <f>SampleList[[#This Row],[Sample Description]]</f>
        <v>0</v>
      </c>
      <c r="C221" s="1">
        <f>SampleList[[#This Row],[Date Sampled]]</f>
        <v>0</v>
      </c>
      <c r="D221">
        <f>SampleList[[#This Row],[Duration (Days)]]</f>
        <v>0</v>
      </c>
      <c r="E221">
        <f>NMRResults[[#This Row],[Ammonium Concentration (mM)]]</f>
        <v>0</v>
      </c>
      <c r="F221" t="str">
        <f>GCResults[[#This Row],[H2 (ppm)]]</f>
        <v/>
      </c>
      <c r="G221">
        <f>GCResults[[#This Row],[Total Gas Volume (mL), gas cylinder = 3785mL]]</f>
        <v>0</v>
      </c>
      <c r="H221">
        <f>GCResults[[#This Row],[Pressure on Sampling (PSI), 145PSI=1MPa]]</f>
        <v>3552.5</v>
      </c>
      <c r="I221">
        <f>pHCondMod[[#This Row],[Sample pH]]</f>
        <v>0</v>
      </c>
      <c r="J221">
        <f>pHCondMod[[#This Row],[Sample Conductivity (mS/cm)]]</f>
        <v>0</v>
      </c>
      <c r="K221">
        <f>pHCondMod[[#This Row],[Modification Description]]</f>
        <v>0</v>
      </c>
      <c r="L221" s="1">
        <f>NMRResults[[#This Row],[Date Run]]</f>
        <v>0</v>
      </c>
      <c r="M221" s="1">
        <f>ICPList[[#This Row],[Date Run]]</f>
        <v>0</v>
      </c>
      <c r="N221" s="1">
        <f>GCResults[[#This Row],[Date Run ]]</f>
        <v>0</v>
      </c>
    </row>
    <row r="222" spans="1:14" ht="14.45" x14ac:dyDescent="0.25">
      <c r="A222">
        <f>SampleList[[#This Row],[Experiment ID]]</f>
        <v>0</v>
      </c>
      <c r="B222">
        <f>SampleList[[#This Row],[Sample Description]]</f>
        <v>0</v>
      </c>
      <c r="C222" s="1">
        <f>SampleList[[#This Row],[Date Sampled]]</f>
        <v>0</v>
      </c>
      <c r="D222">
        <f>SampleList[[#This Row],[Duration (Days)]]</f>
        <v>0</v>
      </c>
      <c r="E222">
        <f>NMRResults[[#This Row],[Ammonium Concentration (mM)]]</f>
        <v>0</v>
      </c>
      <c r="F222" t="str">
        <f>GCResults[[#This Row],[H2 (ppm)]]</f>
        <v/>
      </c>
      <c r="G222">
        <f>GCResults[[#This Row],[Total Gas Volume (mL), gas cylinder = 3785mL]]</f>
        <v>0</v>
      </c>
      <c r="H222">
        <f>GCResults[[#This Row],[Pressure on Sampling (PSI), 145PSI=1MPa]]</f>
        <v>3552.5</v>
      </c>
      <c r="I222">
        <f>pHCondMod[[#This Row],[Sample pH]]</f>
        <v>0</v>
      </c>
      <c r="J222">
        <f>pHCondMod[[#This Row],[Sample Conductivity (mS/cm)]]</f>
        <v>0</v>
      </c>
      <c r="K222">
        <f>pHCondMod[[#This Row],[Modification Description]]</f>
        <v>0</v>
      </c>
      <c r="L222" s="1">
        <f>NMRResults[[#This Row],[Date Run]]</f>
        <v>0</v>
      </c>
      <c r="M222" s="1">
        <f>ICPList[[#This Row],[Date Run]]</f>
        <v>0</v>
      </c>
      <c r="N222" s="1">
        <f>GCResults[[#This Row],[Date Run ]]</f>
        <v>0</v>
      </c>
    </row>
    <row r="223" spans="1:14" ht="14.45" x14ac:dyDescent="0.25">
      <c r="A223">
        <f>SampleList[[#This Row],[Experiment ID]]</f>
        <v>0</v>
      </c>
      <c r="B223">
        <f>SampleList[[#This Row],[Sample Description]]</f>
        <v>0</v>
      </c>
      <c r="C223" s="1">
        <f>SampleList[[#This Row],[Date Sampled]]</f>
        <v>0</v>
      </c>
      <c r="D223">
        <f>SampleList[[#This Row],[Duration (Days)]]</f>
        <v>0</v>
      </c>
      <c r="E223">
        <f>NMRResults[[#This Row],[Ammonium Concentration (mM)]]</f>
        <v>0</v>
      </c>
      <c r="F223" t="str">
        <f>GCResults[[#This Row],[H2 (ppm)]]</f>
        <v/>
      </c>
      <c r="G223">
        <f>GCResults[[#This Row],[Total Gas Volume (mL), gas cylinder = 3785mL]]</f>
        <v>0</v>
      </c>
      <c r="H223">
        <f>GCResults[[#This Row],[Pressure on Sampling (PSI), 145PSI=1MPa]]</f>
        <v>3552.5</v>
      </c>
      <c r="I223">
        <f>pHCondMod[[#This Row],[Sample pH]]</f>
        <v>0</v>
      </c>
      <c r="J223">
        <f>pHCondMod[[#This Row],[Sample Conductivity (mS/cm)]]</f>
        <v>0</v>
      </c>
      <c r="K223">
        <f>pHCondMod[[#This Row],[Modification Description]]</f>
        <v>0</v>
      </c>
      <c r="L223" s="1">
        <f>NMRResults[[#This Row],[Date Run]]</f>
        <v>0</v>
      </c>
      <c r="M223" s="1">
        <f>ICPList[[#This Row],[Date Run]]</f>
        <v>0</v>
      </c>
      <c r="N223" s="1">
        <f>GCResults[[#This Row],[Date Run ]]</f>
        <v>0</v>
      </c>
    </row>
    <row r="224" spans="1:14" ht="14.45" x14ac:dyDescent="0.25">
      <c r="A224">
        <f>SampleList[[#This Row],[Experiment ID]]</f>
        <v>0</v>
      </c>
      <c r="B224">
        <f>SampleList[[#This Row],[Sample Description]]</f>
        <v>0</v>
      </c>
      <c r="C224" s="1">
        <f>SampleList[[#This Row],[Date Sampled]]</f>
        <v>0</v>
      </c>
      <c r="D224">
        <f>SampleList[[#This Row],[Duration (Days)]]</f>
        <v>0</v>
      </c>
      <c r="E224">
        <f>NMRResults[[#This Row],[Ammonium Concentration (mM)]]</f>
        <v>0</v>
      </c>
      <c r="F224" t="str">
        <f>GCResults[[#This Row],[H2 (ppm)]]</f>
        <v/>
      </c>
      <c r="G224">
        <f>GCResults[[#This Row],[Total Gas Volume (mL), gas cylinder = 3785mL]]</f>
        <v>0</v>
      </c>
      <c r="H224">
        <f>GCResults[[#This Row],[Pressure on Sampling (PSI), 145PSI=1MPa]]</f>
        <v>3552.5</v>
      </c>
      <c r="I224">
        <f>pHCondMod[[#This Row],[Sample pH]]</f>
        <v>0</v>
      </c>
      <c r="J224">
        <f>pHCondMod[[#This Row],[Sample Conductivity (mS/cm)]]</f>
        <v>0</v>
      </c>
      <c r="K224">
        <f>pHCondMod[[#This Row],[Modification Description]]</f>
        <v>0</v>
      </c>
      <c r="L224" s="1">
        <f>NMRResults[[#This Row],[Date Run]]</f>
        <v>0</v>
      </c>
      <c r="M224" s="1">
        <f>ICPList[[#This Row],[Date Run]]</f>
        <v>0</v>
      </c>
      <c r="N224" s="1">
        <f>GCResults[[#This Row],[Date Run ]]</f>
        <v>0</v>
      </c>
    </row>
    <row r="225" spans="1:14" ht="14.45" x14ac:dyDescent="0.25">
      <c r="A225">
        <f>SampleList[[#This Row],[Experiment ID]]</f>
        <v>0</v>
      </c>
      <c r="B225">
        <f>SampleList[[#This Row],[Sample Description]]</f>
        <v>0</v>
      </c>
      <c r="C225" s="1">
        <f>SampleList[[#This Row],[Date Sampled]]</f>
        <v>0</v>
      </c>
      <c r="D225">
        <f>SampleList[[#This Row],[Duration (Days)]]</f>
        <v>0</v>
      </c>
      <c r="E225">
        <f>NMRResults[[#This Row],[Ammonium Concentration (mM)]]</f>
        <v>0</v>
      </c>
      <c r="F225" t="str">
        <f>GCResults[[#This Row],[H2 (ppm)]]</f>
        <v/>
      </c>
      <c r="G225">
        <f>GCResults[[#This Row],[Total Gas Volume (mL), gas cylinder = 3785mL]]</f>
        <v>0</v>
      </c>
      <c r="H225">
        <f>GCResults[[#This Row],[Pressure on Sampling (PSI), 145PSI=1MPa]]</f>
        <v>3552.5</v>
      </c>
      <c r="I225">
        <f>pHCondMod[[#This Row],[Sample pH]]</f>
        <v>0</v>
      </c>
      <c r="J225">
        <f>pHCondMod[[#This Row],[Sample Conductivity (mS/cm)]]</f>
        <v>0</v>
      </c>
      <c r="K225">
        <f>pHCondMod[[#This Row],[Modification Description]]</f>
        <v>0</v>
      </c>
      <c r="L225" s="1">
        <f>NMRResults[[#This Row],[Date Run]]</f>
        <v>0</v>
      </c>
      <c r="M225" s="1">
        <f>ICPList[[#This Row],[Date Run]]</f>
        <v>0</v>
      </c>
      <c r="N225" s="1">
        <f>GCResults[[#This Row],[Date Run ]]</f>
        <v>0</v>
      </c>
    </row>
    <row r="226" spans="1:14" ht="14.45" x14ac:dyDescent="0.25">
      <c r="A226">
        <f>SampleList[[#This Row],[Experiment ID]]</f>
        <v>0</v>
      </c>
      <c r="B226">
        <f>SampleList[[#This Row],[Sample Description]]</f>
        <v>0</v>
      </c>
      <c r="C226" s="1">
        <f>SampleList[[#This Row],[Date Sampled]]</f>
        <v>0</v>
      </c>
      <c r="D226">
        <f>SampleList[[#This Row],[Duration (Days)]]</f>
        <v>0</v>
      </c>
      <c r="E226">
        <f>NMRResults[[#This Row],[Ammonium Concentration (mM)]]</f>
        <v>0</v>
      </c>
      <c r="F226" t="str">
        <f>GCResults[[#This Row],[H2 (ppm)]]</f>
        <v/>
      </c>
      <c r="G226">
        <f>GCResults[[#This Row],[Total Gas Volume (mL), gas cylinder = 3785mL]]</f>
        <v>0</v>
      </c>
      <c r="H226">
        <f>GCResults[[#This Row],[Pressure on Sampling (PSI), 145PSI=1MPa]]</f>
        <v>3552.5</v>
      </c>
      <c r="I226">
        <f>pHCondMod[[#This Row],[Sample pH]]</f>
        <v>0</v>
      </c>
      <c r="J226">
        <f>pHCondMod[[#This Row],[Sample Conductivity (mS/cm)]]</f>
        <v>0</v>
      </c>
      <c r="K226">
        <f>pHCondMod[[#This Row],[Modification Description]]</f>
        <v>0</v>
      </c>
      <c r="L226" s="1">
        <f>NMRResults[[#This Row],[Date Run]]</f>
        <v>0</v>
      </c>
      <c r="M226" s="1">
        <f>ICPList[[#This Row],[Date Run]]</f>
        <v>0</v>
      </c>
      <c r="N226" s="1">
        <f>GCResults[[#This Row],[Date Run ]]</f>
        <v>0</v>
      </c>
    </row>
    <row r="227" spans="1:14" ht="14.45" x14ac:dyDescent="0.25">
      <c r="A227">
        <f>SampleList[[#This Row],[Experiment ID]]</f>
        <v>0</v>
      </c>
      <c r="B227">
        <f>SampleList[[#This Row],[Sample Description]]</f>
        <v>0</v>
      </c>
      <c r="C227" s="1">
        <f>SampleList[[#This Row],[Date Sampled]]</f>
        <v>0</v>
      </c>
      <c r="D227">
        <f>SampleList[[#This Row],[Duration (Days)]]</f>
        <v>0</v>
      </c>
      <c r="E227">
        <f>NMRResults[[#This Row],[Ammonium Concentration (mM)]]</f>
        <v>0</v>
      </c>
      <c r="F227" t="str">
        <f>GCResults[[#This Row],[H2 (ppm)]]</f>
        <v/>
      </c>
      <c r="G227">
        <f>GCResults[[#This Row],[Total Gas Volume (mL), gas cylinder = 3785mL]]</f>
        <v>0</v>
      </c>
      <c r="H227">
        <f>GCResults[[#This Row],[Pressure on Sampling (PSI), 145PSI=1MPa]]</f>
        <v>3552.5</v>
      </c>
      <c r="I227">
        <f>pHCondMod[[#This Row],[Sample pH]]</f>
        <v>0</v>
      </c>
      <c r="J227">
        <f>pHCondMod[[#This Row],[Sample Conductivity (mS/cm)]]</f>
        <v>0</v>
      </c>
      <c r="K227">
        <f>pHCondMod[[#This Row],[Modification Description]]</f>
        <v>0</v>
      </c>
      <c r="L227" s="1">
        <f>NMRResults[[#This Row],[Date Run]]</f>
        <v>0</v>
      </c>
      <c r="M227" s="1">
        <f>ICPList[[#This Row],[Date Run]]</f>
        <v>0</v>
      </c>
      <c r="N227" s="1">
        <f>GCResults[[#This Row],[Date Run ]]</f>
        <v>0</v>
      </c>
    </row>
    <row r="228" spans="1:14" ht="14.45" x14ac:dyDescent="0.25">
      <c r="A228">
        <f>SampleList[[#This Row],[Experiment ID]]</f>
        <v>0</v>
      </c>
      <c r="B228">
        <f>SampleList[[#This Row],[Sample Description]]</f>
        <v>0</v>
      </c>
      <c r="C228" s="1">
        <f>SampleList[[#This Row],[Date Sampled]]</f>
        <v>0</v>
      </c>
      <c r="D228">
        <f>SampleList[[#This Row],[Duration (Days)]]</f>
        <v>0</v>
      </c>
      <c r="E228">
        <f>NMRResults[[#This Row],[Ammonium Concentration (mM)]]</f>
        <v>0</v>
      </c>
      <c r="F228" t="str">
        <f>GCResults[[#This Row],[H2 (ppm)]]</f>
        <v/>
      </c>
      <c r="G228">
        <f>GCResults[[#This Row],[Total Gas Volume (mL), gas cylinder = 3785mL]]</f>
        <v>0</v>
      </c>
      <c r="H228">
        <f>GCResults[[#This Row],[Pressure on Sampling (PSI), 145PSI=1MPa]]</f>
        <v>3552.5</v>
      </c>
      <c r="I228">
        <f>pHCondMod[[#This Row],[Sample pH]]</f>
        <v>0</v>
      </c>
      <c r="J228">
        <f>pHCondMod[[#This Row],[Sample Conductivity (mS/cm)]]</f>
        <v>0</v>
      </c>
      <c r="K228">
        <f>pHCondMod[[#This Row],[Modification Description]]</f>
        <v>0</v>
      </c>
      <c r="L228" s="1">
        <f>NMRResults[[#This Row],[Date Run]]</f>
        <v>0</v>
      </c>
      <c r="M228" s="1">
        <f>ICPList[[#This Row],[Date Run]]</f>
        <v>0</v>
      </c>
      <c r="N228" s="1">
        <f>GCResults[[#This Row],[Date Run ]]</f>
        <v>0</v>
      </c>
    </row>
    <row r="229" spans="1:14" ht="14.45" x14ac:dyDescent="0.25">
      <c r="A229">
        <f>SampleList[[#This Row],[Experiment ID]]</f>
        <v>0</v>
      </c>
      <c r="B229">
        <f>SampleList[[#This Row],[Sample Description]]</f>
        <v>0</v>
      </c>
      <c r="C229" s="1">
        <f>SampleList[[#This Row],[Date Sampled]]</f>
        <v>0</v>
      </c>
      <c r="D229">
        <f>SampleList[[#This Row],[Duration (Days)]]</f>
        <v>0</v>
      </c>
      <c r="E229">
        <f>NMRResults[[#This Row],[Ammonium Concentration (mM)]]</f>
        <v>0</v>
      </c>
      <c r="F229" t="str">
        <f>GCResults[[#This Row],[H2 (ppm)]]</f>
        <v/>
      </c>
      <c r="G229">
        <f>GCResults[[#This Row],[Total Gas Volume (mL), gas cylinder = 3785mL]]</f>
        <v>0</v>
      </c>
      <c r="H229">
        <f>GCResults[[#This Row],[Pressure on Sampling (PSI), 145PSI=1MPa]]</f>
        <v>3552.5</v>
      </c>
      <c r="I229">
        <f>pHCondMod[[#This Row],[Sample pH]]</f>
        <v>0</v>
      </c>
      <c r="J229">
        <f>pHCondMod[[#This Row],[Sample Conductivity (mS/cm)]]</f>
        <v>0</v>
      </c>
      <c r="K229">
        <f>pHCondMod[[#This Row],[Modification Description]]</f>
        <v>0</v>
      </c>
      <c r="L229" s="1">
        <f>NMRResults[[#This Row],[Date Run]]</f>
        <v>0</v>
      </c>
      <c r="M229" s="1">
        <f>ICPList[[#This Row],[Date Run]]</f>
        <v>0</v>
      </c>
      <c r="N229" s="1">
        <f>GCResults[[#This Row],[Date Run ]]</f>
        <v>0</v>
      </c>
    </row>
    <row r="230" spans="1:14" ht="14.45" x14ac:dyDescent="0.25">
      <c r="A230">
        <f>SampleList[[#This Row],[Experiment ID]]</f>
        <v>0</v>
      </c>
      <c r="B230">
        <f>SampleList[[#This Row],[Sample Description]]</f>
        <v>0</v>
      </c>
      <c r="C230" s="1">
        <f>SampleList[[#This Row],[Date Sampled]]</f>
        <v>0</v>
      </c>
      <c r="D230">
        <f>SampleList[[#This Row],[Duration (Days)]]</f>
        <v>0</v>
      </c>
      <c r="E230">
        <f>NMRResults[[#This Row],[Ammonium Concentration (mM)]]</f>
        <v>0</v>
      </c>
      <c r="F230" t="str">
        <f>GCResults[[#This Row],[H2 (ppm)]]</f>
        <v/>
      </c>
      <c r="G230">
        <f>GCResults[[#This Row],[Total Gas Volume (mL), gas cylinder = 3785mL]]</f>
        <v>0</v>
      </c>
      <c r="H230">
        <f>GCResults[[#This Row],[Pressure on Sampling (PSI), 145PSI=1MPa]]</f>
        <v>3552.5</v>
      </c>
      <c r="I230">
        <f>pHCondMod[[#This Row],[Sample pH]]</f>
        <v>0</v>
      </c>
      <c r="J230">
        <f>pHCondMod[[#This Row],[Sample Conductivity (mS/cm)]]</f>
        <v>0</v>
      </c>
      <c r="K230">
        <f>pHCondMod[[#This Row],[Modification Description]]</f>
        <v>0</v>
      </c>
      <c r="L230" s="1">
        <f>NMRResults[[#This Row],[Date Run]]</f>
        <v>0</v>
      </c>
      <c r="M230" s="1">
        <f>ICPList[[#This Row],[Date Run]]</f>
        <v>0</v>
      </c>
      <c r="N230" s="1">
        <f>GCResults[[#This Row],[Date Run ]]</f>
        <v>0</v>
      </c>
    </row>
    <row r="231" spans="1:14" ht="14.45" x14ac:dyDescent="0.25">
      <c r="A231">
        <f>SampleList[[#This Row],[Experiment ID]]</f>
        <v>0</v>
      </c>
      <c r="B231">
        <f>SampleList[[#This Row],[Sample Description]]</f>
        <v>0</v>
      </c>
      <c r="C231" s="1">
        <f>SampleList[[#This Row],[Date Sampled]]</f>
        <v>0</v>
      </c>
      <c r="D231">
        <f>SampleList[[#This Row],[Duration (Days)]]</f>
        <v>0</v>
      </c>
      <c r="E231">
        <f>NMRResults[[#This Row],[Ammonium Concentration (mM)]]</f>
        <v>0</v>
      </c>
      <c r="F231" t="str">
        <f>GCResults[[#This Row],[H2 (ppm)]]</f>
        <v/>
      </c>
      <c r="G231">
        <f>GCResults[[#This Row],[Total Gas Volume (mL), gas cylinder = 3785mL]]</f>
        <v>0</v>
      </c>
      <c r="H231">
        <f>GCResults[[#This Row],[Pressure on Sampling (PSI), 145PSI=1MPa]]</f>
        <v>3552.5</v>
      </c>
      <c r="I231">
        <f>pHCondMod[[#This Row],[Sample pH]]</f>
        <v>0</v>
      </c>
      <c r="J231">
        <f>pHCondMod[[#This Row],[Sample Conductivity (mS/cm)]]</f>
        <v>0</v>
      </c>
      <c r="K231">
        <f>pHCondMod[[#This Row],[Modification Description]]</f>
        <v>0</v>
      </c>
      <c r="L231" s="1">
        <f>NMRResults[[#This Row],[Date Run]]</f>
        <v>0</v>
      </c>
      <c r="M231" s="1">
        <f>ICPList[[#This Row],[Date Run]]</f>
        <v>0</v>
      </c>
      <c r="N231" s="1">
        <f>GCResults[[#This Row],[Date Run ]]</f>
        <v>0</v>
      </c>
    </row>
    <row r="232" spans="1:14" ht="14.45" x14ac:dyDescent="0.25">
      <c r="A232">
        <f>SampleList[[#This Row],[Experiment ID]]</f>
        <v>0</v>
      </c>
      <c r="B232">
        <f>SampleList[[#This Row],[Sample Description]]</f>
        <v>0</v>
      </c>
      <c r="C232" s="1">
        <f>SampleList[[#This Row],[Date Sampled]]</f>
        <v>0</v>
      </c>
      <c r="D232">
        <f>SampleList[[#This Row],[Duration (Days)]]</f>
        <v>0</v>
      </c>
      <c r="E232">
        <f>NMRResults[[#This Row],[Ammonium Concentration (mM)]]</f>
        <v>0</v>
      </c>
      <c r="F232" t="str">
        <f>GCResults[[#This Row],[H2 (ppm)]]</f>
        <v/>
      </c>
      <c r="G232">
        <f>GCResults[[#This Row],[Total Gas Volume (mL), gas cylinder = 3785mL]]</f>
        <v>0</v>
      </c>
      <c r="H232">
        <f>GCResults[[#This Row],[Pressure on Sampling (PSI), 145PSI=1MPa]]</f>
        <v>3552.5</v>
      </c>
      <c r="I232">
        <f>pHCondMod[[#This Row],[Sample pH]]</f>
        <v>0</v>
      </c>
      <c r="J232">
        <f>pHCondMod[[#This Row],[Sample Conductivity (mS/cm)]]</f>
        <v>0</v>
      </c>
      <c r="K232">
        <f>pHCondMod[[#This Row],[Modification Description]]</f>
        <v>0</v>
      </c>
      <c r="L232" s="1">
        <f>NMRResults[[#This Row],[Date Run]]</f>
        <v>0</v>
      </c>
      <c r="M232" s="1">
        <f>ICPList[[#This Row],[Date Run]]</f>
        <v>0</v>
      </c>
      <c r="N232" s="1">
        <f>GCResults[[#This Row],[Date Run ]]</f>
        <v>0</v>
      </c>
    </row>
    <row r="233" spans="1:14" ht="14.45" x14ac:dyDescent="0.25">
      <c r="A233">
        <f>SampleList[[#This Row],[Experiment ID]]</f>
        <v>0</v>
      </c>
      <c r="B233">
        <f>SampleList[[#This Row],[Sample Description]]</f>
        <v>0</v>
      </c>
      <c r="C233" s="1">
        <f>SampleList[[#This Row],[Date Sampled]]</f>
        <v>0</v>
      </c>
      <c r="D233">
        <f>SampleList[[#This Row],[Duration (Days)]]</f>
        <v>0</v>
      </c>
      <c r="E233">
        <f>NMRResults[[#This Row],[Ammonium Concentration (mM)]]</f>
        <v>0</v>
      </c>
      <c r="F233" t="str">
        <f>GCResults[[#This Row],[H2 (ppm)]]</f>
        <v/>
      </c>
      <c r="G233">
        <f>GCResults[[#This Row],[Total Gas Volume (mL), gas cylinder = 3785mL]]</f>
        <v>0</v>
      </c>
      <c r="H233">
        <f>GCResults[[#This Row],[Pressure on Sampling (PSI), 145PSI=1MPa]]</f>
        <v>3552.5</v>
      </c>
      <c r="I233">
        <f>pHCondMod[[#This Row],[Sample pH]]</f>
        <v>0</v>
      </c>
      <c r="J233">
        <f>pHCondMod[[#This Row],[Sample Conductivity (mS/cm)]]</f>
        <v>0</v>
      </c>
      <c r="K233">
        <f>pHCondMod[[#This Row],[Modification Description]]</f>
        <v>0</v>
      </c>
      <c r="L233" s="1">
        <f>NMRResults[[#This Row],[Date Run]]</f>
        <v>0</v>
      </c>
      <c r="M233" s="1">
        <f>ICPList[[#This Row],[Date Run]]</f>
        <v>0</v>
      </c>
      <c r="N233" s="1">
        <f>GCResults[[#This Row],[Date Run ]]</f>
        <v>0</v>
      </c>
    </row>
    <row r="234" spans="1:14" ht="14.45" x14ac:dyDescent="0.25">
      <c r="A234">
        <f>SampleList[[#This Row],[Experiment ID]]</f>
        <v>0</v>
      </c>
      <c r="B234">
        <f>SampleList[[#This Row],[Sample Description]]</f>
        <v>0</v>
      </c>
      <c r="C234" s="1">
        <f>SampleList[[#This Row],[Date Sampled]]</f>
        <v>0</v>
      </c>
      <c r="D234">
        <f>SampleList[[#This Row],[Duration (Days)]]</f>
        <v>0</v>
      </c>
      <c r="E234">
        <f>NMRResults[[#This Row],[Ammonium Concentration (mM)]]</f>
        <v>0</v>
      </c>
      <c r="F234" t="str">
        <f>GCResults[[#This Row],[H2 (ppm)]]</f>
        <v/>
      </c>
      <c r="G234">
        <f>GCResults[[#This Row],[Total Gas Volume (mL), gas cylinder = 3785mL]]</f>
        <v>0</v>
      </c>
      <c r="H234">
        <f>GCResults[[#This Row],[Pressure on Sampling (PSI), 145PSI=1MPa]]</f>
        <v>3552.5</v>
      </c>
      <c r="I234">
        <f>pHCondMod[[#This Row],[Sample pH]]</f>
        <v>0</v>
      </c>
      <c r="J234">
        <f>pHCondMod[[#This Row],[Sample Conductivity (mS/cm)]]</f>
        <v>0</v>
      </c>
      <c r="K234">
        <f>pHCondMod[[#This Row],[Modification Description]]</f>
        <v>0</v>
      </c>
      <c r="L234" s="1">
        <f>NMRResults[[#This Row],[Date Run]]</f>
        <v>0</v>
      </c>
      <c r="M234" s="1">
        <f>ICPList[[#This Row],[Date Run]]</f>
        <v>0</v>
      </c>
      <c r="N234" s="1">
        <f>GCResults[[#This Row],[Date Run ]]</f>
        <v>0</v>
      </c>
    </row>
    <row r="235" spans="1:14" ht="14.45" x14ac:dyDescent="0.25">
      <c r="A235">
        <f>SampleList[[#This Row],[Experiment ID]]</f>
        <v>0</v>
      </c>
      <c r="B235">
        <f>SampleList[[#This Row],[Sample Description]]</f>
        <v>0</v>
      </c>
      <c r="C235" s="1">
        <f>SampleList[[#This Row],[Date Sampled]]</f>
        <v>0</v>
      </c>
      <c r="D235">
        <f>SampleList[[#This Row],[Duration (Days)]]</f>
        <v>0</v>
      </c>
      <c r="E235">
        <f>NMRResults[[#This Row],[Ammonium Concentration (mM)]]</f>
        <v>0</v>
      </c>
      <c r="F235" t="str">
        <f>GCResults[[#This Row],[H2 (ppm)]]</f>
        <v/>
      </c>
      <c r="G235">
        <f>GCResults[[#This Row],[Total Gas Volume (mL), gas cylinder = 3785mL]]</f>
        <v>0</v>
      </c>
      <c r="H235">
        <f>GCResults[[#This Row],[Pressure on Sampling (PSI), 145PSI=1MPa]]</f>
        <v>3552.5</v>
      </c>
      <c r="I235">
        <f>pHCondMod[[#This Row],[Sample pH]]</f>
        <v>0</v>
      </c>
      <c r="J235">
        <f>pHCondMod[[#This Row],[Sample Conductivity (mS/cm)]]</f>
        <v>0</v>
      </c>
      <c r="K235">
        <f>pHCondMod[[#This Row],[Modification Description]]</f>
        <v>0</v>
      </c>
      <c r="L235" s="1">
        <f>NMRResults[[#This Row],[Date Run]]</f>
        <v>0</v>
      </c>
      <c r="M235" s="1">
        <f>ICPList[[#This Row],[Date Run]]</f>
        <v>0</v>
      </c>
      <c r="N235" s="1">
        <f>GCResults[[#This Row],[Date Run ]]</f>
        <v>0</v>
      </c>
    </row>
    <row r="236" spans="1:14" ht="14.45" x14ac:dyDescent="0.25">
      <c r="A236">
        <f>SampleList[[#This Row],[Experiment ID]]</f>
        <v>0</v>
      </c>
      <c r="B236">
        <f>SampleList[[#This Row],[Sample Description]]</f>
        <v>0</v>
      </c>
      <c r="C236" s="1">
        <f>SampleList[[#This Row],[Date Sampled]]</f>
        <v>0</v>
      </c>
      <c r="D236">
        <f>SampleList[[#This Row],[Duration (Days)]]</f>
        <v>0</v>
      </c>
      <c r="E236">
        <f>NMRResults[[#This Row],[Ammonium Concentration (mM)]]</f>
        <v>0</v>
      </c>
      <c r="F236" t="str">
        <f>GCResults[[#This Row],[H2 (ppm)]]</f>
        <v/>
      </c>
      <c r="G236">
        <f>GCResults[[#This Row],[Total Gas Volume (mL), gas cylinder = 3785mL]]</f>
        <v>0</v>
      </c>
      <c r="H236">
        <f>GCResults[[#This Row],[Pressure on Sampling (PSI), 145PSI=1MPa]]</f>
        <v>3552.5</v>
      </c>
      <c r="I236">
        <f>pHCondMod[[#This Row],[Sample pH]]</f>
        <v>0</v>
      </c>
      <c r="J236">
        <f>pHCondMod[[#This Row],[Sample Conductivity (mS/cm)]]</f>
        <v>0</v>
      </c>
      <c r="K236">
        <f>pHCondMod[[#This Row],[Modification Description]]</f>
        <v>0</v>
      </c>
      <c r="L236" s="1">
        <f>NMRResults[[#This Row],[Date Run]]</f>
        <v>0</v>
      </c>
      <c r="M236" s="1">
        <f>ICPList[[#This Row],[Date Run]]</f>
        <v>0</v>
      </c>
      <c r="N236" s="1">
        <f>GCResults[[#This Row],[Date Run ]]</f>
        <v>0</v>
      </c>
    </row>
    <row r="237" spans="1:14" ht="14.45" x14ac:dyDescent="0.25">
      <c r="A237">
        <f>SampleList[[#This Row],[Experiment ID]]</f>
        <v>0</v>
      </c>
      <c r="B237">
        <f>SampleList[[#This Row],[Sample Description]]</f>
        <v>0</v>
      </c>
      <c r="C237" s="1">
        <f>SampleList[[#This Row],[Date Sampled]]</f>
        <v>0</v>
      </c>
      <c r="D237">
        <f>SampleList[[#This Row],[Duration (Days)]]</f>
        <v>0</v>
      </c>
      <c r="E237">
        <f>NMRResults[[#This Row],[Ammonium Concentration (mM)]]</f>
        <v>0</v>
      </c>
      <c r="F237" t="str">
        <f>GCResults[[#This Row],[H2 (ppm)]]</f>
        <v/>
      </c>
      <c r="G237">
        <f>GCResults[[#This Row],[Total Gas Volume (mL), gas cylinder = 3785mL]]</f>
        <v>0</v>
      </c>
      <c r="H237">
        <f>GCResults[[#This Row],[Pressure on Sampling (PSI), 145PSI=1MPa]]</f>
        <v>3552.5</v>
      </c>
      <c r="I237">
        <f>pHCondMod[[#This Row],[Sample pH]]</f>
        <v>0</v>
      </c>
      <c r="J237">
        <f>pHCondMod[[#This Row],[Sample Conductivity (mS/cm)]]</f>
        <v>0</v>
      </c>
      <c r="K237">
        <f>pHCondMod[[#This Row],[Modification Description]]</f>
        <v>0</v>
      </c>
      <c r="L237" s="1">
        <f>NMRResults[[#This Row],[Date Run]]</f>
        <v>0</v>
      </c>
      <c r="M237" s="1">
        <f>ICPList[[#This Row],[Date Run]]</f>
        <v>0</v>
      </c>
      <c r="N237" s="1">
        <f>GCResults[[#This Row],[Date Run ]]</f>
        <v>0</v>
      </c>
    </row>
    <row r="238" spans="1:14" ht="14.45" x14ac:dyDescent="0.25">
      <c r="A238">
        <f>SampleList[[#This Row],[Experiment ID]]</f>
        <v>0</v>
      </c>
      <c r="B238">
        <f>SampleList[[#This Row],[Sample Description]]</f>
        <v>0</v>
      </c>
      <c r="C238" s="1">
        <f>SampleList[[#This Row],[Date Sampled]]</f>
        <v>0</v>
      </c>
      <c r="D238">
        <f>SampleList[[#This Row],[Duration (Days)]]</f>
        <v>0</v>
      </c>
      <c r="E238">
        <f>NMRResults[[#This Row],[Ammonium Concentration (mM)]]</f>
        <v>0</v>
      </c>
      <c r="F238" t="str">
        <f>GCResults[[#This Row],[H2 (ppm)]]</f>
        <v/>
      </c>
      <c r="G238">
        <f>GCResults[[#This Row],[Total Gas Volume (mL), gas cylinder = 3785mL]]</f>
        <v>0</v>
      </c>
      <c r="H238">
        <f>GCResults[[#This Row],[Pressure on Sampling (PSI), 145PSI=1MPa]]</f>
        <v>3552.5</v>
      </c>
      <c r="I238">
        <f>pHCondMod[[#This Row],[Sample pH]]</f>
        <v>0</v>
      </c>
      <c r="J238">
        <f>pHCondMod[[#This Row],[Sample Conductivity (mS/cm)]]</f>
        <v>0</v>
      </c>
      <c r="K238">
        <f>pHCondMod[[#This Row],[Modification Description]]</f>
        <v>0</v>
      </c>
      <c r="L238" s="1">
        <f>NMRResults[[#This Row],[Date Run]]</f>
        <v>0</v>
      </c>
      <c r="M238" s="1">
        <f>ICPList[[#This Row],[Date Run]]</f>
        <v>0</v>
      </c>
      <c r="N238" s="1">
        <f>GCResults[[#This Row],[Date Run ]]</f>
        <v>0</v>
      </c>
    </row>
    <row r="239" spans="1:14" ht="14.45" x14ac:dyDescent="0.25">
      <c r="A239">
        <f>SampleList[[#This Row],[Experiment ID]]</f>
        <v>0</v>
      </c>
      <c r="B239">
        <f>SampleList[[#This Row],[Sample Description]]</f>
        <v>0</v>
      </c>
      <c r="C239" s="1">
        <f>SampleList[[#This Row],[Date Sampled]]</f>
        <v>0</v>
      </c>
      <c r="D239">
        <f>SampleList[[#This Row],[Duration (Days)]]</f>
        <v>0</v>
      </c>
      <c r="E239">
        <f>NMRResults[[#This Row],[Ammonium Concentration (mM)]]</f>
        <v>0</v>
      </c>
      <c r="F239" t="str">
        <f>GCResults[[#This Row],[H2 (ppm)]]</f>
        <v/>
      </c>
      <c r="G239">
        <f>GCResults[[#This Row],[Total Gas Volume (mL), gas cylinder = 3785mL]]</f>
        <v>0</v>
      </c>
      <c r="H239">
        <f>GCResults[[#This Row],[Pressure on Sampling (PSI), 145PSI=1MPa]]</f>
        <v>3552.5</v>
      </c>
      <c r="I239">
        <f>pHCondMod[[#This Row],[Sample pH]]</f>
        <v>0</v>
      </c>
      <c r="J239">
        <f>pHCondMod[[#This Row],[Sample Conductivity (mS/cm)]]</f>
        <v>0</v>
      </c>
      <c r="K239">
        <f>pHCondMod[[#This Row],[Modification Description]]</f>
        <v>0</v>
      </c>
      <c r="L239" s="1">
        <f>NMRResults[[#This Row],[Date Run]]</f>
        <v>0</v>
      </c>
      <c r="M239" s="1">
        <f>ICPList[[#This Row],[Date Run]]</f>
        <v>0</v>
      </c>
      <c r="N239" s="1">
        <f>GCResults[[#This Row],[Date Run ]]</f>
        <v>0</v>
      </c>
    </row>
    <row r="240" spans="1:14" ht="14.45" x14ac:dyDescent="0.25">
      <c r="A240">
        <f>SampleList[[#This Row],[Experiment ID]]</f>
        <v>0</v>
      </c>
      <c r="B240">
        <f>SampleList[[#This Row],[Sample Description]]</f>
        <v>0</v>
      </c>
      <c r="C240" s="1">
        <f>SampleList[[#This Row],[Date Sampled]]</f>
        <v>0</v>
      </c>
      <c r="D240">
        <f>SampleList[[#This Row],[Duration (Days)]]</f>
        <v>0</v>
      </c>
      <c r="E240">
        <f>NMRResults[[#This Row],[Ammonium Concentration (mM)]]</f>
        <v>0</v>
      </c>
      <c r="F240" t="str">
        <f>GCResults[[#This Row],[H2 (ppm)]]</f>
        <v/>
      </c>
      <c r="G240">
        <f>GCResults[[#This Row],[Total Gas Volume (mL), gas cylinder = 3785mL]]</f>
        <v>0</v>
      </c>
      <c r="H240">
        <f>GCResults[[#This Row],[Pressure on Sampling (PSI), 145PSI=1MPa]]</f>
        <v>3552.5</v>
      </c>
      <c r="I240">
        <f>pHCondMod[[#This Row],[Sample pH]]</f>
        <v>0</v>
      </c>
      <c r="J240">
        <f>pHCondMod[[#This Row],[Sample Conductivity (mS/cm)]]</f>
        <v>0</v>
      </c>
      <c r="K240">
        <f>pHCondMod[[#This Row],[Modification Description]]</f>
        <v>0</v>
      </c>
      <c r="L240" s="1">
        <f>NMRResults[[#This Row],[Date Run]]</f>
        <v>0</v>
      </c>
      <c r="M240" s="1">
        <f>ICPList[[#This Row],[Date Run]]</f>
        <v>0</v>
      </c>
      <c r="N240" s="1">
        <f>GCResults[[#This Row],[Date Run ]]</f>
        <v>0</v>
      </c>
    </row>
    <row r="241" spans="1:14" ht="14.45" x14ac:dyDescent="0.25">
      <c r="A241">
        <f>SampleList[[#This Row],[Experiment ID]]</f>
        <v>0</v>
      </c>
      <c r="B241">
        <f>SampleList[[#This Row],[Sample Description]]</f>
        <v>0</v>
      </c>
      <c r="C241" s="1">
        <f>SampleList[[#This Row],[Date Sampled]]</f>
        <v>0</v>
      </c>
      <c r="D241">
        <f>SampleList[[#This Row],[Duration (Days)]]</f>
        <v>0</v>
      </c>
      <c r="E241">
        <f>NMRResults[[#This Row],[Ammonium Concentration (mM)]]</f>
        <v>0</v>
      </c>
      <c r="F241" t="str">
        <f>GCResults[[#This Row],[H2 (ppm)]]</f>
        <v/>
      </c>
      <c r="G241">
        <f>GCResults[[#This Row],[Total Gas Volume (mL), gas cylinder = 3785mL]]</f>
        <v>0</v>
      </c>
      <c r="H241">
        <f>GCResults[[#This Row],[Pressure on Sampling (PSI), 145PSI=1MPa]]</f>
        <v>3552.5</v>
      </c>
      <c r="I241">
        <f>pHCondMod[[#This Row],[Sample pH]]</f>
        <v>0</v>
      </c>
      <c r="J241">
        <f>pHCondMod[[#This Row],[Sample Conductivity (mS/cm)]]</f>
        <v>0</v>
      </c>
      <c r="K241">
        <f>pHCondMod[[#This Row],[Modification Description]]</f>
        <v>0</v>
      </c>
      <c r="L241" s="1">
        <f>NMRResults[[#This Row],[Date Run]]</f>
        <v>0</v>
      </c>
      <c r="M241" s="1">
        <f>ICPList[[#This Row],[Date Run]]</f>
        <v>0</v>
      </c>
      <c r="N241" s="1">
        <f>GCResults[[#This Row],[Date Run ]]</f>
        <v>0</v>
      </c>
    </row>
    <row r="242" spans="1:14" ht="14.45" x14ac:dyDescent="0.25">
      <c r="A242">
        <f>SampleList[[#This Row],[Experiment ID]]</f>
        <v>0</v>
      </c>
      <c r="B242">
        <f>SampleList[[#This Row],[Sample Description]]</f>
        <v>0</v>
      </c>
      <c r="C242" s="1">
        <f>SampleList[[#This Row],[Date Sampled]]</f>
        <v>0</v>
      </c>
      <c r="D242">
        <f>SampleList[[#This Row],[Duration (Days)]]</f>
        <v>0</v>
      </c>
      <c r="E242">
        <f>NMRResults[[#This Row],[Ammonium Concentration (mM)]]</f>
        <v>0</v>
      </c>
      <c r="F242" t="str">
        <f>GCResults[[#This Row],[H2 (ppm)]]</f>
        <v/>
      </c>
      <c r="G242">
        <f>GCResults[[#This Row],[Total Gas Volume (mL), gas cylinder = 3785mL]]</f>
        <v>0</v>
      </c>
      <c r="H242">
        <f>GCResults[[#This Row],[Pressure on Sampling (PSI), 145PSI=1MPa]]</f>
        <v>3552.5</v>
      </c>
      <c r="I242">
        <f>pHCondMod[[#This Row],[Sample pH]]</f>
        <v>0</v>
      </c>
      <c r="J242">
        <f>pHCondMod[[#This Row],[Sample Conductivity (mS/cm)]]</f>
        <v>0</v>
      </c>
      <c r="K242">
        <f>pHCondMod[[#This Row],[Modification Description]]</f>
        <v>0</v>
      </c>
      <c r="L242" s="1">
        <f>NMRResults[[#This Row],[Date Run]]</f>
        <v>0</v>
      </c>
      <c r="M242" s="1">
        <f>ICPList[[#This Row],[Date Run]]</f>
        <v>0</v>
      </c>
      <c r="N242" s="1">
        <f>GCResults[[#This Row],[Date Run ]]</f>
        <v>0</v>
      </c>
    </row>
    <row r="243" spans="1:14" ht="14.45" x14ac:dyDescent="0.25">
      <c r="A243">
        <f>SampleList[[#This Row],[Experiment ID]]</f>
        <v>0</v>
      </c>
      <c r="B243">
        <f>SampleList[[#This Row],[Sample Description]]</f>
        <v>0</v>
      </c>
      <c r="C243" s="1">
        <f>SampleList[[#This Row],[Date Sampled]]</f>
        <v>0</v>
      </c>
      <c r="D243">
        <f>SampleList[[#This Row],[Duration (Days)]]</f>
        <v>0</v>
      </c>
      <c r="E243">
        <f>NMRResults[[#This Row],[Ammonium Concentration (mM)]]</f>
        <v>0</v>
      </c>
      <c r="F243" t="str">
        <f>GCResults[[#This Row],[H2 (ppm)]]</f>
        <v/>
      </c>
      <c r="G243">
        <f>GCResults[[#This Row],[Total Gas Volume (mL), gas cylinder = 3785mL]]</f>
        <v>0</v>
      </c>
      <c r="H243">
        <f>GCResults[[#This Row],[Pressure on Sampling (PSI), 145PSI=1MPa]]</f>
        <v>3552.5</v>
      </c>
      <c r="I243">
        <f>pHCondMod[[#This Row],[Sample pH]]</f>
        <v>0</v>
      </c>
      <c r="J243">
        <f>pHCondMod[[#This Row],[Sample Conductivity (mS/cm)]]</f>
        <v>0</v>
      </c>
      <c r="K243">
        <f>pHCondMod[[#This Row],[Modification Description]]</f>
        <v>0</v>
      </c>
      <c r="L243" s="1">
        <f>NMRResults[[#This Row],[Date Run]]</f>
        <v>0</v>
      </c>
      <c r="M243" s="1">
        <f>ICPList[[#This Row],[Date Run]]</f>
        <v>0</v>
      </c>
      <c r="N243" s="1">
        <f>GCResults[[#This Row],[Date Run ]]</f>
        <v>0</v>
      </c>
    </row>
    <row r="244" spans="1:14" ht="14.45" x14ac:dyDescent="0.25">
      <c r="A244">
        <f>SampleList[[#This Row],[Experiment ID]]</f>
        <v>0</v>
      </c>
      <c r="B244">
        <f>SampleList[[#This Row],[Sample Description]]</f>
        <v>0</v>
      </c>
      <c r="C244" s="1">
        <f>SampleList[[#This Row],[Date Sampled]]</f>
        <v>0</v>
      </c>
      <c r="D244">
        <f>SampleList[[#This Row],[Duration (Days)]]</f>
        <v>0</v>
      </c>
      <c r="E244">
        <f>NMRResults[[#This Row],[Ammonium Concentration (mM)]]</f>
        <v>0</v>
      </c>
      <c r="F244" t="str">
        <f>GCResults[[#This Row],[H2 (ppm)]]</f>
        <v/>
      </c>
      <c r="G244">
        <f>GCResults[[#This Row],[Total Gas Volume (mL), gas cylinder = 3785mL]]</f>
        <v>0</v>
      </c>
      <c r="H244">
        <f>GCResults[[#This Row],[Pressure on Sampling (PSI), 145PSI=1MPa]]</f>
        <v>3552.5</v>
      </c>
      <c r="I244">
        <f>pHCondMod[[#This Row],[Sample pH]]</f>
        <v>0</v>
      </c>
      <c r="J244">
        <f>pHCondMod[[#This Row],[Sample Conductivity (mS/cm)]]</f>
        <v>0</v>
      </c>
      <c r="K244">
        <f>pHCondMod[[#This Row],[Modification Description]]</f>
        <v>0</v>
      </c>
      <c r="L244" s="1">
        <f>NMRResults[[#This Row],[Date Run]]</f>
        <v>0</v>
      </c>
      <c r="M244" s="1">
        <f>ICPList[[#This Row],[Date Run]]</f>
        <v>0</v>
      </c>
      <c r="N244" s="1">
        <f>GCResults[[#This Row],[Date Run ]]</f>
        <v>0</v>
      </c>
    </row>
    <row r="245" spans="1:14" ht="14.45" x14ac:dyDescent="0.25">
      <c r="A245">
        <f>SampleList[[#This Row],[Experiment ID]]</f>
        <v>0</v>
      </c>
      <c r="B245">
        <f>SampleList[[#This Row],[Sample Description]]</f>
        <v>0</v>
      </c>
      <c r="C245" s="1">
        <f>SampleList[[#This Row],[Date Sampled]]</f>
        <v>0</v>
      </c>
      <c r="D245">
        <f>SampleList[[#This Row],[Duration (Days)]]</f>
        <v>0</v>
      </c>
      <c r="E245">
        <f>NMRResults[[#This Row],[Ammonium Concentration (mM)]]</f>
        <v>0</v>
      </c>
      <c r="F245" t="str">
        <f>GCResults[[#This Row],[H2 (ppm)]]</f>
        <v/>
      </c>
      <c r="G245">
        <f>GCResults[[#This Row],[Total Gas Volume (mL), gas cylinder = 3785mL]]</f>
        <v>0</v>
      </c>
      <c r="H245">
        <f>GCResults[[#This Row],[Pressure on Sampling (PSI), 145PSI=1MPa]]</f>
        <v>3552.5</v>
      </c>
      <c r="I245">
        <f>pHCondMod[[#This Row],[Sample pH]]</f>
        <v>0</v>
      </c>
      <c r="J245">
        <f>pHCondMod[[#This Row],[Sample Conductivity (mS/cm)]]</f>
        <v>0</v>
      </c>
      <c r="K245">
        <f>pHCondMod[[#This Row],[Modification Description]]</f>
        <v>0</v>
      </c>
      <c r="L245" s="1">
        <f>NMRResults[[#This Row],[Date Run]]</f>
        <v>0</v>
      </c>
      <c r="M245" s="1">
        <f>ICPList[[#This Row],[Date Run]]</f>
        <v>0</v>
      </c>
      <c r="N245" s="1">
        <f>GCResults[[#This Row],[Date Run ]]</f>
        <v>0</v>
      </c>
    </row>
    <row r="246" spans="1:14" ht="14.45" x14ac:dyDescent="0.25">
      <c r="A246">
        <f>SampleList[[#This Row],[Experiment ID]]</f>
        <v>0</v>
      </c>
      <c r="B246">
        <f>SampleList[[#This Row],[Sample Description]]</f>
        <v>0</v>
      </c>
      <c r="C246" s="1">
        <f>SampleList[[#This Row],[Date Sampled]]</f>
        <v>0</v>
      </c>
      <c r="D246">
        <f>SampleList[[#This Row],[Duration (Days)]]</f>
        <v>0</v>
      </c>
      <c r="E246">
        <f>NMRResults[[#This Row],[Ammonium Concentration (mM)]]</f>
        <v>0</v>
      </c>
      <c r="F246" t="str">
        <f>GCResults[[#This Row],[H2 (ppm)]]</f>
        <v/>
      </c>
      <c r="G246">
        <f>GCResults[[#This Row],[Total Gas Volume (mL), gas cylinder = 3785mL]]</f>
        <v>0</v>
      </c>
      <c r="H246">
        <f>GCResults[[#This Row],[Pressure on Sampling (PSI), 145PSI=1MPa]]</f>
        <v>3552.5</v>
      </c>
      <c r="I246">
        <f>pHCondMod[[#This Row],[Sample pH]]</f>
        <v>0</v>
      </c>
      <c r="J246">
        <f>pHCondMod[[#This Row],[Sample Conductivity (mS/cm)]]</f>
        <v>0</v>
      </c>
      <c r="K246">
        <f>pHCondMod[[#This Row],[Modification Description]]</f>
        <v>0</v>
      </c>
      <c r="L246" s="1">
        <f>NMRResults[[#This Row],[Date Run]]</f>
        <v>0</v>
      </c>
      <c r="M246" s="1">
        <f>ICPList[[#This Row],[Date Run]]</f>
        <v>0</v>
      </c>
      <c r="N246" s="1">
        <f>GCResults[[#This Row],[Date Run ]]</f>
        <v>0</v>
      </c>
    </row>
    <row r="247" spans="1:14" ht="14.45" x14ac:dyDescent="0.25">
      <c r="A247">
        <f>SampleList[[#This Row],[Experiment ID]]</f>
        <v>0</v>
      </c>
      <c r="B247">
        <f>SampleList[[#This Row],[Sample Description]]</f>
        <v>0</v>
      </c>
      <c r="C247" s="1">
        <f>SampleList[[#This Row],[Date Sampled]]</f>
        <v>0</v>
      </c>
      <c r="D247">
        <f>SampleList[[#This Row],[Duration (Days)]]</f>
        <v>0</v>
      </c>
      <c r="E247">
        <f>NMRResults[[#This Row],[Ammonium Concentration (mM)]]</f>
        <v>0</v>
      </c>
      <c r="F247" t="str">
        <f>GCResults[[#This Row],[H2 (ppm)]]</f>
        <v/>
      </c>
      <c r="G247">
        <f>GCResults[[#This Row],[Total Gas Volume (mL), gas cylinder = 3785mL]]</f>
        <v>0</v>
      </c>
      <c r="H247">
        <f>GCResults[[#This Row],[Pressure on Sampling (PSI), 145PSI=1MPa]]</f>
        <v>3552.5</v>
      </c>
      <c r="I247">
        <f>pHCondMod[[#This Row],[Sample pH]]</f>
        <v>0</v>
      </c>
      <c r="J247">
        <f>pHCondMod[[#This Row],[Sample Conductivity (mS/cm)]]</f>
        <v>0</v>
      </c>
      <c r="K247">
        <f>pHCondMod[[#This Row],[Modification Description]]</f>
        <v>0</v>
      </c>
      <c r="L247" s="1">
        <f>NMRResults[[#This Row],[Date Run]]</f>
        <v>0</v>
      </c>
      <c r="M247" s="1">
        <f>ICPList[[#This Row],[Date Run]]</f>
        <v>0</v>
      </c>
      <c r="N247" s="1">
        <f>GCResults[[#This Row],[Date Run ]]</f>
        <v>0</v>
      </c>
    </row>
    <row r="248" spans="1:14" ht="14.45" x14ac:dyDescent="0.25">
      <c r="A248">
        <f>SampleList[[#This Row],[Experiment ID]]</f>
        <v>0</v>
      </c>
      <c r="B248">
        <f>SampleList[[#This Row],[Sample Description]]</f>
        <v>0</v>
      </c>
      <c r="C248" s="1">
        <f>SampleList[[#This Row],[Date Sampled]]</f>
        <v>0</v>
      </c>
      <c r="D248">
        <f>SampleList[[#This Row],[Duration (Days)]]</f>
        <v>0</v>
      </c>
      <c r="E248">
        <f>NMRResults[[#This Row],[Ammonium Concentration (mM)]]</f>
        <v>0</v>
      </c>
      <c r="F248" t="str">
        <f>GCResults[[#This Row],[H2 (ppm)]]</f>
        <v/>
      </c>
      <c r="G248">
        <f>GCResults[[#This Row],[Total Gas Volume (mL), gas cylinder = 3785mL]]</f>
        <v>0</v>
      </c>
      <c r="H248">
        <f>GCResults[[#This Row],[Pressure on Sampling (PSI), 145PSI=1MPa]]</f>
        <v>3552.5</v>
      </c>
      <c r="I248">
        <f>pHCondMod[[#This Row],[Sample pH]]</f>
        <v>0</v>
      </c>
      <c r="J248">
        <f>pHCondMod[[#This Row],[Sample Conductivity (mS/cm)]]</f>
        <v>0</v>
      </c>
      <c r="K248">
        <f>pHCondMod[[#This Row],[Modification Description]]</f>
        <v>0</v>
      </c>
      <c r="L248" s="1">
        <f>NMRResults[[#This Row],[Date Run]]</f>
        <v>0</v>
      </c>
      <c r="M248" s="1">
        <f>ICPList[[#This Row],[Date Run]]</f>
        <v>0</v>
      </c>
      <c r="N248" s="1">
        <f>GCResults[[#This Row],[Date Run ]]</f>
        <v>0</v>
      </c>
    </row>
    <row r="249" spans="1:14" ht="14.45" x14ac:dyDescent="0.25">
      <c r="A249">
        <f>SampleList[[#This Row],[Experiment ID]]</f>
        <v>0</v>
      </c>
      <c r="B249">
        <f>SampleList[[#This Row],[Sample Description]]</f>
        <v>0</v>
      </c>
      <c r="C249" s="1">
        <f>SampleList[[#This Row],[Date Sampled]]</f>
        <v>0</v>
      </c>
      <c r="D249">
        <f>SampleList[[#This Row],[Duration (Days)]]</f>
        <v>0</v>
      </c>
      <c r="E249">
        <f>NMRResults[[#This Row],[Ammonium Concentration (mM)]]</f>
        <v>0</v>
      </c>
      <c r="F249" t="str">
        <f>GCResults[[#This Row],[H2 (ppm)]]</f>
        <v/>
      </c>
      <c r="G249">
        <f>GCResults[[#This Row],[Total Gas Volume (mL), gas cylinder = 3785mL]]</f>
        <v>0</v>
      </c>
      <c r="H249">
        <f>GCResults[[#This Row],[Pressure on Sampling (PSI), 145PSI=1MPa]]</f>
        <v>3552.5</v>
      </c>
      <c r="I249">
        <f>pHCondMod[[#This Row],[Sample pH]]</f>
        <v>0</v>
      </c>
      <c r="J249">
        <f>pHCondMod[[#This Row],[Sample Conductivity (mS/cm)]]</f>
        <v>0</v>
      </c>
      <c r="K249">
        <f>pHCondMod[[#This Row],[Modification Description]]</f>
        <v>0</v>
      </c>
      <c r="L249" s="1">
        <f>NMRResults[[#This Row],[Date Run]]</f>
        <v>0</v>
      </c>
      <c r="M249" s="1">
        <f>ICPList[[#This Row],[Date Run]]</f>
        <v>0</v>
      </c>
      <c r="N249" s="1">
        <f>GCResults[[#This Row],[Date Run ]]</f>
        <v>0</v>
      </c>
    </row>
    <row r="250" spans="1:14" ht="14.45" x14ac:dyDescent="0.25">
      <c r="A250">
        <f>SampleList[[#This Row],[Experiment ID]]</f>
        <v>0</v>
      </c>
      <c r="B250">
        <f>SampleList[[#This Row],[Sample Description]]</f>
        <v>0</v>
      </c>
      <c r="C250" s="1">
        <f>SampleList[[#This Row],[Date Sampled]]</f>
        <v>0</v>
      </c>
      <c r="D250">
        <f>SampleList[[#This Row],[Duration (Days)]]</f>
        <v>0</v>
      </c>
      <c r="E250">
        <f>NMRResults[[#This Row],[Ammonium Concentration (mM)]]</f>
        <v>0</v>
      </c>
      <c r="F250" t="str">
        <f>GCResults[[#This Row],[H2 (ppm)]]</f>
        <v/>
      </c>
      <c r="G250">
        <f>GCResults[[#This Row],[Total Gas Volume (mL), gas cylinder = 3785mL]]</f>
        <v>0</v>
      </c>
      <c r="H250">
        <f>GCResults[[#This Row],[Pressure on Sampling (PSI), 145PSI=1MPa]]</f>
        <v>3552.5</v>
      </c>
      <c r="I250">
        <f>pHCondMod[[#This Row],[Sample pH]]</f>
        <v>0</v>
      </c>
      <c r="J250">
        <f>pHCondMod[[#This Row],[Sample Conductivity (mS/cm)]]</f>
        <v>0</v>
      </c>
      <c r="K250">
        <f>pHCondMod[[#This Row],[Modification Description]]</f>
        <v>0</v>
      </c>
      <c r="L250" s="1">
        <f>NMRResults[[#This Row],[Date Run]]</f>
        <v>0</v>
      </c>
      <c r="M250" s="1">
        <f>ICPList[[#This Row],[Date Run]]</f>
        <v>0</v>
      </c>
      <c r="N250" s="1">
        <f>GCResults[[#This Row],[Date Run ]]</f>
        <v>0</v>
      </c>
    </row>
    <row r="251" spans="1:14" ht="14.45" x14ac:dyDescent="0.25">
      <c r="A251">
        <f>SampleList[[#This Row],[Experiment ID]]</f>
        <v>0</v>
      </c>
      <c r="B251">
        <f>SampleList[[#This Row],[Sample Description]]</f>
        <v>0</v>
      </c>
      <c r="C251" s="1">
        <f>SampleList[[#This Row],[Date Sampled]]</f>
        <v>0</v>
      </c>
      <c r="D251">
        <f>SampleList[[#This Row],[Duration (Days)]]</f>
        <v>0</v>
      </c>
      <c r="E251">
        <f>NMRResults[[#This Row],[Ammonium Concentration (mM)]]</f>
        <v>0</v>
      </c>
      <c r="F251" t="str">
        <f>GCResults[[#This Row],[H2 (ppm)]]</f>
        <v/>
      </c>
      <c r="G251">
        <f>GCResults[[#This Row],[Total Gas Volume (mL), gas cylinder = 3785mL]]</f>
        <v>0</v>
      </c>
      <c r="H251">
        <f>GCResults[[#This Row],[Pressure on Sampling (PSI), 145PSI=1MPa]]</f>
        <v>3552.5</v>
      </c>
      <c r="I251">
        <f>pHCondMod[[#This Row],[Sample pH]]</f>
        <v>0</v>
      </c>
      <c r="J251">
        <f>pHCondMod[[#This Row],[Sample Conductivity (mS/cm)]]</f>
        <v>0</v>
      </c>
      <c r="K251">
        <f>pHCondMod[[#This Row],[Modification Description]]</f>
        <v>0</v>
      </c>
      <c r="L251" s="1">
        <f>NMRResults[[#This Row],[Date Run]]</f>
        <v>0</v>
      </c>
      <c r="M251" s="1">
        <f>ICPList[[#This Row],[Date Run]]</f>
        <v>0</v>
      </c>
      <c r="N251" s="1">
        <f>GCResults[[#This Row],[Date Run ]]</f>
        <v>0</v>
      </c>
    </row>
    <row r="252" spans="1:14" ht="14.45" x14ac:dyDescent="0.25">
      <c r="A252">
        <f>SampleList[[#This Row],[Experiment ID]]</f>
        <v>0</v>
      </c>
      <c r="B252">
        <f>SampleList[[#This Row],[Sample Description]]</f>
        <v>0</v>
      </c>
      <c r="C252" s="1">
        <f>SampleList[[#This Row],[Date Sampled]]</f>
        <v>0</v>
      </c>
      <c r="D252">
        <f>SampleList[[#This Row],[Duration (Days)]]</f>
        <v>0</v>
      </c>
      <c r="E252">
        <f>NMRResults[[#This Row],[Ammonium Concentration (mM)]]</f>
        <v>0</v>
      </c>
      <c r="F252" t="str">
        <f>GCResults[[#This Row],[H2 (ppm)]]</f>
        <v/>
      </c>
      <c r="G252">
        <f>GCResults[[#This Row],[Total Gas Volume (mL), gas cylinder = 3785mL]]</f>
        <v>0</v>
      </c>
      <c r="H252">
        <f>GCResults[[#This Row],[Pressure on Sampling (PSI), 145PSI=1MPa]]</f>
        <v>3552.5</v>
      </c>
      <c r="I252">
        <f>pHCondMod[[#This Row],[Sample pH]]</f>
        <v>0</v>
      </c>
      <c r="J252">
        <f>pHCondMod[[#This Row],[Sample Conductivity (mS/cm)]]</f>
        <v>0</v>
      </c>
      <c r="K252">
        <f>pHCondMod[[#This Row],[Modification Description]]</f>
        <v>0</v>
      </c>
      <c r="L252" s="1">
        <f>NMRResults[[#This Row],[Date Run]]</f>
        <v>0</v>
      </c>
      <c r="M252" s="1">
        <f>ICPList[[#This Row],[Date Run]]</f>
        <v>0</v>
      </c>
      <c r="N252" s="1">
        <f>GCResults[[#This Row],[Date Run ]]</f>
        <v>0</v>
      </c>
    </row>
    <row r="253" spans="1:14" ht="14.45" x14ac:dyDescent="0.25">
      <c r="A253">
        <f>SampleList[[#This Row],[Experiment ID]]</f>
        <v>0</v>
      </c>
      <c r="B253">
        <f>SampleList[[#This Row],[Sample Description]]</f>
        <v>0</v>
      </c>
      <c r="C253" s="1">
        <f>SampleList[[#This Row],[Date Sampled]]</f>
        <v>0</v>
      </c>
      <c r="D253">
        <f>SampleList[[#This Row],[Duration (Days)]]</f>
        <v>0</v>
      </c>
      <c r="E253">
        <f>NMRResults[[#This Row],[Ammonium Concentration (mM)]]</f>
        <v>0</v>
      </c>
      <c r="F253" t="str">
        <f>GCResults[[#This Row],[H2 (ppm)]]</f>
        <v/>
      </c>
      <c r="G253">
        <f>GCResults[[#This Row],[Total Gas Volume (mL), gas cylinder = 3785mL]]</f>
        <v>0</v>
      </c>
      <c r="H253">
        <f>GCResults[[#This Row],[Pressure on Sampling (PSI), 145PSI=1MPa]]</f>
        <v>3552.5</v>
      </c>
      <c r="I253">
        <f>pHCondMod[[#This Row],[Sample pH]]</f>
        <v>0</v>
      </c>
      <c r="J253">
        <f>pHCondMod[[#This Row],[Sample Conductivity (mS/cm)]]</f>
        <v>0</v>
      </c>
      <c r="K253">
        <f>pHCondMod[[#This Row],[Modification Description]]</f>
        <v>0</v>
      </c>
      <c r="L253" s="1">
        <f>NMRResults[[#This Row],[Date Run]]</f>
        <v>0</v>
      </c>
      <c r="M253" s="1">
        <f>ICPList[[#This Row],[Date Run]]</f>
        <v>0</v>
      </c>
      <c r="N253" s="1">
        <f>GCResults[[#This Row],[Date Run ]]</f>
        <v>0</v>
      </c>
    </row>
    <row r="254" spans="1:14" ht="14.45" x14ac:dyDescent="0.25">
      <c r="A254">
        <f>SampleList[[#This Row],[Experiment ID]]</f>
        <v>0</v>
      </c>
      <c r="B254">
        <f>SampleList[[#This Row],[Sample Description]]</f>
        <v>0</v>
      </c>
      <c r="C254" s="1">
        <f>SampleList[[#This Row],[Date Sampled]]</f>
        <v>0</v>
      </c>
      <c r="D254">
        <f>SampleList[[#This Row],[Duration (Days)]]</f>
        <v>0</v>
      </c>
      <c r="E254">
        <f>NMRResults[[#This Row],[Ammonium Concentration (mM)]]</f>
        <v>0</v>
      </c>
      <c r="F254" t="str">
        <f>GCResults[[#This Row],[H2 (ppm)]]</f>
        <v/>
      </c>
      <c r="G254">
        <f>GCResults[[#This Row],[Total Gas Volume (mL), gas cylinder = 3785mL]]</f>
        <v>0</v>
      </c>
      <c r="H254">
        <f>GCResults[[#This Row],[Pressure on Sampling (PSI), 145PSI=1MPa]]</f>
        <v>3552.5</v>
      </c>
      <c r="I254">
        <f>pHCondMod[[#This Row],[Sample pH]]</f>
        <v>0</v>
      </c>
      <c r="J254">
        <f>pHCondMod[[#This Row],[Sample Conductivity (mS/cm)]]</f>
        <v>0</v>
      </c>
      <c r="K254">
        <f>pHCondMod[[#This Row],[Modification Description]]</f>
        <v>0</v>
      </c>
      <c r="L254" s="1">
        <f>NMRResults[[#This Row],[Date Run]]</f>
        <v>0</v>
      </c>
      <c r="M254" s="1">
        <f>ICPList[[#This Row],[Date Run]]</f>
        <v>0</v>
      </c>
      <c r="N254" s="1">
        <f>GCResults[[#This Row],[Date Run ]]</f>
        <v>0</v>
      </c>
    </row>
    <row r="255" spans="1:14" ht="14.45" x14ac:dyDescent="0.25">
      <c r="A255">
        <f>SampleList[[#This Row],[Experiment ID]]</f>
        <v>0</v>
      </c>
      <c r="B255">
        <f>SampleList[[#This Row],[Sample Description]]</f>
        <v>0</v>
      </c>
      <c r="C255" s="1">
        <f>SampleList[[#This Row],[Date Sampled]]</f>
        <v>0</v>
      </c>
      <c r="D255">
        <f>SampleList[[#This Row],[Duration (Days)]]</f>
        <v>0</v>
      </c>
      <c r="E255">
        <f>NMRResults[[#This Row],[Ammonium Concentration (mM)]]</f>
        <v>0</v>
      </c>
      <c r="F255" t="str">
        <f>GCResults[[#This Row],[H2 (ppm)]]</f>
        <v/>
      </c>
      <c r="G255">
        <f>GCResults[[#This Row],[Total Gas Volume (mL), gas cylinder = 3785mL]]</f>
        <v>0</v>
      </c>
      <c r="H255">
        <f>GCResults[[#This Row],[Pressure on Sampling (PSI), 145PSI=1MPa]]</f>
        <v>3552.5</v>
      </c>
      <c r="I255">
        <f>pHCondMod[[#This Row],[Sample pH]]</f>
        <v>0</v>
      </c>
      <c r="J255">
        <f>pHCondMod[[#This Row],[Sample Conductivity (mS/cm)]]</f>
        <v>0</v>
      </c>
      <c r="K255">
        <f>pHCondMod[[#This Row],[Modification Description]]</f>
        <v>0</v>
      </c>
      <c r="L255" s="1">
        <f>NMRResults[[#This Row],[Date Run]]</f>
        <v>0</v>
      </c>
      <c r="M255" s="1">
        <f>ICPList[[#This Row],[Date Run]]</f>
        <v>0</v>
      </c>
      <c r="N255" s="1">
        <f>GCResults[[#This Row],[Date Run ]]</f>
        <v>0</v>
      </c>
    </row>
    <row r="256" spans="1:14" ht="14.45" x14ac:dyDescent="0.25">
      <c r="A256">
        <f>SampleList[[#This Row],[Experiment ID]]</f>
        <v>0</v>
      </c>
      <c r="B256">
        <f>SampleList[[#This Row],[Sample Description]]</f>
        <v>0</v>
      </c>
      <c r="C256" s="1">
        <f>SampleList[[#This Row],[Date Sampled]]</f>
        <v>0</v>
      </c>
      <c r="D256">
        <f>SampleList[[#This Row],[Duration (Days)]]</f>
        <v>0</v>
      </c>
      <c r="E256">
        <f>NMRResults[[#This Row],[Ammonium Concentration (mM)]]</f>
        <v>0</v>
      </c>
      <c r="F256" t="str">
        <f>GCResults[[#This Row],[H2 (ppm)]]</f>
        <v/>
      </c>
      <c r="G256">
        <f>GCResults[[#This Row],[Total Gas Volume (mL), gas cylinder = 3785mL]]</f>
        <v>0</v>
      </c>
      <c r="H256">
        <f>GCResults[[#This Row],[Pressure on Sampling (PSI), 145PSI=1MPa]]</f>
        <v>3552.5</v>
      </c>
      <c r="I256">
        <f>pHCondMod[[#This Row],[Sample pH]]</f>
        <v>0</v>
      </c>
      <c r="J256">
        <f>pHCondMod[[#This Row],[Sample Conductivity (mS/cm)]]</f>
        <v>0</v>
      </c>
      <c r="K256">
        <f>pHCondMod[[#This Row],[Modification Description]]</f>
        <v>0</v>
      </c>
      <c r="L256" s="1">
        <f>NMRResults[[#This Row],[Date Run]]</f>
        <v>0</v>
      </c>
      <c r="M256" s="1">
        <f>ICPList[[#This Row],[Date Run]]</f>
        <v>0</v>
      </c>
      <c r="N256" s="1">
        <f>GCResults[[#This Row],[Date Run ]]</f>
        <v>0</v>
      </c>
    </row>
    <row r="257" spans="1:14" ht="14.45" x14ac:dyDescent="0.25">
      <c r="A257">
        <f>SampleList[[#This Row],[Experiment ID]]</f>
        <v>0</v>
      </c>
      <c r="B257">
        <f>SampleList[[#This Row],[Sample Description]]</f>
        <v>0</v>
      </c>
      <c r="C257" s="1">
        <f>SampleList[[#This Row],[Date Sampled]]</f>
        <v>0</v>
      </c>
      <c r="D257">
        <f>SampleList[[#This Row],[Duration (Days)]]</f>
        <v>0</v>
      </c>
      <c r="E257">
        <f>NMRResults[[#This Row],[Ammonium Concentration (mM)]]</f>
        <v>0</v>
      </c>
      <c r="F257" t="str">
        <f>GCResults[[#This Row],[H2 (ppm)]]</f>
        <v/>
      </c>
      <c r="G257">
        <f>GCResults[[#This Row],[Total Gas Volume (mL), gas cylinder = 3785mL]]</f>
        <v>0</v>
      </c>
      <c r="H257">
        <f>GCResults[[#This Row],[Pressure on Sampling (PSI), 145PSI=1MPa]]</f>
        <v>3552.5</v>
      </c>
      <c r="I257">
        <f>pHCondMod[[#This Row],[Sample pH]]</f>
        <v>0</v>
      </c>
      <c r="J257">
        <f>pHCondMod[[#This Row],[Sample Conductivity (mS/cm)]]</f>
        <v>0</v>
      </c>
      <c r="K257">
        <f>pHCondMod[[#This Row],[Modification Description]]</f>
        <v>0</v>
      </c>
      <c r="L257" s="1">
        <f>NMRResults[[#This Row],[Date Run]]</f>
        <v>0</v>
      </c>
      <c r="M257" s="1">
        <f>ICPList[[#This Row],[Date Run]]</f>
        <v>0</v>
      </c>
      <c r="N257" s="1">
        <f>GCResults[[#This Row],[Date Run ]]</f>
        <v>0</v>
      </c>
    </row>
    <row r="258" spans="1:14" ht="14.45" x14ac:dyDescent="0.25">
      <c r="A258">
        <f>SampleList[[#This Row],[Experiment ID]]</f>
        <v>0</v>
      </c>
      <c r="B258">
        <f>SampleList[[#This Row],[Sample Description]]</f>
        <v>0</v>
      </c>
      <c r="C258" s="1">
        <f>SampleList[[#This Row],[Date Sampled]]</f>
        <v>0</v>
      </c>
      <c r="D258">
        <f>SampleList[[#This Row],[Duration (Days)]]</f>
        <v>0</v>
      </c>
      <c r="E258">
        <f>NMRResults[[#This Row],[Ammonium Concentration (mM)]]</f>
        <v>0</v>
      </c>
      <c r="F258" t="str">
        <f>GCResults[[#This Row],[H2 (ppm)]]</f>
        <v/>
      </c>
      <c r="G258">
        <f>GCResults[[#This Row],[Total Gas Volume (mL), gas cylinder = 3785mL]]</f>
        <v>0</v>
      </c>
      <c r="H258">
        <f>GCResults[[#This Row],[Pressure on Sampling (PSI), 145PSI=1MPa]]</f>
        <v>3552.5</v>
      </c>
      <c r="I258">
        <f>pHCondMod[[#This Row],[Sample pH]]</f>
        <v>0</v>
      </c>
      <c r="J258">
        <f>pHCondMod[[#This Row],[Sample Conductivity (mS/cm)]]</f>
        <v>0</v>
      </c>
      <c r="K258">
        <f>pHCondMod[[#This Row],[Modification Description]]</f>
        <v>0</v>
      </c>
      <c r="L258" s="1">
        <f>NMRResults[[#This Row],[Date Run]]</f>
        <v>0</v>
      </c>
      <c r="M258" s="1">
        <f>ICPList[[#This Row],[Date Run]]</f>
        <v>0</v>
      </c>
      <c r="N258" s="1">
        <f>GCResults[[#This Row],[Date Run ]]</f>
        <v>0</v>
      </c>
    </row>
    <row r="259" spans="1:14" ht="14.45" x14ac:dyDescent="0.25">
      <c r="A259">
        <f>SampleList[[#This Row],[Experiment ID]]</f>
        <v>0</v>
      </c>
      <c r="B259">
        <f>SampleList[[#This Row],[Sample Description]]</f>
        <v>0</v>
      </c>
      <c r="C259" s="1">
        <f>SampleList[[#This Row],[Date Sampled]]</f>
        <v>0</v>
      </c>
      <c r="D259">
        <f>SampleList[[#This Row],[Duration (Days)]]</f>
        <v>0</v>
      </c>
      <c r="E259">
        <f>NMRResults[[#This Row],[Ammonium Concentration (mM)]]</f>
        <v>0</v>
      </c>
      <c r="F259" t="str">
        <f>GCResults[[#This Row],[H2 (ppm)]]</f>
        <v/>
      </c>
      <c r="G259">
        <f>GCResults[[#This Row],[Total Gas Volume (mL), gas cylinder = 3785mL]]</f>
        <v>0</v>
      </c>
      <c r="H259">
        <f>GCResults[[#This Row],[Pressure on Sampling (PSI), 145PSI=1MPa]]</f>
        <v>3552.5</v>
      </c>
      <c r="I259">
        <f>pHCondMod[[#This Row],[Sample pH]]</f>
        <v>0</v>
      </c>
      <c r="J259">
        <f>pHCondMod[[#This Row],[Sample Conductivity (mS/cm)]]</f>
        <v>0</v>
      </c>
      <c r="K259">
        <f>pHCondMod[[#This Row],[Modification Description]]</f>
        <v>0</v>
      </c>
      <c r="L259" s="1">
        <f>NMRResults[[#This Row],[Date Run]]</f>
        <v>0</v>
      </c>
      <c r="M259" s="1">
        <f>ICPList[[#This Row],[Date Run]]</f>
        <v>0</v>
      </c>
      <c r="N259" s="1">
        <f>GCResults[[#This Row],[Date Run ]]</f>
        <v>0</v>
      </c>
    </row>
    <row r="260" spans="1:14" ht="14.45" x14ac:dyDescent="0.25">
      <c r="A260">
        <f>SampleList[[#This Row],[Experiment ID]]</f>
        <v>0</v>
      </c>
      <c r="B260">
        <f>SampleList[[#This Row],[Sample Description]]</f>
        <v>0</v>
      </c>
      <c r="C260" s="1">
        <f>SampleList[[#This Row],[Date Sampled]]</f>
        <v>0</v>
      </c>
      <c r="D260">
        <f>SampleList[[#This Row],[Duration (Days)]]</f>
        <v>0</v>
      </c>
      <c r="E260">
        <f>NMRResults[[#This Row],[Ammonium Concentration (mM)]]</f>
        <v>0</v>
      </c>
      <c r="F260" t="str">
        <f>GCResults[[#This Row],[H2 (ppm)]]</f>
        <v/>
      </c>
      <c r="G260">
        <f>GCResults[[#This Row],[Total Gas Volume (mL), gas cylinder = 3785mL]]</f>
        <v>0</v>
      </c>
      <c r="H260">
        <f>GCResults[[#This Row],[Pressure on Sampling (PSI), 145PSI=1MPa]]</f>
        <v>3552.5</v>
      </c>
      <c r="I260">
        <f>pHCondMod[[#This Row],[Sample pH]]</f>
        <v>0</v>
      </c>
      <c r="J260">
        <f>pHCondMod[[#This Row],[Sample Conductivity (mS/cm)]]</f>
        <v>0</v>
      </c>
      <c r="K260">
        <f>pHCondMod[[#This Row],[Modification Description]]</f>
        <v>0</v>
      </c>
      <c r="L260" s="1">
        <f>NMRResults[[#This Row],[Date Run]]</f>
        <v>0</v>
      </c>
      <c r="M260" s="1">
        <f>ICPList[[#This Row],[Date Run]]</f>
        <v>0</v>
      </c>
      <c r="N260" s="1">
        <f>GCResults[[#This Row],[Date Run ]]</f>
        <v>0</v>
      </c>
    </row>
    <row r="261" spans="1:14" ht="14.45" x14ac:dyDescent="0.25">
      <c r="A261">
        <f>SampleList[[#This Row],[Experiment ID]]</f>
        <v>0</v>
      </c>
      <c r="B261">
        <f>SampleList[[#This Row],[Sample Description]]</f>
        <v>0</v>
      </c>
      <c r="C261" s="1">
        <f>SampleList[[#This Row],[Date Sampled]]</f>
        <v>0</v>
      </c>
      <c r="D261">
        <f>SampleList[[#This Row],[Duration (Days)]]</f>
        <v>0</v>
      </c>
      <c r="E261">
        <f>NMRResults[[#This Row],[Ammonium Concentration (mM)]]</f>
        <v>0</v>
      </c>
      <c r="F261" t="str">
        <f>GCResults[[#This Row],[H2 (ppm)]]</f>
        <v/>
      </c>
      <c r="G261">
        <f>GCResults[[#This Row],[Total Gas Volume (mL), gas cylinder = 3785mL]]</f>
        <v>0</v>
      </c>
      <c r="H261">
        <f>GCResults[[#This Row],[Pressure on Sampling (PSI), 145PSI=1MPa]]</f>
        <v>3552.5</v>
      </c>
      <c r="I261">
        <f>pHCondMod[[#This Row],[Sample pH]]</f>
        <v>0</v>
      </c>
      <c r="J261">
        <f>pHCondMod[[#This Row],[Sample Conductivity (mS/cm)]]</f>
        <v>0</v>
      </c>
      <c r="K261">
        <f>pHCondMod[[#This Row],[Modification Description]]</f>
        <v>0</v>
      </c>
      <c r="L261" s="1">
        <f>NMRResults[[#This Row],[Date Run]]</f>
        <v>0</v>
      </c>
      <c r="M261" s="1">
        <f>ICPList[[#This Row],[Date Run]]</f>
        <v>0</v>
      </c>
      <c r="N261" s="1">
        <f>GCResults[[#This Row],[Date Run ]]</f>
        <v>0</v>
      </c>
    </row>
    <row r="262" spans="1:14" ht="14.45" x14ac:dyDescent="0.25">
      <c r="A262">
        <f>SampleList[[#This Row],[Experiment ID]]</f>
        <v>0</v>
      </c>
      <c r="B262">
        <f>SampleList[[#This Row],[Sample Description]]</f>
        <v>0</v>
      </c>
      <c r="C262" s="1">
        <f>SampleList[[#This Row],[Date Sampled]]</f>
        <v>0</v>
      </c>
      <c r="D262">
        <f>SampleList[[#This Row],[Duration (Days)]]</f>
        <v>0</v>
      </c>
      <c r="E262">
        <f>NMRResults[[#This Row],[Ammonium Concentration (mM)]]</f>
        <v>0</v>
      </c>
      <c r="F262" t="str">
        <f>GCResults[[#This Row],[H2 (ppm)]]</f>
        <v/>
      </c>
      <c r="G262">
        <f>GCResults[[#This Row],[Total Gas Volume (mL), gas cylinder = 3785mL]]</f>
        <v>0</v>
      </c>
      <c r="H262">
        <f>GCResults[[#This Row],[Pressure on Sampling (PSI), 145PSI=1MPa]]</f>
        <v>3552.5</v>
      </c>
      <c r="I262">
        <f>pHCondMod[[#This Row],[Sample pH]]</f>
        <v>0</v>
      </c>
      <c r="J262">
        <f>pHCondMod[[#This Row],[Sample Conductivity (mS/cm)]]</f>
        <v>0</v>
      </c>
      <c r="K262">
        <f>pHCondMod[[#This Row],[Modification Description]]</f>
        <v>0</v>
      </c>
      <c r="L262" s="1">
        <f>NMRResults[[#This Row],[Date Run]]</f>
        <v>0</v>
      </c>
      <c r="M262" s="1">
        <f>ICPList[[#This Row],[Date Run]]</f>
        <v>0</v>
      </c>
      <c r="N262" s="1">
        <f>GCResults[[#This Row],[Date Run ]]</f>
        <v>0</v>
      </c>
    </row>
    <row r="263" spans="1:14" ht="14.45" x14ac:dyDescent="0.25">
      <c r="A263">
        <f>SampleList[[#This Row],[Experiment ID]]</f>
        <v>0</v>
      </c>
      <c r="B263">
        <f>SampleList[[#This Row],[Sample Description]]</f>
        <v>0</v>
      </c>
      <c r="C263" s="1">
        <f>SampleList[[#This Row],[Date Sampled]]</f>
        <v>0</v>
      </c>
      <c r="D263">
        <f>SampleList[[#This Row],[Duration (Days)]]</f>
        <v>0</v>
      </c>
      <c r="E263">
        <f>NMRResults[[#This Row],[Ammonium Concentration (mM)]]</f>
        <v>0</v>
      </c>
      <c r="F263" t="str">
        <f>GCResults[[#This Row],[H2 (ppm)]]</f>
        <v/>
      </c>
      <c r="G263">
        <f>GCResults[[#This Row],[Total Gas Volume (mL), gas cylinder = 3785mL]]</f>
        <v>0</v>
      </c>
      <c r="H263">
        <f>GCResults[[#This Row],[Pressure on Sampling (PSI), 145PSI=1MPa]]</f>
        <v>3552.5</v>
      </c>
      <c r="I263">
        <f>pHCondMod[[#This Row],[Sample pH]]</f>
        <v>0</v>
      </c>
      <c r="J263">
        <f>pHCondMod[[#This Row],[Sample Conductivity (mS/cm)]]</f>
        <v>0</v>
      </c>
      <c r="K263">
        <f>pHCondMod[[#This Row],[Modification Description]]</f>
        <v>0</v>
      </c>
      <c r="L263" s="1">
        <f>NMRResults[[#This Row],[Date Run]]</f>
        <v>0</v>
      </c>
      <c r="M263" s="1">
        <f>ICPList[[#This Row],[Date Run]]</f>
        <v>0</v>
      </c>
      <c r="N263" s="1">
        <f>GCResults[[#This Row],[Date Run ]]</f>
        <v>0</v>
      </c>
    </row>
    <row r="264" spans="1:14" ht="14.45" x14ac:dyDescent="0.25">
      <c r="A264">
        <f>SampleList[[#This Row],[Experiment ID]]</f>
        <v>0</v>
      </c>
      <c r="B264">
        <f>SampleList[[#This Row],[Sample Description]]</f>
        <v>0</v>
      </c>
      <c r="C264" s="1">
        <f>SampleList[[#This Row],[Date Sampled]]</f>
        <v>0</v>
      </c>
      <c r="D264">
        <f>SampleList[[#This Row],[Duration (Days)]]</f>
        <v>0</v>
      </c>
      <c r="E264">
        <f>NMRResults[[#This Row],[Ammonium Concentration (mM)]]</f>
        <v>0</v>
      </c>
      <c r="F264" t="str">
        <f>GCResults[[#This Row],[H2 (ppm)]]</f>
        <v/>
      </c>
      <c r="G264">
        <f>GCResults[[#This Row],[Total Gas Volume (mL), gas cylinder = 3785mL]]</f>
        <v>0</v>
      </c>
      <c r="H264">
        <f>GCResults[[#This Row],[Pressure on Sampling (PSI), 145PSI=1MPa]]</f>
        <v>3552.5</v>
      </c>
      <c r="I264">
        <f>pHCondMod[[#This Row],[Sample pH]]</f>
        <v>0</v>
      </c>
      <c r="J264">
        <f>pHCondMod[[#This Row],[Sample Conductivity (mS/cm)]]</f>
        <v>0</v>
      </c>
      <c r="K264">
        <f>pHCondMod[[#This Row],[Modification Description]]</f>
        <v>0</v>
      </c>
      <c r="L264" s="1">
        <f>NMRResults[[#This Row],[Date Run]]</f>
        <v>0</v>
      </c>
      <c r="M264" s="1">
        <f>ICPList[[#This Row],[Date Run]]</f>
        <v>0</v>
      </c>
      <c r="N264" s="1">
        <f>GCResults[[#This Row],[Date Run ]]</f>
        <v>0</v>
      </c>
    </row>
    <row r="265" spans="1:14" ht="14.45" x14ac:dyDescent="0.25">
      <c r="A265">
        <f>SampleList[[#This Row],[Experiment ID]]</f>
        <v>0</v>
      </c>
      <c r="B265">
        <f>SampleList[[#This Row],[Sample Description]]</f>
        <v>0</v>
      </c>
      <c r="C265" s="1">
        <f>SampleList[[#This Row],[Date Sampled]]</f>
        <v>0</v>
      </c>
      <c r="D265">
        <f>SampleList[[#This Row],[Duration (Days)]]</f>
        <v>0</v>
      </c>
      <c r="E265">
        <f>NMRResults[[#This Row],[Ammonium Concentration (mM)]]</f>
        <v>0</v>
      </c>
      <c r="F265" t="str">
        <f>GCResults[[#This Row],[H2 (ppm)]]</f>
        <v/>
      </c>
      <c r="G265">
        <f>GCResults[[#This Row],[Total Gas Volume (mL), gas cylinder = 3785mL]]</f>
        <v>0</v>
      </c>
      <c r="H265">
        <f>GCResults[[#This Row],[Pressure on Sampling (PSI), 145PSI=1MPa]]</f>
        <v>3552.5</v>
      </c>
      <c r="I265">
        <f>pHCondMod[[#This Row],[Sample pH]]</f>
        <v>0</v>
      </c>
      <c r="J265">
        <f>pHCondMod[[#This Row],[Sample Conductivity (mS/cm)]]</f>
        <v>0</v>
      </c>
      <c r="K265">
        <f>pHCondMod[[#This Row],[Modification Description]]</f>
        <v>0</v>
      </c>
      <c r="L265" s="1">
        <f>NMRResults[[#This Row],[Date Run]]</f>
        <v>0</v>
      </c>
      <c r="M265" s="1">
        <f>ICPList[[#This Row],[Date Run]]</f>
        <v>0</v>
      </c>
      <c r="N265" s="1">
        <f>GCResults[[#This Row],[Date Run ]]</f>
        <v>0</v>
      </c>
    </row>
    <row r="266" spans="1:14" ht="14.45" x14ac:dyDescent="0.25">
      <c r="A266">
        <f>SampleList[[#This Row],[Experiment ID]]</f>
        <v>0</v>
      </c>
      <c r="B266">
        <f>SampleList[[#This Row],[Sample Description]]</f>
        <v>0</v>
      </c>
      <c r="C266" s="1">
        <f>SampleList[[#This Row],[Date Sampled]]</f>
        <v>0</v>
      </c>
      <c r="D266">
        <f>SampleList[[#This Row],[Duration (Days)]]</f>
        <v>0</v>
      </c>
      <c r="E266">
        <f>NMRResults[[#This Row],[Ammonium Concentration (mM)]]</f>
        <v>0</v>
      </c>
      <c r="F266" t="str">
        <f>GCResults[[#This Row],[H2 (ppm)]]</f>
        <v/>
      </c>
      <c r="G266">
        <f>GCResults[[#This Row],[Total Gas Volume (mL), gas cylinder = 3785mL]]</f>
        <v>0</v>
      </c>
      <c r="H266">
        <f>GCResults[[#This Row],[Pressure on Sampling (PSI), 145PSI=1MPa]]</f>
        <v>3552.5</v>
      </c>
      <c r="I266">
        <f>pHCondMod[[#This Row],[Sample pH]]</f>
        <v>0</v>
      </c>
      <c r="J266">
        <f>pHCondMod[[#This Row],[Sample Conductivity (mS/cm)]]</f>
        <v>0</v>
      </c>
      <c r="K266">
        <f>pHCondMod[[#This Row],[Modification Description]]</f>
        <v>0</v>
      </c>
      <c r="L266" s="1">
        <f>NMRResults[[#This Row],[Date Run]]</f>
        <v>0</v>
      </c>
      <c r="M266" s="1">
        <f>ICPList[[#This Row],[Date Run]]</f>
        <v>0</v>
      </c>
      <c r="N266" s="1">
        <f>GCResults[[#This Row],[Date Run ]]</f>
        <v>0</v>
      </c>
    </row>
    <row r="267" spans="1:14" ht="14.45" x14ac:dyDescent="0.25">
      <c r="A267">
        <f>SampleList[[#This Row],[Experiment ID]]</f>
        <v>0</v>
      </c>
      <c r="B267">
        <f>SampleList[[#This Row],[Sample Description]]</f>
        <v>0</v>
      </c>
      <c r="C267" s="1">
        <f>SampleList[[#This Row],[Date Sampled]]</f>
        <v>0</v>
      </c>
      <c r="D267">
        <f>SampleList[[#This Row],[Duration (Days)]]</f>
        <v>0</v>
      </c>
      <c r="E267">
        <f>NMRResults[[#This Row],[Ammonium Concentration (mM)]]</f>
        <v>0</v>
      </c>
      <c r="F267" t="str">
        <f>GCResults[[#This Row],[H2 (ppm)]]</f>
        <v/>
      </c>
      <c r="G267">
        <f>GCResults[[#This Row],[Total Gas Volume (mL), gas cylinder = 3785mL]]</f>
        <v>0</v>
      </c>
      <c r="H267">
        <f>GCResults[[#This Row],[Pressure on Sampling (PSI), 145PSI=1MPa]]</f>
        <v>3552.5</v>
      </c>
      <c r="I267">
        <f>pHCondMod[[#This Row],[Sample pH]]</f>
        <v>0</v>
      </c>
      <c r="J267">
        <f>pHCondMod[[#This Row],[Sample Conductivity (mS/cm)]]</f>
        <v>0</v>
      </c>
      <c r="K267">
        <f>pHCondMod[[#This Row],[Modification Description]]</f>
        <v>0</v>
      </c>
      <c r="L267" s="1">
        <f>NMRResults[[#This Row],[Date Run]]</f>
        <v>0</v>
      </c>
      <c r="M267" s="1">
        <f>ICPList[[#This Row],[Date Run]]</f>
        <v>0</v>
      </c>
      <c r="N267" s="1">
        <f>GCResults[[#This Row],[Date Run ]]</f>
        <v>0</v>
      </c>
    </row>
    <row r="268" spans="1:14" ht="14.45" x14ac:dyDescent="0.25">
      <c r="A268">
        <f>SampleList[[#This Row],[Experiment ID]]</f>
        <v>0</v>
      </c>
      <c r="B268">
        <f>SampleList[[#This Row],[Sample Description]]</f>
        <v>0</v>
      </c>
      <c r="C268" s="1">
        <f>SampleList[[#This Row],[Date Sampled]]</f>
        <v>0</v>
      </c>
      <c r="D268">
        <f>SampleList[[#This Row],[Duration (Days)]]</f>
        <v>0</v>
      </c>
      <c r="E268">
        <f>NMRResults[[#This Row],[Ammonium Concentration (mM)]]</f>
        <v>0</v>
      </c>
      <c r="F268" t="str">
        <f>GCResults[[#This Row],[H2 (ppm)]]</f>
        <v/>
      </c>
      <c r="G268">
        <f>GCResults[[#This Row],[Total Gas Volume (mL), gas cylinder = 3785mL]]</f>
        <v>0</v>
      </c>
      <c r="H268">
        <f>GCResults[[#This Row],[Pressure on Sampling (PSI), 145PSI=1MPa]]</f>
        <v>3552.5</v>
      </c>
      <c r="I268">
        <f>pHCondMod[[#This Row],[Sample pH]]</f>
        <v>0</v>
      </c>
      <c r="J268">
        <f>pHCondMod[[#This Row],[Sample Conductivity (mS/cm)]]</f>
        <v>0</v>
      </c>
      <c r="K268">
        <f>pHCondMod[[#This Row],[Modification Description]]</f>
        <v>0</v>
      </c>
      <c r="L268" s="1">
        <f>NMRResults[[#This Row],[Date Run]]</f>
        <v>0</v>
      </c>
      <c r="M268" s="1">
        <f>ICPList[[#This Row],[Date Run]]</f>
        <v>0</v>
      </c>
      <c r="N268" s="1">
        <f>GCResults[[#This Row],[Date Run ]]</f>
        <v>0</v>
      </c>
    </row>
    <row r="269" spans="1:14" ht="14.45" x14ac:dyDescent="0.25">
      <c r="A269">
        <f>SampleList[[#This Row],[Experiment ID]]</f>
        <v>0</v>
      </c>
      <c r="B269">
        <f>SampleList[[#This Row],[Sample Description]]</f>
        <v>0</v>
      </c>
      <c r="C269" s="1">
        <f>SampleList[[#This Row],[Date Sampled]]</f>
        <v>0</v>
      </c>
      <c r="D269">
        <f>SampleList[[#This Row],[Duration (Days)]]</f>
        <v>0</v>
      </c>
      <c r="E269">
        <f>NMRResults[[#This Row],[Ammonium Concentration (mM)]]</f>
        <v>0</v>
      </c>
      <c r="F269" t="str">
        <f>GCResults[[#This Row],[H2 (ppm)]]</f>
        <v/>
      </c>
      <c r="G269">
        <f>GCResults[[#This Row],[Total Gas Volume (mL), gas cylinder = 3785mL]]</f>
        <v>0</v>
      </c>
      <c r="H269">
        <f>GCResults[[#This Row],[Pressure on Sampling (PSI), 145PSI=1MPa]]</f>
        <v>3552.5</v>
      </c>
      <c r="I269">
        <f>pHCondMod[[#This Row],[Sample pH]]</f>
        <v>0</v>
      </c>
      <c r="J269">
        <f>pHCondMod[[#This Row],[Sample Conductivity (mS/cm)]]</f>
        <v>0</v>
      </c>
      <c r="K269">
        <f>pHCondMod[[#This Row],[Modification Description]]</f>
        <v>0</v>
      </c>
      <c r="L269" s="1">
        <f>NMRResults[[#This Row],[Date Run]]</f>
        <v>0</v>
      </c>
      <c r="M269" s="1">
        <f>ICPList[[#This Row],[Date Run]]</f>
        <v>0</v>
      </c>
      <c r="N269" s="1">
        <f>GCResults[[#This Row],[Date Run ]]</f>
        <v>0</v>
      </c>
    </row>
    <row r="270" spans="1:14" ht="14.45" x14ac:dyDescent="0.25">
      <c r="A270">
        <f>SampleList[[#This Row],[Experiment ID]]</f>
        <v>0</v>
      </c>
      <c r="B270">
        <f>SampleList[[#This Row],[Sample Description]]</f>
        <v>0</v>
      </c>
      <c r="C270" s="1">
        <f>SampleList[[#This Row],[Date Sampled]]</f>
        <v>0</v>
      </c>
      <c r="D270">
        <f>SampleList[[#This Row],[Duration (Days)]]</f>
        <v>0</v>
      </c>
      <c r="E270">
        <f>NMRResults[[#This Row],[Ammonium Concentration (mM)]]</f>
        <v>0</v>
      </c>
      <c r="F270" t="str">
        <f>GCResults[[#This Row],[H2 (ppm)]]</f>
        <v/>
      </c>
      <c r="G270">
        <f>GCResults[[#This Row],[Total Gas Volume (mL), gas cylinder = 3785mL]]</f>
        <v>0</v>
      </c>
      <c r="H270">
        <f>GCResults[[#This Row],[Pressure on Sampling (PSI), 145PSI=1MPa]]</f>
        <v>3552.5</v>
      </c>
      <c r="I270">
        <f>pHCondMod[[#This Row],[Sample pH]]</f>
        <v>0</v>
      </c>
      <c r="J270">
        <f>pHCondMod[[#This Row],[Sample Conductivity (mS/cm)]]</f>
        <v>0</v>
      </c>
      <c r="K270">
        <f>pHCondMod[[#This Row],[Modification Description]]</f>
        <v>0</v>
      </c>
      <c r="L270" s="1">
        <f>NMRResults[[#This Row],[Date Run]]</f>
        <v>0</v>
      </c>
      <c r="M270" s="1">
        <f>ICPList[[#This Row],[Date Run]]</f>
        <v>0</v>
      </c>
      <c r="N270" s="1">
        <f>GCResults[[#This Row],[Date Run ]]</f>
        <v>0</v>
      </c>
    </row>
    <row r="271" spans="1:14" ht="14.45" x14ac:dyDescent="0.25">
      <c r="A271">
        <f>SampleList[[#This Row],[Experiment ID]]</f>
        <v>0</v>
      </c>
      <c r="B271">
        <f>SampleList[[#This Row],[Sample Description]]</f>
        <v>0</v>
      </c>
      <c r="C271" s="1">
        <f>SampleList[[#This Row],[Date Sampled]]</f>
        <v>0</v>
      </c>
      <c r="D271">
        <f>SampleList[[#This Row],[Duration (Days)]]</f>
        <v>0</v>
      </c>
      <c r="E271">
        <f>NMRResults[[#This Row],[Ammonium Concentration (mM)]]</f>
        <v>0</v>
      </c>
      <c r="F271" t="str">
        <f>GCResults[[#This Row],[H2 (ppm)]]</f>
        <v/>
      </c>
      <c r="G271">
        <f>GCResults[[#This Row],[Total Gas Volume (mL), gas cylinder = 3785mL]]</f>
        <v>0</v>
      </c>
      <c r="H271">
        <f>GCResults[[#This Row],[Pressure on Sampling (PSI), 145PSI=1MPa]]</f>
        <v>3552.5</v>
      </c>
      <c r="I271">
        <f>pHCondMod[[#This Row],[Sample pH]]</f>
        <v>0</v>
      </c>
      <c r="J271">
        <f>pHCondMod[[#This Row],[Sample Conductivity (mS/cm)]]</f>
        <v>0</v>
      </c>
      <c r="K271">
        <f>pHCondMod[[#This Row],[Modification Description]]</f>
        <v>0</v>
      </c>
      <c r="L271" s="1">
        <f>NMRResults[[#This Row],[Date Run]]</f>
        <v>0</v>
      </c>
      <c r="M271" s="1">
        <f>ICPList[[#This Row],[Date Run]]</f>
        <v>0</v>
      </c>
      <c r="N271" s="1">
        <f>GCResults[[#This Row],[Date Run ]]</f>
        <v>0</v>
      </c>
    </row>
    <row r="272" spans="1:14" ht="14.45" x14ac:dyDescent="0.25">
      <c r="A272">
        <f>SampleList[[#This Row],[Experiment ID]]</f>
        <v>0</v>
      </c>
      <c r="B272">
        <f>SampleList[[#This Row],[Sample Description]]</f>
        <v>0</v>
      </c>
      <c r="C272" s="1">
        <f>SampleList[[#This Row],[Date Sampled]]</f>
        <v>0</v>
      </c>
      <c r="D272">
        <f>SampleList[[#This Row],[Duration (Days)]]</f>
        <v>0</v>
      </c>
      <c r="E272">
        <f>NMRResults[[#This Row],[Ammonium Concentration (mM)]]</f>
        <v>0</v>
      </c>
      <c r="F272" t="str">
        <f>GCResults[[#This Row],[H2 (ppm)]]</f>
        <v/>
      </c>
      <c r="G272">
        <f>GCResults[[#This Row],[Total Gas Volume (mL), gas cylinder = 3785mL]]</f>
        <v>0</v>
      </c>
      <c r="H272">
        <f>GCResults[[#This Row],[Pressure on Sampling (PSI), 145PSI=1MPa]]</f>
        <v>3552.5</v>
      </c>
      <c r="I272">
        <f>pHCondMod[[#This Row],[Sample pH]]</f>
        <v>0</v>
      </c>
      <c r="J272">
        <f>pHCondMod[[#This Row],[Sample Conductivity (mS/cm)]]</f>
        <v>0</v>
      </c>
      <c r="K272">
        <f>pHCondMod[[#This Row],[Modification Description]]</f>
        <v>0</v>
      </c>
      <c r="L272" s="1">
        <f>NMRResults[[#This Row],[Date Run]]</f>
        <v>0</v>
      </c>
      <c r="M272" s="1">
        <f>ICPList[[#This Row],[Date Run]]</f>
        <v>0</v>
      </c>
      <c r="N272" s="1">
        <f>GCResults[[#This Row],[Date Run ]]</f>
        <v>0</v>
      </c>
    </row>
    <row r="273" spans="1:14" ht="14.45" x14ac:dyDescent="0.25">
      <c r="A273">
        <f>SampleList[[#This Row],[Experiment ID]]</f>
        <v>0</v>
      </c>
      <c r="B273">
        <f>SampleList[[#This Row],[Sample Description]]</f>
        <v>0</v>
      </c>
      <c r="C273" s="1">
        <f>SampleList[[#This Row],[Date Sampled]]</f>
        <v>0</v>
      </c>
      <c r="D273">
        <f>SampleList[[#This Row],[Duration (Days)]]</f>
        <v>0</v>
      </c>
      <c r="E273">
        <f>NMRResults[[#This Row],[Ammonium Concentration (mM)]]</f>
        <v>0</v>
      </c>
      <c r="F273" t="str">
        <f>GCResults[[#This Row],[H2 (ppm)]]</f>
        <v/>
      </c>
      <c r="G273">
        <f>GCResults[[#This Row],[Total Gas Volume (mL), gas cylinder = 3785mL]]</f>
        <v>0</v>
      </c>
      <c r="H273">
        <f>GCResults[[#This Row],[Pressure on Sampling (PSI), 145PSI=1MPa]]</f>
        <v>3552.5</v>
      </c>
      <c r="I273">
        <f>pHCondMod[[#This Row],[Sample pH]]</f>
        <v>0</v>
      </c>
      <c r="J273">
        <f>pHCondMod[[#This Row],[Sample Conductivity (mS/cm)]]</f>
        <v>0</v>
      </c>
      <c r="K273">
        <f>pHCondMod[[#This Row],[Modification Description]]</f>
        <v>0</v>
      </c>
      <c r="L273" s="1">
        <f>NMRResults[[#This Row],[Date Run]]</f>
        <v>0</v>
      </c>
      <c r="M273" s="1">
        <f>ICPList[[#This Row],[Date Run]]</f>
        <v>0</v>
      </c>
      <c r="N273" s="1">
        <f>GCResults[[#This Row],[Date Run ]]</f>
        <v>0</v>
      </c>
    </row>
    <row r="274" spans="1:14" ht="14.45" x14ac:dyDescent="0.25">
      <c r="A274">
        <f>SampleList[[#This Row],[Experiment ID]]</f>
        <v>0</v>
      </c>
      <c r="B274">
        <f>SampleList[[#This Row],[Sample Description]]</f>
        <v>0</v>
      </c>
      <c r="C274" s="1">
        <f>SampleList[[#This Row],[Date Sampled]]</f>
        <v>0</v>
      </c>
      <c r="D274">
        <f>SampleList[[#This Row],[Duration (Days)]]</f>
        <v>0</v>
      </c>
      <c r="E274">
        <f>NMRResults[[#This Row],[Ammonium Concentration (mM)]]</f>
        <v>0</v>
      </c>
      <c r="F274" t="str">
        <f>GCResults[[#This Row],[H2 (ppm)]]</f>
        <v/>
      </c>
      <c r="G274">
        <f>GCResults[[#This Row],[Total Gas Volume (mL), gas cylinder = 3785mL]]</f>
        <v>0</v>
      </c>
      <c r="H274">
        <f>GCResults[[#This Row],[Pressure on Sampling (PSI), 145PSI=1MPa]]</f>
        <v>3552.5</v>
      </c>
      <c r="I274">
        <f>pHCondMod[[#This Row],[Sample pH]]</f>
        <v>0</v>
      </c>
      <c r="J274">
        <f>pHCondMod[[#This Row],[Sample Conductivity (mS/cm)]]</f>
        <v>0</v>
      </c>
      <c r="K274">
        <f>pHCondMod[[#This Row],[Modification Description]]</f>
        <v>0</v>
      </c>
      <c r="L274" s="1">
        <f>NMRResults[[#This Row],[Date Run]]</f>
        <v>0</v>
      </c>
      <c r="M274" s="1">
        <f>ICPList[[#This Row],[Date Run]]</f>
        <v>0</v>
      </c>
      <c r="N274" s="1">
        <f>GCResults[[#This Row],[Date Run ]]</f>
        <v>0</v>
      </c>
    </row>
    <row r="275" spans="1:14" ht="14.45" x14ac:dyDescent="0.25">
      <c r="A275">
        <f>SampleList[[#This Row],[Experiment ID]]</f>
        <v>0</v>
      </c>
      <c r="B275">
        <f>SampleList[[#This Row],[Sample Description]]</f>
        <v>0</v>
      </c>
      <c r="C275" s="1">
        <f>SampleList[[#This Row],[Date Sampled]]</f>
        <v>0</v>
      </c>
      <c r="D275">
        <f>SampleList[[#This Row],[Duration (Days)]]</f>
        <v>0</v>
      </c>
      <c r="E275">
        <f>NMRResults[[#This Row],[Ammonium Concentration (mM)]]</f>
        <v>0</v>
      </c>
      <c r="F275" t="str">
        <f>GCResults[[#This Row],[H2 (ppm)]]</f>
        <v/>
      </c>
      <c r="G275">
        <f>GCResults[[#This Row],[Total Gas Volume (mL), gas cylinder = 3785mL]]</f>
        <v>0</v>
      </c>
      <c r="H275">
        <f>GCResults[[#This Row],[Pressure on Sampling (PSI), 145PSI=1MPa]]</f>
        <v>3552.5</v>
      </c>
      <c r="I275">
        <f>pHCondMod[[#This Row],[Sample pH]]</f>
        <v>0</v>
      </c>
      <c r="J275">
        <f>pHCondMod[[#This Row],[Sample Conductivity (mS/cm)]]</f>
        <v>0</v>
      </c>
      <c r="K275">
        <f>pHCondMod[[#This Row],[Modification Description]]</f>
        <v>0</v>
      </c>
      <c r="L275" s="1">
        <f>NMRResults[[#This Row],[Date Run]]</f>
        <v>0</v>
      </c>
      <c r="M275" s="1">
        <f>ICPList[[#This Row],[Date Run]]</f>
        <v>0</v>
      </c>
      <c r="N275" s="1">
        <f>GCResults[[#This Row],[Date Run ]]</f>
        <v>0</v>
      </c>
    </row>
    <row r="276" spans="1:14" ht="14.45" x14ac:dyDescent="0.25">
      <c r="A276">
        <f>SampleList[[#This Row],[Experiment ID]]</f>
        <v>0</v>
      </c>
      <c r="B276">
        <f>SampleList[[#This Row],[Sample Description]]</f>
        <v>0</v>
      </c>
      <c r="C276" s="1">
        <f>SampleList[[#This Row],[Date Sampled]]</f>
        <v>0</v>
      </c>
      <c r="D276">
        <f>SampleList[[#This Row],[Duration (Days)]]</f>
        <v>0</v>
      </c>
      <c r="E276">
        <f>NMRResults[[#This Row],[Ammonium Concentration (mM)]]</f>
        <v>0</v>
      </c>
      <c r="F276" t="str">
        <f>GCResults[[#This Row],[H2 (ppm)]]</f>
        <v/>
      </c>
      <c r="G276">
        <f>GCResults[[#This Row],[Total Gas Volume (mL), gas cylinder = 3785mL]]</f>
        <v>0</v>
      </c>
      <c r="H276">
        <f>GCResults[[#This Row],[Pressure on Sampling (PSI), 145PSI=1MPa]]</f>
        <v>3552.5</v>
      </c>
      <c r="I276">
        <f>pHCondMod[[#This Row],[Sample pH]]</f>
        <v>0</v>
      </c>
      <c r="J276">
        <f>pHCondMod[[#This Row],[Sample Conductivity (mS/cm)]]</f>
        <v>0</v>
      </c>
      <c r="K276">
        <f>pHCondMod[[#This Row],[Modification Description]]</f>
        <v>0</v>
      </c>
      <c r="L276" s="1">
        <f>NMRResults[[#This Row],[Date Run]]</f>
        <v>0</v>
      </c>
      <c r="M276" s="1">
        <f>ICPList[[#This Row],[Date Run]]</f>
        <v>0</v>
      </c>
      <c r="N276" s="1">
        <f>GCResults[[#This Row],[Date Run ]]</f>
        <v>0</v>
      </c>
    </row>
    <row r="277" spans="1:14" ht="14.45" x14ac:dyDescent="0.25">
      <c r="A277">
        <f>SampleList[[#This Row],[Experiment ID]]</f>
        <v>0</v>
      </c>
      <c r="B277">
        <f>SampleList[[#This Row],[Sample Description]]</f>
        <v>0</v>
      </c>
      <c r="C277" s="1">
        <f>SampleList[[#This Row],[Date Sampled]]</f>
        <v>0</v>
      </c>
      <c r="D277">
        <f>SampleList[[#This Row],[Duration (Days)]]</f>
        <v>0</v>
      </c>
      <c r="E277">
        <f>NMRResults[[#This Row],[Ammonium Concentration (mM)]]</f>
        <v>0</v>
      </c>
      <c r="F277" t="str">
        <f>GCResults[[#This Row],[H2 (ppm)]]</f>
        <v/>
      </c>
      <c r="G277">
        <f>GCResults[[#This Row],[Total Gas Volume (mL), gas cylinder = 3785mL]]</f>
        <v>0</v>
      </c>
      <c r="H277">
        <f>GCResults[[#This Row],[Pressure on Sampling (PSI), 145PSI=1MPa]]</f>
        <v>3552.5</v>
      </c>
      <c r="I277">
        <f>pHCondMod[[#This Row],[Sample pH]]</f>
        <v>0</v>
      </c>
      <c r="J277">
        <f>pHCondMod[[#This Row],[Sample Conductivity (mS/cm)]]</f>
        <v>0</v>
      </c>
      <c r="K277">
        <f>pHCondMod[[#This Row],[Modification Description]]</f>
        <v>0</v>
      </c>
      <c r="L277" s="1">
        <f>NMRResults[[#This Row],[Date Run]]</f>
        <v>0</v>
      </c>
      <c r="M277" s="1">
        <f>ICPList[[#This Row],[Date Run]]</f>
        <v>0</v>
      </c>
      <c r="N277" s="1">
        <f>GCResults[[#This Row],[Date Run ]]</f>
        <v>0</v>
      </c>
    </row>
    <row r="278" spans="1:14" ht="14.45" x14ac:dyDescent="0.25">
      <c r="A278">
        <f>SampleList[[#This Row],[Experiment ID]]</f>
        <v>0</v>
      </c>
      <c r="B278">
        <f>SampleList[[#This Row],[Sample Description]]</f>
        <v>0</v>
      </c>
      <c r="C278" s="1">
        <f>SampleList[[#This Row],[Date Sampled]]</f>
        <v>0</v>
      </c>
      <c r="D278">
        <f>SampleList[[#This Row],[Duration (Days)]]</f>
        <v>0</v>
      </c>
      <c r="E278">
        <f>NMRResults[[#This Row],[Ammonium Concentration (mM)]]</f>
        <v>0</v>
      </c>
      <c r="F278" t="str">
        <f>GCResults[[#This Row],[H2 (ppm)]]</f>
        <v/>
      </c>
      <c r="G278">
        <f>GCResults[[#This Row],[Total Gas Volume (mL), gas cylinder = 3785mL]]</f>
        <v>0</v>
      </c>
      <c r="H278">
        <f>GCResults[[#This Row],[Pressure on Sampling (PSI), 145PSI=1MPa]]</f>
        <v>3552.5</v>
      </c>
      <c r="I278">
        <f>pHCondMod[[#This Row],[Sample pH]]</f>
        <v>0</v>
      </c>
      <c r="J278">
        <f>pHCondMod[[#This Row],[Sample Conductivity (mS/cm)]]</f>
        <v>0</v>
      </c>
      <c r="K278">
        <f>pHCondMod[[#This Row],[Modification Description]]</f>
        <v>0</v>
      </c>
      <c r="L278" s="1">
        <f>NMRResults[[#This Row],[Date Run]]</f>
        <v>0</v>
      </c>
      <c r="M278" s="1">
        <f>ICPList[[#This Row],[Date Run]]</f>
        <v>0</v>
      </c>
      <c r="N278" s="1">
        <f>GCResults[[#This Row],[Date Run ]]</f>
        <v>0</v>
      </c>
    </row>
    <row r="279" spans="1:14" ht="14.45" x14ac:dyDescent="0.25">
      <c r="A279">
        <f>SampleList[[#This Row],[Experiment ID]]</f>
        <v>0</v>
      </c>
      <c r="B279">
        <f>SampleList[[#This Row],[Sample Description]]</f>
        <v>0</v>
      </c>
      <c r="C279" s="1">
        <f>SampleList[[#This Row],[Date Sampled]]</f>
        <v>0</v>
      </c>
      <c r="D279">
        <f>SampleList[[#This Row],[Duration (Days)]]</f>
        <v>0</v>
      </c>
      <c r="E279">
        <f>NMRResults[[#This Row],[Ammonium Concentration (mM)]]</f>
        <v>0</v>
      </c>
      <c r="F279" t="str">
        <f>GCResults[[#This Row],[H2 (ppm)]]</f>
        <v/>
      </c>
      <c r="G279">
        <f>GCResults[[#This Row],[Total Gas Volume (mL), gas cylinder = 3785mL]]</f>
        <v>0</v>
      </c>
      <c r="H279">
        <f>GCResults[[#This Row],[Pressure on Sampling (PSI), 145PSI=1MPa]]</f>
        <v>3552.5</v>
      </c>
      <c r="I279">
        <f>pHCondMod[[#This Row],[Sample pH]]</f>
        <v>0</v>
      </c>
      <c r="J279">
        <f>pHCondMod[[#This Row],[Sample Conductivity (mS/cm)]]</f>
        <v>0</v>
      </c>
      <c r="K279">
        <f>pHCondMod[[#This Row],[Modification Description]]</f>
        <v>0</v>
      </c>
      <c r="L279" s="1">
        <f>NMRResults[[#This Row],[Date Run]]</f>
        <v>0</v>
      </c>
      <c r="M279" s="1">
        <f>ICPList[[#This Row],[Date Run]]</f>
        <v>0</v>
      </c>
      <c r="N279" s="1">
        <f>GCResults[[#This Row],[Date Run ]]</f>
        <v>0</v>
      </c>
    </row>
    <row r="280" spans="1:14" ht="14.45" x14ac:dyDescent="0.25">
      <c r="A280">
        <f>SampleList[[#This Row],[Experiment ID]]</f>
        <v>0</v>
      </c>
      <c r="B280">
        <f>SampleList[[#This Row],[Sample Description]]</f>
        <v>0</v>
      </c>
      <c r="C280" s="1">
        <f>SampleList[[#This Row],[Date Sampled]]</f>
        <v>0</v>
      </c>
      <c r="D280">
        <f>SampleList[[#This Row],[Duration (Days)]]</f>
        <v>0</v>
      </c>
      <c r="E280">
        <f>NMRResults[[#This Row],[Ammonium Concentration (mM)]]</f>
        <v>0</v>
      </c>
      <c r="F280" t="str">
        <f>GCResults[[#This Row],[H2 (ppm)]]</f>
        <v/>
      </c>
      <c r="G280">
        <f>GCResults[[#This Row],[Total Gas Volume (mL), gas cylinder = 3785mL]]</f>
        <v>0</v>
      </c>
      <c r="H280">
        <f>GCResults[[#This Row],[Pressure on Sampling (PSI), 145PSI=1MPa]]</f>
        <v>3552.5</v>
      </c>
      <c r="I280">
        <f>pHCondMod[[#This Row],[Sample pH]]</f>
        <v>0</v>
      </c>
      <c r="J280">
        <f>pHCondMod[[#This Row],[Sample Conductivity (mS/cm)]]</f>
        <v>0</v>
      </c>
      <c r="K280">
        <f>pHCondMod[[#This Row],[Modification Description]]</f>
        <v>0</v>
      </c>
      <c r="L280" s="1">
        <f>NMRResults[[#This Row],[Date Run]]</f>
        <v>0</v>
      </c>
      <c r="M280" s="1">
        <f>ICPList[[#This Row],[Date Run]]</f>
        <v>0</v>
      </c>
      <c r="N280" s="1">
        <f>GCResults[[#This Row],[Date Run ]]</f>
        <v>0</v>
      </c>
    </row>
    <row r="281" spans="1:14" ht="14.45" x14ac:dyDescent="0.25">
      <c r="A281">
        <f>SampleList[[#This Row],[Experiment ID]]</f>
        <v>0</v>
      </c>
      <c r="B281">
        <f>SampleList[[#This Row],[Sample Description]]</f>
        <v>0</v>
      </c>
      <c r="C281" s="1">
        <f>SampleList[[#This Row],[Date Sampled]]</f>
        <v>0</v>
      </c>
      <c r="D281">
        <f>SampleList[[#This Row],[Duration (Days)]]</f>
        <v>0</v>
      </c>
      <c r="E281">
        <f>NMRResults[[#This Row],[Ammonium Concentration (mM)]]</f>
        <v>0</v>
      </c>
      <c r="F281" t="str">
        <f>GCResults[[#This Row],[H2 (ppm)]]</f>
        <v/>
      </c>
      <c r="G281">
        <f>GCResults[[#This Row],[Total Gas Volume (mL), gas cylinder = 3785mL]]</f>
        <v>0</v>
      </c>
      <c r="H281">
        <f>GCResults[[#This Row],[Pressure on Sampling (PSI), 145PSI=1MPa]]</f>
        <v>3552.5</v>
      </c>
      <c r="I281">
        <f>pHCondMod[[#This Row],[Sample pH]]</f>
        <v>0</v>
      </c>
      <c r="J281">
        <f>pHCondMod[[#This Row],[Sample Conductivity (mS/cm)]]</f>
        <v>0</v>
      </c>
      <c r="K281">
        <f>pHCondMod[[#This Row],[Modification Description]]</f>
        <v>0</v>
      </c>
      <c r="L281" s="1">
        <f>NMRResults[[#This Row],[Date Run]]</f>
        <v>0</v>
      </c>
      <c r="M281" s="1">
        <f>ICPList[[#This Row],[Date Run]]</f>
        <v>0</v>
      </c>
      <c r="N281" s="1">
        <f>GCResults[[#This Row],[Date Run ]]</f>
        <v>0</v>
      </c>
    </row>
    <row r="282" spans="1:14" ht="14.45" x14ac:dyDescent="0.25">
      <c r="A282">
        <f>SampleList[[#This Row],[Experiment ID]]</f>
        <v>0</v>
      </c>
      <c r="B282">
        <f>SampleList[[#This Row],[Sample Description]]</f>
        <v>0</v>
      </c>
      <c r="C282" s="1">
        <f>SampleList[[#This Row],[Date Sampled]]</f>
        <v>0</v>
      </c>
      <c r="D282">
        <f>SampleList[[#This Row],[Duration (Days)]]</f>
        <v>0</v>
      </c>
      <c r="E282">
        <f>NMRResults[[#This Row],[Ammonium Concentration (mM)]]</f>
        <v>0</v>
      </c>
      <c r="F282" t="str">
        <f>GCResults[[#This Row],[H2 (ppm)]]</f>
        <v/>
      </c>
      <c r="G282">
        <f>GCResults[[#This Row],[Total Gas Volume (mL), gas cylinder = 3785mL]]</f>
        <v>0</v>
      </c>
      <c r="H282">
        <f>GCResults[[#This Row],[Pressure on Sampling (PSI), 145PSI=1MPa]]</f>
        <v>3552.5</v>
      </c>
      <c r="I282">
        <f>pHCondMod[[#This Row],[Sample pH]]</f>
        <v>0</v>
      </c>
      <c r="J282">
        <f>pHCondMod[[#This Row],[Sample Conductivity (mS/cm)]]</f>
        <v>0</v>
      </c>
      <c r="K282">
        <f>pHCondMod[[#This Row],[Modification Description]]</f>
        <v>0</v>
      </c>
      <c r="L282" s="1">
        <f>NMRResults[[#This Row],[Date Run]]</f>
        <v>0</v>
      </c>
      <c r="M282" s="1">
        <f>ICPList[[#This Row],[Date Run]]</f>
        <v>0</v>
      </c>
      <c r="N282" s="1">
        <f>GCResults[[#This Row],[Date Run ]]</f>
        <v>0</v>
      </c>
    </row>
    <row r="283" spans="1:14" ht="14.45" x14ac:dyDescent="0.25">
      <c r="A283">
        <f>SampleList[[#This Row],[Experiment ID]]</f>
        <v>0</v>
      </c>
      <c r="B283">
        <f>SampleList[[#This Row],[Sample Description]]</f>
        <v>0</v>
      </c>
      <c r="C283" s="1">
        <f>SampleList[[#This Row],[Date Sampled]]</f>
        <v>0</v>
      </c>
      <c r="D283">
        <f>SampleList[[#This Row],[Duration (Days)]]</f>
        <v>0</v>
      </c>
      <c r="E283">
        <f>NMRResults[[#This Row],[Ammonium Concentration (mM)]]</f>
        <v>0</v>
      </c>
      <c r="F283" t="str">
        <f>GCResults[[#This Row],[H2 (ppm)]]</f>
        <v/>
      </c>
      <c r="G283">
        <f>GCResults[[#This Row],[Total Gas Volume (mL), gas cylinder = 3785mL]]</f>
        <v>0</v>
      </c>
      <c r="H283">
        <f>GCResults[[#This Row],[Pressure on Sampling (PSI), 145PSI=1MPa]]</f>
        <v>3552.5</v>
      </c>
      <c r="I283">
        <f>pHCondMod[[#This Row],[Sample pH]]</f>
        <v>0</v>
      </c>
      <c r="J283">
        <f>pHCondMod[[#This Row],[Sample Conductivity (mS/cm)]]</f>
        <v>0</v>
      </c>
      <c r="K283">
        <f>pHCondMod[[#This Row],[Modification Description]]</f>
        <v>0</v>
      </c>
      <c r="L283" s="1">
        <f>NMRResults[[#This Row],[Date Run]]</f>
        <v>0</v>
      </c>
      <c r="M283" s="1">
        <f>ICPList[[#This Row],[Date Run]]</f>
        <v>0</v>
      </c>
      <c r="N283" s="1">
        <f>GCResults[[#This Row],[Date Run ]]</f>
        <v>0</v>
      </c>
    </row>
    <row r="284" spans="1:14" ht="14.45" x14ac:dyDescent="0.25">
      <c r="A284">
        <f>SampleList[[#This Row],[Experiment ID]]</f>
        <v>0</v>
      </c>
      <c r="B284">
        <f>SampleList[[#This Row],[Sample Description]]</f>
        <v>0</v>
      </c>
      <c r="C284" s="1">
        <f>SampleList[[#This Row],[Date Sampled]]</f>
        <v>0</v>
      </c>
      <c r="D284">
        <f>SampleList[[#This Row],[Duration (Days)]]</f>
        <v>0</v>
      </c>
      <c r="E284">
        <f>NMRResults[[#This Row],[Ammonium Concentration (mM)]]</f>
        <v>0</v>
      </c>
      <c r="F284" t="str">
        <f>GCResults[[#This Row],[H2 (ppm)]]</f>
        <v/>
      </c>
      <c r="G284">
        <f>GCResults[[#This Row],[Total Gas Volume (mL), gas cylinder = 3785mL]]</f>
        <v>0</v>
      </c>
      <c r="H284">
        <f>GCResults[[#This Row],[Pressure on Sampling (PSI), 145PSI=1MPa]]</f>
        <v>3552.5</v>
      </c>
      <c r="I284">
        <f>pHCondMod[[#This Row],[Sample pH]]</f>
        <v>0</v>
      </c>
      <c r="J284">
        <f>pHCondMod[[#This Row],[Sample Conductivity (mS/cm)]]</f>
        <v>0</v>
      </c>
      <c r="K284">
        <f>pHCondMod[[#This Row],[Modification Description]]</f>
        <v>0</v>
      </c>
      <c r="L284" s="1">
        <f>NMRResults[[#This Row],[Date Run]]</f>
        <v>0</v>
      </c>
      <c r="M284" s="1">
        <f>ICPList[[#This Row],[Date Run]]</f>
        <v>0</v>
      </c>
      <c r="N284" s="1">
        <f>GCResults[[#This Row],[Date Run ]]</f>
        <v>0</v>
      </c>
    </row>
    <row r="285" spans="1:14" ht="14.45" x14ac:dyDescent="0.25">
      <c r="A285">
        <f>SampleList[[#This Row],[Experiment ID]]</f>
        <v>0</v>
      </c>
      <c r="B285">
        <f>SampleList[[#This Row],[Sample Description]]</f>
        <v>0</v>
      </c>
      <c r="C285" s="1">
        <f>SampleList[[#This Row],[Date Sampled]]</f>
        <v>0</v>
      </c>
      <c r="D285">
        <f>SampleList[[#This Row],[Duration (Days)]]</f>
        <v>0</v>
      </c>
      <c r="E285">
        <f>NMRResults[[#This Row],[Ammonium Concentration (mM)]]</f>
        <v>0</v>
      </c>
      <c r="F285" t="str">
        <f>GCResults[[#This Row],[H2 (ppm)]]</f>
        <v/>
      </c>
      <c r="G285">
        <f>GCResults[[#This Row],[Total Gas Volume (mL), gas cylinder = 3785mL]]</f>
        <v>0</v>
      </c>
      <c r="H285">
        <f>GCResults[[#This Row],[Pressure on Sampling (PSI), 145PSI=1MPa]]</f>
        <v>3552.5</v>
      </c>
      <c r="I285">
        <f>pHCondMod[[#This Row],[Sample pH]]</f>
        <v>0</v>
      </c>
      <c r="J285">
        <f>pHCondMod[[#This Row],[Sample Conductivity (mS/cm)]]</f>
        <v>0</v>
      </c>
      <c r="K285">
        <f>pHCondMod[[#This Row],[Modification Description]]</f>
        <v>0</v>
      </c>
      <c r="L285" s="1">
        <f>NMRResults[[#This Row],[Date Run]]</f>
        <v>0</v>
      </c>
      <c r="M285" s="1">
        <f>ICPList[[#This Row],[Date Run]]</f>
        <v>0</v>
      </c>
      <c r="N285" s="1">
        <f>GCResults[[#This Row],[Date Run ]]</f>
        <v>0</v>
      </c>
    </row>
    <row r="286" spans="1:14" ht="14.45" x14ac:dyDescent="0.25">
      <c r="A286">
        <f>SampleList[[#This Row],[Experiment ID]]</f>
        <v>0</v>
      </c>
      <c r="B286">
        <f>SampleList[[#This Row],[Sample Description]]</f>
        <v>0</v>
      </c>
      <c r="C286" s="1">
        <f>SampleList[[#This Row],[Date Sampled]]</f>
        <v>0</v>
      </c>
      <c r="D286">
        <f>SampleList[[#This Row],[Duration (Days)]]</f>
        <v>0</v>
      </c>
      <c r="E286">
        <f>NMRResults[[#This Row],[Ammonium Concentration (mM)]]</f>
        <v>0</v>
      </c>
      <c r="F286" t="str">
        <f>GCResults[[#This Row],[H2 (ppm)]]</f>
        <v/>
      </c>
      <c r="G286">
        <f>GCResults[[#This Row],[Total Gas Volume (mL), gas cylinder = 3785mL]]</f>
        <v>0</v>
      </c>
      <c r="H286">
        <f>GCResults[[#This Row],[Pressure on Sampling (PSI), 145PSI=1MPa]]</f>
        <v>3552.5</v>
      </c>
      <c r="I286">
        <f>pHCondMod[[#This Row],[Sample pH]]</f>
        <v>0</v>
      </c>
      <c r="J286">
        <f>pHCondMod[[#This Row],[Sample Conductivity (mS/cm)]]</f>
        <v>0</v>
      </c>
      <c r="K286">
        <f>pHCondMod[[#This Row],[Modification Description]]</f>
        <v>0</v>
      </c>
      <c r="L286" s="1">
        <f>NMRResults[[#This Row],[Date Run]]</f>
        <v>0</v>
      </c>
      <c r="M286" s="1">
        <f>ICPList[[#This Row],[Date Run]]</f>
        <v>0</v>
      </c>
      <c r="N286" s="1">
        <f>GCResults[[#This Row],[Date Run ]]</f>
        <v>0</v>
      </c>
    </row>
    <row r="287" spans="1:14" ht="14.45" x14ac:dyDescent="0.25">
      <c r="A287">
        <f>SampleList[[#This Row],[Experiment ID]]</f>
        <v>0</v>
      </c>
      <c r="B287">
        <f>SampleList[[#This Row],[Sample Description]]</f>
        <v>0</v>
      </c>
      <c r="C287" s="1">
        <f>SampleList[[#This Row],[Date Sampled]]</f>
        <v>0</v>
      </c>
      <c r="D287">
        <f>SampleList[[#This Row],[Duration (Days)]]</f>
        <v>0</v>
      </c>
      <c r="E287">
        <f>NMRResults[[#This Row],[Ammonium Concentration (mM)]]</f>
        <v>0</v>
      </c>
      <c r="F287" t="str">
        <f>GCResults[[#This Row],[H2 (ppm)]]</f>
        <v/>
      </c>
      <c r="G287">
        <f>GCResults[[#This Row],[Total Gas Volume (mL), gas cylinder = 3785mL]]</f>
        <v>0</v>
      </c>
      <c r="H287">
        <f>GCResults[[#This Row],[Pressure on Sampling (PSI), 145PSI=1MPa]]</f>
        <v>3552.5</v>
      </c>
      <c r="I287">
        <f>pHCondMod[[#This Row],[Sample pH]]</f>
        <v>0</v>
      </c>
      <c r="J287">
        <f>pHCondMod[[#This Row],[Sample Conductivity (mS/cm)]]</f>
        <v>0</v>
      </c>
      <c r="K287">
        <f>pHCondMod[[#This Row],[Modification Description]]</f>
        <v>0</v>
      </c>
      <c r="L287" s="1">
        <f>NMRResults[[#This Row],[Date Run]]</f>
        <v>0</v>
      </c>
      <c r="M287" s="1">
        <f>ICPList[[#This Row],[Date Run]]</f>
        <v>0</v>
      </c>
      <c r="N287" s="1">
        <f>GCResults[[#This Row],[Date Run ]]</f>
        <v>0</v>
      </c>
    </row>
    <row r="288" spans="1:14" ht="14.45" x14ac:dyDescent="0.25">
      <c r="A288">
        <f>SampleList[[#This Row],[Experiment ID]]</f>
        <v>0</v>
      </c>
      <c r="B288">
        <f>SampleList[[#This Row],[Sample Description]]</f>
        <v>0</v>
      </c>
      <c r="C288" s="1">
        <f>SampleList[[#This Row],[Date Sampled]]</f>
        <v>0</v>
      </c>
      <c r="D288">
        <f>SampleList[[#This Row],[Duration (Days)]]</f>
        <v>0</v>
      </c>
      <c r="E288">
        <f>NMRResults[[#This Row],[Ammonium Concentration (mM)]]</f>
        <v>0</v>
      </c>
      <c r="F288" t="str">
        <f>GCResults[[#This Row],[H2 (ppm)]]</f>
        <v/>
      </c>
      <c r="G288">
        <f>GCResults[[#This Row],[Total Gas Volume (mL), gas cylinder = 3785mL]]</f>
        <v>0</v>
      </c>
      <c r="H288">
        <f>GCResults[[#This Row],[Pressure on Sampling (PSI), 145PSI=1MPa]]</f>
        <v>3552.5</v>
      </c>
      <c r="I288">
        <f>pHCondMod[[#This Row],[Sample pH]]</f>
        <v>0</v>
      </c>
      <c r="J288">
        <f>pHCondMod[[#This Row],[Sample Conductivity (mS/cm)]]</f>
        <v>0</v>
      </c>
      <c r="K288">
        <f>pHCondMod[[#This Row],[Modification Description]]</f>
        <v>0</v>
      </c>
      <c r="L288" s="1">
        <f>NMRResults[[#This Row],[Date Run]]</f>
        <v>0</v>
      </c>
      <c r="M288" s="1">
        <f>ICPList[[#This Row],[Date Run]]</f>
        <v>0</v>
      </c>
      <c r="N288" s="1">
        <f>GCResults[[#This Row],[Date Run ]]</f>
        <v>0</v>
      </c>
    </row>
    <row r="289" spans="1:14" ht="14.45" x14ac:dyDescent="0.25">
      <c r="A289">
        <f>SampleList[[#This Row],[Experiment ID]]</f>
        <v>0</v>
      </c>
      <c r="B289">
        <f>SampleList[[#This Row],[Sample Description]]</f>
        <v>0</v>
      </c>
      <c r="C289" s="1">
        <f>SampleList[[#This Row],[Date Sampled]]</f>
        <v>0</v>
      </c>
      <c r="D289">
        <f>SampleList[[#This Row],[Duration (Days)]]</f>
        <v>0</v>
      </c>
      <c r="E289">
        <f>NMRResults[[#This Row],[Ammonium Concentration (mM)]]</f>
        <v>0</v>
      </c>
      <c r="F289" t="str">
        <f>GCResults[[#This Row],[H2 (ppm)]]</f>
        <v/>
      </c>
      <c r="G289">
        <f>GCResults[[#This Row],[Total Gas Volume (mL), gas cylinder = 3785mL]]</f>
        <v>0</v>
      </c>
      <c r="H289">
        <f>GCResults[[#This Row],[Pressure on Sampling (PSI), 145PSI=1MPa]]</f>
        <v>3552.5</v>
      </c>
      <c r="I289">
        <f>pHCondMod[[#This Row],[Sample pH]]</f>
        <v>0</v>
      </c>
      <c r="J289">
        <f>pHCondMod[[#This Row],[Sample Conductivity (mS/cm)]]</f>
        <v>0</v>
      </c>
      <c r="K289">
        <f>pHCondMod[[#This Row],[Modification Description]]</f>
        <v>0</v>
      </c>
      <c r="L289" s="1">
        <f>NMRResults[[#This Row],[Date Run]]</f>
        <v>0</v>
      </c>
      <c r="M289" s="1">
        <f>ICPList[[#This Row],[Date Run]]</f>
        <v>0</v>
      </c>
      <c r="N289" s="1">
        <f>GCResults[[#This Row],[Date Run ]]</f>
        <v>0</v>
      </c>
    </row>
    <row r="290" spans="1:14" ht="14.45" x14ac:dyDescent="0.25">
      <c r="A290">
        <f>SampleList[[#This Row],[Experiment ID]]</f>
        <v>0</v>
      </c>
      <c r="B290">
        <f>SampleList[[#This Row],[Sample Description]]</f>
        <v>0</v>
      </c>
      <c r="C290" s="1">
        <f>SampleList[[#This Row],[Date Sampled]]</f>
        <v>0</v>
      </c>
      <c r="D290">
        <f>SampleList[[#This Row],[Duration (Days)]]</f>
        <v>0</v>
      </c>
      <c r="E290">
        <f>NMRResults[[#This Row],[Ammonium Concentration (mM)]]</f>
        <v>0</v>
      </c>
      <c r="F290" t="str">
        <f>GCResults[[#This Row],[H2 (ppm)]]</f>
        <v/>
      </c>
      <c r="G290">
        <f>GCResults[[#This Row],[Total Gas Volume (mL), gas cylinder = 3785mL]]</f>
        <v>0</v>
      </c>
      <c r="H290">
        <f>GCResults[[#This Row],[Pressure on Sampling (PSI), 145PSI=1MPa]]</f>
        <v>3552.5</v>
      </c>
      <c r="I290">
        <f>pHCondMod[[#This Row],[Sample pH]]</f>
        <v>0</v>
      </c>
      <c r="J290">
        <f>pHCondMod[[#This Row],[Sample Conductivity (mS/cm)]]</f>
        <v>0</v>
      </c>
      <c r="K290">
        <f>pHCondMod[[#This Row],[Modification Description]]</f>
        <v>0</v>
      </c>
      <c r="L290" s="1">
        <f>NMRResults[[#This Row],[Date Run]]</f>
        <v>0</v>
      </c>
      <c r="M290" s="1">
        <f>ICPList[[#This Row],[Date Run]]</f>
        <v>0</v>
      </c>
      <c r="N290" s="1">
        <f>GCResults[[#This Row],[Date Run ]]</f>
        <v>0</v>
      </c>
    </row>
    <row r="291" spans="1:14" ht="14.45" x14ac:dyDescent="0.25">
      <c r="A291">
        <f>SampleList[[#This Row],[Experiment ID]]</f>
        <v>0</v>
      </c>
      <c r="B291">
        <f>SampleList[[#This Row],[Sample Description]]</f>
        <v>0</v>
      </c>
      <c r="C291" s="1">
        <f>SampleList[[#This Row],[Date Sampled]]</f>
        <v>0</v>
      </c>
      <c r="D291">
        <f>SampleList[[#This Row],[Duration (Days)]]</f>
        <v>0</v>
      </c>
      <c r="E291">
        <f>NMRResults[[#This Row],[Ammonium Concentration (mM)]]</f>
        <v>0</v>
      </c>
      <c r="F291" t="str">
        <f>GCResults[[#This Row],[H2 (ppm)]]</f>
        <v/>
      </c>
      <c r="G291">
        <f>GCResults[[#This Row],[Total Gas Volume (mL), gas cylinder = 3785mL]]</f>
        <v>0</v>
      </c>
      <c r="H291">
        <f>GCResults[[#This Row],[Pressure on Sampling (PSI), 145PSI=1MPa]]</f>
        <v>3552.5</v>
      </c>
      <c r="I291">
        <f>pHCondMod[[#This Row],[Sample pH]]</f>
        <v>0</v>
      </c>
      <c r="J291">
        <f>pHCondMod[[#This Row],[Sample Conductivity (mS/cm)]]</f>
        <v>0</v>
      </c>
      <c r="K291">
        <f>pHCondMod[[#This Row],[Modification Description]]</f>
        <v>0</v>
      </c>
      <c r="L291" s="1">
        <f>NMRResults[[#This Row],[Date Run]]</f>
        <v>0</v>
      </c>
      <c r="M291" s="1">
        <f>ICPList[[#This Row],[Date Run]]</f>
        <v>0</v>
      </c>
      <c r="N291" s="1">
        <f>GCResults[[#This Row],[Date Run ]]</f>
        <v>0</v>
      </c>
    </row>
    <row r="292" spans="1:14" ht="14.45" x14ac:dyDescent="0.25">
      <c r="A292">
        <f>SampleList[[#This Row],[Experiment ID]]</f>
        <v>0</v>
      </c>
      <c r="B292">
        <f>SampleList[[#This Row],[Sample Description]]</f>
        <v>0</v>
      </c>
      <c r="C292" s="1">
        <f>SampleList[[#This Row],[Date Sampled]]</f>
        <v>0</v>
      </c>
      <c r="D292">
        <f>SampleList[[#This Row],[Duration (Days)]]</f>
        <v>0</v>
      </c>
      <c r="E292">
        <f>NMRResults[[#This Row],[Ammonium Concentration (mM)]]</f>
        <v>0</v>
      </c>
      <c r="F292" t="str">
        <f>GCResults[[#This Row],[H2 (ppm)]]</f>
        <v/>
      </c>
      <c r="G292">
        <f>GCResults[[#This Row],[Total Gas Volume (mL), gas cylinder = 3785mL]]</f>
        <v>0</v>
      </c>
      <c r="H292">
        <f>GCResults[[#This Row],[Pressure on Sampling (PSI), 145PSI=1MPa]]</f>
        <v>3552.5</v>
      </c>
      <c r="I292">
        <f>pHCondMod[[#This Row],[Sample pH]]</f>
        <v>0</v>
      </c>
      <c r="J292">
        <f>pHCondMod[[#This Row],[Sample Conductivity (mS/cm)]]</f>
        <v>0</v>
      </c>
      <c r="K292">
        <f>pHCondMod[[#This Row],[Modification Description]]</f>
        <v>0</v>
      </c>
      <c r="L292" s="1">
        <f>NMRResults[[#This Row],[Date Run]]</f>
        <v>0</v>
      </c>
      <c r="M292" s="1">
        <f>ICPList[[#This Row],[Date Run]]</f>
        <v>0</v>
      </c>
      <c r="N292" s="1">
        <f>GCResults[[#This Row],[Date Run ]]</f>
        <v>0</v>
      </c>
    </row>
    <row r="293" spans="1:14" ht="14.45" x14ac:dyDescent="0.25">
      <c r="A293">
        <f>SampleList[[#This Row],[Experiment ID]]</f>
        <v>0</v>
      </c>
      <c r="B293">
        <f>SampleList[[#This Row],[Sample Description]]</f>
        <v>0</v>
      </c>
      <c r="C293" s="1">
        <f>SampleList[[#This Row],[Date Sampled]]</f>
        <v>0</v>
      </c>
      <c r="D293">
        <f>SampleList[[#This Row],[Duration (Days)]]</f>
        <v>0</v>
      </c>
      <c r="E293">
        <f>NMRResults[[#This Row],[Ammonium Concentration (mM)]]</f>
        <v>0</v>
      </c>
      <c r="F293" t="str">
        <f>GCResults[[#This Row],[H2 (ppm)]]</f>
        <v/>
      </c>
      <c r="G293">
        <f>GCResults[[#This Row],[Total Gas Volume (mL), gas cylinder = 3785mL]]</f>
        <v>0</v>
      </c>
      <c r="H293">
        <f>GCResults[[#This Row],[Pressure on Sampling (PSI), 145PSI=1MPa]]</f>
        <v>3552.5</v>
      </c>
      <c r="I293">
        <f>pHCondMod[[#This Row],[Sample pH]]</f>
        <v>0</v>
      </c>
      <c r="J293">
        <f>pHCondMod[[#This Row],[Sample Conductivity (mS/cm)]]</f>
        <v>0</v>
      </c>
      <c r="K293">
        <f>pHCondMod[[#This Row],[Modification Description]]</f>
        <v>0</v>
      </c>
      <c r="L293" s="1">
        <f>NMRResults[[#This Row],[Date Run]]</f>
        <v>0</v>
      </c>
      <c r="M293" s="1">
        <f>ICPList[[#This Row],[Date Run]]</f>
        <v>0</v>
      </c>
      <c r="N293" s="1">
        <f>GCResults[[#This Row],[Date Run ]]</f>
        <v>0</v>
      </c>
    </row>
    <row r="294" spans="1:14" ht="14.45" x14ac:dyDescent="0.25">
      <c r="A294">
        <f>SampleList[[#This Row],[Experiment ID]]</f>
        <v>0</v>
      </c>
      <c r="B294">
        <f>SampleList[[#This Row],[Sample Description]]</f>
        <v>0</v>
      </c>
      <c r="C294" s="1">
        <f>SampleList[[#This Row],[Date Sampled]]</f>
        <v>0</v>
      </c>
      <c r="D294">
        <f>SampleList[[#This Row],[Duration (Days)]]</f>
        <v>0</v>
      </c>
      <c r="E294">
        <f>NMRResults[[#This Row],[Ammonium Concentration (mM)]]</f>
        <v>0</v>
      </c>
      <c r="F294" t="str">
        <f>GCResults[[#This Row],[H2 (ppm)]]</f>
        <v/>
      </c>
      <c r="G294">
        <f>GCResults[[#This Row],[Total Gas Volume (mL), gas cylinder = 3785mL]]</f>
        <v>0</v>
      </c>
      <c r="H294">
        <f>GCResults[[#This Row],[Pressure on Sampling (PSI), 145PSI=1MPa]]</f>
        <v>3552.5</v>
      </c>
      <c r="I294">
        <f>pHCondMod[[#This Row],[Sample pH]]</f>
        <v>0</v>
      </c>
      <c r="J294">
        <f>pHCondMod[[#This Row],[Sample Conductivity (mS/cm)]]</f>
        <v>0</v>
      </c>
      <c r="K294">
        <f>pHCondMod[[#This Row],[Modification Description]]</f>
        <v>0</v>
      </c>
      <c r="L294" s="1">
        <f>NMRResults[[#This Row],[Date Run]]</f>
        <v>0</v>
      </c>
      <c r="M294" s="1">
        <f>ICPList[[#This Row],[Date Run]]</f>
        <v>0</v>
      </c>
      <c r="N294" s="1">
        <f>GCResults[[#This Row],[Date Run ]]</f>
        <v>0</v>
      </c>
    </row>
    <row r="295" spans="1:14" ht="14.45" x14ac:dyDescent="0.25">
      <c r="A295">
        <f>SampleList[[#This Row],[Experiment ID]]</f>
        <v>0</v>
      </c>
      <c r="B295">
        <f>SampleList[[#This Row],[Sample Description]]</f>
        <v>0</v>
      </c>
      <c r="C295" s="1">
        <f>SampleList[[#This Row],[Date Sampled]]</f>
        <v>0</v>
      </c>
      <c r="D295">
        <f>SampleList[[#This Row],[Duration (Days)]]</f>
        <v>0</v>
      </c>
      <c r="E295">
        <f>NMRResults[[#This Row],[Ammonium Concentration (mM)]]</f>
        <v>0</v>
      </c>
      <c r="F295" t="str">
        <f>GCResults[[#This Row],[H2 (ppm)]]</f>
        <v/>
      </c>
      <c r="G295">
        <f>GCResults[[#This Row],[Total Gas Volume (mL), gas cylinder = 3785mL]]</f>
        <v>0</v>
      </c>
      <c r="H295">
        <f>GCResults[[#This Row],[Pressure on Sampling (PSI), 145PSI=1MPa]]</f>
        <v>3552.5</v>
      </c>
      <c r="I295">
        <f>pHCondMod[[#This Row],[Sample pH]]</f>
        <v>0</v>
      </c>
      <c r="J295">
        <f>pHCondMod[[#This Row],[Sample Conductivity (mS/cm)]]</f>
        <v>0</v>
      </c>
      <c r="K295">
        <f>pHCondMod[[#This Row],[Modification Description]]</f>
        <v>0</v>
      </c>
      <c r="L295" s="1">
        <f>NMRResults[[#This Row],[Date Run]]</f>
        <v>0</v>
      </c>
      <c r="M295" s="1">
        <f>ICPList[[#This Row],[Date Run]]</f>
        <v>0</v>
      </c>
      <c r="N295" s="1">
        <f>GCResults[[#This Row],[Date Run ]]</f>
        <v>0</v>
      </c>
    </row>
    <row r="296" spans="1:14" ht="14.45" x14ac:dyDescent="0.25">
      <c r="A296">
        <f>SampleList[[#This Row],[Experiment ID]]</f>
        <v>0</v>
      </c>
      <c r="B296">
        <f>SampleList[[#This Row],[Sample Description]]</f>
        <v>0</v>
      </c>
      <c r="C296" s="1">
        <f>SampleList[[#This Row],[Date Sampled]]</f>
        <v>0</v>
      </c>
      <c r="D296">
        <f>SampleList[[#This Row],[Duration (Days)]]</f>
        <v>0</v>
      </c>
      <c r="E296">
        <f>NMRResults[[#This Row],[Ammonium Concentration (mM)]]</f>
        <v>0</v>
      </c>
      <c r="F296" t="str">
        <f>GCResults[[#This Row],[H2 (ppm)]]</f>
        <v/>
      </c>
      <c r="G296">
        <f>GCResults[[#This Row],[Total Gas Volume (mL), gas cylinder = 3785mL]]</f>
        <v>0</v>
      </c>
      <c r="H296">
        <f>GCResults[[#This Row],[Pressure on Sampling (PSI), 145PSI=1MPa]]</f>
        <v>3552.5</v>
      </c>
      <c r="I296">
        <f>pHCondMod[[#This Row],[Sample pH]]</f>
        <v>0</v>
      </c>
      <c r="J296">
        <f>pHCondMod[[#This Row],[Sample Conductivity (mS/cm)]]</f>
        <v>0</v>
      </c>
      <c r="K296">
        <f>pHCondMod[[#This Row],[Modification Description]]</f>
        <v>0</v>
      </c>
      <c r="L296" s="1">
        <f>NMRResults[[#This Row],[Date Run]]</f>
        <v>0</v>
      </c>
      <c r="M296" s="1">
        <f>ICPList[[#This Row],[Date Run]]</f>
        <v>0</v>
      </c>
      <c r="N296" s="1">
        <f>GCResults[[#This Row],[Date Run ]]</f>
        <v>0</v>
      </c>
    </row>
    <row r="297" spans="1:14" ht="14.45" x14ac:dyDescent="0.25">
      <c r="A297">
        <f>SampleList[[#This Row],[Experiment ID]]</f>
        <v>0</v>
      </c>
      <c r="B297">
        <f>SampleList[[#This Row],[Sample Description]]</f>
        <v>0</v>
      </c>
      <c r="C297" s="1">
        <f>SampleList[[#This Row],[Date Sampled]]</f>
        <v>0</v>
      </c>
      <c r="D297">
        <f>SampleList[[#This Row],[Duration (Days)]]</f>
        <v>0</v>
      </c>
      <c r="E297">
        <f>NMRResults[[#This Row],[Ammonium Concentration (mM)]]</f>
        <v>0</v>
      </c>
      <c r="F297" t="str">
        <f>GCResults[[#This Row],[H2 (ppm)]]</f>
        <v/>
      </c>
      <c r="G297">
        <f>GCResults[[#This Row],[Total Gas Volume (mL), gas cylinder = 3785mL]]</f>
        <v>0</v>
      </c>
      <c r="H297">
        <f>GCResults[[#This Row],[Pressure on Sampling (PSI), 145PSI=1MPa]]</f>
        <v>3552.5</v>
      </c>
      <c r="I297">
        <f>pHCondMod[[#This Row],[Sample pH]]</f>
        <v>0</v>
      </c>
      <c r="J297">
        <f>pHCondMod[[#This Row],[Sample Conductivity (mS/cm)]]</f>
        <v>0</v>
      </c>
      <c r="K297">
        <f>pHCondMod[[#This Row],[Modification Description]]</f>
        <v>0</v>
      </c>
      <c r="L297" s="1">
        <f>NMRResults[[#This Row],[Date Run]]</f>
        <v>0</v>
      </c>
      <c r="M297" s="1">
        <f>ICPList[[#This Row],[Date Run]]</f>
        <v>0</v>
      </c>
      <c r="N297" s="1">
        <f>GCResults[[#This Row],[Date Run ]]</f>
        <v>0</v>
      </c>
    </row>
    <row r="298" spans="1:14" ht="14.45" x14ac:dyDescent="0.25">
      <c r="A298">
        <f>SampleList[[#This Row],[Experiment ID]]</f>
        <v>0</v>
      </c>
      <c r="B298">
        <f>SampleList[[#This Row],[Sample Description]]</f>
        <v>0</v>
      </c>
      <c r="C298" s="1">
        <f>SampleList[[#This Row],[Date Sampled]]</f>
        <v>0</v>
      </c>
      <c r="D298">
        <f>SampleList[[#This Row],[Duration (Days)]]</f>
        <v>0</v>
      </c>
      <c r="E298">
        <f>NMRResults[[#This Row],[Ammonium Concentration (mM)]]</f>
        <v>0</v>
      </c>
      <c r="F298" t="str">
        <f>GCResults[[#This Row],[H2 (ppm)]]</f>
        <v/>
      </c>
      <c r="G298">
        <f>GCResults[[#This Row],[Total Gas Volume (mL), gas cylinder = 3785mL]]</f>
        <v>0</v>
      </c>
      <c r="H298">
        <f>GCResults[[#This Row],[Pressure on Sampling (PSI), 145PSI=1MPa]]</f>
        <v>3552.5</v>
      </c>
      <c r="I298">
        <f>pHCondMod[[#This Row],[Sample pH]]</f>
        <v>0</v>
      </c>
      <c r="J298">
        <f>pHCondMod[[#This Row],[Sample Conductivity (mS/cm)]]</f>
        <v>0</v>
      </c>
      <c r="K298">
        <f>pHCondMod[[#This Row],[Modification Description]]</f>
        <v>0</v>
      </c>
      <c r="L298" s="1">
        <f>NMRResults[[#This Row],[Date Run]]</f>
        <v>0</v>
      </c>
      <c r="M298" s="1">
        <f>ICPList[[#This Row],[Date Run]]</f>
        <v>0</v>
      </c>
      <c r="N298" s="1">
        <f>GCResults[[#This Row],[Date Run ]]</f>
        <v>0</v>
      </c>
    </row>
    <row r="299" spans="1:14" ht="14.45" x14ac:dyDescent="0.25">
      <c r="A299">
        <f>SampleList[[#This Row],[Experiment ID]]</f>
        <v>0</v>
      </c>
      <c r="B299">
        <f>SampleList[[#This Row],[Sample Description]]</f>
        <v>0</v>
      </c>
      <c r="C299" s="1">
        <f>SampleList[[#This Row],[Date Sampled]]</f>
        <v>0</v>
      </c>
      <c r="D299">
        <f>SampleList[[#This Row],[Duration (Days)]]</f>
        <v>0</v>
      </c>
      <c r="E299">
        <f>NMRResults[[#This Row],[Ammonium Concentration (mM)]]</f>
        <v>0</v>
      </c>
      <c r="F299" t="str">
        <f>GCResults[[#This Row],[H2 (ppm)]]</f>
        <v/>
      </c>
      <c r="G299">
        <f>GCResults[[#This Row],[Total Gas Volume (mL), gas cylinder = 3785mL]]</f>
        <v>0</v>
      </c>
      <c r="H299">
        <f>GCResults[[#This Row],[Pressure on Sampling (PSI), 145PSI=1MPa]]</f>
        <v>3552.5</v>
      </c>
      <c r="I299">
        <f>pHCondMod[[#This Row],[Sample pH]]</f>
        <v>0</v>
      </c>
      <c r="J299">
        <f>pHCondMod[[#This Row],[Sample Conductivity (mS/cm)]]</f>
        <v>0</v>
      </c>
      <c r="K299">
        <f>pHCondMod[[#This Row],[Modification Description]]</f>
        <v>0</v>
      </c>
      <c r="L299" s="1">
        <f>NMRResults[[#This Row],[Date Run]]</f>
        <v>0</v>
      </c>
      <c r="M299" s="1">
        <f>ICPList[[#This Row],[Date Run]]</f>
        <v>0</v>
      </c>
      <c r="N299" s="1">
        <f>GCResults[[#This Row],[Date Run ]]</f>
        <v>0</v>
      </c>
    </row>
    <row r="300" spans="1:14" ht="14.45" x14ac:dyDescent="0.25">
      <c r="A300">
        <f>SampleList[[#This Row],[Experiment ID]]</f>
        <v>0</v>
      </c>
      <c r="B300">
        <f>SampleList[[#This Row],[Sample Description]]</f>
        <v>0</v>
      </c>
      <c r="C300" s="1">
        <f>SampleList[[#This Row],[Date Sampled]]</f>
        <v>0</v>
      </c>
      <c r="D300">
        <f>SampleList[[#This Row],[Duration (Days)]]</f>
        <v>0</v>
      </c>
      <c r="E300">
        <f>NMRResults[[#This Row],[Ammonium Concentration (mM)]]</f>
        <v>0</v>
      </c>
      <c r="F300" t="str">
        <f>GCResults[[#This Row],[H2 (ppm)]]</f>
        <v/>
      </c>
      <c r="G300">
        <f>GCResults[[#This Row],[Total Gas Volume (mL), gas cylinder = 3785mL]]</f>
        <v>0</v>
      </c>
      <c r="H300">
        <f>GCResults[[#This Row],[Pressure on Sampling (PSI), 145PSI=1MPa]]</f>
        <v>3552.5</v>
      </c>
      <c r="I300">
        <f>pHCondMod[[#This Row],[Sample pH]]</f>
        <v>0</v>
      </c>
      <c r="J300">
        <f>pHCondMod[[#This Row],[Sample Conductivity (mS/cm)]]</f>
        <v>0</v>
      </c>
      <c r="K300">
        <f>pHCondMod[[#This Row],[Modification Description]]</f>
        <v>0</v>
      </c>
      <c r="L300" s="1">
        <f>NMRResults[[#This Row],[Date Run]]</f>
        <v>0</v>
      </c>
      <c r="M300" s="1">
        <f>ICPList[[#This Row],[Date Run]]</f>
        <v>0</v>
      </c>
      <c r="N300" s="1">
        <f>GCResults[[#This Row],[Date Run ]]</f>
        <v>0</v>
      </c>
    </row>
    <row r="301" spans="1:14" ht="14.45" x14ac:dyDescent="0.25">
      <c r="A301">
        <f>SampleList[[#This Row],[Experiment ID]]</f>
        <v>0</v>
      </c>
      <c r="B301">
        <f>SampleList[[#This Row],[Sample Description]]</f>
        <v>0</v>
      </c>
      <c r="C301" s="1">
        <f>SampleList[[#This Row],[Date Sampled]]</f>
        <v>0</v>
      </c>
      <c r="D301">
        <f>SampleList[[#This Row],[Duration (Days)]]</f>
        <v>0</v>
      </c>
      <c r="E301">
        <f>NMRResults[[#This Row],[Ammonium Concentration (mM)]]</f>
        <v>0</v>
      </c>
      <c r="F301" t="str">
        <f>GCResults[[#This Row],[H2 (ppm)]]</f>
        <v/>
      </c>
      <c r="G301">
        <f>GCResults[[#This Row],[Total Gas Volume (mL), gas cylinder = 3785mL]]</f>
        <v>0</v>
      </c>
      <c r="H301">
        <f>GCResults[[#This Row],[Pressure on Sampling (PSI), 145PSI=1MPa]]</f>
        <v>3552.5</v>
      </c>
      <c r="I301">
        <f>pHCondMod[[#This Row],[Sample pH]]</f>
        <v>0</v>
      </c>
      <c r="J301">
        <f>pHCondMod[[#This Row],[Sample Conductivity (mS/cm)]]</f>
        <v>0</v>
      </c>
      <c r="K301">
        <f>pHCondMod[[#This Row],[Modification Description]]</f>
        <v>0</v>
      </c>
      <c r="L301" s="1">
        <f>NMRResults[[#This Row],[Date Run]]</f>
        <v>0</v>
      </c>
      <c r="M301" s="1">
        <f>ICPList[[#This Row],[Date Run]]</f>
        <v>0</v>
      </c>
      <c r="N301" s="1">
        <f>GCResults[[#This Row],[Date Run ]]</f>
        <v>0</v>
      </c>
    </row>
    <row r="302" spans="1:14" ht="14.45" x14ac:dyDescent="0.25">
      <c r="A302">
        <f>SampleList[[#This Row],[Experiment ID]]</f>
        <v>0</v>
      </c>
      <c r="B302">
        <f>SampleList[[#This Row],[Sample Description]]</f>
        <v>0</v>
      </c>
      <c r="C302" s="1">
        <f>SampleList[[#This Row],[Date Sampled]]</f>
        <v>0</v>
      </c>
      <c r="D302">
        <f>SampleList[[#This Row],[Duration (Days)]]</f>
        <v>0</v>
      </c>
      <c r="E302">
        <f>NMRResults[[#This Row],[Ammonium Concentration (mM)]]</f>
        <v>0</v>
      </c>
      <c r="F302" t="str">
        <f>GCResults[[#This Row],[H2 (ppm)]]</f>
        <v/>
      </c>
      <c r="G302">
        <f>GCResults[[#This Row],[Total Gas Volume (mL), gas cylinder = 3785mL]]</f>
        <v>0</v>
      </c>
      <c r="H302">
        <f>GCResults[[#This Row],[Pressure on Sampling (PSI), 145PSI=1MPa]]</f>
        <v>3552.5</v>
      </c>
      <c r="I302">
        <f>pHCondMod[[#This Row],[Sample pH]]</f>
        <v>0</v>
      </c>
      <c r="J302">
        <f>pHCondMod[[#This Row],[Sample Conductivity (mS/cm)]]</f>
        <v>0</v>
      </c>
      <c r="K302">
        <f>pHCondMod[[#This Row],[Modification Description]]</f>
        <v>0</v>
      </c>
      <c r="L302" s="1">
        <f>NMRResults[[#This Row],[Date Run]]</f>
        <v>0</v>
      </c>
      <c r="M302" s="1">
        <f>ICPList[[#This Row],[Date Run]]</f>
        <v>0</v>
      </c>
      <c r="N302" s="1">
        <f>GCResults[[#This Row],[Date Run ]]</f>
        <v>0</v>
      </c>
    </row>
    <row r="303" spans="1:14" ht="14.45" x14ac:dyDescent="0.25">
      <c r="A303">
        <f>SampleList[[#This Row],[Experiment ID]]</f>
        <v>0</v>
      </c>
      <c r="B303">
        <f>SampleList[[#This Row],[Sample Description]]</f>
        <v>0</v>
      </c>
      <c r="C303" s="1">
        <f>SampleList[[#This Row],[Date Sampled]]</f>
        <v>0</v>
      </c>
      <c r="D303">
        <f>SampleList[[#This Row],[Duration (Days)]]</f>
        <v>0</v>
      </c>
      <c r="E303">
        <f>NMRResults[[#This Row],[Ammonium Concentration (mM)]]</f>
        <v>0</v>
      </c>
      <c r="F303" t="str">
        <f>GCResults[[#This Row],[H2 (ppm)]]</f>
        <v/>
      </c>
      <c r="G303">
        <f>GCResults[[#This Row],[Total Gas Volume (mL), gas cylinder = 3785mL]]</f>
        <v>0</v>
      </c>
      <c r="H303">
        <f>GCResults[[#This Row],[Pressure on Sampling (PSI), 145PSI=1MPa]]</f>
        <v>3552.5</v>
      </c>
      <c r="I303">
        <f>pHCondMod[[#This Row],[Sample pH]]</f>
        <v>0</v>
      </c>
      <c r="J303">
        <f>pHCondMod[[#This Row],[Sample Conductivity (mS/cm)]]</f>
        <v>0</v>
      </c>
      <c r="K303">
        <f>pHCondMod[[#This Row],[Modification Description]]</f>
        <v>0</v>
      </c>
      <c r="L303" s="1">
        <f>NMRResults[[#This Row],[Date Run]]</f>
        <v>0</v>
      </c>
      <c r="M303" s="1">
        <f>ICPList[[#This Row],[Date Run]]</f>
        <v>0</v>
      </c>
      <c r="N303" s="1">
        <f>GCResults[[#This Row],[Date Run ]]</f>
        <v>0</v>
      </c>
    </row>
    <row r="304" spans="1:14" ht="14.45" x14ac:dyDescent="0.25">
      <c r="A304">
        <f>SampleList[[#This Row],[Experiment ID]]</f>
        <v>0</v>
      </c>
      <c r="B304">
        <f>SampleList[[#This Row],[Sample Description]]</f>
        <v>0</v>
      </c>
      <c r="C304" s="1">
        <f>SampleList[[#This Row],[Date Sampled]]</f>
        <v>0</v>
      </c>
      <c r="D304">
        <f>SampleList[[#This Row],[Duration (Days)]]</f>
        <v>0</v>
      </c>
      <c r="E304">
        <f>NMRResults[[#This Row],[Ammonium Concentration (mM)]]</f>
        <v>0</v>
      </c>
      <c r="F304" t="str">
        <f>GCResults[[#This Row],[H2 (ppm)]]</f>
        <v/>
      </c>
      <c r="G304">
        <f>GCResults[[#This Row],[Total Gas Volume (mL), gas cylinder = 3785mL]]</f>
        <v>0</v>
      </c>
      <c r="H304">
        <f>GCResults[[#This Row],[Pressure on Sampling (PSI), 145PSI=1MPa]]</f>
        <v>3552.5</v>
      </c>
      <c r="I304">
        <f>pHCondMod[[#This Row],[Sample pH]]</f>
        <v>0</v>
      </c>
      <c r="J304">
        <f>pHCondMod[[#This Row],[Sample Conductivity (mS/cm)]]</f>
        <v>0</v>
      </c>
      <c r="K304">
        <f>pHCondMod[[#This Row],[Modification Description]]</f>
        <v>0</v>
      </c>
      <c r="L304" s="1">
        <f>NMRResults[[#This Row],[Date Run]]</f>
        <v>0</v>
      </c>
      <c r="M304" s="1">
        <f>ICPList[[#This Row],[Date Run]]</f>
        <v>0</v>
      </c>
      <c r="N304" s="1">
        <f>GCResults[[#This Row],[Date Run ]]</f>
        <v>0</v>
      </c>
    </row>
    <row r="305" spans="1:14" ht="14.45" x14ac:dyDescent="0.25">
      <c r="A305">
        <f>SampleList[[#This Row],[Experiment ID]]</f>
        <v>0</v>
      </c>
      <c r="B305">
        <f>SampleList[[#This Row],[Sample Description]]</f>
        <v>0</v>
      </c>
      <c r="C305" s="1">
        <f>SampleList[[#This Row],[Date Sampled]]</f>
        <v>0</v>
      </c>
      <c r="D305">
        <f>SampleList[[#This Row],[Duration (Days)]]</f>
        <v>0</v>
      </c>
      <c r="E305">
        <f>NMRResults[[#This Row],[Ammonium Concentration (mM)]]</f>
        <v>0</v>
      </c>
      <c r="F305" t="str">
        <f>GCResults[[#This Row],[H2 (ppm)]]</f>
        <v/>
      </c>
      <c r="G305">
        <f>GCResults[[#This Row],[Total Gas Volume (mL), gas cylinder = 3785mL]]</f>
        <v>0</v>
      </c>
      <c r="H305">
        <f>GCResults[[#This Row],[Pressure on Sampling (PSI), 145PSI=1MPa]]</f>
        <v>3552.5</v>
      </c>
      <c r="I305">
        <f>pHCondMod[[#This Row],[Sample pH]]</f>
        <v>0</v>
      </c>
      <c r="J305">
        <f>pHCondMod[[#This Row],[Sample Conductivity (mS/cm)]]</f>
        <v>0</v>
      </c>
      <c r="K305">
        <f>pHCondMod[[#This Row],[Modification Description]]</f>
        <v>0</v>
      </c>
      <c r="L305" s="1">
        <f>NMRResults[[#This Row],[Date Run]]</f>
        <v>0</v>
      </c>
      <c r="M305" s="1">
        <f>ICPList[[#This Row],[Date Run]]</f>
        <v>0</v>
      </c>
      <c r="N305" s="1">
        <f>GCResults[[#This Row],[Date Run ]]</f>
        <v>0</v>
      </c>
    </row>
    <row r="306" spans="1:14" ht="14.45" x14ac:dyDescent="0.25">
      <c r="A306">
        <f>SampleList[[#This Row],[Experiment ID]]</f>
        <v>0</v>
      </c>
      <c r="B306">
        <f>SampleList[[#This Row],[Sample Description]]</f>
        <v>0</v>
      </c>
      <c r="C306" s="1">
        <f>SampleList[[#This Row],[Date Sampled]]</f>
        <v>0</v>
      </c>
      <c r="D306">
        <f>SampleList[[#This Row],[Duration (Days)]]</f>
        <v>0</v>
      </c>
      <c r="E306">
        <f>NMRResults[[#This Row],[Ammonium Concentration (mM)]]</f>
        <v>0</v>
      </c>
      <c r="F306" t="str">
        <f>GCResults[[#This Row],[H2 (ppm)]]</f>
        <v/>
      </c>
      <c r="G306">
        <f>GCResults[[#This Row],[Total Gas Volume (mL), gas cylinder = 3785mL]]</f>
        <v>0</v>
      </c>
      <c r="H306">
        <f>GCResults[[#This Row],[Pressure on Sampling (PSI), 145PSI=1MPa]]</f>
        <v>3552.5</v>
      </c>
      <c r="I306">
        <f>pHCondMod[[#This Row],[Sample pH]]</f>
        <v>0</v>
      </c>
      <c r="J306">
        <f>pHCondMod[[#This Row],[Sample Conductivity (mS/cm)]]</f>
        <v>0</v>
      </c>
      <c r="K306">
        <f>pHCondMod[[#This Row],[Modification Description]]</f>
        <v>0</v>
      </c>
      <c r="L306" s="1">
        <f>NMRResults[[#This Row],[Date Run]]</f>
        <v>0</v>
      </c>
      <c r="M306" s="1">
        <f>ICPList[[#This Row],[Date Run]]</f>
        <v>0</v>
      </c>
      <c r="N306" s="1">
        <f>GCResults[[#This Row],[Date Run ]]</f>
        <v>0</v>
      </c>
    </row>
    <row r="307" spans="1:14" ht="14.45" x14ac:dyDescent="0.25">
      <c r="A307">
        <f>SampleList[[#This Row],[Experiment ID]]</f>
        <v>0</v>
      </c>
      <c r="B307">
        <f>SampleList[[#This Row],[Sample Description]]</f>
        <v>0</v>
      </c>
      <c r="C307" s="1">
        <f>SampleList[[#This Row],[Date Sampled]]</f>
        <v>0</v>
      </c>
      <c r="D307">
        <f>SampleList[[#This Row],[Duration (Days)]]</f>
        <v>0</v>
      </c>
      <c r="E307">
        <f>NMRResults[[#This Row],[Ammonium Concentration (mM)]]</f>
        <v>0</v>
      </c>
      <c r="F307" t="str">
        <f>GCResults[[#This Row],[H2 (ppm)]]</f>
        <v/>
      </c>
      <c r="G307">
        <f>GCResults[[#This Row],[Total Gas Volume (mL), gas cylinder = 3785mL]]</f>
        <v>0</v>
      </c>
      <c r="H307">
        <f>GCResults[[#This Row],[Pressure on Sampling (PSI), 145PSI=1MPa]]</f>
        <v>3552.5</v>
      </c>
      <c r="I307">
        <f>pHCondMod[[#This Row],[Sample pH]]</f>
        <v>0</v>
      </c>
      <c r="J307">
        <f>pHCondMod[[#This Row],[Sample Conductivity (mS/cm)]]</f>
        <v>0</v>
      </c>
      <c r="K307">
        <f>pHCondMod[[#This Row],[Modification Description]]</f>
        <v>0</v>
      </c>
      <c r="L307" s="1">
        <f>NMRResults[[#This Row],[Date Run]]</f>
        <v>0</v>
      </c>
      <c r="M307" s="1">
        <f>ICPList[[#This Row],[Date Run]]</f>
        <v>0</v>
      </c>
      <c r="N307" s="1">
        <f>GCResults[[#This Row],[Date Run ]]</f>
        <v>0</v>
      </c>
    </row>
    <row r="308" spans="1:14" ht="14.45" x14ac:dyDescent="0.25">
      <c r="A308">
        <f>SampleList[[#This Row],[Experiment ID]]</f>
        <v>0</v>
      </c>
      <c r="B308">
        <f>SampleList[[#This Row],[Sample Description]]</f>
        <v>0</v>
      </c>
      <c r="C308" s="1">
        <f>SampleList[[#This Row],[Date Sampled]]</f>
        <v>0</v>
      </c>
      <c r="D308">
        <f>SampleList[[#This Row],[Duration (Days)]]</f>
        <v>0</v>
      </c>
      <c r="E308">
        <f>NMRResults[[#This Row],[Ammonium Concentration (mM)]]</f>
        <v>0</v>
      </c>
      <c r="F308" t="str">
        <f>GCResults[[#This Row],[H2 (ppm)]]</f>
        <v/>
      </c>
      <c r="G308">
        <f>GCResults[[#This Row],[Total Gas Volume (mL), gas cylinder = 3785mL]]</f>
        <v>0</v>
      </c>
      <c r="H308">
        <f>GCResults[[#This Row],[Pressure on Sampling (PSI), 145PSI=1MPa]]</f>
        <v>3552.5</v>
      </c>
      <c r="I308">
        <f>pHCondMod[[#This Row],[Sample pH]]</f>
        <v>0</v>
      </c>
      <c r="J308">
        <f>pHCondMod[[#This Row],[Sample Conductivity (mS/cm)]]</f>
        <v>0</v>
      </c>
      <c r="K308">
        <f>pHCondMod[[#This Row],[Modification Description]]</f>
        <v>0</v>
      </c>
      <c r="L308" s="1">
        <f>NMRResults[[#This Row],[Date Run]]</f>
        <v>0</v>
      </c>
      <c r="M308" s="1">
        <f>ICPList[[#This Row],[Date Run]]</f>
        <v>0</v>
      </c>
      <c r="N308" s="1">
        <f>GCResults[[#This Row],[Date Run ]]</f>
        <v>0</v>
      </c>
    </row>
    <row r="309" spans="1:14" ht="14.45" x14ac:dyDescent="0.25">
      <c r="A309">
        <f>SampleList[[#This Row],[Experiment ID]]</f>
        <v>0</v>
      </c>
      <c r="B309">
        <f>SampleList[[#This Row],[Sample Description]]</f>
        <v>0</v>
      </c>
      <c r="C309" s="1">
        <f>SampleList[[#This Row],[Date Sampled]]</f>
        <v>0</v>
      </c>
      <c r="D309">
        <f>SampleList[[#This Row],[Duration (Days)]]</f>
        <v>0</v>
      </c>
      <c r="E309">
        <f>NMRResults[[#This Row],[Ammonium Concentration (mM)]]</f>
        <v>0</v>
      </c>
      <c r="F309" t="str">
        <f>GCResults[[#This Row],[H2 (ppm)]]</f>
        <v/>
      </c>
      <c r="G309">
        <f>GCResults[[#This Row],[Total Gas Volume (mL), gas cylinder = 3785mL]]</f>
        <v>0</v>
      </c>
      <c r="H309">
        <f>GCResults[[#This Row],[Pressure on Sampling (PSI), 145PSI=1MPa]]</f>
        <v>3552.5</v>
      </c>
      <c r="I309">
        <f>pHCondMod[[#This Row],[Sample pH]]</f>
        <v>0</v>
      </c>
      <c r="J309">
        <f>pHCondMod[[#This Row],[Sample Conductivity (mS/cm)]]</f>
        <v>0</v>
      </c>
      <c r="K309">
        <f>pHCondMod[[#This Row],[Modification Description]]</f>
        <v>0</v>
      </c>
      <c r="L309" s="1">
        <f>NMRResults[[#This Row],[Date Run]]</f>
        <v>0</v>
      </c>
      <c r="M309" s="1">
        <f>ICPList[[#This Row],[Date Run]]</f>
        <v>0</v>
      </c>
      <c r="N309" s="1">
        <f>GCResults[[#This Row],[Date Run ]]</f>
        <v>0</v>
      </c>
    </row>
    <row r="310" spans="1:14" ht="14.45" x14ac:dyDescent="0.25">
      <c r="A310">
        <f>SampleList[[#This Row],[Experiment ID]]</f>
        <v>0</v>
      </c>
      <c r="B310">
        <f>SampleList[[#This Row],[Sample Description]]</f>
        <v>0</v>
      </c>
      <c r="C310" s="1">
        <f>SampleList[[#This Row],[Date Sampled]]</f>
        <v>0</v>
      </c>
      <c r="D310">
        <f>SampleList[[#This Row],[Duration (Days)]]</f>
        <v>0</v>
      </c>
      <c r="E310">
        <f>NMRResults[[#This Row],[Ammonium Concentration (mM)]]</f>
        <v>0</v>
      </c>
      <c r="F310" t="str">
        <f>GCResults[[#This Row],[H2 (ppm)]]</f>
        <v/>
      </c>
      <c r="G310">
        <f>GCResults[[#This Row],[Total Gas Volume (mL), gas cylinder = 3785mL]]</f>
        <v>0</v>
      </c>
      <c r="H310">
        <f>GCResults[[#This Row],[Pressure on Sampling (PSI), 145PSI=1MPa]]</f>
        <v>3552.5</v>
      </c>
      <c r="I310">
        <f>pHCondMod[[#This Row],[Sample pH]]</f>
        <v>0</v>
      </c>
      <c r="J310">
        <f>pHCondMod[[#This Row],[Sample Conductivity (mS/cm)]]</f>
        <v>0</v>
      </c>
      <c r="K310">
        <f>pHCondMod[[#This Row],[Modification Description]]</f>
        <v>0</v>
      </c>
      <c r="L310" s="1">
        <f>NMRResults[[#This Row],[Date Run]]</f>
        <v>0</v>
      </c>
      <c r="M310" s="1">
        <f>ICPList[[#This Row],[Date Run]]</f>
        <v>0</v>
      </c>
      <c r="N310" s="1">
        <f>GCResults[[#This Row],[Date Run ]]</f>
        <v>0</v>
      </c>
    </row>
    <row r="311" spans="1:14" ht="14.45" x14ac:dyDescent="0.25">
      <c r="A311">
        <f>SampleList[[#This Row],[Experiment ID]]</f>
        <v>0</v>
      </c>
      <c r="B311">
        <f>SampleList[[#This Row],[Sample Description]]</f>
        <v>0</v>
      </c>
      <c r="C311" s="1">
        <f>SampleList[[#This Row],[Date Sampled]]</f>
        <v>0</v>
      </c>
      <c r="D311">
        <f>SampleList[[#This Row],[Duration (Days)]]</f>
        <v>0</v>
      </c>
      <c r="E311">
        <f>NMRResults[[#This Row],[Ammonium Concentration (mM)]]</f>
        <v>0</v>
      </c>
      <c r="F311" t="str">
        <f>GCResults[[#This Row],[H2 (ppm)]]</f>
        <v/>
      </c>
      <c r="G311">
        <f>GCResults[[#This Row],[Total Gas Volume (mL), gas cylinder = 3785mL]]</f>
        <v>0</v>
      </c>
      <c r="H311">
        <f>GCResults[[#This Row],[Pressure on Sampling (PSI), 145PSI=1MPa]]</f>
        <v>3552.5</v>
      </c>
      <c r="I311">
        <f>pHCondMod[[#This Row],[Sample pH]]</f>
        <v>0</v>
      </c>
      <c r="J311">
        <f>pHCondMod[[#This Row],[Sample Conductivity (mS/cm)]]</f>
        <v>0</v>
      </c>
      <c r="K311">
        <f>pHCondMod[[#This Row],[Modification Description]]</f>
        <v>0</v>
      </c>
      <c r="L311" s="1">
        <f>NMRResults[[#This Row],[Date Run]]</f>
        <v>0</v>
      </c>
      <c r="M311" s="1">
        <f>ICPList[[#This Row],[Date Run]]</f>
        <v>0</v>
      </c>
      <c r="N311" s="1">
        <f>GCResults[[#This Row],[Date Run ]]</f>
        <v>0</v>
      </c>
    </row>
    <row r="312" spans="1:14" ht="14.45" x14ac:dyDescent="0.25">
      <c r="A312">
        <f>SampleList[[#This Row],[Experiment ID]]</f>
        <v>0</v>
      </c>
      <c r="B312">
        <f>SampleList[[#This Row],[Sample Description]]</f>
        <v>0</v>
      </c>
      <c r="C312" s="1">
        <f>SampleList[[#This Row],[Date Sampled]]</f>
        <v>0</v>
      </c>
      <c r="D312">
        <f>SampleList[[#This Row],[Duration (Days)]]</f>
        <v>0</v>
      </c>
      <c r="E312">
        <f>NMRResults[[#This Row],[Ammonium Concentration (mM)]]</f>
        <v>0</v>
      </c>
      <c r="F312" t="str">
        <f>GCResults[[#This Row],[H2 (ppm)]]</f>
        <v/>
      </c>
      <c r="G312">
        <f>GCResults[[#This Row],[Total Gas Volume (mL), gas cylinder = 3785mL]]</f>
        <v>0</v>
      </c>
      <c r="H312">
        <f>GCResults[[#This Row],[Pressure on Sampling (PSI), 145PSI=1MPa]]</f>
        <v>3552.5</v>
      </c>
      <c r="I312">
        <f>pHCondMod[[#This Row],[Sample pH]]</f>
        <v>0</v>
      </c>
      <c r="J312">
        <f>pHCondMod[[#This Row],[Sample Conductivity (mS/cm)]]</f>
        <v>0</v>
      </c>
      <c r="K312">
        <f>pHCondMod[[#This Row],[Modification Description]]</f>
        <v>0</v>
      </c>
      <c r="L312" s="1">
        <f>NMRResults[[#This Row],[Date Run]]</f>
        <v>0</v>
      </c>
      <c r="M312" s="1">
        <f>ICPList[[#This Row],[Date Run]]</f>
        <v>0</v>
      </c>
      <c r="N312" s="1">
        <f>GCResults[[#This Row],[Date Run ]]</f>
        <v>0</v>
      </c>
    </row>
    <row r="313" spans="1:14" ht="14.45" x14ac:dyDescent="0.25">
      <c r="A313">
        <f>SampleList[[#This Row],[Experiment ID]]</f>
        <v>0</v>
      </c>
      <c r="B313">
        <f>SampleList[[#This Row],[Sample Description]]</f>
        <v>0</v>
      </c>
      <c r="C313" s="1">
        <f>SampleList[[#This Row],[Date Sampled]]</f>
        <v>0</v>
      </c>
      <c r="D313">
        <f>SampleList[[#This Row],[Duration (Days)]]</f>
        <v>0</v>
      </c>
      <c r="E313">
        <f>NMRResults[[#This Row],[Ammonium Concentration (mM)]]</f>
        <v>0</v>
      </c>
      <c r="F313" t="str">
        <f>GCResults[[#This Row],[H2 (ppm)]]</f>
        <v/>
      </c>
      <c r="G313">
        <f>GCResults[[#This Row],[Total Gas Volume (mL), gas cylinder = 3785mL]]</f>
        <v>0</v>
      </c>
      <c r="H313">
        <f>GCResults[[#This Row],[Pressure on Sampling (PSI), 145PSI=1MPa]]</f>
        <v>3552.5</v>
      </c>
      <c r="I313">
        <f>pHCondMod[[#This Row],[Sample pH]]</f>
        <v>0</v>
      </c>
      <c r="J313">
        <f>pHCondMod[[#This Row],[Sample Conductivity (mS/cm)]]</f>
        <v>0</v>
      </c>
      <c r="K313">
        <f>pHCondMod[[#This Row],[Modification Description]]</f>
        <v>0</v>
      </c>
      <c r="L313" s="1">
        <f>NMRResults[[#This Row],[Date Run]]</f>
        <v>0</v>
      </c>
      <c r="M313" s="1">
        <f>ICPList[[#This Row],[Date Run]]</f>
        <v>0</v>
      </c>
      <c r="N313" s="1">
        <f>GCResults[[#This Row],[Date Run ]]</f>
        <v>0</v>
      </c>
    </row>
    <row r="314" spans="1:14" ht="14.45" x14ac:dyDescent="0.25">
      <c r="A314">
        <f>SampleList[[#This Row],[Experiment ID]]</f>
        <v>0</v>
      </c>
      <c r="B314">
        <f>SampleList[[#This Row],[Sample Description]]</f>
        <v>0</v>
      </c>
      <c r="C314" s="1">
        <f>SampleList[[#This Row],[Date Sampled]]</f>
        <v>0</v>
      </c>
      <c r="D314">
        <f>SampleList[[#This Row],[Duration (Days)]]</f>
        <v>0</v>
      </c>
      <c r="E314">
        <f>NMRResults[[#This Row],[Ammonium Concentration (mM)]]</f>
        <v>0</v>
      </c>
      <c r="F314" t="str">
        <f>GCResults[[#This Row],[H2 (ppm)]]</f>
        <v/>
      </c>
      <c r="G314">
        <f>GCResults[[#This Row],[Total Gas Volume (mL), gas cylinder = 3785mL]]</f>
        <v>0</v>
      </c>
      <c r="H314">
        <f>GCResults[[#This Row],[Pressure on Sampling (PSI), 145PSI=1MPa]]</f>
        <v>3552.5</v>
      </c>
      <c r="I314">
        <f>pHCondMod[[#This Row],[Sample pH]]</f>
        <v>0</v>
      </c>
      <c r="J314">
        <f>pHCondMod[[#This Row],[Sample Conductivity (mS/cm)]]</f>
        <v>0</v>
      </c>
      <c r="K314">
        <f>pHCondMod[[#This Row],[Modification Description]]</f>
        <v>0</v>
      </c>
      <c r="L314" s="1">
        <f>NMRResults[[#This Row],[Date Run]]</f>
        <v>0</v>
      </c>
      <c r="M314" s="1">
        <f>ICPList[[#This Row],[Date Run]]</f>
        <v>0</v>
      </c>
      <c r="N314" s="1">
        <f>GCResults[[#This Row],[Date Run ]]</f>
        <v>0</v>
      </c>
    </row>
    <row r="315" spans="1:14" ht="14.45" x14ac:dyDescent="0.25">
      <c r="A315">
        <f>SampleList[[#This Row],[Experiment ID]]</f>
        <v>0</v>
      </c>
      <c r="B315">
        <f>SampleList[[#This Row],[Sample Description]]</f>
        <v>0</v>
      </c>
      <c r="C315" s="1">
        <f>SampleList[[#This Row],[Date Sampled]]</f>
        <v>0</v>
      </c>
      <c r="D315">
        <f>SampleList[[#This Row],[Duration (Days)]]</f>
        <v>0</v>
      </c>
      <c r="E315">
        <f>NMRResults[[#This Row],[Ammonium Concentration (mM)]]</f>
        <v>0</v>
      </c>
      <c r="F315" t="str">
        <f>GCResults[[#This Row],[H2 (ppm)]]</f>
        <v/>
      </c>
      <c r="G315">
        <f>GCResults[[#This Row],[Total Gas Volume (mL), gas cylinder = 3785mL]]</f>
        <v>0</v>
      </c>
      <c r="H315">
        <f>GCResults[[#This Row],[Pressure on Sampling (PSI), 145PSI=1MPa]]</f>
        <v>3552.5</v>
      </c>
      <c r="I315">
        <f>pHCondMod[[#This Row],[Sample pH]]</f>
        <v>0</v>
      </c>
      <c r="J315">
        <f>pHCondMod[[#This Row],[Sample Conductivity (mS/cm)]]</f>
        <v>0</v>
      </c>
      <c r="K315">
        <f>pHCondMod[[#This Row],[Modification Description]]</f>
        <v>0</v>
      </c>
      <c r="L315" s="1">
        <f>NMRResults[[#This Row],[Date Run]]</f>
        <v>0</v>
      </c>
      <c r="M315" s="1">
        <f>ICPList[[#This Row],[Date Run]]</f>
        <v>0</v>
      </c>
      <c r="N315" s="1">
        <f>GCResults[[#This Row],[Date Run ]]</f>
        <v>0</v>
      </c>
    </row>
    <row r="316" spans="1:14" ht="14.45" x14ac:dyDescent="0.25">
      <c r="A316">
        <f>SampleList[[#This Row],[Experiment ID]]</f>
        <v>0</v>
      </c>
      <c r="B316">
        <f>SampleList[[#This Row],[Sample Description]]</f>
        <v>0</v>
      </c>
      <c r="C316" s="1">
        <f>SampleList[[#This Row],[Date Sampled]]</f>
        <v>0</v>
      </c>
      <c r="D316">
        <f>SampleList[[#This Row],[Duration (Days)]]</f>
        <v>0</v>
      </c>
      <c r="E316">
        <f>NMRResults[[#This Row],[Ammonium Concentration (mM)]]</f>
        <v>0</v>
      </c>
      <c r="F316" t="str">
        <f>GCResults[[#This Row],[H2 (ppm)]]</f>
        <v/>
      </c>
      <c r="G316">
        <f>GCResults[[#This Row],[Total Gas Volume (mL), gas cylinder = 3785mL]]</f>
        <v>0</v>
      </c>
      <c r="H316">
        <f>GCResults[[#This Row],[Pressure on Sampling (PSI), 145PSI=1MPa]]</f>
        <v>3552.5</v>
      </c>
      <c r="I316">
        <f>pHCondMod[[#This Row],[Sample pH]]</f>
        <v>0</v>
      </c>
      <c r="J316">
        <f>pHCondMod[[#This Row],[Sample Conductivity (mS/cm)]]</f>
        <v>0</v>
      </c>
      <c r="K316">
        <f>pHCondMod[[#This Row],[Modification Description]]</f>
        <v>0</v>
      </c>
      <c r="L316" s="1">
        <f>NMRResults[[#This Row],[Date Run]]</f>
        <v>0</v>
      </c>
      <c r="M316" s="1">
        <f>ICPList[[#This Row],[Date Run]]</f>
        <v>0</v>
      </c>
      <c r="N316" s="1">
        <f>GCResults[[#This Row],[Date Run ]]</f>
        <v>0</v>
      </c>
    </row>
    <row r="317" spans="1:14" ht="14.45" x14ac:dyDescent="0.25">
      <c r="A317">
        <f>SampleList[[#This Row],[Experiment ID]]</f>
        <v>0</v>
      </c>
      <c r="B317">
        <f>SampleList[[#This Row],[Sample Description]]</f>
        <v>0</v>
      </c>
      <c r="C317" s="1">
        <f>SampleList[[#This Row],[Date Sampled]]</f>
        <v>0</v>
      </c>
      <c r="D317">
        <f>SampleList[[#This Row],[Duration (Days)]]</f>
        <v>0</v>
      </c>
      <c r="E317">
        <f>NMRResults[[#This Row],[Ammonium Concentration (mM)]]</f>
        <v>0</v>
      </c>
      <c r="F317" t="str">
        <f>GCResults[[#This Row],[H2 (ppm)]]</f>
        <v/>
      </c>
      <c r="G317">
        <f>GCResults[[#This Row],[Total Gas Volume (mL), gas cylinder = 3785mL]]</f>
        <v>0</v>
      </c>
      <c r="H317">
        <f>GCResults[[#This Row],[Pressure on Sampling (PSI), 145PSI=1MPa]]</f>
        <v>3552.5</v>
      </c>
      <c r="I317">
        <f>pHCondMod[[#This Row],[Sample pH]]</f>
        <v>0</v>
      </c>
      <c r="J317">
        <f>pHCondMod[[#This Row],[Sample Conductivity (mS/cm)]]</f>
        <v>0</v>
      </c>
      <c r="K317">
        <f>pHCondMod[[#This Row],[Modification Description]]</f>
        <v>0</v>
      </c>
      <c r="L317" s="1">
        <f>NMRResults[[#This Row],[Date Run]]</f>
        <v>0</v>
      </c>
      <c r="M317" s="1">
        <f>ICPList[[#This Row],[Date Run]]</f>
        <v>0</v>
      </c>
      <c r="N317" s="1">
        <f>GCResults[[#This Row],[Date Run ]]</f>
        <v>0</v>
      </c>
    </row>
    <row r="318" spans="1:14" ht="14.45" x14ac:dyDescent="0.25">
      <c r="A318">
        <f>SampleList[[#This Row],[Experiment ID]]</f>
        <v>0</v>
      </c>
      <c r="B318">
        <f>SampleList[[#This Row],[Sample Description]]</f>
        <v>0</v>
      </c>
      <c r="C318" s="1">
        <f>SampleList[[#This Row],[Date Sampled]]</f>
        <v>0</v>
      </c>
      <c r="D318">
        <f>SampleList[[#This Row],[Duration (Days)]]</f>
        <v>0</v>
      </c>
      <c r="E318">
        <f>NMRResults[[#This Row],[Ammonium Concentration (mM)]]</f>
        <v>0</v>
      </c>
      <c r="F318" t="str">
        <f>GCResults[[#This Row],[H2 (ppm)]]</f>
        <v/>
      </c>
      <c r="G318">
        <f>GCResults[[#This Row],[Total Gas Volume (mL), gas cylinder = 3785mL]]</f>
        <v>0</v>
      </c>
      <c r="H318">
        <f>GCResults[[#This Row],[Pressure on Sampling (PSI), 145PSI=1MPa]]</f>
        <v>3552.5</v>
      </c>
      <c r="I318">
        <f>pHCondMod[[#This Row],[Sample pH]]</f>
        <v>0</v>
      </c>
      <c r="J318">
        <f>pHCondMod[[#This Row],[Sample Conductivity (mS/cm)]]</f>
        <v>0</v>
      </c>
      <c r="K318">
        <f>pHCondMod[[#This Row],[Modification Description]]</f>
        <v>0</v>
      </c>
      <c r="L318" s="1">
        <f>NMRResults[[#This Row],[Date Run]]</f>
        <v>0</v>
      </c>
      <c r="M318" s="1">
        <f>ICPList[[#This Row],[Date Run]]</f>
        <v>0</v>
      </c>
      <c r="N318" s="1">
        <f>GCResults[[#This Row],[Date Run ]]</f>
        <v>0</v>
      </c>
    </row>
    <row r="319" spans="1:14" ht="14.45" x14ac:dyDescent="0.25">
      <c r="A319">
        <f>SampleList[[#This Row],[Experiment ID]]</f>
        <v>0</v>
      </c>
      <c r="B319">
        <f>SampleList[[#This Row],[Sample Description]]</f>
        <v>0</v>
      </c>
      <c r="C319" s="1">
        <f>SampleList[[#This Row],[Date Sampled]]</f>
        <v>0</v>
      </c>
      <c r="D319">
        <f>SampleList[[#This Row],[Duration (Days)]]</f>
        <v>0</v>
      </c>
      <c r="E319">
        <f>NMRResults[[#This Row],[Ammonium Concentration (mM)]]</f>
        <v>0</v>
      </c>
      <c r="F319" t="str">
        <f>GCResults[[#This Row],[H2 (ppm)]]</f>
        <v/>
      </c>
      <c r="G319">
        <f>GCResults[[#This Row],[Total Gas Volume (mL), gas cylinder = 3785mL]]</f>
        <v>0</v>
      </c>
      <c r="H319">
        <f>GCResults[[#This Row],[Pressure on Sampling (PSI), 145PSI=1MPa]]</f>
        <v>3552.5</v>
      </c>
      <c r="I319">
        <f>pHCondMod[[#This Row],[Sample pH]]</f>
        <v>0</v>
      </c>
      <c r="J319">
        <f>pHCondMod[[#This Row],[Sample Conductivity (mS/cm)]]</f>
        <v>0</v>
      </c>
      <c r="K319">
        <f>pHCondMod[[#This Row],[Modification Description]]</f>
        <v>0</v>
      </c>
      <c r="L319" s="1">
        <f>NMRResults[[#This Row],[Date Run]]</f>
        <v>0</v>
      </c>
      <c r="M319" s="1">
        <f>ICPList[[#This Row],[Date Run]]</f>
        <v>0</v>
      </c>
      <c r="N319" s="1">
        <f>GCResults[[#This Row],[Date Run ]]</f>
        <v>0</v>
      </c>
    </row>
    <row r="320" spans="1:14" ht="14.45" x14ac:dyDescent="0.25">
      <c r="A320">
        <f>SampleList[[#This Row],[Experiment ID]]</f>
        <v>0</v>
      </c>
      <c r="B320">
        <f>SampleList[[#This Row],[Sample Description]]</f>
        <v>0</v>
      </c>
      <c r="C320" s="1">
        <f>SampleList[[#This Row],[Date Sampled]]</f>
        <v>0</v>
      </c>
      <c r="D320">
        <f>SampleList[[#This Row],[Duration (Days)]]</f>
        <v>0</v>
      </c>
      <c r="E320">
        <f>NMRResults[[#This Row],[Ammonium Concentration (mM)]]</f>
        <v>0</v>
      </c>
      <c r="F320" t="str">
        <f>GCResults[[#This Row],[H2 (ppm)]]</f>
        <v/>
      </c>
      <c r="G320">
        <f>GCResults[[#This Row],[Total Gas Volume (mL), gas cylinder = 3785mL]]</f>
        <v>0</v>
      </c>
      <c r="H320">
        <f>GCResults[[#This Row],[Pressure on Sampling (PSI), 145PSI=1MPa]]</f>
        <v>3552.5</v>
      </c>
      <c r="I320">
        <f>pHCondMod[[#This Row],[Sample pH]]</f>
        <v>0</v>
      </c>
      <c r="J320">
        <f>pHCondMod[[#This Row],[Sample Conductivity (mS/cm)]]</f>
        <v>0</v>
      </c>
      <c r="K320">
        <f>pHCondMod[[#This Row],[Modification Description]]</f>
        <v>0</v>
      </c>
      <c r="L320" s="1">
        <f>NMRResults[[#This Row],[Date Run]]</f>
        <v>0</v>
      </c>
      <c r="M320" s="1">
        <f>ICPList[[#This Row],[Date Run]]</f>
        <v>0</v>
      </c>
      <c r="N320" s="1">
        <f>GCResults[[#This Row],[Date Run ]]</f>
        <v>0</v>
      </c>
    </row>
    <row r="321" spans="1:14" ht="14.45" x14ac:dyDescent="0.25">
      <c r="A321">
        <f>SampleList[[#This Row],[Experiment ID]]</f>
        <v>0</v>
      </c>
      <c r="B321">
        <f>SampleList[[#This Row],[Sample Description]]</f>
        <v>0</v>
      </c>
      <c r="C321" s="1">
        <f>SampleList[[#This Row],[Date Sampled]]</f>
        <v>0</v>
      </c>
      <c r="D321">
        <f>SampleList[[#This Row],[Duration (Days)]]</f>
        <v>0</v>
      </c>
      <c r="E321">
        <f>NMRResults[[#This Row],[Ammonium Concentration (mM)]]</f>
        <v>0</v>
      </c>
      <c r="F321" t="str">
        <f>GCResults[[#This Row],[H2 (ppm)]]</f>
        <v/>
      </c>
      <c r="G321">
        <f>GCResults[[#This Row],[Total Gas Volume (mL), gas cylinder = 3785mL]]</f>
        <v>0</v>
      </c>
      <c r="H321">
        <f>GCResults[[#This Row],[Pressure on Sampling (PSI), 145PSI=1MPa]]</f>
        <v>3552.5</v>
      </c>
      <c r="I321">
        <f>pHCondMod[[#This Row],[Sample pH]]</f>
        <v>0</v>
      </c>
      <c r="J321">
        <f>pHCondMod[[#This Row],[Sample Conductivity (mS/cm)]]</f>
        <v>0</v>
      </c>
      <c r="K321">
        <f>pHCondMod[[#This Row],[Modification Description]]</f>
        <v>0</v>
      </c>
      <c r="L321" s="1">
        <f>NMRResults[[#This Row],[Date Run]]</f>
        <v>0</v>
      </c>
      <c r="M321" s="1">
        <f>ICPList[[#This Row],[Date Run]]</f>
        <v>0</v>
      </c>
      <c r="N321" s="1">
        <f>GCResults[[#This Row],[Date Run ]]</f>
        <v>0</v>
      </c>
    </row>
    <row r="322" spans="1:14" ht="14.45" x14ac:dyDescent="0.25">
      <c r="A322">
        <f>SampleList[[#This Row],[Experiment ID]]</f>
        <v>0</v>
      </c>
      <c r="B322">
        <f>SampleList[[#This Row],[Sample Description]]</f>
        <v>0</v>
      </c>
      <c r="C322" s="1">
        <f>SampleList[[#This Row],[Date Sampled]]</f>
        <v>0</v>
      </c>
      <c r="D322">
        <f>SampleList[[#This Row],[Duration (Days)]]</f>
        <v>0</v>
      </c>
      <c r="E322">
        <f>NMRResults[[#This Row],[Ammonium Concentration (mM)]]</f>
        <v>0</v>
      </c>
      <c r="F322" t="str">
        <f>GCResults[[#This Row],[H2 (ppm)]]</f>
        <v/>
      </c>
      <c r="G322">
        <f>GCResults[[#This Row],[Total Gas Volume (mL), gas cylinder = 3785mL]]</f>
        <v>0</v>
      </c>
      <c r="H322">
        <f>GCResults[[#This Row],[Pressure on Sampling (PSI), 145PSI=1MPa]]</f>
        <v>3552.5</v>
      </c>
      <c r="I322">
        <f>pHCondMod[[#This Row],[Sample pH]]</f>
        <v>0</v>
      </c>
      <c r="J322">
        <f>pHCondMod[[#This Row],[Sample Conductivity (mS/cm)]]</f>
        <v>0</v>
      </c>
      <c r="K322">
        <f>pHCondMod[[#This Row],[Modification Description]]</f>
        <v>0</v>
      </c>
      <c r="L322" s="1">
        <f>NMRResults[[#This Row],[Date Run]]</f>
        <v>0</v>
      </c>
      <c r="M322" s="1">
        <f>ICPList[[#This Row],[Date Run]]</f>
        <v>0</v>
      </c>
      <c r="N322" s="1">
        <f>GCResults[[#This Row],[Date Run ]]</f>
        <v>0</v>
      </c>
    </row>
    <row r="323" spans="1:14" ht="14.45" x14ac:dyDescent="0.25">
      <c r="A323">
        <f>SampleList[[#This Row],[Experiment ID]]</f>
        <v>0</v>
      </c>
      <c r="B323">
        <f>SampleList[[#This Row],[Sample Description]]</f>
        <v>0</v>
      </c>
      <c r="C323" s="1">
        <f>SampleList[[#This Row],[Date Sampled]]</f>
        <v>0</v>
      </c>
      <c r="D323">
        <f>SampleList[[#This Row],[Duration (Days)]]</f>
        <v>0</v>
      </c>
      <c r="E323">
        <f>NMRResults[[#This Row],[Ammonium Concentration (mM)]]</f>
        <v>0</v>
      </c>
      <c r="F323" t="str">
        <f>GCResults[[#This Row],[H2 (ppm)]]</f>
        <v/>
      </c>
      <c r="G323">
        <f>GCResults[[#This Row],[Total Gas Volume (mL), gas cylinder = 3785mL]]</f>
        <v>0</v>
      </c>
      <c r="H323">
        <f>GCResults[[#This Row],[Pressure on Sampling (PSI), 145PSI=1MPa]]</f>
        <v>3552.5</v>
      </c>
      <c r="I323">
        <f>pHCondMod[[#This Row],[Sample pH]]</f>
        <v>0</v>
      </c>
      <c r="J323">
        <f>pHCondMod[[#This Row],[Sample Conductivity (mS/cm)]]</f>
        <v>0</v>
      </c>
      <c r="K323">
        <f>pHCondMod[[#This Row],[Modification Description]]</f>
        <v>0</v>
      </c>
      <c r="L323" s="1">
        <f>NMRResults[[#This Row],[Date Run]]</f>
        <v>0</v>
      </c>
      <c r="M323" s="1">
        <f>ICPList[[#This Row],[Date Run]]</f>
        <v>0</v>
      </c>
      <c r="N323" s="1">
        <f>GCResults[[#This Row],[Date Run ]]</f>
        <v>0</v>
      </c>
    </row>
    <row r="324" spans="1:14" ht="14.45" x14ac:dyDescent="0.25">
      <c r="A324">
        <f>SampleList[[#This Row],[Experiment ID]]</f>
        <v>0</v>
      </c>
      <c r="B324">
        <f>SampleList[[#This Row],[Sample Description]]</f>
        <v>0</v>
      </c>
      <c r="C324" s="1">
        <f>SampleList[[#This Row],[Date Sampled]]</f>
        <v>0</v>
      </c>
      <c r="D324">
        <f>SampleList[[#This Row],[Duration (Days)]]</f>
        <v>0</v>
      </c>
      <c r="E324">
        <f>NMRResults[[#This Row],[Ammonium Concentration (mM)]]</f>
        <v>0</v>
      </c>
      <c r="F324" t="str">
        <f>GCResults[[#This Row],[H2 (ppm)]]</f>
        <v/>
      </c>
      <c r="G324">
        <f>GCResults[[#This Row],[Total Gas Volume (mL), gas cylinder = 3785mL]]</f>
        <v>0</v>
      </c>
      <c r="H324">
        <f>GCResults[[#This Row],[Pressure on Sampling (PSI), 145PSI=1MPa]]</f>
        <v>3552.5</v>
      </c>
      <c r="I324">
        <f>pHCondMod[[#This Row],[Sample pH]]</f>
        <v>0</v>
      </c>
      <c r="J324">
        <f>pHCondMod[[#This Row],[Sample Conductivity (mS/cm)]]</f>
        <v>0</v>
      </c>
      <c r="K324">
        <f>pHCondMod[[#This Row],[Modification Description]]</f>
        <v>0</v>
      </c>
      <c r="L324" s="1">
        <f>NMRResults[[#This Row],[Date Run]]</f>
        <v>0</v>
      </c>
      <c r="M324" s="1">
        <f>ICPList[[#This Row],[Date Run]]</f>
        <v>0</v>
      </c>
      <c r="N324" s="1">
        <f>GCResults[[#This Row],[Date Run ]]</f>
        <v>0</v>
      </c>
    </row>
    <row r="325" spans="1:14" ht="14.45" x14ac:dyDescent="0.25">
      <c r="A325">
        <f>SampleList[[#This Row],[Experiment ID]]</f>
        <v>0</v>
      </c>
      <c r="B325">
        <f>SampleList[[#This Row],[Sample Description]]</f>
        <v>0</v>
      </c>
      <c r="C325" s="1">
        <f>SampleList[[#This Row],[Date Sampled]]</f>
        <v>0</v>
      </c>
      <c r="D325">
        <f>SampleList[[#This Row],[Duration (Days)]]</f>
        <v>0</v>
      </c>
      <c r="E325">
        <f>NMRResults[[#This Row],[Ammonium Concentration (mM)]]</f>
        <v>0</v>
      </c>
      <c r="F325" t="str">
        <f>GCResults[[#This Row],[H2 (ppm)]]</f>
        <v/>
      </c>
      <c r="G325">
        <f>GCResults[[#This Row],[Total Gas Volume (mL), gas cylinder = 3785mL]]</f>
        <v>0</v>
      </c>
      <c r="H325">
        <f>GCResults[[#This Row],[Pressure on Sampling (PSI), 145PSI=1MPa]]</f>
        <v>3552.5</v>
      </c>
      <c r="I325">
        <f>pHCondMod[[#This Row],[Sample pH]]</f>
        <v>0</v>
      </c>
      <c r="J325">
        <f>pHCondMod[[#This Row],[Sample Conductivity (mS/cm)]]</f>
        <v>0</v>
      </c>
      <c r="K325">
        <f>pHCondMod[[#This Row],[Modification Description]]</f>
        <v>0</v>
      </c>
      <c r="L325" s="1">
        <f>NMRResults[[#This Row],[Date Run]]</f>
        <v>0</v>
      </c>
      <c r="M325" s="1">
        <f>ICPList[[#This Row],[Date Run]]</f>
        <v>0</v>
      </c>
      <c r="N325" s="1">
        <f>GCResults[[#This Row],[Date Run ]]</f>
        <v>0</v>
      </c>
    </row>
    <row r="326" spans="1:14" ht="14.45" x14ac:dyDescent="0.25">
      <c r="A326">
        <f>SampleList[[#This Row],[Experiment ID]]</f>
        <v>0</v>
      </c>
      <c r="B326">
        <f>SampleList[[#This Row],[Sample Description]]</f>
        <v>0</v>
      </c>
      <c r="C326" s="1">
        <f>SampleList[[#This Row],[Date Sampled]]</f>
        <v>0</v>
      </c>
      <c r="D326">
        <f>SampleList[[#This Row],[Duration (Days)]]</f>
        <v>0</v>
      </c>
      <c r="E326">
        <f>NMRResults[[#This Row],[Ammonium Concentration (mM)]]</f>
        <v>0</v>
      </c>
      <c r="F326" t="str">
        <f>GCResults[[#This Row],[H2 (ppm)]]</f>
        <v/>
      </c>
      <c r="G326">
        <f>GCResults[[#This Row],[Total Gas Volume (mL), gas cylinder = 3785mL]]</f>
        <v>0</v>
      </c>
      <c r="H326">
        <f>GCResults[[#This Row],[Pressure on Sampling (PSI), 145PSI=1MPa]]</f>
        <v>3552.5</v>
      </c>
      <c r="I326">
        <f>pHCondMod[[#This Row],[Sample pH]]</f>
        <v>0</v>
      </c>
      <c r="J326">
        <f>pHCondMod[[#This Row],[Sample Conductivity (mS/cm)]]</f>
        <v>0</v>
      </c>
      <c r="K326">
        <f>pHCondMod[[#This Row],[Modification Description]]</f>
        <v>0</v>
      </c>
      <c r="L326" s="1">
        <f>NMRResults[[#This Row],[Date Run]]</f>
        <v>0</v>
      </c>
      <c r="M326" s="1">
        <f>ICPList[[#This Row],[Date Run]]</f>
        <v>0</v>
      </c>
      <c r="N326" s="1">
        <f>GCResults[[#This Row],[Date Run ]]</f>
        <v>0</v>
      </c>
    </row>
    <row r="327" spans="1:14" ht="14.45" x14ac:dyDescent="0.25">
      <c r="A327">
        <f>SampleList[[#This Row],[Experiment ID]]</f>
        <v>0</v>
      </c>
      <c r="B327">
        <f>SampleList[[#This Row],[Sample Description]]</f>
        <v>0</v>
      </c>
      <c r="C327" s="1">
        <f>SampleList[[#This Row],[Date Sampled]]</f>
        <v>0</v>
      </c>
      <c r="D327">
        <f>SampleList[[#This Row],[Duration (Days)]]</f>
        <v>0</v>
      </c>
      <c r="E327">
        <f>NMRResults[[#This Row],[Ammonium Concentration (mM)]]</f>
        <v>0</v>
      </c>
      <c r="F327" t="str">
        <f>GCResults[[#This Row],[H2 (ppm)]]</f>
        <v/>
      </c>
      <c r="G327">
        <f>GCResults[[#This Row],[Total Gas Volume (mL), gas cylinder = 3785mL]]</f>
        <v>0</v>
      </c>
      <c r="H327">
        <f>GCResults[[#This Row],[Pressure on Sampling (PSI), 145PSI=1MPa]]</f>
        <v>3552.5</v>
      </c>
      <c r="I327">
        <f>pHCondMod[[#This Row],[Sample pH]]</f>
        <v>0</v>
      </c>
      <c r="J327">
        <f>pHCondMod[[#This Row],[Sample Conductivity (mS/cm)]]</f>
        <v>0</v>
      </c>
      <c r="K327">
        <f>pHCondMod[[#This Row],[Modification Description]]</f>
        <v>0</v>
      </c>
      <c r="L327" s="1">
        <f>NMRResults[[#This Row],[Date Run]]</f>
        <v>0</v>
      </c>
      <c r="M327" s="1">
        <f>ICPList[[#This Row],[Date Run]]</f>
        <v>0</v>
      </c>
      <c r="N327" s="1">
        <f>GCResults[[#This Row],[Date Run ]]</f>
        <v>0</v>
      </c>
    </row>
    <row r="328" spans="1:14" ht="14.45" x14ac:dyDescent="0.25">
      <c r="A328">
        <f>SampleList[[#This Row],[Experiment ID]]</f>
        <v>0</v>
      </c>
      <c r="B328">
        <f>SampleList[[#This Row],[Sample Description]]</f>
        <v>0</v>
      </c>
      <c r="C328" s="1">
        <f>SampleList[[#This Row],[Date Sampled]]</f>
        <v>0</v>
      </c>
      <c r="D328">
        <f>SampleList[[#This Row],[Duration (Days)]]</f>
        <v>0</v>
      </c>
      <c r="E328">
        <f>NMRResults[[#This Row],[Ammonium Concentration (mM)]]</f>
        <v>0</v>
      </c>
      <c r="F328" t="str">
        <f>GCResults[[#This Row],[H2 (ppm)]]</f>
        <v/>
      </c>
      <c r="G328">
        <f>GCResults[[#This Row],[Total Gas Volume (mL), gas cylinder = 3785mL]]</f>
        <v>0</v>
      </c>
      <c r="H328">
        <f>GCResults[[#This Row],[Pressure on Sampling (PSI), 145PSI=1MPa]]</f>
        <v>3552.5</v>
      </c>
      <c r="I328">
        <f>pHCondMod[[#This Row],[Sample pH]]</f>
        <v>0</v>
      </c>
      <c r="J328">
        <f>pHCondMod[[#This Row],[Sample Conductivity (mS/cm)]]</f>
        <v>0</v>
      </c>
      <c r="K328">
        <f>pHCondMod[[#This Row],[Modification Description]]</f>
        <v>0</v>
      </c>
      <c r="L328" s="1">
        <f>NMRResults[[#This Row],[Date Run]]</f>
        <v>0</v>
      </c>
      <c r="M328" s="1">
        <f>ICPList[[#This Row],[Date Run]]</f>
        <v>0</v>
      </c>
      <c r="N328" s="1">
        <f>GCResults[[#This Row],[Date Run ]]</f>
        <v>0</v>
      </c>
    </row>
    <row r="329" spans="1:14" ht="14.45" x14ac:dyDescent="0.25">
      <c r="A329">
        <f>SampleList[[#This Row],[Experiment ID]]</f>
        <v>0</v>
      </c>
      <c r="B329">
        <f>SampleList[[#This Row],[Sample Description]]</f>
        <v>0</v>
      </c>
      <c r="C329" s="1">
        <f>SampleList[[#This Row],[Date Sampled]]</f>
        <v>0</v>
      </c>
      <c r="D329">
        <f>SampleList[[#This Row],[Duration (Days)]]</f>
        <v>0</v>
      </c>
      <c r="E329">
        <f>NMRResults[[#This Row],[Ammonium Concentration (mM)]]</f>
        <v>0</v>
      </c>
      <c r="F329" t="str">
        <f>GCResults[[#This Row],[H2 (ppm)]]</f>
        <v/>
      </c>
      <c r="G329">
        <f>GCResults[[#This Row],[Total Gas Volume (mL), gas cylinder = 3785mL]]</f>
        <v>0</v>
      </c>
      <c r="H329">
        <f>GCResults[[#This Row],[Pressure on Sampling (PSI), 145PSI=1MPa]]</f>
        <v>3552.5</v>
      </c>
      <c r="I329">
        <f>pHCondMod[[#This Row],[Sample pH]]</f>
        <v>0</v>
      </c>
      <c r="J329">
        <f>pHCondMod[[#This Row],[Sample Conductivity (mS/cm)]]</f>
        <v>0</v>
      </c>
      <c r="K329">
        <f>pHCondMod[[#This Row],[Modification Description]]</f>
        <v>0</v>
      </c>
      <c r="L329" s="1">
        <f>NMRResults[[#This Row],[Date Run]]</f>
        <v>0</v>
      </c>
      <c r="M329" s="1">
        <f>ICPList[[#This Row],[Date Run]]</f>
        <v>0</v>
      </c>
      <c r="N329" s="1">
        <f>GCResults[[#This Row],[Date Run ]]</f>
        <v>0</v>
      </c>
    </row>
    <row r="330" spans="1:14" ht="14.45" x14ac:dyDescent="0.25">
      <c r="A330">
        <f>SampleList[[#This Row],[Experiment ID]]</f>
        <v>0</v>
      </c>
      <c r="B330">
        <f>SampleList[[#This Row],[Sample Description]]</f>
        <v>0</v>
      </c>
      <c r="C330" s="1">
        <f>SampleList[[#This Row],[Date Sampled]]</f>
        <v>0</v>
      </c>
      <c r="D330">
        <f>SampleList[[#This Row],[Duration (Days)]]</f>
        <v>0</v>
      </c>
      <c r="E330">
        <f>NMRResults[[#This Row],[Ammonium Concentration (mM)]]</f>
        <v>0</v>
      </c>
      <c r="F330" t="str">
        <f>GCResults[[#This Row],[H2 (ppm)]]</f>
        <v/>
      </c>
      <c r="G330">
        <f>GCResults[[#This Row],[Total Gas Volume (mL), gas cylinder = 3785mL]]</f>
        <v>0</v>
      </c>
      <c r="H330">
        <f>GCResults[[#This Row],[Pressure on Sampling (PSI), 145PSI=1MPa]]</f>
        <v>3552.5</v>
      </c>
      <c r="I330">
        <f>pHCondMod[[#This Row],[Sample pH]]</f>
        <v>0</v>
      </c>
      <c r="J330">
        <f>pHCondMod[[#This Row],[Sample Conductivity (mS/cm)]]</f>
        <v>0</v>
      </c>
      <c r="K330">
        <f>pHCondMod[[#This Row],[Modification Description]]</f>
        <v>0</v>
      </c>
      <c r="L330" s="1">
        <f>NMRResults[[#This Row],[Date Run]]</f>
        <v>0</v>
      </c>
      <c r="M330" s="1">
        <f>ICPList[[#This Row],[Date Run]]</f>
        <v>0</v>
      </c>
      <c r="N330" s="1">
        <f>GCResults[[#This Row],[Date Run ]]</f>
        <v>0</v>
      </c>
    </row>
    <row r="331" spans="1:14" ht="14.45" x14ac:dyDescent="0.25">
      <c r="A331">
        <f>SampleList[[#This Row],[Experiment ID]]</f>
        <v>0</v>
      </c>
      <c r="B331">
        <f>SampleList[[#This Row],[Sample Description]]</f>
        <v>0</v>
      </c>
      <c r="C331" s="1">
        <f>SampleList[[#This Row],[Date Sampled]]</f>
        <v>0</v>
      </c>
      <c r="D331">
        <f>SampleList[[#This Row],[Duration (Days)]]</f>
        <v>0</v>
      </c>
      <c r="E331">
        <f>NMRResults[[#This Row],[Ammonium Concentration (mM)]]</f>
        <v>0</v>
      </c>
      <c r="F331" t="str">
        <f>GCResults[[#This Row],[H2 (ppm)]]</f>
        <v/>
      </c>
      <c r="G331">
        <f>GCResults[[#This Row],[Total Gas Volume (mL), gas cylinder = 3785mL]]</f>
        <v>0</v>
      </c>
      <c r="H331">
        <f>GCResults[[#This Row],[Pressure on Sampling (PSI), 145PSI=1MPa]]</f>
        <v>3552.5</v>
      </c>
      <c r="I331">
        <f>pHCondMod[[#This Row],[Sample pH]]</f>
        <v>0</v>
      </c>
      <c r="J331">
        <f>pHCondMod[[#This Row],[Sample Conductivity (mS/cm)]]</f>
        <v>0</v>
      </c>
      <c r="K331">
        <f>pHCondMod[[#This Row],[Modification Description]]</f>
        <v>0</v>
      </c>
      <c r="L331" s="1">
        <f>NMRResults[[#This Row],[Date Run]]</f>
        <v>0</v>
      </c>
      <c r="M331" s="1">
        <f>ICPList[[#This Row],[Date Run]]</f>
        <v>0</v>
      </c>
      <c r="N331" s="1">
        <f>GCResults[[#This Row],[Date Run ]]</f>
        <v>0</v>
      </c>
    </row>
    <row r="332" spans="1:14" ht="14.45" x14ac:dyDescent="0.25">
      <c r="A332">
        <f>SampleList[[#This Row],[Experiment ID]]</f>
        <v>0</v>
      </c>
      <c r="B332">
        <f>SampleList[[#This Row],[Sample Description]]</f>
        <v>0</v>
      </c>
      <c r="C332" s="1">
        <f>SampleList[[#This Row],[Date Sampled]]</f>
        <v>0</v>
      </c>
      <c r="D332">
        <f>SampleList[[#This Row],[Duration (Days)]]</f>
        <v>0</v>
      </c>
      <c r="E332">
        <f>NMRResults[[#This Row],[Ammonium Concentration (mM)]]</f>
        <v>0</v>
      </c>
      <c r="F332" t="str">
        <f>GCResults[[#This Row],[H2 (ppm)]]</f>
        <v/>
      </c>
      <c r="G332">
        <f>GCResults[[#This Row],[Total Gas Volume (mL), gas cylinder = 3785mL]]</f>
        <v>0</v>
      </c>
      <c r="H332">
        <f>GCResults[[#This Row],[Pressure on Sampling (PSI), 145PSI=1MPa]]</f>
        <v>3552.5</v>
      </c>
      <c r="I332">
        <f>pHCondMod[[#This Row],[Sample pH]]</f>
        <v>0</v>
      </c>
      <c r="J332">
        <f>pHCondMod[[#This Row],[Sample Conductivity (mS/cm)]]</f>
        <v>0</v>
      </c>
      <c r="K332">
        <f>pHCondMod[[#This Row],[Modification Description]]</f>
        <v>0</v>
      </c>
      <c r="L332" s="1">
        <f>NMRResults[[#This Row],[Date Run]]</f>
        <v>0</v>
      </c>
      <c r="M332" s="1">
        <f>ICPList[[#This Row],[Date Run]]</f>
        <v>0</v>
      </c>
      <c r="N332" s="1">
        <f>GCResults[[#This Row],[Date Run ]]</f>
        <v>0</v>
      </c>
    </row>
    <row r="333" spans="1:14" ht="14.45" x14ac:dyDescent="0.25">
      <c r="A333">
        <f>SampleList[[#This Row],[Experiment ID]]</f>
        <v>0</v>
      </c>
      <c r="B333">
        <f>SampleList[[#This Row],[Sample Description]]</f>
        <v>0</v>
      </c>
      <c r="C333" s="1">
        <f>SampleList[[#This Row],[Date Sampled]]</f>
        <v>0</v>
      </c>
      <c r="D333">
        <f>SampleList[[#This Row],[Duration (Days)]]</f>
        <v>0</v>
      </c>
      <c r="E333">
        <f>NMRResults[[#This Row],[Ammonium Concentration (mM)]]</f>
        <v>0</v>
      </c>
      <c r="F333" t="str">
        <f>GCResults[[#This Row],[H2 (ppm)]]</f>
        <v/>
      </c>
      <c r="G333">
        <f>GCResults[[#This Row],[Total Gas Volume (mL), gas cylinder = 3785mL]]</f>
        <v>0</v>
      </c>
      <c r="H333">
        <f>GCResults[[#This Row],[Pressure on Sampling (PSI), 145PSI=1MPa]]</f>
        <v>3552.5</v>
      </c>
      <c r="I333">
        <f>pHCondMod[[#This Row],[Sample pH]]</f>
        <v>0</v>
      </c>
      <c r="J333">
        <f>pHCondMod[[#This Row],[Sample Conductivity (mS/cm)]]</f>
        <v>0</v>
      </c>
      <c r="K333">
        <f>pHCondMod[[#This Row],[Modification Description]]</f>
        <v>0</v>
      </c>
      <c r="L333" s="1">
        <f>NMRResults[[#This Row],[Date Run]]</f>
        <v>0</v>
      </c>
      <c r="M333" s="1">
        <f>ICPList[[#This Row],[Date Run]]</f>
        <v>0</v>
      </c>
      <c r="N333" s="1">
        <f>GCResults[[#This Row],[Date Run ]]</f>
        <v>0</v>
      </c>
    </row>
    <row r="334" spans="1:14" ht="14.45" x14ac:dyDescent="0.25">
      <c r="A334">
        <f>SampleList[[#This Row],[Experiment ID]]</f>
        <v>0</v>
      </c>
      <c r="B334">
        <f>SampleList[[#This Row],[Sample Description]]</f>
        <v>0</v>
      </c>
      <c r="C334" s="1">
        <f>SampleList[[#This Row],[Date Sampled]]</f>
        <v>0</v>
      </c>
      <c r="D334">
        <f>SampleList[[#This Row],[Duration (Days)]]</f>
        <v>0</v>
      </c>
      <c r="E334">
        <f>NMRResults[[#This Row],[Ammonium Concentration (mM)]]</f>
        <v>0</v>
      </c>
      <c r="F334" t="str">
        <f>GCResults[[#This Row],[H2 (ppm)]]</f>
        <v/>
      </c>
      <c r="G334">
        <f>GCResults[[#This Row],[Total Gas Volume (mL), gas cylinder = 3785mL]]</f>
        <v>0</v>
      </c>
      <c r="H334">
        <f>GCResults[[#This Row],[Pressure on Sampling (PSI), 145PSI=1MPa]]</f>
        <v>3552.5</v>
      </c>
      <c r="I334">
        <f>pHCondMod[[#This Row],[Sample pH]]</f>
        <v>0</v>
      </c>
      <c r="J334">
        <f>pHCondMod[[#This Row],[Sample Conductivity (mS/cm)]]</f>
        <v>0</v>
      </c>
      <c r="K334">
        <f>pHCondMod[[#This Row],[Modification Description]]</f>
        <v>0</v>
      </c>
      <c r="L334" s="1">
        <f>NMRResults[[#This Row],[Date Run]]</f>
        <v>0</v>
      </c>
      <c r="M334" s="1">
        <f>ICPList[[#This Row],[Date Run]]</f>
        <v>0</v>
      </c>
      <c r="N334" s="1">
        <f>GCResults[[#This Row],[Date Run ]]</f>
        <v>0</v>
      </c>
    </row>
    <row r="335" spans="1:14" ht="14.45" x14ac:dyDescent="0.25">
      <c r="A335">
        <f>SampleList[[#This Row],[Experiment ID]]</f>
        <v>0</v>
      </c>
      <c r="B335">
        <f>SampleList[[#This Row],[Sample Description]]</f>
        <v>0</v>
      </c>
      <c r="C335" s="1">
        <f>SampleList[[#This Row],[Date Sampled]]</f>
        <v>0</v>
      </c>
      <c r="D335">
        <f>SampleList[[#This Row],[Duration (Days)]]</f>
        <v>0</v>
      </c>
      <c r="E335">
        <f>NMRResults[[#This Row],[Ammonium Concentration (mM)]]</f>
        <v>0</v>
      </c>
      <c r="F335" t="str">
        <f>GCResults[[#This Row],[H2 (ppm)]]</f>
        <v/>
      </c>
      <c r="G335">
        <f>GCResults[[#This Row],[Total Gas Volume (mL), gas cylinder = 3785mL]]</f>
        <v>0</v>
      </c>
      <c r="H335">
        <f>GCResults[[#This Row],[Pressure on Sampling (PSI), 145PSI=1MPa]]</f>
        <v>3552.5</v>
      </c>
      <c r="I335">
        <f>pHCondMod[[#This Row],[Sample pH]]</f>
        <v>0</v>
      </c>
      <c r="J335">
        <f>pHCondMod[[#This Row],[Sample Conductivity (mS/cm)]]</f>
        <v>0</v>
      </c>
      <c r="K335">
        <f>pHCondMod[[#This Row],[Modification Description]]</f>
        <v>0</v>
      </c>
      <c r="L335" s="1">
        <f>NMRResults[[#This Row],[Date Run]]</f>
        <v>0</v>
      </c>
      <c r="M335" s="1">
        <f>ICPList[[#This Row],[Date Run]]</f>
        <v>0</v>
      </c>
      <c r="N335" s="1">
        <f>GCResults[[#This Row],[Date Run ]]</f>
        <v>0</v>
      </c>
    </row>
    <row r="336" spans="1:14" ht="14.45" x14ac:dyDescent="0.25">
      <c r="A336">
        <f>SampleList[[#This Row],[Experiment ID]]</f>
        <v>0</v>
      </c>
      <c r="B336">
        <f>SampleList[[#This Row],[Sample Description]]</f>
        <v>0</v>
      </c>
      <c r="C336" s="1">
        <f>SampleList[[#This Row],[Date Sampled]]</f>
        <v>0</v>
      </c>
      <c r="D336">
        <f>SampleList[[#This Row],[Duration (Days)]]</f>
        <v>0</v>
      </c>
      <c r="E336">
        <f>NMRResults[[#This Row],[Ammonium Concentration (mM)]]</f>
        <v>0</v>
      </c>
      <c r="F336" t="str">
        <f>GCResults[[#This Row],[H2 (ppm)]]</f>
        <v/>
      </c>
      <c r="G336">
        <f>GCResults[[#This Row],[Total Gas Volume (mL), gas cylinder = 3785mL]]</f>
        <v>0</v>
      </c>
      <c r="H336">
        <f>GCResults[[#This Row],[Pressure on Sampling (PSI), 145PSI=1MPa]]</f>
        <v>3552.5</v>
      </c>
      <c r="I336">
        <f>pHCondMod[[#This Row],[Sample pH]]</f>
        <v>0</v>
      </c>
      <c r="J336">
        <f>pHCondMod[[#This Row],[Sample Conductivity (mS/cm)]]</f>
        <v>0</v>
      </c>
      <c r="K336">
        <f>pHCondMod[[#This Row],[Modification Description]]</f>
        <v>0</v>
      </c>
      <c r="L336" s="1">
        <f>NMRResults[[#This Row],[Date Run]]</f>
        <v>0</v>
      </c>
      <c r="M336" s="1">
        <f>ICPList[[#This Row],[Date Run]]</f>
        <v>0</v>
      </c>
      <c r="N336" s="1">
        <f>GCResults[[#This Row],[Date Run ]]</f>
        <v>0</v>
      </c>
    </row>
    <row r="337" spans="1:14" ht="14.45" x14ac:dyDescent="0.25">
      <c r="A337">
        <f>SampleList[[#This Row],[Experiment ID]]</f>
        <v>0</v>
      </c>
      <c r="B337">
        <f>SampleList[[#This Row],[Sample Description]]</f>
        <v>0</v>
      </c>
      <c r="C337" s="1">
        <f>SampleList[[#This Row],[Date Sampled]]</f>
        <v>0</v>
      </c>
      <c r="D337">
        <f>SampleList[[#This Row],[Duration (Days)]]</f>
        <v>0</v>
      </c>
      <c r="E337">
        <f>NMRResults[[#This Row],[Ammonium Concentration (mM)]]</f>
        <v>0</v>
      </c>
      <c r="F337" t="str">
        <f>GCResults[[#This Row],[H2 (ppm)]]</f>
        <v/>
      </c>
      <c r="G337">
        <f>GCResults[[#This Row],[Total Gas Volume (mL), gas cylinder = 3785mL]]</f>
        <v>0</v>
      </c>
      <c r="H337">
        <f>GCResults[[#This Row],[Pressure on Sampling (PSI), 145PSI=1MPa]]</f>
        <v>3552.5</v>
      </c>
      <c r="I337">
        <f>pHCondMod[[#This Row],[Sample pH]]</f>
        <v>0</v>
      </c>
      <c r="J337">
        <f>pHCondMod[[#This Row],[Sample Conductivity (mS/cm)]]</f>
        <v>0</v>
      </c>
      <c r="K337">
        <f>pHCondMod[[#This Row],[Modification Description]]</f>
        <v>0</v>
      </c>
      <c r="L337" s="1">
        <f>NMRResults[[#This Row],[Date Run]]</f>
        <v>0</v>
      </c>
      <c r="M337" s="1">
        <f>ICPList[[#This Row],[Date Run]]</f>
        <v>0</v>
      </c>
      <c r="N337" s="1">
        <f>GCResults[[#This Row],[Date Run ]]</f>
        <v>0</v>
      </c>
    </row>
    <row r="338" spans="1:14" ht="14.45" x14ac:dyDescent="0.25">
      <c r="A338">
        <f>SampleList[[#This Row],[Experiment ID]]</f>
        <v>0</v>
      </c>
      <c r="B338">
        <f>SampleList[[#This Row],[Sample Description]]</f>
        <v>0</v>
      </c>
      <c r="C338" s="1">
        <f>SampleList[[#This Row],[Date Sampled]]</f>
        <v>0</v>
      </c>
      <c r="D338">
        <f>SampleList[[#This Row],[Duration (Days)]]</f>
        <v>0</v>
      </c>
      <c r="E338">
        <f>NMRResults[[#This Row],[Ammonium Concentration (mM)]]</f>
        <v>0</v>
      </c>
      <c r="F338" t="str">
        <f>GCResults[[#This Row],[H2 (ppm)]]</f>
        <v/>
      </c>
      <c r="G338">
        <f>GCResults[[#This Row],[Total Gas Volume (mL), gas cylinder = 3785mL]]</f>
        <v>0</v>
      </c>
      <c r="H338">
        <f>GCResults[[#This Row],[Pressure on Sampling (PSI), 145PSI=1MPa]]</f>
        <v>3552.5</v>
      </c>
      <c r="I338">
        <f>pHCondMod[[#This Row],[Sample pH]]</f>
        <v>0</v>
      </c>
      <c r="J338">
        <f>pHCondMod[[#This Row],[Sample Conductivity (mS/cm)]]</f>
        <v>0</v>
      </c>
      <c r="K338">
        <f>pHCondMod[[#This Row],[Modification Description]]</f>
        <v>0</v>
      </c>
      <c r="L338" s="1">
        <f>NMRResults[[#This Row],[Date Run]]</f>
        <v>0</v>
      </c>
      <c r="M338" s="1">
        <f>ICPList[[#This Row],[Date Run]]</f>
        <v>0</v>
      </c>
      <c r="N338" s="1">
        <f>GCResults[[#This Row],[Date Run ]]</f>
        <v>0</v>
      </c>
    </row>
    <row r="339" spans="1:14" ht="14.45" x14ac:dyDescent="0.25">
      <c r="A339">
        <f>SampleList[[#This Row],[Experiment ID]]</f>
        <v>0</v>
      </c>
      <c r="B339">
        <f>SampleList[[#This Row],[Sample Description]]</f>
        <v>0</v>
      </c>
      <c r="C339" s="1">
        <f>SampleList[[#This Row],[Date Sampled]]</f>
        <v>0</v>
      </c>
      <c r="D339">
        <f>SampleList[[#This Row],[Duration (Days)]]</f>
        <v>0</v>
      </c>
      <c r="E339">
        <f>NMRResults[[#This Row],[Ammonium Concentration (mM)]]</f>
        <v>0</v>
      </c>
      <c r="F339" t="str">
        <f>GCResults[[#This Row],[H2 (ppm)]]</f>
        <v/>
      </c>
      <c r="G339">
        <f>GCResults[[#This Row],[Total Gas Volume (mL), gas cylinder = 3785mL]]</f>
        <v>0</v>
      </c>
      <c r="H339">
        <f>GCResults[[#This Row],[Pressure on Sampling (PSI), 145PSI=1MPa]]</f>
        <v>3552.5</v>
      </c>
      <c r="I339">
        <f>pHCondMod[[#This Row],[Sample pH]]</f>
        <v>0</v>
      </c>
      <c r="J339">
        <f>pHCondMod[[#This Row],[Sample Conductivity (mS/cm)]]</f>
        <v>0</v>
      </c>
      <c r="K339">
        <f>pHCondMod[[#This Row],[Modification Description]]</f>
        <v>0</v>
      </c>
      <c r="L339" s="1">
        <f>NMRResults[[#This Row],[Date Run]]</f>
        <v>0</v>
      </c>
      <c r="M339" s="1">
        <f>ICPList[[#This Row],[Date Run]]</f>
        <v>0</v>
      </c>
      <c r="N339" s="1">
        <f>GCResults[[#This Row],[Date Run ]]</f>
        <v>0</v>
      </c>
    </row>
    <row r="340" spans="1:14" ht="14.45" x14ac:dyDescent="0.25">
      <c r="A340">
        <f>SampleList[[#This Row],[Experiment ID]]</f>
        <v>0</v>
      </c>
      <c r="B340">
        <f>SampleList[[#This Row],[Sample Description]]</f>
        <v>0</v>
      </c>
      <c r="C340" s="1">
        <f>SampleList[[#This Row],[Date Sampled]]</f>
        <v>0</v>
      </c>
      <c r="D340">
        <f>SampleList[[#This Row],[Duration (Days)]]</f>
        <v>0</v>
      </c>
      <c r="E340">
        <f>NMRResults[[#This Row],[Ammonium Concentration (mM)]]</f>
        <v>0</v>
      </c>
      <c r="F340" t="str">
        <f>GCResults[[#This Row],[H2 (ppm)]]</f>
        <v/>
      </c>
      <c r="G340">
        <f>GCResults[[#This Row],[Total Gas Volume (mL), gas cylinder = 3785mL]]</f>
        <v>0</v>
      </c>
      <c r="H340">
        <f>GCResults[[#This Row],[Pressure on Sampling (PSI), 145PSI=1MPa]]</f>
        <v>3552.5</v>
      </c>
      <c r="I340">
        <f>pHCondMod[[#This Row],[Sample pH]]</f>
        <v>0</v>
      </c>
      <c r="J340">
        <f>pHCondMod[[#This Row],[Sample Conductivity (mS/cm)]]</f>
        <v>0</v>
      </c>
      <c r="K340">
        <f>pHCondMod[[#This Row],[Modification Description]]</f>
        <v>0</v>
      </c>
      <c r="L340" s="1">
        <f>NMRResults[[#This Row],[Date Run]]</f>
        <v>0</v>
      </c>
      <c r="M340" s="1">
        <f>ICPList[[#This Row],[Date Run]]</f>
        <v>0</v>
      </c>
      <c r="N340" s="1">
        <f>GCResults[[#This Row],[Date Run ]]</f>
        <v>0</v>
      </c>
    </row>
    <row r="341" spans="1:14" ht="14.45" x14ac:dyDescent="0.25">
      <c r="A341">
        <f>SampleList[[#This Row],[Experiment ID]]</f>
        <v>0</v>
      </c>
      <c r="B341">
        <f>SampleList[[#This Row],[Sample Description]]</f>
        <v>0</v>
      </c>
      <c r="C341" s="1">
        <f>SampleList[[#This Row],[Date Sampled]]</f>
        <v>0</v>
      </c>
      <c r="D341">
        <f>SampleList[[#This Row],[Duration (Days)]]</f>
        <v>0</v>
      </c>
      <c r="E341">
        <f>NMRResults[[#This Row],[Ammonium Concentration (mM)]]</f>
        <v>0</v>
      </c>
      <c r="F341" t="str">
        <f>GCResults[[#This Row],[H2 (ppm)]]</f>
        <v/>
      </c>
      <c r="G341">
        <f>GCResults[[#This Row],[Total Gas Volume (mL), gas cylinder = 3785mL]]</f>
        <v>0</v>
      </c>
      <c r="H341">
        <f>GCResults[[#This Row],[Pressure on Sampling (PSI), 145PSI=1MPa]]</f>
        <v>3552.5</v>
      </c>
      <c r="I341">
        <f>pHCondMod[[#This Row],[Sample pH]]</f>
        <v>0</v>
      </c>
      <c r="J341">
        <f>pHCondMod[[#This Row],[Sample Conductivity (mS/cm)]]</f>
        <v>0</v>
      </c>
      <c r="K341">
        <f>pHCondMod[[#This Row],[Modification Description]]</f>
        <v>0</v>
      </c>
      <c r="L341" s="1">
        <f>NMRResults[[#This Row],[Date Run]]</f>
        <v>0</v>
      </c>
      <c r="M341" s="1">
        <f>ICPList[[#This Row],[Date Run]]</f>
        <v>0</v>
      </c>
      <c r="N341" s="1">
        <f>GCResults[[#This Row],[Date Run ]]</f>
        <v>0</v>
      </c>
    </row>
    <row r="342" spans="1:14" ht="14.45" x14ac:dyDescent="0.25">
      <c r="A342">
        <f>SampleList[[#This Row],[Experiment ID]]</f>
        <v>0</v>
      </c>
      <c r="B342">
        <f>SampleList[[#This Row],[Sample Description]]</f>
        <v>0</v>
      </c>
      <c r="C342" s="1">
        <f>SampleList[[#This Row],[Date Sampled]]</f>
        <v>0</v>
      </c>
      <c r="D342">
        <f>SampleList[[#This Row],[Duration (Days)]]</f>
        <v>0</v>
      </c>
      <c r="E342">
        <f>NMRResults[[#This Row],[Ammonium Concentration (mM)]]</f>
        <v>0</v>
      </c>
      <c r="F342" t="str">
        <f>GCResults[[#This Row],[H2 (ppm)]]</f>
        <v/>
      </c>
      <c r="G342">
        <f>GCResults[[#This Row],[Total Gas Volume (mL), gas cylinder = 3785mL]]</f>
        <v>0</v>
      </c>
      <c r="H342">
        <f>GCResults[[#This Row],[Pressure on Sampling (PSI), 145PSI=1MPa]]</f>
        <v>3552.5</v>
      </c>
      <c r="I342">
        <f>pHCondMod[[#This Row],[Sample pH]]</f>
        <v>0</v>
      </c>
      <c r="J342">
        <f>pHCondMod[[#This Row],[Sample Conductivity (mS/cm)]]</f>
        <v>0</v>
      </c>
      <c r="K342">
        <f>pHCondMod[[#This Row],[Modification Description]]</f>
        <v>0</v>
      </c>
      <c r="L342" s="1">
        <f>NMRResults[[#This Row],[Date Run]]</f>
        <v>0</v>
      </c>
      <c r="M342" s="1">
        <f>ICPList[[#This Row],[Date Run]]</f>
        <v>0</v>
      </c>
      <c r="N342" s="1">
        <f>GCResults[[#This Row],[Date Run ]]</f>
        <v>0</v>
      </c>
    </row>
    <row r="343" spans="1:14" ht="14.45" x14ac:dyDescent="0.25">
      <c r="A343">
        <f>SampleList[[#This Row],[Experiment ID]]</f>
        <v>0</v>
      </c>
      <c r="B343">
        <f>SampleList[[#This Row],[Sample Description]]</f>
        <v>0</v>
      </c>
      <c r="C343" s="1">
        <f>SampleList[[#This Row],[Date Sampled]]</f>
        <v>0</v>
      </c>
      <c r="D343">
        <f>SampleList[[#This Row],[Duration (Days)]]</f>
        <v>0</v>
      </c>
      <c r="E343">
        <f>NMRResults[[#This Row],[Ammonium Concentration (mM)]]</f>
        <v>0</v>
      </c>
      <c r="F343" t="str">
        <f>GCResults[[#This Row],[H2 (ppm)]]</f>
        <v/>
      </c>
      <c r="G343">
        <f>GCResults[[#This Row],[Total Gas Volume (mL), gas cylinder = 3785mL]]</f>
        <v>0</v>
      </c>
      <c r="H343">
        <f>GCResults[[#This Row],[Pressure on Sampling (PSI), 145PSI=1MPa]]</f>
        <v>3552.5</v>
      </c>
      <c r="I343">
        <f>pHCondMod[[#This Row],[Sample pH]]</f>
        <v>0</v>
      </c>
      <c r="J343">
        <f>pHCondMod[[#This Row],[Sample Conductivity (mS/cm)]]</f>
        <v>0</v>
      </c>
      <c r="K343">
        <f>pHCondMod[[#This Row],[Modification Description]]</f>
        <v>0</v>
      </c>
      <c r="L343" s="1">
        <f>NMRResults[[#This Row],[Date Run]]</f>
        <v>0</v>
      </c>
      <c r="M343" s="1">
        <f>ICPList[[#This Row],[Date Run]]</f>
        <v>0</v>
      </c>
      <c r="N343" s="1">
        <f>GCResults[[#This Row],[Date Run ]]</f>
        <v>0</v>
      </c>
    </row>
    <row r="344" spans="1:14" ht="14.45" x14ac:dyDescent="0.25">
      <c r="A344">
        <f>SampleList[[#This Row],[Experiment ID]]</f>
        <v>0</v>
      </c>
      <c r="B344">
        <f>SampleList[[#This Row],[Sample Description]]</f>
        <v>0</v>
      </c>
      <c r="C344" s="1">
        <f>SampleList[[#This Row],[Date Sampled]]</f>
        <v>0</v>
      </c>
      <c r="D344">
        <f>SampleList[[#This Row],[Duration (Days)]]</f>
        <v>0</v>
      </c>
      <c r="E344">
        <f>NMRResults[[#This Row],[Ammonium Concentration (mM)]]</f>
        <v>0</v>
      </c>
      <c r="F344" t="str">
        <f>GCResults[[#This Row],[H2 (ppm)]]</f>
        <v/>
      </c>
      <c r="G344">
        <f>GCResults[[#This Row],[Total Gas Volume (mL), gas cylinder = 3785mL]]</f>
        <v>0</v>
      </c>
      <c r="H344">
        <f>GCResults[[#This Row],[Pressure on Sampling (PSI), 145PSI=1MPa]]</f>
        <v>3552.5</v>
      </c>
      <c r="I344">
        <f>pHCondMod[[#This Row],[Sample pH]]</f>
        <v>0</v>
      </c>
      <c r="J344">
        <f>pHCondMod[[#This Row],[Sample Conductivity (mS/cm)]]</f>
        <v>0</v>
      </c>
      <c r="K344">
        <f>pHCondMod[[#This Row],[Modification Description]]</f>
        <v>0</v>
      </c>
      <c r="L344" s="1">
        <f>NMRResults[[#This Row],[Date Run]]</f>
        <v>0</v>
      </c>
      <c r="M344" s="1">
        <f>ICPList[[#This Row],[Date Run]]</f>
        <v>0</v>
      </c>
      <c r="N344" s="1">
        <f>GCResults[[#This Row],[Date Run ]]</f>
        <v>0</v>
      </c>
    </row>
    <row r="345" spans="1:14" ht="14.45" x14ac:dyDescent="0.25">
      <c r="A345">
        <f>SampleList[[#This Row],[Experiment ID]]</f>
        <v>0</v>
      </c>
      <c r="B345">
        <f>SampleList[[#This Row],[Sample Description]]</f>
        <v>0</v>
      </c>
      <c r="C345" s="1">
        <f>SampleList[[#This Row],[Date Sampled]]</f>
        <v>0</v>
      </c>
      <c r="D345">
        <f>SampleList[[#This Row],[Duration (Days)]]</f>
        <v>0</v>
      </c>
      <c r="E345">
        <f>NMRResults[[#This Row],[Ammonium Concentration (mM)]]</f>
        <v>0</v>
      </c>
      <c r="F345" t="str">
        <f>GCResults[[#This Row],[H2 (ppm)]]</f>
        <v/>
      </c>
      <c r="G345">
        <f>GCResults[[#This Row],[Total Gas Volume (mL), gas cylinder = 3785mL]]</f>
        <v>0</v>
      </c>
      <c r="H345">
        <f>GCResults[[#This Row],[Pressure on Sampling (PSI), 145PSI=1MPa]]</f>
        <v>3552.5</v>
      </c>
      <c r="I345">
        <f>pHCondMod[[#This Row],[Sample pH]]</f>
        <v>0</v>
      </c>
      <c r="J345">
        <f>pHCondMod[[#This Row],[Sample Conductivity (mS/cm)]]</f>
        <v>0</v>
      </c>
      <c r="K345">
        <f>pHCondMod[[#This Row],[Modification Description]]</f>
        <v>0</v>
      </c>
      <c r="L345" s="1">
        <f>NMRResults[[#This Row],[Date Run]]</f>
        <v>0</v>
      </c>
      <c r="M345" s="1">
        <f>ICPList[[#This Row],[Date Run]]</f>
        <v>0</v>
      </c>
      <c r="N345" s="1">
        <f>GCResults[[#This Row],[Date Run ]]</f>
        <v>0</v>
      </c>
    </row>
    <row r="346" spans="1:14" ht="14.45" x14ac:dyDescent="0.25">
      <c r="A346">
        <f>SampleList[[#This Row],[Experiment ID]]</f>
        <v>0</v>
      </c>
      <c r="B346">
        <f>SampleList[[#This Row],[Sample Description]]</f>
        <v>0</v>
      </c>
      <c r="C346" s="1">
        <f>SampleList[[#This Row],[Date Sampled]]</f>
        <v>0</v>
      </c>
      <c r="D346">
        <f>SampleList[[#This Row],[Duration (Days)]]</f>
        <v>0</v>
      </c>
      <c r="E346">
        <f>NMRResults[[#This Row],[Ammonium Concentration (mM)]]</f>
        <v>0</v>
      </c>
      <c r="F346" t="str">
        <f>GCResults[[#This Row],[H2 (ppm)]]</f>
        <v/>
      </c>
      <c r="G346">
        <f>GCResults[[#This Row],[Total Gas Volume (mL), gas cylinder = 3785mL]]</f>
        <v>0</v>
      </c>
      <c r="H346">
        <f>GCResults[[#This Row],[Pressure on Sampling (PSI), 145PSI=1MPa]]</f>
        <v>3552.5</v>
      </c>
      <c r="I346">
        <f>pHCondMod[[#This Row],[Sample pH]]</f>
        <v>0</v>
      </c>
      <c r="J346">
        <f>pHCondMod[[#This Row],[Sample Conductivity (mS/cm)]]</f>
        <v>0</v>
      </c>
      <c r="K346">
        <f>pHCondMod[[#This Row],[Modification Description]]</f>
        <v>0</v>
      </c>
      <c r="L346" s="1">
        <f>NMRResults[[#This Row],[Date Run]]</f>
        <v>0</v>
      </c>
      <c r="M346" s="1">
        <f>ICPList[[#This Row],[Date Run]]</f>
        <v>0</v>
      </c>
      <c r="N346" s="1">
        <f>GCResults[[#This Row],[Date Run ]]</f>
        <v>0</v>
      </c>
    </row>
    <row r="347" spans="1:14" ht="14.45" x14ac:dyDescent="0.25">
      <c r="A347">
        <f>SampleList[[#This Row],[Experiment ID]]</f>
        <v>0</v>
      </c>
      <c r="B347">
        <f>SampleList[[#This Row],[Sample Description]]</f>
        <v>0</v>
      </c>
      <c r="C347" s="1">
        <f>SampleList[[#This Row],[Date Sampled]]</f>
        <v>0</v>
      </c>
      <c r="D347">
        <f>SampleList[[#This Row],[Duration (Days)]]</f>
        <v>0</v>
      </c>
      <c r="E347">
        <f>NMRResults[[#This Row],[Ammonium Concentration (mM)]]</f>
        <v>0</v>
      </c>
      <c r="F347" t="str">
        <f>GCResults[[#This Row],[H2 (ppm)]]</f>
        <v/>
      </c>
      <c r="G347">
        <f>GCResults[[#This Row],[Total Gas Volume (mL), gas cylinder = 3785mL]]</f>
        <v>0</v>
      </c>
      <c r="H347">
        <f>GCResults[[#This Row],[Pressure on Sampling (PSI), 145PSI=1MPa]]</f>
        <v>3552.5</v>
      </c>
      <c r="I347">
        <f>pHCondMod[[#This Row],[Sample pH]]</f>
        <v>0</v>
      </c>
      <c r="J347">
        <f>pHCondMod[[#This Row],[Sample Conductivity (mS/cm)]]</f>
        <v>0</v>
      </c>
      <c r="K347">
        <f>pHCondMod[[#This Row],[Modification Description]]</f>
        <v>0</v>
      </c>
      <c r="L347" s="1">
        <f>NMRResults[[#This Row],[Date Run]]</f>
        <v>0</v>
      </c>
      <c r="M347" s="1">
        <f>ICPList[[#This Row],[Date Run]]</f>
        <v>0</v>
      </c>
      <c r="N347" s="1">
        <f>GCResults[[#This Row],[Date Run ]]</f>
        <v>0</v>
      </c>
    </row>
    <row r="348" spans="1:14" ht="14.45" x14ac:dyDescent="0.25">
      <c r="A348">
        <f>SampleList[[#This Row],[Experiment ID]]</f>
        <v>0</v>
      </c>
      <c r="B348">
        <f>SampleList[[#This Row],[Sample Description]]</f>
        <v>0</v>
      </c>
      <c r="C348" s="1">
        <f>SampleList[[#This Row],[Date Sampled]]</f>
        <v>0</v>
      </c>
      <c r="D348">
        <f>SampleList[[#This Row],[Duration (Days)]]</f>
        <v>0</v>
      </c>
      <c r="E348">
        <f>NMRResults[[#This Row],[Ammonium Concentration (mM)]]</f>
        <v>0</v>
      </c>
      <c r="F348" t="str">
        <f>GCResults[[#This Row],[H2 (ppm)]]</f>
        <v/>
      </c>
      <c r="G348">
        <f>GCResults[[#This Row],[Total Gas Volume (mL), gas cylinder = 3785mL]]</f>
        <v>0</v>
      </c>
      <c r="H348">
        <f>GCResults[[#This Row],[Pressure on Sampling (PSI), 145PSI=1MPa]]</f>
        <v>3552.5</v>
      </c>
      <c r="I348">
        <f>pHCondMod[[#This Row],[Sample pH]]</f>
        <v>0</v>
      </c>
      <c r="J348">
        <f>pHCondMod[[#This Row],[Sample Conductivity (mS/cm)]]</f>
        <v>0</v>
      </c>
      <c r="K348">
        <f>pHCondMod[[#This Row],[Modification Description]]</f>
        <v>0</v>
      </c>
      <c r="L348" s="1">
        <f>NMRResults[[#This Row],[Date Run]]</f>
        <v>0</v>
      </c>
      <c r="M348" s="1">
        <f>ICPList[[#This Row],[Date Run]]</f>
        <v>0</v>
      </c>
      <c r="N348" s="1">
        <f>GCResults[[#This Row],[Date Run ]]</f>
        <v>0</v>
      </c>
    </row>
    <row r="349" spans="1:14" ht="14.45" x14ac:dyDescent="0.25">
      <c r="A349">
        <f>SampleList[[#This Row],[Experiment ID]]</f>
        <v>0</v>
      </c>
      <c r="B349">
        <f>SampleList[[#This Row],[Sample Description]]</f>
        <v>0</v>
      </c>
      <c r="C349" s="1">
        <f>SampleList[[#This Row],[Date Sampled]]</f>
        <v>0</v>
      </c>
      <c r="D349">
        <f>SampleList[[#This Row],[Duration (Days)]]</f>
        <v>0</v>
      </c>
      <c r="E349">
        <f>NMRResults[[#This Row],[Ammonium Concentration (mM)]]</f>
        <v>0</v>
      </c>
      <c r="F349" t="str">
        <f>GCResults[[#This Row],[H2 (ppm)]]</f>
        <v/>
      </c>
      <c r="G349">
        <f>GCResults[[#This Row],[Total Gas Volume (mL), gas cylinder = 3785mL]]</f>
        <v>0</v>
      </c>
      <c r="H349">
        <f>GCResults[[#This Row],[Pressure on Sampling (PSI), 145PSI=1MPa]]</f>
        <v>3552.5</v>
      </c>
      <c r="I349">
        <f>pHCondMod[[#This Row],[Sample pH]]</f>
        <v>0</v>
      </c>
      <c r="J349">
        <f>pHCondMod[[#This Row],[Sample Conductivity (mS/cm)]]</f>
        <v>0</v>
      </c>
      <c r="K349">
        <f>pHCondMod[[#This Row],[Modification Description]]</f>
        <v>0</v>
      </c>
      <c r="L349" s="1">
        <f>NMRResults[[#This Row],[Date Run]]</f>
        <v>0</v>
      </c>
      <c r="M349" s="1">
        <f>ICPList[[#This Row],[Date Run]]</f>
        <v>0</v>
      </c>
      <c r="N349" s="1">
        <f>GCResults[[#This Row],[Date Run ]]</f>
        <v>0</v>
      </c>
    </row>
    <row r="350" spans="1:14" ht="14.45" x14ac:dyDescent="0.25">
      <c r="A350">
        <f>SampleList[[#This Row],[Experiment ID]]</f>
        <v>0</v>
      </c>
      <c r="B350">
        <f>SampleList[[#This Row],[Sample Description]]</f>
        <v>0</v>
      </c>
      <c r="C350" s="1">
        <f>SampleList[[#This Row],[Date Sampled]]</f>
        <v>0</v>
      </c>
      <c r="D350">
        <f>SampleList[[#This Row],[Duration (Days)]]</f>
        <v>0</v>
      </c>
      <c r="E350">
        <f>NMRResults[[#This Row],[Ammonium Concentration (mM)]]</f>
        <v>0</v>
      </c>
      <c r="F350" t="str">
        <f>GCResults[[#This Row],[H2 (ppm)]]</f>
        <v/>
      </c>
      <c r="G350">
        <f>GCResults[[#This Row],[Total Gas Volume (mL), gas cylinder = 3785mL]]</f>
        <v>0</v>
      </c>
      <c r="H350">
        <f>GCResults[[#This Row],[Pressure on Sampling (PSI), 145PSI=1MPa]]</f>
        <v>3552.5</v>
      </c>
      <c r="I350">
        <f>pHCondMod[[#This Row],[Sample pH]]</f>
        <v>0</v>
      </c>
      <c r="J350">
        <f>pHCondMod[[#This Row],[Sample Conductivity (mS/cm)]]</f>
        <v>0</v>
      </c>
      <c r="K350">
        <f>pHCondMod[[#This Row],[Modification Description]]</f>
        <v>0</v>
      </c>
      <c r="L350" s="1">
        <f>NMRResults[[#This Row],[Date Run]]</f>
        <v>0</v>
      </c>
      <c r="M350" s="1">
        <f>ICPList[[#This Row],[Date Run]]</f>
        <v>0</v>
      </c>
      <c r="N350" s="1">
        <f>GCResults[[#This Row],[Date Run ]]</f>
        <v>0</v>
      </c>
    </row>
    <row r="351" spans="1:14" ht="14.45" x14ac:dyDescent="0.25">
      <c r="A351">
        <f>SampleList[[#This Row],[Experiment ID]]</f>
        <v>0</v>
      </c>
      <c r="B351">
        <f>SampleList[[#This Row],[Sample Description]]</f>
        <v>0</v>
      </c>
      <c r="C351" s="1">
        <f>SampleList[[#This Row],[Date Sampled]]</f>
        <v>0</v>
      </c>
      <c r="D351">
        <f>SampleList[[#This Row],[Duration (Days)]]</f>
        <v>0</v>
      </c>
      <c r="E351">
        <f>NMRResults[[#This Row],[Ammonium Concentration (mM)]]</f>
        <v>0</v>
      </c>
      <c r="F351" t="str">
        <f>GCResults[[#This Row],[H2 (ppm)]]</f>
        <v/>
      </c>
      <c r="G351">
        <f>GCResults[[#This Row],[Total Gas Volume (mL), gas cylinder = 3785mL]]</f>
        <v>0</v>
      </c>
      <c r="H351">
        <f>GCResults[[#This Row],[Pressure on Sampling (PSI), 145PSI=1MPa]]</f>
        <v>3552.5</v>
      </c>
      <c r="I351">
        <f>pHCondMod[[#This Row],[Sample pH]]</f>
        <v>0</v>
      </c>
      <c r="J351">
        <f>pHCondMod[[#This Row],[Sample Conductivity (mS/cm)]]</f>
        <v>0</v>
      </c>
      <c r="K351">
        <f>pHCondMod[[#This Row],[Modification Description]]</f>
        <v>0</v>
      </c>
      <c r="L351" s="1">
        <f>NMRResults[[#This Row],[Date Run]]</f>
        <v>0</v>
      </c>
      <c r="M351" s="1">
        <f>ICPList[[#This Row],[Date Run]]</f>
        <v>0</v>
      </c>
      <c r="N351" s="1">
        <f>GCResults[[#This Row],[Date Run ]]</f>
        <v>0</v>
      </c>
    </row>
    <row r="352" spans="1:14" ht="14.45" x14ac:dyDescent="0.25">
      <c r="A352">
        <f>SampleList[[#This Row],[Experiment ID]]</f>
        <v>0</v>
      </c>
      <c r="B352">
        <f>SampleList[[#This Row],[Sample Description]]</f>
        <v>0</v>
      </c>
      <c r="C352" s="1">
        <f>SampleList[[#This Row],[Date Sampled]]</f>
        <v>0</v>
      </c>
      <c r="D352">
        <f>SampleList[[#This Row],[Duration (Days)]]</f>
        <v>0</v>
      </c>
      <c r="E352">
        <f>NMRResults[[#This Row],[Ammonium Concentration (mM)]]</f>
        <v>0</v>
      </c>
      <c r="F352" t="str">
        <f>GCResults[[#This Row],[H2 (ppm)]]</f>
        <v/>
      </c>
      <c r="G352">
        <f>GCResults[[#This Row],[Total Gas Volume (mL), gas cylinder = 3785mL]]</f>
        <v>0</v>
      </c>
      <c r="H352">
        <f>GCResults[[#This Row],[Pressure on Sampling (PSI), 145PSI=1MPa]]</f>
        <v>3552.5</v>
      </c>
      <c r="I352">
        <f>pHCondMod[[#This Row],[Sample pH]]</f>
        <v>0</v>
      </c>
      <c r="J352">
        <f>pHCondMod[[#This Row],[Sample Conductivity (mS/cm)]]</f>
        <v>0</v>
      </c>
      <c r="K352">
        <f>pHCondMod[[#This Row],[Modification Description]]</f>
        <v>0</v>
      </c>
      <c r="L352" s="1">
        <f>NMRResults[[#This Row],[Date Run]]</f>
        <v>0</v>
      </c>
      <c r="M352" s="1">
        <f>ICPList[[#This Row],[Date Run]]</f>
        <v>0</v>
      </c>
      <c r="N352" s="1">
        <f>GCResults[[#This Row],[Date Run ]]</f>
        <v>0</v>
      </c>
    </row>
    <row r="353" spans="1:14" ht="14.45" x14ac:dyDescent="0.25">
      <c r="A353">
        <f>SampleList[[#This Row],[Experiment ID]]</f>
        <v>0</v>
      </c>
      <c r="B353">
        <f>SampleList[[#This Row],[Sample Description]]</f>
        <v>0</v>
      </c>
      <c r="C353" s="1">
        <f>SampleList[[#This Row],[Date Sampled]]</f>
        <v>0</v>
      </c>
      <c r="D353">
        <f>SampleList[[#This Row],[Duration (Days)]]</f>
        <v>0</v>
      </c>
      <c r="E353">
        <f>NMRResults[[#This Row],[Ammonium Concentration (mM)]]</f>
        <v>0</v>
      </c>
      <c r="F353" t="str">
        <f>GCResults[[#This Row],[H2 (ppm)]]</f>
        <v/>
      </c>
      <c r="G353">
        <f>GCResults[[#This Row],[Total Gas Volume (mL), gas cylinder = 3785mL]]</f>
        <v>0</v>
      </c>
      <c r="H353">
        <f>GCResults[[#This Row],[Pressure on Sampling (PSI), 145PSI=1MPa]]</f>
        <v>3552.5</v>
      </c>
      <c r="I353">
        <f>pHCondMod[[#This Row],[Sample pH]]</f>
        <v>0</v>
      </c>
      <c r="J353">
        <f>pHCondMod[[#This Row],[Sample Conductivity (mS/cm)]]</f>
        <v>0</v>
      </c>
      <c r="K353">
        <f>pHCondMod[[#This Row],[Modification Description]]</f>
        <v>0</v>
      </c>
      <c r="L353" s="1">
        <f>NMRResults[[#This Row],[Date Run]]</f>
        <v>0</v>
      </c>
      <c r="M353" s="1">
        <f>ICPList[[#This Row],[Date Run]]</f>
        <v>0</v>
      </c>
      <c r="N353" s="1">
        <f>GCResults[[#This Row],[Date Run ]]</f>
        <v>0</v>
      </c>
    </row>
    <row r="354" spans="1:14" ht="14.45" x14ac:dyDescent="0.25">
      <c r="A354">
        <f>SampleList[[#This Row],[Experiment ID]]</f>
        <v>0</v>
      </c>
      <c r="B354">
        <f>SampleList[[#This Row],[Sample Description]]</f>
        <v>0</v>
      </c>
      <c r="C354" s="1">
        <f>SampleList[[#This Row],[Date Sampled]]</f>
        <v>0</v>
      </c>
      <c r="D354">
        <f>SampleList[[#This Row],[Duration (Days)]]</f>
        <v>0</v>
      </c>
      <c r="E354">
        <f>NMRResults[[#This Row],[Ammonium Concentration (mM)]]</f>
        <v>0</v>
      </c>
      <c r="F354" t="str">
        <f>GCResults[[#This Row],[H2 (ppm)]]</f>
        <v/>
      </c>
      <c r="G354">
        <f>GCResults[[#This Row],[Total Gas Volume (mL), gas cylinder = 3785mL]]</f>
        <v>0</v>
      </c>
      <c r="H354">
        <f>GCResults[[#This Row],[Pressure on Sampling (PSI), 145PSI=1MPa]]</f>
        <v>3552.5</v>
      </c>
      <c r="I354">
        <f>pHCondMod[[#This Row],[Sample pH]]</f>
        <v>0</v>
      </c>
      <c r="J354">
        <f>pHCondMod[[#This Row],[Sample Conductivity (mS/cm)]]</f>
        <v>0</v>
      </c>
      <c r="K354">
        <f>pHCondMod[[#This Row],[Modification Description]]</f>
        <v>0</v>
      </c>
      <c r="L354" s="1">
        <f>NMRResults[[#This Row],[Date Run]]</f>
        <v>0</v>
      </c>
      <c r="M354" s="1">
        <f>ICPList[[#This Row],[Date Run]]</f>
        <v>0</v>
      </c>
      <c r="N354" s="1">
        <f>GCResults[[#This Row],[Date Run ]]</f>
        <v>0</v>
      </c>
    </row>
    <row r="355" spans="1:14" ht="14.45" x14ac:dyDescent="0.25">
      <c r="A355">
        <f>SampleList[[#This Row],[Experiment ID]]</f>
        <v>0</v>
      </c>
      <c r="B355">
        <f>SampleList[[#This Row],[Sample Description]]</f>
        <v>0</v>
      </c>
      <c r="C355" s="1">
        <f>SampleList[[#This Row],[Date Sampled]]</f>
        <v>0</v>
      </c>
      <c r="D355">
        <f>SampleList[[#This Row],[Duration (Days)]]</f>
        <v>0</v>
      </c>
      <c r="E355">
        <f>NMRResults[[#This Row],[Ammonium Concentration (mM)]]</f>
        <v>0</v>
      </c>
      <c r="F355" t="str">
        <f>GCResults[[#This Row],[H2 (ppm)]]</f>
        <v/>
      </c>
      <c r="G355">
        <f>GCResults[[#This Row],[Total Gas Volume (mL), gas cylinder = 3785mL]]</f>
        <v>0</v>
      </c>
      <c r="H355">
        <f>GCResults[[#This Row],[Pressure on Sampling (PSI), 145PSI=1MPa]]</f>
        <v>3552.5</v>
      </c>
      <c r="I355">
        <f>pHCondMod[[#This Row],[Sample pH]]</f>
        <v>0</v>
      </c>
      <c r="J355">
        <f>pHCondMod[[#This Row],[Sample Conductivity (mS/cm)]]</f>
        <v>0</v>
      </c>
      <c r="K355">
        <f>pHCondMod[[#This Row],[Modification Description]]</f>
        <v>0</v>
      </c>
      <c r="L355" s="1">
        <f>NMRResults[[#This Row],[Date Run]]</f>
        <v>0</v>
      </c>
      <c r="M355" s="1">
        <f>ICPList[[#This Row],[Date Run]]</f>
        <v>0</v>
      </c>
      <c r="N355" s="1">
        <f>GCResults[[#This Row],[Date Run ]]</f>
        <v>0</v>
      </c>
    </row>
    <row r="356" spans="1:14" ht="14.45" x14ac:dyDescent="0.25">
      <c r="A356">
        <f>SampleList[[#This Row],[Experiment ID]]</f>
        <v>0</v>
      </c>
      <c r="B356">
        <f>SampleList[[#This Row],[Sample Description]]</f>
        <v>0</v>
      </c>
      <c r="C356" s="1">
        <f>SampleList[[#This Row],[Date Sampled]]</f>
        <v>0</v>
      </c>
      <c r="D356">
        <f>SampleList[[#This Row],[Duration (Days)]]</f>
        <v>0</v>
      </c>
      <c r="E356">
        <f>NMRResults[[#This Row],[Ammonium Concentration (mM)]]</f>
        <v>0</v>
      </c>
      <c r="F356" t="str">
        <f>GCResults[[#This Row],[H2 (ppm)]]</f>
        <v/>
      </c>
      <c r="G356">
        <f>GCResults[[#This Row],[Total Gas Volume (mL), gas cylinder = 3785mL]]</f>
        <v>0</v>
      </c>
      <c r="H356">
        <f>GCResults[[#This Row],[Pressure on Sampling (PSI), 145PSI=1MPa]]</f>
        <v>3552.5</v>
      </c>
      <c r="I356">
        <f>pHCondMod[[#This Row],[Sample pH]]</f>
        <v>0</v>
      </c>
      <c r="J356">
        <f>pHCondMod[[#This Row],[Sample Conductivity (mS/cm)]]</f>
        <v>0</v>
      </c>
      <c r="K356">
        <f>pHCondMod[[#This Row],[Modification Description]]</f>
        <v>0</v>
      </c>
      <c r="L356" s="1">
        <f>NMRResults[[#This Row],[Date Run]]</f>
        <v>0</v>
      </c>
      <c r="M356" s="1">
        <f>ICPList[[#This Row],[Date Run]]</f>
        <v>0</v>
      </c>
      <c r="N356" s="1">
        <f>GCResults[[#This Row],[Date Run ]]</f>
        <v>0</v>
      </c>
    </row>
    <row r="357" spans="1:14" ht="14.45" x14ac:dyDescent="0.25">
      <c r="A357">
        <f>SampleList[[#This Row],[Experiment ID]]</f>
        <v>0</v>
      </c>
      <c r="B357">
        <f>SampleList[[#This Row],[Sample Description]]</f>
        <v>0</v>
      </c>
      <c r="C357" s="1">
        <f>SampleList[[#This Row],[Date Sampled]]</f>
        <v>0</v>
      </c>
      <c r="D357">
        <f>SampleList[[#This Row],[Duration (Days)]]</f>
        <v>0</v>
      </c>
      <c r="E357">
        <f>NMRResults[[#This Row],[Ammonium Concentration (mM)]]</f>
        <v>0</v>
      </c>
      <c r="F357" t="str">
        <f>GCResults[[#This Row],[H2 (ppm)]]</f>
        <v/>
      </c>
      <c r="G357">
        <f>GCResults[[#This Row],[Total Gas Volume (mL), gas cylinder = 3785mL]]</f>
        <v>0</v>
      </c>
      <c r="H357">
        <f>GCResults[[#This Row],[Pressure on Sampling (PSI), 145PSI=1MPa]]</f>
        <v>3552.5</v>
      </c>
      <c r="I357">
        <f>pHCondMod[[#This Row],[Sample pH]]</f>
        <v>0</v>
      </c>
      <c r="J357">
        <f>pHCondMod[[#This Row],[Sample Conductivity (mS/cm)]]</f>
        <v>0</v>
      </c>
      <c r="K357">
        <f>pHCondMod[[#This Row],[Modification Description]]</f>
        <v>0</v>
      </c>
      <c r="L357" s="1">
        <f>NMRResults[[#This Row],[Date Run]]</f>
        <v>0</v>
      </c>
      <c r="M357" s="1">
        <f>ICPList[[#This Row],[Date Run]]</f>
        <v>0</v>
      </c>
      <c r="N357" s="1">
        <f>GCResults[[#This Row],[Date Run ]]</f>
        <v>0</v>
      </c>
    </row>
    <row r="358" spans="1:14" ht="14.45" x14ac:dyDescent="0.25">
      <c r="A358">
        <f>SampleList[[#This Row],[Experiment ID]]</f>
        <v>0</v>
      </c>
      <c r="B358">
        <f>SampleList[[#This Row],[Sample Description]]</f>
        <v>0</v>
      </c>
      <c r="C358" s="1">
        <f>SampleList[[#This Row],[Date Sampled]]</f>
        <v>0</v>
      </c>
      <c r="D358">
        <f>SampleList[[#This Row],[Duration (Days)]]</f>
        <v>0</v>
      </c>
      <c r="E358">
        <f>NMRResults[[#This Row],[Ammonium Concentration (mM)]]</f>
        <v>0</v>
      </c>
      <c r="F358" t="str">
        <f>GCResults[[#This Row],[H2 (ppm)]]</f>
        <v/>
      </c>
      <c r="G358">
        <f>GCResults[[#This Row],[Total Gas Volume (mL), gas cylinder = 3785mL]]</f>
        <v>0</v>
      </c>
      <c r="H358">
        <f>GCResults[[#This Row],[Pressure on Sampling (PSI), 145PSI=1MPa]]</f>
        <v>3552.5</v>
      </c>
      <c r="I358">
        <f>pHCondMod[[#This Row],[Sample pH]]</f>
        <v>0</v>
      </c>
      <c r="J358">
        <f>pHCondMod[[#This Row],[Sample Conductivity (mS/cm)]]</f>
        <v>0</v>
      </c>
      <c r="K358">
        <f>pHCondMod[[#This Row],[Modification Description]]</f>
        <v>0</v>
      </c>
      <c r="L358" s="1">
        <f>NMRResults[[#This Row],[Date Run]]</f>
        <v>0</v>
      </c>
      <c r="M358" s="1">
        <f>ICPList[[#This Row],[Date Run]]</f>
        <v>0</v>
      </c>
      <c r="N358" s="1">
        <f>GCResults[[#This Row],[Date Run ]]</f>
        <v>0</v>
      </c>
    </row>
    <row r="359" spans="1:14" ht="14.45" x14ac:dyDescent="0.25">
      <c r="A359">
        <f>SampleList[[#This Row],[Experiment ID]]</f>
        <v>0</v>
      </c>
      <c r="B359">
        <f>SampleList[[#This Row],[Sample Description]]</f>
        <v>0</v>
      </c>
      <c r="C359" s="1">
        <f>SampleList[[#This Row],[Date Sampled]]</f>
        <v>0</v>
      </c>
      <c r="D359">
        <f>SampleList[[#This Row],[Duration (Days)]]</f>
        <v>0</v>
      </c>
      <c r="E359">
        <f>NMRResults[[#This Row],[Ammonium Concentration (mM)]]</f>
        <v>0</v>
      </c>
      <c r="F359" t="str">
        <f>GCResults[[#This Row],[H2 (ppm)]]</f>
        <v/>
      </c>
      <c r="G359">
        <f>GCResults[[#This Row],[Total Gas Volume (mL), gas cylinder = 3785mL]]</f>
        <v>0</v>
      </c>
      <c r="H359">
        <f>GCResults[[#This Row],[Pressure on Sampling (PSI), 145PSI=1MPa]]</f>
        <v>3552.5</v>
      </c>
      <c r="I359">
        <f>pHCondMod[[#This Row],[Sample pH]]</f>
        <v>0</v>
      </c>
      <c r="J359">
        <f>pHCondMod[[#This Row],[Sample Conductivity (mS/cm)]]</f>
        <v>0</v>
      </c>
      <c r="K359">
        <f>pHCondMod[[#This Row],[Modification Description]]</f>
        <v>0</v>
      </c>
      <c r="L359" s="1">
        <f>NMRResults[[#This Row],[Date Run]]</f>
        <v>0</v>
      </c>
      <c r="M359" s="1">
        <f>ICPList[[#This Row],[Date Run]]</f>
        <v>0</v>
      </c>
      <c r="N359" s="1">
        <f>GCResults[[#This Row],[Date Run ]]</f>
        <v>0</v>
      </c>
    </row>
    <row r="360" spans="1:14" ht="14.45" x14ac:dyDescent="0.25">
      <c r="A360">
        <f>SampleList[[#This Row],[Experiment ID]]</f>
        <v>0</v>
      </c>
      <c r="B360">
        <f>SampleList[[#This Row],[Sample Description]]</f>
        <v>0</v>
      </c>
      <c r="C360" s="1">
        <f>SampleList[[#This Row],[Date Sampled]]</f>
        <v>0</v>
      </c>
      <c r="D360">
        <f>SampleList[[#This Row],[Duration (Days)]]</f>
        <v>0</v>
      </c>
      <c r="E360">
        <f>NMRResults[[#This Row],[Ammonium Concentration (mM)]]</f>
        <v>0</v>
      </c>
      <c r="F360" t="str">
        <f>GCResults[[#This Row],[H2 (ppm)]]</f>
        <v/>
      </c>
      <c r="G360">
        <f>GCResults[[#This Row],[Total Gas Volume (mL), gas cylinder = 3785mL]]</f>
        <v>0</v>
      </c>
      <c r="H360">
        <f>GCResults[[#This Row],[Pressure on Sampling (PSI), 145PSI=1MPa]]</f>
        <v>3552.5</v>
      </c>
      <c r="I360">
        <f>pHCondMod[[#This Row],[Sample pH]]</f>
        <v>0</v>
      </c>
      <c r="J360">
        <f>pHCondMod[[#This Row],[Sample Conductivity (mS/cm)]]</f>
        <v>0</v>
      </c>
      <c r="K360">
        <f>pHCondMod[[#This Row],[Modification Description]]</f>
        <v>0</v>
      </c>
      <c r="L360" s="1">
        <f>NMRResults[[#This Row],[Date Run]]</f>
        <v>0</v>
      </c>
      <c r="M360" s="1">
        <f>ICPList[[#This Row],[Date Run]]</f>
        <v>0</v>
      </c>
      <c r="N360" s="1">
        <f>GCResults[[#This Row],[Date Run ]]</f>
        <v>0</v>
      </c>
    </row>
    <row r="361" spans="1:14" ht="14.45" x14ac:dyDescent="0.25">
      <c r="A361">
        <f>SampleList[[#This Row],[Experiment ID]]</f>
        <v>0</v>
      </c>
      <c r="B361">
        <f>SampleList[[#This Row],[Sample Description]]</f>
        <v>0</v>
      </c>
      <c r="C361" s="1">
        <f>SampleList[[#This Row],[Date Sampled]]</f>
        <v>0</v>
      </c>
      <c r="D361">
        <f>SampleList[[#This Row],[Duration (Days)]]</f>
        <v>0</v>
      </c>
      <c r="E361">
        <f>NMRResults[[#This Row],[Ammonium Concentration (mM)]]</f>
        <v>0</v>
      </c>
      <c r="F361" t="str">
        <f>GCResults[[#This Row],[H2 (ppm)]]</f>
        <v/>
      </c>
      <c r="G361">
        <f>GCResults[[#This Row],[Total Gas Volume (mL), gas cylinder = 3785mL]]</f>
        <v>0</v>
      </c>
      <c r="H361">
        <f>GCResults[[#This Row],[Pressure on Sampling (PSI), 145PSI=1MPa]]</f>
        <v>3552.5</v>
      </c>
      <c r="I361">
        <f>pHCondMod[[#This Row],[Sample pH]]</f>
        <v>0</v>
      </c>
      <c r="J361">
        <f>pHCondMod[[#This Row],[Sample Conductivity (mS/cm)]]</f>
        <v>0</v>
      </c>
      <c r="K361">
        <f>pHCondMod[[#This Row],[Modification Description]]</f>
        <v>0</v>
      </c>
      <c r="L361" s="1">
        <f>NMRResults[[#This Row],[Date Run]]</f>
        <v>0</v>
      </c>
      <c r="M361" s="1">
        <f>ICPList[[#This Row],[Date Run]]</f>
        <v>0</v>
      </c>
      <c r="N361" s="1">
        <f>GCResults[[#This Row],[Date Run ]]</f>
        <v>0</v>
      </c>
    </row>
    <row r="362" spans="1:14" ht="14.45" x14ac:dyDescent="0.25">
      <c r="A362">
        <f>SampleList[[#This Row],[Experiment ID]]</f>
        <v>0</v>
      </c>
      <c r="B362">
        <f>SampleList[[#This Row],[Sample Description]]</f>
        <v>0</v>
      </c>
      <c r="C362" s="1">
        <f>SampleList[[#This Row],[Date Sampled]]</f>
        <v>0</v>
      </c>
      <c r="D362">
        <f>SampleList[[#This Row],[Duration (Days)]]</f>
        <v>0</v>
      </c>
      <c r="E362">
        <f>NMRResults[[#This Row],[Ammonium Concentration (mM)]]</f>
        <v>0</v>
      </c>
      <c r="F362" t="str">
        <f>GCResults[[#This Row],[H2 (ppm)]]</f>
        <v/>
      </c>
      <c r="G362">
        <f>GCResults[[#This Row],[Total Gas Volume (mL), gas cylinder = 3785mL]]</f>
        <v>0</v>
      </c>
      <c r="H362">
        <f>GCResults[[#This Row],[Pressure on Sampling (PSI), 145PSI=1MPa]]</f>
        <v>3552.5</v>
      </c>
      <c r="I362">
        <f>pHCondMod[[#This Row],[Sample pH]]</f>
        <v>0</v>
      </c>
      <c r="J362">
        <f>pHCondMod[[#This Row],[Sample Conductivity (mS/cm)]]</f>
        <v>0</v>
      </c>
      <c r="K362">
        <f>pHCondMod[[#This Row],[Modification Description]]</f>
        <v>0</v>
      </c>
      <c r="L362" s="1">
        <f>NMRResults[[#This Row],[Date Run]]</f>
        <v>0</v>
      </c>
      <c r="M362" s="1">
        <f>ICPList[[#This Row],[Date Run]]</f>
        <v>0</v>
      </c>
      <c r="N362" s="1">
        <f>GCResults[[#This Row],[Date Run ]]</f>
        <v>0</v>
      </c>
    </row>
    <row r="363" spans="1:14" ht="14.45" x14ac:dyDescent="0.25">
      <c r="A363">
        <f>SampleList[[#This Row],[Experiment ID]]</f>
        <v>0</v>
      </c>
      <c r="B363">
        <f>SampleList[[#This Row],[Sample Description]]</f>
        <v>0</v>
      </c>
      <c r="C363" s="1">
        <f>SampleList[[#This Row],[Date Sampled]]</f>
        <v>0</v>
      </c>
      <c r="D363">
        <f>SampleList[[#This Row],[Duration (Days)]]</f>
        <v>0</v>
      </c>
      <c r="E363">
        <f>NMRResults[[#This Row],[Ammonium Concentration (mM)]]</f>
        <v>0</v>
      </c>
      <c r="F363" t="str">
        <f>GCResults[[#This Row],[H2 (ppm)]]</f>
        <v/>
      </c>
      <c r="G363">
        <f>GCResults[[#This Row],[Total Gas Volume (mL), gas cylinder = 3785mL]]</f>
        <v>0</v>
      </c>
      <c r="H363">
        <f>GCResults[[#This Row],[Pressure on Sampling (PSI), 145PSI=1MPa]]</f>
        <v>3552.5</v>
      </c>
      <c r="I363">
        <f>pHCondMod[[#This Row],[Sample pH]]</f>
        <v>0</v>
      </c>
      <c r="J363">
        <f>pHCondMod[[#This Row],[Sample Conductivity (mS/cm)]]</f>
        <v>0</v>
      </c>
      <c r="K363">
        <f>pHCondMod[[#This Row],[Modification Description]]</f>
        <v>0</v>
      </c>
      <c r="L363" s="1">
        <f>NMRResults[[#This Row],[Date Run]]</f>
        <v>0</v>
      </c>
      <c r="M363" s="1">
        <f>ICPList[[#This Row],[Date Run]]</f>
        <v>0</v>
      </c>
      <c r="N363" s="1">
        <f>GCResults[[#This Row],[Date Run ]]</f>
        <v>0</v>
      </c>
    </row>
    <row r="364" spans="1:14" ht="14.45" x14ac:dyDescent="0.25">
      <c r="A364">
        <f>SampleList[[#This Row],[Experiment ID]]</f>
        <v>0</v>
      </c>
      <c r="B364">
        <f>SampleList[[#This Row],[Sample Description]]</f>
        <v>0</v>
      </c>
      <c r="C364" s="1">
        <f>SampleList[[#This Row],[Date Sampled]]</f>
        <v>0</v>
      </c>
      <c r="D364">
        <f>SampleList[[#This Row],[Duration (Days)]]</f>
        <v>0</v>
      </c>
      <c r="E364">
        <f>NMRResults[[#This Row],[Ammonium Concentration (mM)]]</f>
        <v>0</v>
      </c>
      <c r="F364" t="str">
        <f>GCResults[[#This Row],[H2 (ppm)]]</f>
        <v/>
      </c>
      <c r="G364">
        <f>GCResults[[#This Row],[Total Gas Volume (mL), gas cylinder = 3785mL]]</f>
        <v>0</v>
      </c>
      <c r="H364">
        <f>GCResults[[#This Row],[Pressure on Sampling (PSI), 145PSI=1MPa]]</f>
        <v>3552.5</v>
      </c>
      <c r="I364">
        <f>pHCondMod[[#This Row],[Sample pH]]</f>
        <v>0</v>
      </c>
      <c r="J364">
        <f>pHCondMod[[#This Row],[Sample Conductivity (mS/cm)]]</f>
        <v>0</v>
      </c>
      <c r="K364">
        <f>pHCondMod[[#This Row],[Modification Description]]</f>
        <v>0</v>
      </c>
      <c r="L364" s="1">
        <f>NMRResults[[#This Row],[Date Run]]</f>
        <v>0</v>
      </c>
      <c r="M364" s="1">
        <f>ICPList[[#This Row],[Date Run]]</f>
        <v>0</v>
      </c>
      <c r="N364" s="1">
        <f>GCResults[[#This Row],[Date Run ]]</f>
        <v>0</v>
      </c>
    </row>
    <row r="365" spans="1:14" ht="14.45" x14ac:dyDescent="0.25">
      <c r="A365">
        <f>SampleList[[#This Row],[Experiment ID]]</f>
        <v>0</v>
      </c>
      <c r="B365">
        <f>SampleList[[#This Row],[Sample Description]]</f>
        <v>0</v>
      </c>
      <c r="C365" s="1">
        <f>SampleList[[#This Row],[Date Sampled]]</f>
        <v>0</v>
      </c>
      <c r="D365">
        <f>SampleList[[#This Row],[Duration (Days)]]</f>
        <v>0</v>
      </c>
      <c r="E365">
        <f>NMRResults[[#This Row],[Ammonium Concentration (mM)]]</f>
        <v>0</v>
      </c>
      <c r="F365" t="str">
        <f>GCResults[[#This Row],[H2 (ppm)]]</f>
        <v/>
      </c>
      <c r="G365">
        <f>GCResults[[#This Row],[Total Gas Volume (mL), gas cylinder = 3785mL]]</f>
        <v>0</v>
      </c>
      <c r="H365">
        <f>GCResults[[#This Row],[Pressure on Sampling (PSI), 145PSI=1MPa]]</f>
        <v>3552.5</v>
      </c>
      <c r="I365">
        <f>pHCondMod[[#This Row],[Sample pH]]</f>
        <v>0</v>
      </c>
      <c r="J365">
        <f>pHCondMod[[#This Row],[Sample Conductivity (mS/cm)]]</f>
        <v>0</v>
      </c>
      <c r="K365">
        <f>pHCondMod[[#This Row],[Modification Description]]</f>
        <v>0</v>
      </c>
      <c r="L365" s="1">
        <f>NMRResults[[#This Row],[Date Run]]</f>
        <v>0</v>
      </c>
      <c r="M365" s="1">
        <f>ICPList[[#This Row],[Date Run]]</f>
        <v>0</v>
      </c>
      <c r="N365" s="1">
        <f>GCResults[[#This Row],[Date Run ]]</f>
        <v>0</v>
      </c>
    </row>
    <row r="366" spans="1:14" ht="14.45" x14ac:dyDescent="0.25">
      <c r="A366">
        <f>SampleList[[#This Row],[Experiment ID]]</f>
        <v>0</v>
      </c>
      <c r="B366">
        <f>SampleList[[#This Row],[Sample Description]]</f>
        <v>0</v>
      </c>
      <c r="C366" s="1">
        <f>SampleList[[#This Row],[Date Sampled]]</f>
        <v>0</v>
      </c>
      <c r="D366">
        <f>SampleList[[#This Row],[Duration (Days)]]</f>
        <v>0</v>
      </c>
      <c r="E366">
        <f>NMRResults[[#This Row],[Ammonium Concentration (mM)]]</f>
        <v>0</v>
      </c>
      <c r="F366" t="str">
        <f>GCResults[[#This Row],[H2 (ppm)]]</f>
        <v/>
      </c>
      <c r="G366">
        <f>GCResults[[#This Row],[Total Gas Volume (mL), gas cylinder = 3785mL]]</f>
        <v>0</v>
      </c>
      <c r="H366">
        <f>GCResults[[#This Row],[Pressure on Sampling (PSI), 145PSI=1MPa]]</f>
        <v>3552.5</v>
      </c>
      <c r="I366">
        <f>pHCondMod[[#This Row],[Sample pH]]</f>
        <v>0</v>
      </c>
      <c r="J366">
        <f>pHCondMod[[#This Row],[Sample Conductivity (mS/cm)]]</f>
        <v>0</v>
      </c>
      <c r="K366">
        <f>pHCondMod[[#This Row],[Modification Description]]</f>
        <v>0</v>
      </c>
      <c r="L366" s="1">
        <f>NMRResults[[#This Row],[Date Run]]</f>
        <v>0</v>
      </c>
      <c r="M366" s="1">
        <f>ICPList[[#This Row],[Date Run]]</f>
        <v>0</v>
      </c>
      <c r="N366" s="1">
        <f>GCResults[[#This Row],[Date Run ]]</f>
        <v>0</v>
      </c>
    </row>
    <row r="367" spans="1:14" ht="14.45" x14ac:dyDescent="0.25">
      <c r="A367">
        <f>SampleList[[#This Row],[Experiment ID]]</f>
        <v>0</v>
      </c>
      <c r="B367">
        <f>SampleList[[#This Row],[Sample Description]]</f>
        <v>0</v>
      </c>
      <c r="C367" s="1">
        <f>SampleList[[#This Row],[Date Sampled]]</f>
        <v>0</v>
      </c>
      <c r="D367">
        <f>SampleList[[#This Row],[Duration (Days)]]</f>
        <v>0</v>
      </c>
      <c r="E367">
        <f>NMRResults[[#This Row],[Ammonium Concentration (mM)]]</f>
        <v>0</v>
      </c>
      <c r="F367" t="str">
        <f>GCResults[[#This Row],[H2 (ppm)]]</f>
        <v/>
      </c>
      <c r="G367">
        <f>GCResults[[#This Row],[Total Gas Volume (mL), gas cylinder = 3785mL]]</f>
        <v>0</v>
      </c>
      <c r="H367">
        <f>GCResults[[#This Row],[Pressure on Sampling (PSI), 145PSI=1MPa]]</f>
        <v>3552.5</v>
      </c>
      <c r="I367">
        <f>pHCondMod[[#This Row],[Sample pH]]</f>
        <v>0</v>
      </c>
      <c r="J367">
        <f>pHCondMod[[#This Row],[Sample Conductivity (mS/cm)]]</f>
        <v>0</v>
      </c>
      <c r="K367">
        <f>pHCondMod[[#This Row],[Modification Description]]</f>
        <v>0</v>
      </c>
      <c r="L367" s="1">
        <f>NMRResults[[#This Row],[Date Run]]</f>
        <v>0</v>
      </c>
      <c r="M367" s="1">
        <f>ICPList[[#This Row],[Date Run]]</f>
        <v>0</v>
      </c>
      <c r="N367" s="1">
        <f>GCResults[[#This Row],[Date Run ]]</f>
        <v>0</v>
      </c>
    </row>
    <row r="368" spans="1:14" ht="14.45" x14ac:dyDescent="0.25">
      <c r="A368">
        <f>SampleList[[#This Row],[Experiment ID]]</f>
        <v>0</v>
      </c>
      <c r="B368">
        <f>SampleList[[#This Row],[Sample Description]]</f>
        <v>0</v>
      </c>
      <c r="C368" s="1">
        <f>SampleList[[#This Row],[Date Sampled]]</f>
        <v>0</v>
      </c>
      <c r="D368">
        <f>SampleList[[#This Row],[Duration (Days)]]</f>
        <v>0</v>
      </c>
      <c r="E368">
        <f>NMRResults[[#This Row],[Ammonium Concentration (mM)]]</f>
        <v>0</v>
      </c>
      <c r="F368" t="str">
        <f>GCResults[[#This Row],[H2 (ppm)]]</f>
        <v/>
      </c>
      <c r="G368">
        <f>GCResults[[#This Row],[Total Gas Volume (mL), gas cylinder = 3785mL]]</f>
        <v>0</v>
      </c>
      <c r="H368">
        <f>GCResults[[#This Row],[Pressure on Sampling (PSI), 145PSI=1MPa]]</f>
        <v>3552.5</v>
      </c>
      <c r="I368">
        <f>pHCondMod[[#This Row],[Sample pH]]</f>
        <v>0</v>
      </c>
      <c r="J368">
        <f>pHCondMod[[#This Row],[Sample Conductivity (mS/cm)]]</f>
        <v>0</v>
      </c>
      <c r="K368">
        <f>pHCondMod[[#This Row],[Modification Description]]</f>
        <v>0</v>
      </c>
      <c r="L368" s="1">
        <f>NMRResults[[#This Row],[Date Run]]</f>
        <v>0</v>
      </c>
      <c r="M368" s="1">
        <f>ICPList[[#This Row],[Date Run]]</f>
        <v>0</v>
      </c>
      <c r="N368" s="1">
        <f>GCResults[[#This Row],[Date Run ]]</f>
        <v>0</v>
      </c>
    </row>
    <row r="369" spans="1:14" ht="14.45" x14ac:dyDescent="0.25">
      <c r="A369">
        <f>SampleList[[#This Row],[Experiment ID]]</f>
        <v>0</v>
      </c>
      <c r="B369">
        <f>SampleList[[#This Row],[Sample Description]]</f>
        <v>0</v>
      </c>
      <c r="C369" s="1">
        <f>SampleList[[#This Row],[Date Sampled]]</f>
        <v>0</v>
      </c>
      <c r="D369">
        <f>SampleList[[#This Row],[Duration (Days)]]</f>
        <v>0</v>
      </c>
      <c r="E369">
        <f>NMRResults[[#This Row],[Ammonium Concentration (mM)]]</f>
        <v>0</v>
      </c>
      <c r="F369" t="str">
        <f>GCResults[[#This Row],[H2 (ppm)]]</f>
        <v/>
      </c>
      <c r="G369">
        <f>GCResults[[#This Row],[Total Gas Volume (mL), gas cylinder = 3785mL]]</f>
        <v>0</v>
      </c>
      <c r="H369">
        <f>GCResults[[#This Row],[Pressure on Sampling (PSI), 145PSI=1MPa]]</f>
        <v>3552.5</v>
      </c>
      <c r="I369">
        <f>pHCondMod[[#This Row],[Sample pH]]</f>
        <v>0</v>
      </c>
      <c r="J369">
        <f>pHCondMod[[#This Row],[Sample Conductivity (mS/cm)]]</f>
        <v>0</v>
      </c>
      <c r="K369">
        <f>pHCondMod[[#This Row],[Modification Description]]</f>
        <v>0</v>
      </c>
      <c r="L369" s="1">
        <f>NMRResults[[#This Row],[Date Run]]</f>
        <v>0</v>
      </c>
      <c r="M369" s="1">
        <f>ICPList[[#This Row],[Date Run]]</f>
        <v>0</v>
      </c>
      <c r="N369" s="1">
        <f>GCResults[[#This Row],[Date Run ]]</f>
        <v>0</v>
      </c>
    </row>
    <row r="370" spans="1:14" ht="14.45" x14ac:dyDescent="0.25">
      <c r="A370">
        <f>SampleList[[#This Row],[Experiment ID]]</f>
        <v>0</v>
      </c>
      <c r="B370">
        <f>SampleList[[#This Row],[Sample Description]]</f>
        <v>0</v>
      </c>
      <c r="C370" s="1">
        <f>SampleList[[#This Row],[Date Sampled]]</f>
        <v>0</v>
      </c>
      <c r="D370">
        <f>SampleList[[#This Row],[Duration (Days)]]</f>
        <v>0</v>
      </c>
      <c r="E370">
        <f>NMRResults[[#This Row],[Ammonium Concentration (mM)]]</f>
        <v>0</v>
      </c>
      <c r="F370" t="str">
        <f>GCResults[[#This Row],[H2 (ppm)]]</f>
        <v/>
      </c>
      <c r="G370">
        <f>GCResults[[#This Row],[Total Gas Volume (mL), gas cylinder = 3785mL]]</f>
        <v>0</v>
      </c>
      <c r="H370">
        <f>GCResults[[#This Row],[Pressure on Sampling (PSI), 145PSI=1MPa]]</f>
        <v>3552.5</v>
      </c>
      <c r="I370">
        <f>pHCondMod[[#This Row],[Sample pH]]</f>
        <v>0</v>
      </c>
      <c r="J370">
        <f>pHCondMod[[#This Row],[Sample Conductivity (mS/cm)]]</f>
        <v>0</v>
      </c>
      <c r="K370">
        <f>pHCondMod[[#This Row],[Modification Description]]</f>
        <v>0</v>
      </c>
      <c r="L370" s="1">
        <f>NMRResults[[#This Row],[Date Run]]</f>
        <v>0</v>
      </c>
      <c r="M370" s="1">
        <f>ICPList[[#This Row],[Date Run]]</f>
        <v>0</v>
      </c>
      <c r="N370" s="1">
        <f>GCResults[[#This Row],[Date Run ]]</f>
        <v>0</v>
      </c>
    </row>
    <row r="371" spans="1:14" ht="14.45" x14ac:dyDescent="0.25">
      <c r="A371">
        <f>SampleList[[#This Row],[Experiment ID]]</f>
        <v>0</v>
      </c>
      <c r="B371">
        <f>SampleList[[#This Row],[Sample Description]]</f>
        <v>0</v>
      </c>
      <c r="C371" s="1">
        <f>SampleList[[#This Row],[Date Sampled]]</f>
        <v>0</v>
      </c>
      <c r="D371">
        <f>SampleList[[#This Row],[Duration (Days)]]</f>
        <v>0</v>
      </c>
      <c r="E371">
        <f>NMRResults[[#This Row],[Ammonium Concentration (mM)]]</f>
        <v>0</v>
      </c>
      <c r="F371" t="str">
        <f>GCResults[[#This Row],[H2 (ppm)]]</f>
        <v/>
      </c>
      <c r="G371">
        <f>GCResults[[#This Row],[Total Gas Volume (mL), gas cylinder = 3785mL]]</f>
        <v>0</v>
      </c>
      <c r="H371">
        <f>GCResults[[#This Row],[Pressure on Sampling (PSI), 145PSI=1MPa]]</f>
        <v>3552.5</v>
      </c>
      <c r="I371">
        <f>pHCondMod[[#This Row],[Sample pH]]</f>
        <v>0</v>
      </c>
      <c r="J371">
        <f>pHCondMod[[#This Row],[Sample Conductivity (mS/cm)]]</f>
        <v>0</v>
      </c>
      <c r="K371">
        <f>pHCondMod[[#This Row],[Modification Description]]</f>
        <v>0</v>
      </c>
      <c r="L371" s="1">
        <f>NMRResults[[#This Row],[Date Run]]</f>
        <v>0</v>
      </c>
      <c r="M371" s="1">
        <f>ICPList[[#This Row],[Date Run]]</f>
        <v>0</v>
      </c>
      <c r="N371" s="1">
        <f>GCResults[[#This Row],[Date Run ]]</f>
        <v>0</v>
      </c>
    </row>
    <row r="372" spans="1:14" ht="14.45" x14ac:dyDescent="0.25">
      <c r="A372">
        <f>SampleList[[#This Row],[Experiment ID]]</f>
        <v>0</v>
      </c>
      <c r="B372">
        <f>SampleList[[#This Row],[Sample Description]]</f>
        <v>0</v>
      </c>
      <c r="C372" s="1">
        <f>SampleList[[#This Row],[Date Sampled]]</f>
        <v>0</v>
      </c>
      <c r="D372">
        <f>SampleList[[#This Row],[Duration (Days)]]</f>
        <v>0</v>
      </c>
      <c r="E372">
        <f>NMRResults[[#This Row],[Ammonium Concentration (mM)]]</f>
        <v>0</v>
      </c>
      <c r="F372" t="str">
        <f>GCResults[[#This Row],[H2 (ppm)]]</f>
        <v/>
      </c>
      <c r="G372">
        <f>GCResults[[#This Row],[Total Gas Volume (mL), gas cylinder = 3785mL]]</f>
        <v>0</v>
      </c>
      <c r="H372">
        <f>GCResults[[#This Row],[Pressure on Sampling (PSI), 145PSI=1MPa]]</f>
        <v>3552.5</v>
      </c>
      <c r="I372">
        <f>pHCondMod[[#This Row],[Sample pH]]</f>
        <v>0</v>
      </c>
      <c r="J372">
        <f>pHCondMod[[#This Row],[Sample Conductivity (mS/cm)]]</f>
        <v>0</v>
      </c>
      <c r="K372">
        <f>pHCondMod[[#This Row],[Modification Description]]</f>
        <v>0</v>
      </c>
      <c r="L372" s="1">
        <f>NMRResults[[#This Row],[Date Run]]</f>
        <v>0</v>
      </c>
      <c r="M372" s="1">
        <f>ICPList[[#This Row],[Date Run]]</f>
        <v>0</v>
      </c>
      <c r="N372" s="1">
        <f>GCResults[[#This Row],[Date Run ]]</f>
        <v>0</v>
      </c>
    </row>
    <row r="373" spans="1:14" ht="14.45" x14ac:dyDescent="0.25">
      <c r="A373">
        <f>SampleList[[#This Row],[Experiment ID]]</f>
        <v>0</v>
      </c>
      <c r="B373">
        <f>SampleList[[#This Row],[Sample Description]]</f>
        <v>0</v>
      </c>
      <c r="C373" s="1">
        <f>SampleList[[#This Row],[Date Sampled]]</f>
        <v>0</v>
      </c>
      <c r="D373">
        <f>SampleList[[#This Row],[Duration (Days)]]</f>
        <v>0</v>
      </c>
      <c r="E373">
        <f>NMRResults[[#This Row],[Ammonium Concentration (mM)]]</f>
        <v>0</v>
      </c>
      <c r="F373" t="str">
        <f>GCResults[[#This Row],[H2 (ppm)]]</f>
        <v/>
      </c>
      <c r="G373">
        <f>GCResults[[#This Row],[Total Gas Volume (mL), gas cylinder = 3785mL]]</f>
        <v>0</v>
      </c>
      <c r="H373">
        <f>GCResults[[#This Row],[Pressure on Sampling (PSI), 145PSI=1MPa]]</f>
        <v>3552.5</v>
      </c>
      <c r="I373">
        <f>pHCondMod[[#This Row],[Sample pH]]</f>
        <v>0</v>
      </c>
      <c r="J373">
        <f>pHCondMod[[#This Row],[Sample Conductivity (mS/cm)]]</f>
        <v>0</v>
      </c>
      <c r="K373">
        <f>pHCondMod[[#This Row],[Modification Description]]</f>
        <v>0</v>
      </c>
      <c r="L373" s="1">
        <f>NMRResults[[#This Row],[Date Run]]</f>
        <v>0</v>
      </c>
      <c r="M373" s="1">
        <f>ICPList[[#This Row],[Date Run]]</f>
        <v>0</v>
      </c>
      <c r="N373" s="1">
        <f>GCResults[[#This Row],[Date Run ]]</f>
        <v>0</v>
      </c>
    </row>
    <row r="374" spans="1:14" ht="14.45" x14ac:dyDescent="0.25">
      <c r="A374">
        <f>SampleList[[#This Row],[Experiment ID]]</f>
        <v>0</v>
      </c>
      <c r="B374">
        <f>SampleList[[#This Row],[Sample Description]]</f>
        <v>0</v>
      </c>
      <c r="C374" s="1">
        <f>SampleList[[#This Row],[Date Sampled]]</f>
        <v>0</v>
      </c>
      <c r="D374">
        <f>SampleList[[#This Row],[Duration (Days)]]</f>
        <v>0</v>
      </c>
      <c r="E374">
        <f>NMRResults[[#This Row],[Ammonium Concentration (mM)]]</f>
        <v>0</v>
      </c>
      <c r="F374" t="str">
        <f>GCResults[[#This Row],[H2 (ppm)]]</f>
        <v/>
      </c>
      <c r="G374">
        <f>GCResults[[#This Row],[Total Gas Volume (mL), gas cylinder = 3785mL]]</f>
        <v>0</v>
      </c>
      <c r="H374">
        <f>GCResults[[#This Row],[Pressure on Sampling (PSI), 145PSI=1MPa]]</f>
        <v>3552.5</v>
      </c>
      <c r="I374">
        <f>pHCondMod[[#This Row],[Sample pH]]</f>
        <v>0</v>
      </c>
      <c r="J374">
        <f>pHCondMod[[#This Row],[Sample Conductivity (mS/cm)]]</f>
        <v>0</v>
      </c>
      <c r="K374">
        <f>pHCondMod[[#This Row],[Modification Description]]</f>
        <v>0</v>
      </c>
      <c r="L374" s="1">
        <f>NMRResults[[#This Row],[Date Run]]</f>
        <v>0</v>
      </c>
      <c r="M374" s="1">
        <f>ICPList[[#This Row],[Date Run]]</f>
        <v>0</v>
      </c>
      <c r="N374" s="1">
        <f>GCResults[[#This Row],[Date Run ]]</f>
        <v>0</v>
      </c>
    </row>
    <row r="375" spans="1:14" ht="14.45" x14ac:dyDescent="0.25">
      <c r="A375">
        <f>SampleList[[#This Row],[Experiment ID]]</f>
        <v>0</v>
      </c>
      <c r="B375">
        <f>SampleList[[#This Row],[Sample Description]]</f>
        <v>0</v>
      </c>
      <c r="C375" s="1">
        <f>SampleList[[#This Row],[Date Sampled]]</f>
        <v>0</v>
      </c>
      <c r="D375">
        <f>SampleList[[#This Row],[Duration (Days)]]</f>
        <v>0</v>
      </c>
      <c r="E375">
        <f>NMRResults[[#This Row],[Ammonium Concentration (mM)]]</f>
        <v>0</v>
      </c>
      <c r="F375" t="str">
        <f>GCResults[[#This Row],[H2 (ppm)]]</f>
        <v/>
      </c>
      <c r="G375">
        <f>GCResults[[#This Row],[Total Gas Volume (mL), gas cylinder = 3785mL]]</f>
        <v>0</v>
      </c>
      <c r="H375">
        <f>GCResults[[#This Row],[Pressure on Sampling (PSI), 145PSI=1MPa]]</f>
        <v>3552.5</v>
      </c>
      <c r="I375">
        <f>pHCondMod[[#This Row],[Sample pH]]</f>
        <v>0</v>
      </c>
      <c r="J375">
        <f>pHCondMod[[#This Row],[Sample Conductivity (mS/cm)]]</f>
        <v>0</v>
      </c>
      <c r="K375">
        <f>pHCondMod[[#This Row],[Modification Description]]</f>
        <v>0</v>
      </c>
      <c r="L375" s="1">
        <f>NMRResults[[#This Row],[Date Run]]</f>
        <v>0</v>
      </c>
      <c r="M375" s="1">
        <f>ICPList[[#This Row],[Date Run]]</f>
        <v>0</v>
      </c>
      <c r="N375" s="1">
        <f>GCResults[[#This Row],[Date Run ]]</f>
        <v>0</v>
      </c>
    </row>
    <row r="376" spans="1:14" ht="14.45" x14ac:dyDescent="0.25">
      <c r="A376">
        <f>SampleList[[#This Row],[Experiment ID]]</f>
        <v>0</v>
      </c>
      <c r="B376">
        <f>SampleList[[#This Row],[Sample Description]]</f>
        <v>0</v>
      </c>
      <c r="C376" s="1">
        <f>SampleList[[#This Row],[Date Sampled]]</f>
        <v>0</v>
      </c>
      <c r="D376">
        <f>SampleList[[#This Row],[Duration (Days)]]</f>
        <v>0</v>
      </c>
      <c r="E376">
        <f>NMRResults[[#This Row],[Ammonium Concentration (mM)]]</f>
        <v>0</v>
      </c>
      <c r="F376" t="str">
        <f>GCResults[[#This Row],[H2 (ppm)]]</f>
        <v/>
      </c>
      <c r="G376">
        <f>GCResults[[#This Row],[Total Gas Volume (mL), gas cylinder = 3785mL]]</f>
        <v>0</v>
      </c>
      <c r="H376">
        <f>GCResults[[#This Row],[Pressure on Sampling (PSI), 145PSI=1MPa]]</f>
        <v>3552.5</v>
      </c>
      <c r="I376">
        <f>pHCondMod[[#This Row],[Sample pH]]</f>
        <v>0</v>
      </c>
      <c r="J376">
        <f>pHCondMod[[#This Row],[Sample Conductivity (mS/cm)]]</f>
        <v>0</v>
      </c>
      <c r="K376">
        <f>pHCondMod[[#This Row],[Modification Description]]</f>
        <v>0</v>
      </c>
      <c r="L376" s="1">
        <f>NMRResults[[#This Row],[Date Run]]</f>
        <v>0</v>
      </c>
      <c r="M376" s="1">
        <f>ICPList[[#This Row],[Date Run]]</f>
        <v>0</v>
      </c>
      <c r="N376" s="1">
        <f>GCResults[[#This Row],[Date Run ]]</f>
        <v>0</v>
      </c>
    </row>
    <row r="377" spans="1:14" ht="14.45" x14ac:dyDescent="0.25">
      <c r="A377">
        <f>SampleList[[#This Row],[Experiment ID]]</f>
        <v>0</v>
      </c>
      <c r="B377">
        <f>SampleList[[#This Row],[Sample Description]]</f>
        <v>0</v>
      </c>
      <c r="C377" s="1">
        <f>SampleList[[#This Row],[Date Sampled]]</f>
        <v>0</v>
      </c>
      <c r="D377">
        <f>SampleList[[#This Row],[Duration (Days)]]</f>
        <v>0</v>
      </c>
      <c r="E377">
        <f>NMRResults[[#This Row],[Ammonium Concentration (mM)]]</f>
        <v>0</v>
      </c>
      <c r="F377" t="str">
        <f>GCResults[[#This Row],[H2 (ppm)]]</f>
        <v/>
      </c>
      <c r="G377">
        <f>GCResults[[#This Row],[Total Gas Volume (mL), gas cylinder = 3785mL]]</f>
        <v>0</v>
      </c>
      <c r="H377">
        <f>GCResults[[#This Row],[Pressure on Sampling (PSI), 145PSI=1MPa]]</f>
        <v>3552.5</v>
      </c>
      <c r="I377">
        <f>pHCondMod[[#This Row],[Sample pH]]</f>
        <v>0</v>
      </c>
      <c r="J377">
        <f>pHCondMod[[#This Row],[Sample Conductivity (mS/cm)]]</f>
        <v>0</v>
      </c>
      <c r="K377">
        <f>pHCondMod[[#This Row],[Modification Description]]</f>
        <v>0</v>
      </c>
      <c r="L377" s="1">
        <f>NMRResults[[#This Row],[Date Run]]</f>
        <v>0</v>
      </c>
      <c r="M377" s="1">
        <f>ICPList[[#This Row],[Date Run]]</f>
        <v>0</v>
      </c>
      <c r="N377" s="1">
        <f>GCResults[[#This Row],[Date Run ]]</f>
        <v>0</v>
      </c>
    </row>
    <row r="378" spans="1:14" ht="14.45" x14ac:dyDescent="0.25">
      <c r="A378">
        <f>SampleList[[#This Row],[Experiment ID]]</f>
        <v>0</v>
      </c>
      <c r="B378">
        <f>SampleList[[#This Row],[Sample Description]]</f>
        <v>0</v>
      </c>
      <c r="C378" s="1">
        <f>SampleList[[#This Row],[Date Sampled]]</f>
        <v>0</v>
      </c>
      <c r="D378">
        <f>SampleList[[#This Row],[Duration (Days)]]</f>
        <v>0</v>
      </c>
      <c r="E378">
        <f>NMRResults[[#This Row],[Ammonium Concentration (mM)]]</f>
        <v>0</v>
      </c>
      <c r="F378" t="str">
        <f>GCResults[[#This Row],[H2 (ppm)]]</f>
        <v/>
      </c>
      <c r="G378">
        <f>GCResults[[#This Row],[Total Gas Volume (mL), gas cylinder = 3785mL]]</f>
        <v>0</v>
      </c>
      <c r="H378">
        <f>GCResults[[#This Row],[Pressure on Sampling (PSI), 145PSI=1MPa]]</f>
        <v>3552.5</v>
      </c>
      <c r="I378">
        <f>pHCondMod[[#This Row],[Sample pH]]</f>
        <v>0</v>
      </c>
      <c r="J378">
        <f>pHCondMod[[#This Row],[Sample Conductivity (mS/cm)]]</f>
        <v>0</v>
      </c>
      <c r="K378">
        <f>pHCondMod[[#This Row],[Modification Description]]</f>
        <v>0</v>
      </c>
      <c r="L378" s="1">
        <f>NMRResults[[#This Row],[Date Run]]</f>
        <v>0</v>
      </c>
      <c r="M378" s="1">
        <f>ICPList[[#This Row],[Date Run]]</f>
        <v>0</v>
      </c>
      <c r="N378" s="1">
        <f>GCResults[[#This Row],[Date Run ]]</f>
        <v>0</v>
      </c>
    </row>
    <row r="379" spans="1:14" ht="14.45" x14ac:dyDescent="0.25">
      <c r="A379">
        <f>SampleList[[#This Row],[Experiment ID]]</f>
        <v>0</v>
      </c>
      <c r="B379">
        <f>SampleList[[#This Row],[Sample Description]]</f>
        <v>0</v>
      </c>
      <c r="C379" s="1">
        <f>SampleList[[#This Row],[Date Sampled]]</f>
        <v>0</v>
      </c>
      <c r="D379">
        <f>SampleList[[#This Row],[Duration (Days)]]</f>
        <v>0</v>
      </c>
      <c r="E379">
        <f>NMRResults[[#This Row],[Ammonium Concentration (mM)]]</f>
        <v>0</v>
      </c>
      <c r="F379" t="str">
        <f>GCResults[[#This Row],[H2 (ppm)]]</f>
        <v/>
      </c>
      <c r="G379">
        <f>GCResults[[#This Row],[Total Gas Volume (mL), gas cylinder = 3785mL]]</f>
        <v>0</v>
      </c>
      <c r="H379">
        <f>GCResults[[#This Row],[Pressure on Sampling (PSI), 145PSI=1MPa]]</f>
        <v>3552.5</v>
      </c>
      <c r="I379">
        <f>pHCondMod[[#This Row],[Sample pH]]</f>
        <v>0</v>
      </c>
      <c r="J379">
        <f>pHCondMod[[#This Row],[Sample Conductivity (mS/cm)]]</f>
        <v>0</v>
      </c>
      <c r="K379">
        <f>pHCondMod[[#This Row],[Modification Description]]</f>
        <v>0</v>
      </c>
      <c r="L379" s="1">
        <f>NMRResults[[#This Row],[Date Run]]</f>
        <v>0</v>
      </c>
      <c r="M379" s="1">
        <f>ICPList[[#This Row],[Date Run]]</f>
        <v>0</v>
      </c>
      <c r="N379" s="1">
        <f>GCResults[[#This Row],[Date Run ]]</f>
        <v>0</v>
      </c>
    </row>
    <row r="380" spans="1:14" ht="14.45" x14ac:dyDescent="0.25">
      <c r="A380">
        <f>SampleList[[#This Row],[Experiment ID]]</f>
        <v>0</v>
      </c>
      <c r="B380">
        <f>SampleList[[#This Row],[Sample Description]]</f>
        <v>0</v>
      </c>
      <c r="C380" s="1">
        <f>SampleList[[#This Row],[Date Sampled]]</f>
        <v>0</v>
      </c>
      <c r="D380">
        <f>SampleList[[#This Row],[Duration (Days)]]</f>
        <v>0</v>
      </c>
      <c r="E380">
        <f>NMRResults[[#This Row],[Ammonium Concentration (mM)]]</f>
        <v>0</v>
      </c>
      <c r="F380" t="str">
        <f>GCResults[[#This Row],[H2 (ppm)]]</f>
        <v/>
      </c>
      <c r="G380">
        <f>GCResults[[#This Row],[Total Gas Volume (mL), gas cylinder = 3785mL]]</f>
        <v>0</v>
      </c>
      <c r="H380">
        <f>GCResults[[#This Row],[Pressure on Sampling (PSI), 145PSI=1MPa]]</f>
        <v>3552.5</v>
      </c>
      <c r="I380">
        <f>pHCondMod[[#This Row],[Sample pH]]</f>
        <v>0</v>
      </c>
      <c r="J380">
        <f>pHCondMod[[#This Row],[Sample Conductivity (mS/cm)]]</f>
        <v>0</v>
      </c>
      <c r="K380">
        <f>pHCondMod[[#This Row],[Modification Description]]</f>
        <v>0</v>
      </c>
      <c r="L380" s="1">
        <f>NMRResults[[#This Row],[Date Run]]</f>
        <v>0</v>
      </c>
      <c r="M380" s="1">
        <f>ICPList[[#This Row],[Date Run]]</f>
        <v>0</v>
      </c>
      <c r="N380" s="1">
        <f>GCResults[[#This Row],[Date Run ]]</f>
        <v>0</v>
      </c>
    </row>
    <row r="381" spans="1:14" ht="14.45" x14ac:dyDescent="0.25">
      <c r="A381">
        <f>SampleList[[#This Row],[Experiment ID]]</f>
        <v>0</v>
      </c>
      <c r="B381">
        <f>SampleList[[#This Row],[Sample Description]]</f>
        <v>0</v>
      </c>
      <c r="C381" s="1">
        <f>SampleList[[#This Row],[Date Sampled]]</f>
        <v>0</v>
      </c>
      <c r="D381">
        <f>SampleList[[#This Row],[Duration (Days)]]</f>
        <v>0</v>
      </c>
      <c r="E381">
        <f>NMRResults[[#This Row],[Ammonium Concentration (mM)]]</f>
        <v>0</v>
      </c>
      <c r="F381" t="str">
        <f>GCResults[[#This Row],[H2 (ppm)]]</f>
        <v/>
      </c>
      <c r="G381">
        <f>GCResults[[#This Row],[Total Gas Volume (mL), gas cylinder = 3785mL]]</f>
        <v>0</v>
      </c>
      <c r="H381">
        <f>GCResults[[#This Row],[Pressure on Sampling (PSI), 145PSI=1MPa]]</f>
        <v>3552.5</v>
      </c>
      <c r="I381">
        <f>pHCondMod[[#This Row],[Sample pH]]</f>
        <v>0</v>
      </c>
      <c r="J381">
        <f>pHCondMod[[#This Row],[Sample Conductivity (mS/cm)]]</f>
        <v>0</v>
      </c>
      <c r="K381">
        <f>pHCondMod[[#This Row],[Modification Description]]</f>
        <v>0</v>
      </c>
      <c r="L381" s="1">
        <f>NMRResults[[#This Row],[Date Run]]</f>
        <v>0</v>
      </c>
      <c r="M381" s="1">
        <f>ICPList[[#This Row],[Date Run]]</f>
        <v>0</v>
      </c>
      <c r="N381" s="1">
        <f>GCResults[[#This Row],[Date Run ]]</f>
        <v>0</v>
      </c>
    </row>
    <row r="382" spans="1:14" ht="14.45" x14ac:dyDescent="0.25">
      <c r="A382">
        <f>SampleList[[#This Row],[Experiment ID]]</f>
        <v>0</v>
      </c>
      <c r="B382">
        <f>SampleList[[#This Row],[Sample Description]]</f>
        <v>0</v>
      </c>
      <c r="C382" s="1">
        <f>SampleList[[#This Row],[Date Sampled]]</f>
        <v>0</v>
      </c>
      <c r="D382">
        <f>SampleList[[#This Row],[Duration (Days)]]</f>
        <v>0</v>
      </c>
      <c r="E382">
        <f>NMRResults[[#This Row],[Ammonium Concentration (mM)]]</f>
        <v>0</v>
      </c>
      <c r="F382" t="str">
        <f>GCResults[[#This Row],[H2 (ppm)]]</f>
        <v/>
      </c>
      <c r="G382">
        <f>GCResults[[#This Row],[Total Gas Volume (mL), gas cylinder = 3785mL]]</f>
        <v>0</v>
      </c>
      <c r="H382">
        <f>GCResults[[#This Row],[Pressure on Sampling (PSI), 145PSI=1MPa]]</f>
        <v>3552.5</v>
      </c>
      <c r="I382">
        <f>pHCondMod[[#This Row],[Sample pH]]</f>
        <v>0</v>
      </c>
      <c r="J382">
        <f>pHCondMod[[#This Row],[Sample Conductivity (mS/cm)]]</f>
        <v>0</v>
      </c>
      <c r="K382">
        <f>pHCondMod[[#This Row],[Modification Description]]</f>
        <v>0</v>
      </c>
      <c r="L382" s="1">
        <f>NMRResults[[#This Row],[Date Run]]</f>
        <v>0</v>
      </c>
      <c r="M382" s="1">
        <f>ICPList[[#This Row],[Date Run]]</f>
        <v>0</v>
      </c>
      <c r="N382" s="1">
        <f>GCResults[[#This Row],[Date Run ]]</f>
        <v>0</v>
      </c>
    </row>
    <row r="383" spans="1:14" ht="14.45" x14ac:dyDescent="0.25">
      <c r="A383">
        <f>SampleList[[#This Row],[Experiment ID]]</f>
        <v>0</v>
      </c>
      <c r="B383">
        <f>SampleList[[#This Row],[Sample Description]]</f>
        <v>0</v>
      </c>
      <c r="C383" s="1">
        <f>SampleList[[#This Row],[Date Sampled]]</f>
        <v>0</v>
      </c>
      <c r="D383">
        <f>SampleList[[#This Row],[Duration (Days)]]</f>
        <v>0</v>
      </c>
      <c r="E383">
        <f>NMRResults[[#This Row],[Ammonium Concentration (mM)]]</f>
        <v>0</v>
      </c>
      <c r="F383" t="str">
        <f>GCResults[[#This Row],[H2 (ppm)]]</f>
        <v/>
      </c>
      <c r="G383">
        <f>GCResults[[#This Row],[Total Gas Volume (mL), gas cylinder = 3785mL]]</f>
        <v>0</v>
      </c>
      <c r="H383">
        <f>GCResults[[#This Row],[Pressure on Sampling (PSI), 145PSI=1MPa]]</f>
        <v>3552.5</v>
      </c>
      <c r="I383">
        <f>pHCondMod[[#This Row],[Sample pH]]</f>
        <v>0</v>
      </c>
      <c r="J383">
        <f>pHCondMod[[#This Row],[Sample Conductivity (mS/cm)]]</f>
        <v>0</v>
      </c>
      <c r="K383">
        <f>pHCondMod[[#This Row],[Modification Description]]</f>
        <v>0</v>
      </c>
      <c r="L383" s="1">
        <f>NMRResults[[#This Row],[Date Run]]</f>
        <v>0</v>
      </c>
      <c r="M383" s="1">
        <f>ICPList[[#This Row],[Date Run]]</f>
        <v>0</v>
      </c>
      <c r="N383" s="1">
        <f>GCResults[[#This Row],[Date Run ]]</f>
        <v>0</v>
      </c>
    </row>
    <row r="384" spans="1:14" ht="14.45" x14ac:dyDescent="0.25">
      <c r="A384">
        <f>SampleList[[#This Row],[Experiment ID]]</f>
        <v>0</v>
      </c>
      <c r="B384">
        <f>SampleList[[#This Row],[Sample Description]]</f>
        <v>0</v>
      </c>
      <c r="C384" s="1">
        <f>SampleList[[#This Row],[Date Sampled]]</f>
        <v>0</v>
      </c>
      <c r="D384">
        <f>SampleList[[#This Row],[Duration (Days)]]</f>
        <v>0</v>
      </c>
      <c r="E384">
        <f>NMRResults[[#This Row],[Ammonium Concentration (mM)]]</f>
        <v>0</v>
      </c>
      <c r="F384" t="str">
        <f>GCResults[[#This Row],[H2 (ppm)]]</f>
        <v/>
      </c>
      <c r="G384">
        <f>GCResults[[#This Row],[Total Gas Volume (mL), gas cylinder = 3785mL]]</f>
        <v>0</v>
      </c>
      <c r="H384">
        <f>GCResults[[#This Row],[Pressure on Sampling (PSI), 145PSI=1MPa]]</f>
        <v>3552.5</v>
      </c>
      <c r="I384">
        <f>pHCondMod[[#This Row],[Sample pH]]</f>
        <v>0</v>
      </c>
      <c r="J384">
        <f>pHCondMod[[#This Row],[Sample Conductivity (mS/cm)]]</f>
        <v>0</v>
      </c>
      <c r="K384">
        <f>pHCondMod[[#This Row],[Modification Description]]</f>
        <v>0</v>
      </c>
      <c r="L384" s="1">
        <f>NMRResults[[#This Row],[Date Run]]</f>
        <v>0</v>
      </c>
      <c r="M384" s="1">
        <f>ICPList[[#This Row],[Date Run]]</f>
        <v>0</v>
      </c>
      <c r="N384" s="1">
        <f>GCResults[[#This Row],[Date Run ]]</f>
        <v>0</v>
      </c>
    </row>
    <row r="385" spans="1:14" ht="14.45" x14ac:dyDescent="0.25">
      <c r="A385">
        <f>SampleList[[#This Row],[Experiment ID]]</f>
        <v>0</v>
      </c>
      <c r="B385">
        <f>SampleList[[#This Row],[Sample Description]]</f>
        <v>0</v>
      </c>
      <c r="C385" s="1">
        <f>SampleList[[#This Row],[Date Sampled]]</f>
        <v>0</v>
      </c>
      <c r="D385">
        <f>SampleList[[#This Row],[Duration (Days)]]</f>
        <v>0</v>
      </c>
      <c r="E385">
        <f>NMRResults[[#This Row],[Ammonium Concentration (mM)]]</f>
        <v>0</v>
      </c>
      <c r="F385" t="str">
        <f>GCResults[[#This Row],[H2 (ppm)]]</f>
        <v/>
      </c>
      <c r="G385">
        <f>GCResults[[#This Row],[Total Gas Volume (mL), gas cylinder = 3785mL]]</f>
        <v>0</v>
      </c>
      <c r="H385">
        <f>GCResults[[#This Row],[Pressure on Sampling (PSI), 145PSI=1MPa]]</f>
        <v>3552.5</v>
      </c>
      <c r="I385">
        <f>pHCondMod[[#This Row],[Sample pH]]</f>
        <v>0</v>
      </c>
      <c r="J385">
        <f>pHCondMod[[#This Row],[Sample Conductivity (mS/cm)]]</f>
        <v>0</v>
      </c>
      <c r="K385">
        <f>pHCondMod[[#This Row],[Modification Description]]</f>
        <v>0</v>
      </c>
      <c r="L385" s="1">
        <f>NMRResults[[#This Row],[Date Run]]</f>
        <v>0</v>
      </c>
      <c r="M385" s="1">
        <f>ICPList[[#This Row],[Date Run]]</f>
        <v>0</v>
      </c>
      <c r="N385" s="1">
        <f>GCResults[[#This Row],[Date Run ]]</f>
        <v>0</v>
      </c>
    </row>
    <row r="386" spans="1:14" ht="14.45" x14ac:dyDescent="0.25">
      <c r="A386">
        <f>SampleList[[#This Row],[Experiment ID]]</f>
        <v>0</v>
      </c>
      <c r="B386">
        <f>SampleList[[#This Row],[Sample Description]]</f>
        <v>0</v>
      </c>
      <c r="C386" s="1">
        <f>SampleList[[#This Row],[Date Sampled]]</f>
        <v>0</v>
      </c>
      <c r="D386">
        <f>SampleList[[#This Row],[Duration (Days)]]</f>
        <v>0</v>
      </c>
      <c r="E386">
        <f>NMRResults[[#This Row],[Ammonium Concentration (mM)]]</f>
        <v>0</v>
      </c>
      <c r="F386" t="str">
        <f>GCResults[[#This Row],[H2 (ppm)]]</f>
        <v/>
      </c>
      <c r="G386">
        <f>GCResults[[#This Row],[Total Gas Volume (mL), gas cylinder = 3785mL]]</f>
        <v>0</v>
      </c>
      <c r="H386">
        <f>GCResults[[#This Row],[Pressure on Sampling (PSI), 145PSI=1MPa]]</f>
        <v>3552.5</v>
      </c>
      <c r="I386">
        <f>pHCondMod[[#This Row],[Sample pH]]</f>
        <v>0</v>
      </c>
      <c r="J386">
        <f>pHCondMod[[#This Row],[Sample Conductivity (mS/cm)]]</f>
        <v>0</v>
      </c>
      <c r="K386">
        <f>pHCondMod[[#This Row],[Modification Description]]</f>
        <v>0</v>
      </c>
      <c r="L386" s="1">
        <f>NMRResults[[#This Row],[Date Run]]</f>
        <v>0</v>
      </c>
      <c r="M386" s="1">
        <f>ICPList[[#This Row],[Date Run]]</f>
        <v>0</v>
      </c>
      <c r="N386" s="1">
        <f>GCResults[[#This Row],[Date Run ]]</f>
        <v>0</v>
      </c>
    </row>
    <row r="387" spans="1:14" ht="14.45" x14ac:dyDescent="0.25">
      <c r="A387">
        <f>SampleList[[#This Row],[Experiment ID]]</f>
        <v>0</v>
      </c>
      <c r="B387">
        <f>SampleList[[#This Row],[Sample Description]]</f>
        <v>0</v>
      </c>
      <c r="C387" s="1">
        <f>SampleList[[#This Row],[Date Sampled]]</f>
        <v>0</v>
      </c>
      <c r="D387">
        <f>SampleList[[#This Row],[Duration (Days)]]</f>
        <v>0</v>
      </c>
      <c r="E387">
        <f>NMRResults[[#This Row],[Ammonium Concentration (mM)]]</f>
        <v>0</v>
      </c>
      <c r="F387" t="str">
        <f>GCResults[[#This Row],[H2 (ppm)]]</f>
        <v/>
      </c>
      <c r="G387">
        <f>GCResults[[#This Row],[Total Gas Volume (mL), gas cylinder = 3785mL]]</f>
        <v>0</v>
      </c>
      <c r="H387">
        <f>GCResults[[#This Row],[Pressure on Sampling (PSI), 145PSI=1MPa]]</f>
        <v>3552.5</v>
      </c>
      <c r="I387">
        <f>pHCondMod[[#This Row],[Sample pH]]</f>
        <v>0</v>
      </c>
      <c r="J387">
        <f>pHCondMod[[#This Row],[Sample Conductivity (mS/cm)]]</f>
        <v>0</v>
      </c>
      <c r="K387">
        <f>pHCondMod[[#This Row],[Modification Description]]</f>
        <v>0</v>
      </c>
      <c r="L387" s="1">
        <f>NMRResults[[#This Row],[Date Run]]</f>
        <v>0</v>
      </c>
      <c r="M387" s="1">
        <f>ICPList[[#This Row],[Date Run]]</f>
        <v>0</v>
      </c>
      <c r="N387" s="1">
        <f>GCResults[[#This Row],[Date Run ]]</f>
        <v>0</v>
      </c>
    </row>
    <row r="388" spans="1:14" ht="14.45" x14ac:dyDescent="0.25">
      <c r="A388">
        <f>SampleList[[#This Row],[Experiment ID]]</f>
        <v>0</v>
      </c>
      <c r="B388">
        <f>SampleList[[#This Row],[Sample Description]]</f>
        <v>0</v>
      </c>
      <c r="C388" s="1">
        <f>SampleList[[#This Row],[Date Sampled]]</f>
        <v>0</v>
      </c>
      <c r="D388">
        <f>SampleList[[#This Row],[Duration (Days)]]</f>
        <v>0</v>
      </c>
      <c r="E388">
        <f>NMRResults[[#This Row],[Ammonium Concentration (mM)]]</f>
        <v>0</v>
      </c>
      <c r="F388" t="str">
        <f>GCResults[[#This Row],[H2 (ppm)]]</f>
        <v/>
      </c>
      <c r="G388">
        <f>GCResults[[#This Row],[Total Gas Volume (mL), gas cylinder = 3785mL]]</f>
        <v>0</v>
      </c>
      <c r="H388">
        <f>GCResults[[#This Row],[Pressure on Sampling (PSI), 145PSI=1MPa]]</f>
        <v>3552.5</v>
      </c>
      <c r="I388">
        <f>pHCondMod[[#This Row],[Sample pH]]</f>
        <v>0</v>
      </c>
      <c r="J388">
        <f>pHCondMod[[#This Row],[Sample Conductivity (mS/cm)]]</f>
        <v>0</v>
      </c>
      <c r="K388">
        <f>pHCondMod[[#This Row],[Modification Description]]</f>
        <v>0</v>
      </c>
      <c r="L388" s="1">
        <f>NMRResults[[#This Row],[Date Run]]</f>
        <v>0</v>
      </c>
      <c r="M388" s="1">
        <f>ICPList[[#This Row],[Date Run]]</f>
        <v>0</v>
      </c>
      <c r="N388" s="1">
        <f>GCResults[[#This Row],[Date Run ]]</f>
        <v>0</v>
      </c>
    </row>
    <row r="389" spans="1:14" ht="14.45" x14ac:dyDescent="0.25">
      <c r="A389">
        <f>SampleList[[#This Row],[Experiment ID]]</f>
        <v>0</v>
      </c>
      <c r="B389">
        <f>SampleList[[#This Row],[Sample Description]]</f>
        <v>0</v>
      </c>
      <c r="C389" s="1">
        <f>SampleList[[#This Row],[Date Sampled]]</f>
        <v>0</v>
      </c>
      <c r="D389">
        <f>SampleList[[#This Row],[Duration (Days)]]</f>
        <v>0</v>
      </c>
      <c r="E389">
        <f>NMRResults[[#This Row],[Ammonium Concentration (mM)]]</f>
        <v>0</v>
      </c>
      <c r="F389" t="str">
        <f>GCResults[[#This Row],[H2 (ppm)]]</f>
        <v/>
      </c>
      <c r="G389">
        <f>GCResults[[#This Row],[Total Gas Volume (mL), gas cylinder = 3785mL]]</f>
        <v>0</v>
      </c>
      <c r="H389">
        <f>GCResults[[#This Row],[Pressure on Sampling (PSI), 145PSI=1MPa]]</f>
        <v>3552.5</v>
      </c>
      <c r="I389">
        <f>pHCondMod[[#This Row],[Sample pH]]</f>
        <v>0</v>
      </c>
      <c r="J389">
        <f>pHCondMod[[#This Row],[Sample Conductivity (mS/cm)]]</f>
        <v>0</v>
      </c>
      <c r="K389">
        <f>pHCondMod[[#This Row],[Modification Description]]</f>
        <v>0</v>
      </c>
      <c r="L389" s="1">
        <f>NMRResults[[#This Row],[Date Run]]</f>
        <v>0</v>
      </c>
      <c r="M389" s="1">
        <f>ICPList[[#This Row],[Date Run]]</f>
        <v>0</v>
      </c>
      <c r="N389" s="1">
        <f>GCResults[[#This Row],[Date Run ]]</f>
        <v>0</v>
      </c>
    </row>
    <row r="390" spans="1:14" ht="14.45" x14ac:dyDescent="0.25">
      <c r="A390">
        <f>SampleList[[#This Row],[Experiment ID]]</f>
        <v>0</v>
      </c>
      <c r="B390">
        <f>SampleList[[#This Row],[Sample Description]]</f>
        <v>0</v>
      </c>
      <c r="C390" s="1">
        <f>SampleList[[#This Row],[Date Sampled]]</f>
        <v>0</v>
      </c>
      <c r="D390">
        <f>SampleList[[#This Row],[Duration (Days)]]</f>
        <v>0</v>
      </c>
      <c r="E390">
        <f>NMRResults[[#This Row],[Ammonium Concentration (mM)]]</f>
        <v>0</v>
      </c>
      <c r="F390" t="str">
        <f>GCResults[[#This Row],[H2 (ppm)]]</f>
        <v/>
      </c>
      <c r="G390">
        <f>GCResults[[#This Row],[Total Gas Volume (mL), gas cylinder = 3785mL]]</f>
        <v>0</v>
      </c>
      <c r="H390">
        <f>GCResults[[#This Row],[Pressure on Sampling (PSI), 145PSI=1MPa]]</f>
        <v>3552.5</v>
      </c>
      <c r="I390">
        <f>pHCondMod[[#This Row],[Sample pH]]</f>
        <v>0</v>
      </c>
      <c r="J390">
        <f>pHCondMod[[#This Row],[Sample Conductivity (mS/cm)]]</f>
        <v>0</v>
      </c>
      <c r="K390">
        <f>pHCondMod[[#This Row],[Modification Description]]</f>
        <v>0</v>
      </c>
      <c r="L390" s="1">
        <f>NMRResults[[#This Row],[Date Run]]</f>
        <v>0</v>
      </c>
      <c r="M390" s="1">
        <f>ICPList[[#This Row],[Date Run]]</f>
        <v>0</v>
      </c>
      <c r="N390" s="1">
        <f>GCResults[[#This Row],[Date Run ]]</f>
        <v>0</v>
      </c>
    </row>
    <row r="391" spans="1:14" ht="14.45" x14ac:dyDescent="0.25">
      <c r="A391">
        <f>SampleList[[#This Row],[Experiment ID]]</f>
        <v>0</v>
      </c>
      <c r="B391">
        <f>SampleList[[#This Row],[Sample Description]]</f>
        <v>0</v>
      </c>
      <c r="C391" s="1">
        <f>SampleList[[#This Row],[Date Sampled]]</f>
        <v>0</v>
      </c>
      <c r="D391">
        <f>SampleList[[#This Row],[Duration (Days)]]</f>
        <v>0</v>
      </c>
      <c r="E391">
        <f>NMRResults[[#This Row],[Ammonium Concentration (mM)]]</f>
        <v>0</v>
      </c>
      <c r="F391" t="str">
        <f>GCResults[[#This Row],[H2 (ppm)]]</f>
        <v/>
      </c>
      <c r="G391">
        <f>GCResults[[#This Row],[Total Gas Volume (mL), gas cylinder = 3785mL]]</f>
        <v>0</v>
      </c>
      <c r="H391">
        <f>GCResults[[#This Row],[Pressure on Sampling (PSI), 145PSI=1MPa]]</f>
        <v>3552.5</v>
      </c>
      <c r="I391">
        <f>pHCondMod[[#This Row],[Sample pH]]</f>
        <v>0</v>
      </c>
      <c r="J391">
        <f>pHCondMod[[#This Row],[Sample Conductivity (mS/cm)]]</f>
        <v>0</v>
      </c>
      <c r="K391">
        <f>pHCondMod[[#This Row],[Modification Description]]</f>
        <v>0</v>
      </c>
      <c r="L391" s="1">
        <f>NMRResults[[#This Row],[Date Run]]</f>
        <v>0</v>
      </c>
      <c r="M391" s="1">
        <f>ICPList[[#This Row],[Date Run]]</f>
        <v>0</v>
      </c>
      <c r="N391" s="1">
        <f>GCResults[[#This Row],[Date Run ]]</f>
        <v>0</v>
      </c>
    </row>
    <row r="392" spans="1:14" ht="14.45" x14ac:dyDescent="0.25">
      <c r="A392">
        <f>SampleList[[#This Row],[Experiment ID]]</f>
        <v>0</v>
      </c>
      <c r="B392">
        <f>SampleList[[#This Row],[Sample Description]]</f>
        <v>0</v>
      </c>
      <c r="C392" s="1">
        <f>SampleList[[#This Row],[Date Sampled]]</f>
        <v>0</v>
      </c>
      <c r="D392">
        <f>SampleList[[#This Row],[Duration (Days)]]</f>
        <v>0</v>
      </c>
      <c r="E392">
        <f>NMRResults[[#This Row],[Ammonium Concentration (mM)]]</f>
        <v>0</v>
      </c>
      <c r="F392" t="str">
        <f>GCResults[[#This Row],[H2 (ppm)]]</f>
        <v/>
      </c>
      <c r="G392">
        <f>GCResults[[#This Row],[Total Gas Volume (mL), gas cylinder = 3785mL]]</f>
        <v>0</v>
      </c>
      <c r="H392">
        <f>GCResults[[#This Row],[Pressure on Sampling (PSI), 145PSI=1MPa]]</f>
        <v>3552.5</v>
      </c>
      <c r="I392">
        <f>pHCondMod[[#This Row],[Sample pH]]</f>
        <v>0</v>
      </c>
      <c r="J392">
        <f>pHCondMod[[#This Row],[Sample Conductivity (mS/cm)]]</f>
        <v>0</v>
      </c>
      <c r="K392">
        <f>pHCondMod[[#This Row],[Modification Description]]</f>
        <v>0</v>
      </c>
      <c r="L392" s="1">
        <f>NMRResults[[#This Row],[Date Run]]</f>
        <v>0</v>
      </c>
      <c r="M392" s="1">
        <f>ICPList[[#This Row],[Date Run]]</f>
        <v>0</v>
      </c>
      <c r="N392" s="1">
        <f>GCResults[[#This Row],[Date Run ]]</f>
        <v>0</v>
      </c>
    </row>
    <row r="393" spans="1:14" ht="14.45" x14ac:dyDescent="0.25">
      <c r="A393">
        <f>SampleList[[#This Row],[Experiment ID]]</f>
        <v>0</v>
      </c>
      <c r="B393">
        <f>SampleList[[#This Row],[Sample Description]]</f>
        <v>0</v>
      </c>
      <c r="C393" s="1">
        <f>SampleList[[#This Row],[Date Sampled]]</f>
        <v>0</v>
      </c>
      <c r="D393">
        <f>SampleList[[#This Row],[Duration (Days)]]</f>
        <v>0</v>
      </c>
      <c r="E393">
        <f>NMRResults[[#This Row],[Ammonium Concentration (mM)]]</f>
        <v>0</v>
      </c>
      <c r="F393" t="str">
        <f>GCResults[[#This Row],[H2 (ppm)]]</f>
        <v/>
      </c>
      <c r="G393">
        <f>GCResults[[#This Row],[Total Gas Volume (mL), gas cylinder = 3785mL]]</f>
        <v>0</v>
      </c>
      <c r="H393">
        <f>GCResults[[#This Row],[Pressure on Sampling (PSI), 145PSI=1MPa]]</f>
        <v>3552.5</v>
      </c>
      <c r="I393">
        <f>pHCondMod[[#This Row],[Sample pH]]</f>
        <v>0</v>
      </c>
      <c r="J393">
        <f>pHCondMod[[#This Row],[Sample Conductivity (mS/cm)]]</f>
        <v>0</v>
      </c>
      <c r="K393">
        <f>pHCondMod[[#This Row],[Modification Description]]</f>
        <v>0</v>
      </c>
      <c r="L393" s="1">
        <f>NMRResults[[#This Row],[Date Run]]</f>
        <v>0</v>
      </c>
      <c r="M393" s="1">
        <f>ICPList[[#This Row],[Date Run]]</f>
        <v>0</v>
      </c>
      <c r="N393" s="1">
        <f>GCResults[[#This Row],[Date Run ]]</f>
        <v>0</v>
      </c>
    </row>
    <row r="394" spans="1:14" ht="14.45" x14ac:dyDescent="0.25">
      <c r="A394">
        <f>SampleList[[#This Row],[Experiment ID]]</f>
        <v>0</v>
      </c>
      <c r="B394">
        <f>SampleList[[#This Row],[Sample Description]]</f>
        <v>0</v>
      </c>
      <c r="C394" s="1">
        <f>SampleList[[#This Row],[Date Sampled]]</f>
        <v>0</v>
      </c>
      <c r="D394">
        <f>SampleList[[#This Row],[Duration (Days)]]</f>
        <v>0</v>
      </c>
      <c r="E394">
        <f>NMRResults[[#This Row],[Ammonium Concentration (mM)]]</f>
        <v>0</v>
      </c>
      <c r="F394" t="str">
        <f>GCResults[[#This Row],[H2 (ppm)]]</f>
        <v/>
      </c>
      <c r="G394">
        <f>GCResults[[#This Row],[Total Gas Volume (mL), gas cylinder = 3785mL]]</f>
        <v>0</v>
      </c>
      <c r="H394">
        <f>GCResults[[#This Row],[Pressure on Sampling (PSI), 145PSI=1MPa]]</f>
        <v>3552.5</v>
      </c>
      <c r="I394">
        <f>pHCondMod[[#This Row],[Sample pH]]</f>
        <v>0</v>
      </c>
      <c r="J394">
        <f>pHCondMod[[#This Row],[Sample Conductivity (mS/cm)]]</f>
        <v>0</v>
      </c>
      <c r="K394">
        <f>pHCondMod[[#This Row],[Modification Description]]</f>
        <v>0</v>
      </c>
      <c r="L394" s="1">
        <f>NMRResults[[#This Row],[Date Run]]</f>
        <v>0</v>
      </c>
      <c r="M394" s="1">
        <f>ICPList[[#This Row],[Date Run]]</f>
        <v>0</v>
      </c>
      <c r="N394" s="1">
        <f>GCResults[[#This Row],[Date Run ]]</f>
        <v>0</v>
      </c>
    </row>
    <row r="395" spans="1:14" ht="14.45" x14ac:dyDescent="0.25">
      <c r="A395">
        <f>SampleList[[#This Row],[Experiment ID]]</f>
        <v>0</v>
      </c>
      <c r="B395">
        <f>SampleList[[#This Row],[Sample Description]]</f>
        <v>0</v>
      </c>
      <c r="C395" s="1">
        <f>SampleList[[#This Row],[Date Sampled]]</f>
        <v>0</v>
      </c>
      <c r="D395">
        <f>SampleList[[#This Row],[Duration (Days)]]</f>
        <v>0</v>
      </c>
      <c r="E395">
        <f>NMRResults[[#This Row],[Ammonium Concentration (mM)]]</f>
        <v>0</v>
      </c>
      <c r="F395" t="str">
        <f>GCResults[[#This Row],[H2 (ppm)]]</f>
        <v/>
      </c>
      <c r="G395">
        <f>GCResults[[#This Row],[Total Gas Volume (mL), gas cylinder = 3785mL]]</f>
        <v>0</v>
      </c>
      <c r="H395">
        <f>GCResults[[#This Row],[Pressure on Sampling (PSI), 145PSI=1MPa]]</f>
        <v>3552.5</v>
      </c>
      <c r="I395">
        <f>pHCondMod[[#This Row],[Sample pH]]</f>
        <v>0</v>
      </c>
      <c r="J395">
        <f>pHCondMod[[#This Row],[Sample Conductivity (mS/cm)]]</f>
        <v>0</v>
      </c>
      <c r="K395">
        <f>pHCondMod[[#This Row],[Modification Description]]</f>
        <v>0</v>
      </c>
      <c r="L395" s="1">
        <f>NMRResults[[#This Row],[Date Run]]</f>
        <v>0</v>
      </c>
      <c r="M395" s="1">
        <f>ICPList[[#This Row],[Date Run]]</f>
        <v>0</v>
      </c>
      <c r="N395" s="1">
        <f>GCResults[[#This Row],[Date Run ]]</f>
        <v>0</v>
      </c>
    </row>
    <row r="396" spans="1:14" ht="14.45" x14ac:dyDescent="0.25">
      <c r="A396">
        <f>SampleList[[#This Row],[Experiment ID]]</f>
        <v>0</v>
      </c>
      <c r="B396">
        <f>SampleList[[#This Row],[Sample Description]]</f>
        <v>0</v>
      </c>
      <c r="C396" s="1">
        <f>SampleList[[#This Row],[Date Sampled]]</f>
        <v>0</v>
      </c>
      <c r="D396">
        <f>SampleList[[#This Row],[Duration (Days)]]</f>
        <v>0</v>
      </c>
      <c r="E396">
        <f>NMRResults[[#This Row],[Ammonium Concentration (mM)]]</f>
        <v>0</v>
      </c>
      <c r="F396" t="str">
        <f>GCResults[[#This Row],[H2 (ppm)]]</f>
        <v/>
      </c>
      <c r="G396">
        <f>GCResults[[#This Row],[Total Gas Volume (mL), gas cylinder = 3785mL]]</f>
        <v>0</v>
      </c>
      <c r="H396">
        <f>GCResults[[#This Row],[Pressure on Sampling (PSI), 145PSI=1MPa]]</f>
        <v>3552.5</v>
      </c>
      <c r="I396">
        <f>pHCondMod[[#This Row],[Sample pH]]</f>
        <v>0</v>
      </c>
      <c r="J396">
        <f>pHCondMod[[#This Row],[Sample Conductivity (mS/cm)]]</f>
        <v>0</v>
      </c>
      <c r="K396">
        <f>pHCondMod[[#This Row],[Modification Description]]</f>
        <v>0</v>
      </c>
      <c r="L396" s="1">
        <f>NMRResults[[#This Row],[Date Run]]</f>
        <v>0</v>
      </c>
      <c r="M396" s="1">
        <f>ICPList[[#This Row],[Date Run]]</f>
        <v>0</v>
      </c>
      <c r="N396" s="1">
        <f>GCResults[[#This Row],[Date Run ]]</f>
        <v>0</v>
      </c>
    </row>
    <row r="397" spans="1:14" ht="14.45" x14ac:dyDescent="0.25">
      <c r="A397">
        <f>SampleList[[#This Row],[Experiment ID]]</f>
        <v>0</v>
      </c>
      <c r="B397">
        <f>SampleList[[#This Row],[Sample Description]]</f>
        <v>0</v>
      </c>
      <c r="C397" s="1">
        <f>SampleList[[#This Row],[Date Sampled]]</f>
        <v>0</v>
      </c>
      <c r="D397">
        <f>SampleList[[#This Row],[Duration (Days)]]</f>
        <v>0</v>
      </c>
      <c r="E397">
        <f>NMRResults[[#This Row],[Ammonium Concentration (mM)]]</f>
        <v>0</v>
      </c>
      <c r="F397" t="str">
        <f>GCResults[[#This Row],[H2 (ppm)]]</f>
        <v/>
      </c>
      <c r="G397">
        <f>GCResults[[#This Row],[Total Gas Volume (mL), gas cylinder = 3785mL]]</f>
        <v>0</v>
      </c>
      <c r="H397">
        <f>GCResults[[#This Row],[Pressure on Sampling (PSI), 145PSI=1MPa]]</f>
        <v>3552.5</v>
      </c>
      <c r="I397">
        <f>pHCondMod[[#This Row],[Sample pH]]</f>
        <v>0</v>
      </c>
      <c r="J397">
        <f>pHCondMod[[#This Row],[Sample Conductivity (mS/cm)]]</f>
        <v>0</v>
      </c>
      <c r="K397">
        <f>pHCondMod[[#This Row],[Modification Description]]</f>
        <v>0</v>
      </c>
      <c r="L397" s="1">
        <f>NMRResults[[#This Row],[Date Run]]</f>
        <v>0</v>
      </c>
      <c r="M397" s="1">
        <f>ICPList[[#This Row],[Date Run]]</f>
        <v>0</v>
      </c>
      <c r="N397" s="1">
        <f>GCResults[[#This Row],[Date Run ]]</f>
        <v>0</v>
      </c>
    </row>
    <row r="398" spans="1:14" ht="14.45" x14ac:dyDescent="0.25">
      <c r="A398">
        <f>SampleList[[#This Row],[Experiment ID]]</f>
        <v>0</v>
      </c>
      <c r="B398">
        <f>SampleList[[#This Row],[Sample Description]]</f>
        <v>0</v>
      </c>
      <c r="C398" s="1">
        <f>SampleList[[#This Row],[Date Sampled]]</f>
        <v>0</v>
      </c>
      <c r="D398">
        <f>SampleList[[#This Row],[Duration (Days)]]</f>
        <v>0</v>
      </c>
      <c r="E398">
        <f>NMRResults[[#This Row],[Ammonium Concentration (mM)]]</f>
        <v>0</v>
      </c>
      <c r="F398" t="str">
        <f>GCResults[[#This Row],[H2 (ppm)]]</f>
        <v/>
      </c>
      <c r="G398">
        <f>GCResults[[#This Row],[Total Gas Volume (mL), gas cylinder = 3785mL]]</f>
        <v>0</v>
      </c>
      <c r="H398">
        <f>GCResults[[#This Row],[Pressure on Sampling (PSI), 145PSI=1MPa]]</f>
        <v>3552.5</v>
      </c>
      <c r="I398">
        <f>pHCondMod[[#This Row],[Sample pH]]</f>
        <v>0</v>
      </c>
      <c r="J398">
        <f>pHCondMod[[#This Row],[Sample Conductivity (mS/cm)]]</f>
        <v>0</v>
      </c>
      <c r="K398">
        <f>pHCondMod[[#This Row],[Modification Description]]</f>
        <v>0</v>
      </c>
      <c r="L398" s="1">
        <f>NMRResults[[#This Row],[Date Run]]</f>
        <v>0</v>
      </c>
      <c r="M398" s="1">
        <f>ICPList[[#This Row],[Date Run]]</f>
        <v>0</v>
      </c>
      <c r="N398" s="1">
        <f>GCResults[[#This Row],[Date Run ]]</f>
        <v>0</v>
      </c>
    </row>
    <row r="399" spans="1:14" ht="14.45" x14ac:dyDescent="0.25">
      <c r="A399">
        <f>SampleList[[#This Row],[Experiment ID]]</f>
        <v>0</v>
      </c>
      <c r="B399">
        <f>SampleList[[#This Row],[Sample Description]]</f>
        <v>0</v>
      </c>
      <c r="C399" s="1">
        <f>SampleList[[#This Row],[Date Sampled]]</f>
        <v>0</v>
      </c>
      <c r="D399">
        <f>SampleList[[#This Row],[Duration (Days)]]</f>
        <v>0</v>
      </c>
      <c r="E399">
        <f>NMRResults[[#This Row],[Ammonium Concentration (mM)]]</f>
        <v>0</v>
      </c>
      <c r="F399" t="str">
        <f>GCResults[[#This Row],[H2 (ppm)]]</f>
        <v/>
      </c>
      <c r="G399">
        <f>GCResults[[#This Row],[Total Gas Volume (mL), gas cylinder = 3785mL]]</f>
        <v>0</v>
      </c>
      <c r="H399">
        <f>GCResults[[#This Row],[Pressure on Sampling (PSI), 145PSI=1MPa]]</f>
        <v>3552.5</v>
      </c>
      <c r="I399">
        <f>pHCondMod[[#This Row],[Sample pH]]</f>
        <v>0</v>
      </c>
      <c r="J399">
        <f>pHCondMod[[#This Row],[Sample Conductivity (mS/cm)]]</f>
        <v>0</v>
      </c>
      <c r="K399">
        <f>pHCondMod[[#This Row],[Modification Description]]</f>
        <v>0</v>
      </c>
      <c r="L399" s="1">
        <f>NMRResults[[#This Row],[Date Run]]</f>
        <v>0</v>
      </c>
      <c r="M399" s="1">
        <f>ICPList[[#This Row],[Date Run]]</f>
        <v>0</v>
      </c>
      <c r="N399" s="1">
        <f>GCResults[[#This Row],[Date Run ]]</f>
        <v>0</v>
      </c>
    </row>
    <row r="400" spans="1:14" ht="14.45" x14ac:dyDescent="0.25">
      <c r="A400">
        <f>SampleList[[#This Row],[Experiment ID]]</f>
        <v>0</v>
      </c>
      <c r="B400">
        <f>SampleList[[#This Row],[Sample Description]]</f>
        <v>0</v>
      </c>
      <c r="C400" s="1">
        <f>SampleList[[#This Row],[Date Sampled]]</f>
        <v>0</v>
      </c>
      <c r="D400">
        <f>SampleList[[#This Row],[Duration (Days)]]</f>
        <v>0</v>
      </c>
      <c r="E400">
        <f>NMRResults[[#This Row],[Ammonium Concentration (mM)]]</f>
        <v>0</v>
      </c>
      <c r="F400" t="str">
        <f>GCResults[[#This Row],[H2 (ppm)]]</f>
        <v/>
      </c>
      <c r="G400">
        <f>GCResults[[#This Row],[Total Gas Volume (mL), gas cylinder = 3785mL]]</f>
        <v>0</v>
      </c>
      <c r="H400">
        <f>GCResults[[#This Row],[Pressure on Sampling (PSI), 145PSI=1MPa]]</f>
        <v>3552.5</v>
      </c>
      <c r="I400">
        <f>pHCondMod[[#This Row],[Sample pH]]</f>
        <v>0</v>
      </c>
      <c r="J400">
        <f>pHCondMod[[#This Row],[Sample Conductivity (mS/cm)]]</f>
        <v>0</v>
      </c>
      <c r="K400">
        <f>pHCondMod[[#This Row],[Modification Description]]</f>
        <v>0</v>
      </c>
      <c r="L400" s="1">
        <f>NMRResults[[#This Row],[Date Run]]</f>
        <v>0</v>
      </c>
      <c r="M400" s="1">
        <f>ICPList[[#This Row],[Date Run]]</f>
        <v>0</v>
      </c>
      <c r="N400" s="1">
        <f>GCResults[[#This Row],[Date Run ]]</f>
        <v>0</v>
      </c>
    </row>
    <row r="401" spans="1:14" ht="14.45" x14ac:dyDescent="0.25">
      <c r="A401">
        <f>SampleList[[#This Row],[Experiment ID]]</f>
        <v>0</v>
      </c>
      <c r="B401">
        <f>SampleList[[#This Row],[Sample Description]]</f>
        <v>0</v>
      </c>
      <c r="C401" s="1">
        <f>SampleList[[#This Row],[Date Sampled]]</f>
        <v>0</v>
      </c>
      <c r="D401">
        <f>SampleList[[#This Row],[Duration (Days)]]</f>
        <v>0</v>
      </c>
      <c r="E401">
        <f>NMRResults[[#This Row],[Ammonium Concentration (mM)]]</f>
        <v>0</v>
      </c>
      <c r="F401" t="str">
        <f>GCResults[[#This Row],[H2 (ppm)]]</f>
        <v/>
      </c>
      <c r="G401">
        <f>GCResults[[#This Row],[Total Gas Volume (mL), gas cylinder = 3785mL]]</f>
        <v>0</v>
      </c>
      <c r="H401">
        <f>GCResults[[#This Row],[Pressure on Sampling (PSI), 145PSI=1MPa]]</f>
        <v>3552.5</v>
      </c>
      <c r="I401">
        <f>pHCondMod[[#This Row],[Sample pH]]</f>
        <v>0</v>
      </c>
      <c r="J401">
        <f>pHCondMod[[#This Row],[Sample Conductivity (mS/cm)]]</f>
        <v>0</v>
      </c>
      <c r="K401">
        <f>pHCondMod[[#This Row],[Modification Description]]</f>
        <v>0</v>
      </c>
      <c r="L401" s="1">
        <f>NMRResults[[#This Row],[Date Run]]</f>
        <v>0</v>
      </c>
      <c r="M401" s="1">
        <f>ICPList[[#This Row],[Date Run]]</f>
        <v>0</v>
      </c>
      <c r="N401" s="1">
        <f>GCResults[[#This Row],[Date Run ]]</f>
        <v>0</v>
      </c>
    </row>
    <row r="402" spans="1:14" ht="14.45" x14ac:dyDescent="0.25">
      <c r="A402">
        <f>SampleList[[#This Row],[Experiment ID]]</f>
        <v>0</v>
      </c>
      <c r="B402">
        <f>SampleList[[#This Row],[Sample Description]]</f>
        <v>0</v>
      </c>
      <c r="C402" s="1">
        <f>SampleList[[#This Row],[Date Sampled]]</f>
        <v>0</v>
      </c>
      <c r="D402">
        <f>SampleList[[#This Row],[Duration (Days)]]</f>
        <v>0</v>
      </c>
      <c r="E402">
        <f>NMRResults[[#This Row],[Ammonium Concentration (mM)]]</f>
        <v>0</v>
      </c>
      <c r="F402" t="str">
        <f>GCResults[[#This Row],[H2 (ppm)]]</f>
        <v/>
      </c>
      <c r="G402">
        <f>GCResults[[#This Row],[Total Gas Volume (mL), gas cylinder = 3785mL]]</f>
        <v>0</v>
      </c>
      <c r="H402">
        <f>GCResults[[#This Row],[Pressure on Sampling (PSI), 145PSI=1MPa]]</f>
        <v>3552.5</v>
      </c>
      <c r="I402">
        <f>pHCondMod[[#This Row],[Sample pH]]</f>
        <v>0</v>
      </c>
      <c r="J402">
        <f>pHCondMod[[#This Row],[Sample Conductivity (mS/cm)]]</f>
        <v>0</v>
      </c>
      <c r="K402">
        <f>pHCondMod[[#This Row],[Modification Description]]</f>
        <v>0</v>
      </c>
      <c r="L402" s="1">
        <f>NMRResults[[#This Row],[Date Run]]</f>
        <v>0</v>
      </c>
      <c r="M402" s="1">
        <f>ICPList[[#This Row],[Date Run]]</f>
        <v>0</v>
      </c>
      <c r="N402" s="1">
        <f>GCResults[[#This Row],[Date Run ]]</f>
        <v>0</v>
      </c>
    </row>
    <row r="403" spans="1:14" ht="14.45" x14ac:dyDescent="0.25">
      <c r="A403">
        <f>SampleList[[#This Row],[Experiment ID]]</f>
        <v>0</v>
      </c>
      <c r="B403">
        <f>SampleList[[#This Row],[Sample Description]]</f>
        <v>0</v>
      </c>
      <c r="C403" s="1">
        <f>SampleList[[#This Row],[Date Sampled]]</f>
        <v>0</v>
      </c>
      <c r="D403">
        <f>SampleList[[#This Row],[Duration (Days)]]</f>
        <v>0</v>
      </c>
      <c r="E403">
        <f>NMRResults[[#This Row],[Ammonium Concentration (mM)]]</f>
        <v>0</v>
      </c>
      <c r="F403" t="str">
        <f>GCResults[[#This Row],[H2 (ppm)]]</f>
        <v/>
      </c>
      <c r="G403">
        <f>GCResults[[#This Row],[Total Gas Volume (mL), gas cylinder = 3785mL]]</f>
        <v>0</v>
      </c>
      <c r="H403">
        <f>GCResults[[#This Row],[Pressure on Sampling (PSI), 145PSI=1MPa]]</f>
        <v>3552.5</v>
      </c>
      <c r="I403">
        <f>pHCondMod[[#This Row],[Sample pH]]</f>
        <v>0</v>
      </c>
      <c r="J403">
        <f>pHCondMod[[#This Row],[Sample Conductivity (mS/cm)]]</f>
        <v>0</v>
      </c>
      <c r="K403">
        <f>pHCondMod[[#This Row],[Modification Description]]</f>
        <v>0</v>
      </c>
      <c r="L403" s="1">
        <f>NMRResults[[#This Row],[Date Run]]</f>
        <v>0</v>
      </c>
      <c r="M403" s="1">
        <f>ICPList[[#This Row],[Date Run]]</f>
        <v>0</v>
      </c>
      <c r="N403" s="1">
        <f>GCResults[[#This Row],[Date Run ]]</f>
        <v>0</v>
      </c>
    </row>
    <row r="404" spans="1:14" ht="14.45" x14ac:dyDescent="0.25">
      <c r="A404">
        <f>SampleList[[#This Row],[Experiment ID]]</f>
        <v>0</v>
      </c>
      <c r="B404">
        <f>SampleList[[#This Row],[Sample Description]]</f>
        <v>0</v>
      </c>
      <c r="C404" s="1">
        <f>SampleList[[#This Row],[Date Sampled]]</f>
        <v>0</v>
      </c>
      <c r="D404">
        <f>SampleList[[#This Row],[Duration (Days)]]</f>
        <v>0</v>
      </c>
      <c r="E404">
        <f>NMRResults[[#This Row],[Ammonium Concentration (mM)]]</f>
        <v>0</v>
      </c>
      <c r="F404" t="str">
        <f>GCResults[[#This Row],[H2 (ppm)]]</f>
        <v/>
      </c>
      <c r="G404">
        <f>GCResults[[#This Row],[Total Gas Volume (mL), gas cylinder = 3785mL]]</f>
        <v>0</v>
      </c>
      <c r="H404">
        <f>GCResults[[#This Row],[Pressure on Sampling (PSI), 145PSI=1MPa]]</f>
        <v>3552.5</v>
      </c>
      <c r="I404">
        <f>pHCondMod[[#This Row],[Sample pH]]</f>
        <v>0</v>
      </c>
      <c r="J404">
        <f>pHCondMod[[#This Row],[Sample Conductivity (mS/cm)]]</f>
        <v>0</v>
      </c>
      <c r="K404">
        <f>pHCondMod[[#This Row],[Modification Description]]</f>
        <v>0</v>
      </c>
      <c r="L404" s="1">
        <f>NMRResults[[#This Row],[Date Run]]</f>
        <v>0</v>
      </c>
      <c r="M404" s="1">
        <f>ICPList[[#This Row],[Date Run]]</f>
        <v>0</v>
      </c>
      <c r="N404" s="1">
        <f>GCResults[[#This Row],[Date Run ]]</f>
        <v>0</v>
      </c>
    </row>
    <row r="405" spans="1:14" ht="14.45" x14ac:dyDescent="0.25">
      <c r="A405">
        <f>SampleList[[#This Row],[Experiment ID]]</f>
        <v>0</v>
      </c>
      <c r="B405">
        <f>SampleList[[#This Row],[Sample Description]]</f>
        <v>0</v>
      </c>
      <c r="C405" s="1">
        <f>SampleList[[#This Row],[Date Sampled]]</f>
        <v>0</v>
      </c>
      <c r="D405">
        <f>SampleList[[#This Row],[Duration (Days)]]</f>
        <v>0</v>
      </c>
      <c r="E405">
        <f>NMRResults[[#This Row],[Ammonium Concentration (mM)]]</f>
        <v>0</v>
      </c>
      <c r="F405" t="str">
        <f>GCResults[[#This Row],[H2 (ppm)]]</f>
        <v/>
      </c>
      <c r="G405">
        <f>GCResults[[#This Row],[Total Gas Volume (mL), gas cylinder = 3785mL]]</f>
        <v>0</v>
      </c>
      <c r="H405">
        <f>GCResults[[#This Row],[Pressure on Sampling (PSI), 145PSI=1MPa]]</f>
        <v>3552.5</v>
      </c>
      <c r="I405">
        <f>pHCondMod[[#This Row],[Sample pH]]</f>
        <v>0</v>
      </c>
      <c r="J405">
        <f>pHCondMod[[#This Row],[Sample Conductivity (mS/cm)]]</f>
        <v>0</v>
      </c>
      <c r="K405">
        <f>pHCondMod[[#This Row],[Modification Description]]</f>
        <v>0</v>
      </c>
      <c r="L405" s="1">
        <f>NMRResults[[#This Row],[Date Run]]</f>
        <v>0</v>
      </c>
      <c r="M405" s="1">
        <f>ICPList[[#This Row],[Date Run]]</f>
        <v>0</v>
      </c>
      <c r="N405" s="1">
        <f>GCResults[[#This Row],[Date Run ]]</f>
        <v>0</v>
      </c>
    </row>
    <row r="406" spans="1:14" ht="14.45" x14ac:dyDescent="0.25">
      <c r="A406">
        <f>SampleList[[#This Row],[Experiment ID]]</f>
        <v>0</v>
      </c>
      <c r="B406">
        <f>SampleList[[#This Row],[Sample Description]]</f>
        <v>0</v>
      </c>
      <c r="C406" s="1">
        <f>SampleList[[#This Row],[Date Sampled]]</f>
        <v>0</v>
      </c>
      <c r="D406">
        <f>SampleList[[#This Row],[Duration (Days)]]</f>
        <v>0</v>
      </c>
      <c r="E406">
        <f>NMRResults[[#This Row],[Ammonium Concentration (mM)]]</f>
        <v>0</v>
      </c>
      <c r="F406" t="str">
        <f>GCResults[[#This Row],[H2 (ppm)]]</f>
        <v/>
      </c>
      <c r="G406">
        <f>GCResults[[#This Row],[Total Gas Volume (mL), gas cylinder = 3785mL]]</f>
        <v>0</v>
      </c>
      <c r="H406">
        <f>GCResults[[#This Row],[Pressure on Sampling (PSI), 145PSI=1MPa]]</f>
        <v>3552.5</v>
      </c>
      <c r="I406">
        <f>pHCondMod[[#This Row],[Sample pH]]</f>
        <v>0</v>
      </c>
      <c r="J406">
        <f>pHCondMod[[#This Row],[Sample Conductivity (mS/cm)]]</f>
        <v>0</v>
      </c>
      <c r="K406">
        <f>pHCondMod[[#This Row],[Modification Description]]</f>
        <v>0</v>
      </c>
      <c r="L406" s="1">
        <f>NMRResults[[#This Row],[Date Run]]</f>
        <v>0</v>
      </c>
      <c r="M406" s="1">
        <f>ICPList[[#This Row],[Date Run]]</f>
        <v>0</v>
      </c>
      <c r="N406" s="1">
        <f>GCResults[[#This Row],[Date Run ]]</f>
        <v>0</v>
      </c>
    </row>
    <row r="407" spans="1:14" ht="14.45" x14ac:dyDescent="0.25">
      <c r="A407">
        <f>SampleList[[#This Row],[Experiment ID]]</f>
        <v>0</v>
      </c>
      <c r="B407">
        <f>SampleList[[#This Row],[Sample Description]]</f>
        <v>0</v>
      </c>
      <c r="C407" s="1">
        <f>SampleList[[#This Row],[Date Sampled]]</f>
        <v>0</v>
      </c>
      <c r="D407">
        <f>SampleList[[#This Row],[Duration (Days)]]</f>
        <v>0</v>
      </c>
      <c r="E407">
        <f>NMRResults[[#This Row],[Ammonium Concentration (mM)]]</f>
        <v>0</v>
      </c>
      <c r="F407" t="str">
        <f>GCResults[[#This Row],[H2 (ppm)]]</f>
        <v/>
      </c>
      <c r="G407">
        <f>GCResults[[#This Row],[Total Gas Volume (mL), gas cylinder = 3785mL]]</f>
        <v>0</v>
      </c>
      <c r="H407">
        <f>GCResults[[#This Row],[Pressure on Sampling (PSI), 145PSI=1MPa]]</f>
        <v>3552.5</v>
      </c>
      <c r="I407">
        <f>pHCondMod[[#This Row],[Sample pH]]</f>
        <v>0</v>
      </c>
      <c r="J407">
        <f>pHCondMod[[#This Row],[Sample Conductivity (mS/cm)]]</f>
        <v>0</v>
      </c>
      <c r="K407">
        <f>pHCondMod[[#This Row],[Modification Description]]</f>
        <v>0</v>
      </c>
      <c r="L407" s="1">
        <f>NMRResults[[#This Row],[Date Run]]</f>
        <v>0</v>
      </c>
      <c r="M407" s="1">
        <f>ICPList[[#This Row],[Date Run]]</f>
        <v>0</v>
      </c>
      <c r="N407" s="1">
        <f>GCResults[[#This Row],[Date Run ]]</f>
        <v>0</v>
      </c>
    </row>
    <row r="408" spans="1:14" ht="14.45" x14ac:dyDescent="0.25">
      <c r="A408">
        <f>SampleList[[#This Row],[Experiment ID]]</f>
        <v>0</v>
      </c>
      <c r="B408">
        <f>SampleList[[#This Row],[Sample Description]]</f>
        <v>0</v>
      </c>
      <c r="C408" s="1">
        <f>SampleList[[#This Row],[Date Sampled]]</f>
        <v>0</v>
      </c>
      <c r="D408">
        <f>SampleList[[#This Row],[Duration (Days)]]</f>
        <v>0</v>
      </c>
      <c r="E408">
        <f>NMRResults[[#This Row],[Ammonium Concentration (mM)]]</f>
        <v>0</v>
      </c>
      <c r="F408" t="str">
        <f>GCResults[[#This Row],[H2 (ppm)]]</f>
        <v/>
      </c>
      <c r="G408">
        <f>GCResults[[#This Row],[Total Gas Volume (mL), gas cylinder = 3785mL]]</f>
        <v>0</v>
      </c>
      <c r="H408">
        <f>GCResults[[#This Row],[Pressure on Sampling (PSI), 145PSI=1MPa]]</f>
        <v>3552.5</v>
      </c>
      <c r="I408">
        <f>pHCondMod[[#This Row],[Sample pH]]</f>
        <v>0</v>
      </c>
      <c r="J408">
        <f>pHCondMod[[#This Row],[Sample Conductivity (mS/cm)]]</f>
        <v>0</v>
      </c>
      <c r="K408">
        <f>pHCondMod[[#This Row],[Modification Description]]</f>
        <v>0</v>
      </c>
      <c r="L408" s="1">
        <f>NMRResults[[#This Row],[Date Run]]</f>
        <v>0</v>
      </c>
      <c r="M408" s="1">
        <f>ICPList[[#This Row],[Date Run]]</f>
        <v>0</v>
      </c>
      <c r="N408" s="1">
        <f>GCResults[[#This Row],[Date Run ]]</f>
        <v>0</v>
      </c>
    </row>
    <row r="409" spans="1:14" ht="14.45" x14ac:dyDescent="0.25">
      <c r="A409">
        <f>SampleList[[#This Row],[Experiment ID]]</f>
        <v>0</v>
      </c>
      <c r="B409">
        <f>SampleList[[#This Row],[Sample Description]]</f>
        <v>0</v>
      </c>
      <c r="C409" s="1">
        <f>SampleList[[#This Row],[Date Sampled]]</f>
        <v>0</v>
      </c>
      <c r="D409">
        <f>SampleList[[#This Row],[Duration (Days)]]</f>
        <v>0</v>
      </c>
      <c r="E409">
        <f>NMRResults[[#This Row],[Ammonium Concentration (mM)]]</f>
        <v>0</v>
      </c>
      <c r="F409" t="str">
        <f>GCResults[[#This Row],[H2 (ppm)]]</f>
        <v/>
      </c>
      <c r="G409">
        <f>GCResults[[#This Row],[Total Gas Volume (mL), gas cylinder = 3785mL]]</f>
        <v>0</v>
      </c>
      <c r="H409">
        <f>GCResults[[#This Row],[Pressure on Sampling (PSI), 145PSI=1MPa]]</f>
        <v>3552.5</v>
      </c>
      <c r="I409">
        <f>pHCondMod[[#This Row],[Sample pH]]</f>
        <v>0</v>
      </c>
      <c r="J409">
        <f>pHCondMod[[#This Row],[Sample Conductivity (mS/cm)]]</f>
        <v>0</v>
      </c>
      <c r="K409">
        <f>pHCondMod[[#This Row],[Modification Description]]</f>
        <v>0</v>
      </c>
      <c r="L409" s="1">
        <f>NMRResults[[#This Row],[Date Run]]</f>
        <v>0</v>
      </c>
      <c r="M409" s="1">
        <f>ICPList[[#This Row],[Date Run]]</f>
        <v>0</v>
      </c>
      <c r="N409" s="1">
        <f>GCResults[[#This Row],[Date Run ]]</f>
        <v>0</v>
      </c>
    </row>
    <row r="410" spans="1:14" ht="14.45" x14ac:dyDescent="0.25">
      <c r="A410">
        <f>SampleList[[#This Row],[Experiment ID]]</f>
        <v>0</v>
      </c>
      <c r="B410">
        <f>SampleList[[#This Row],[Sample Description]]</f>
        <v>0</v>
      </c>
      <c r="C410" s="1">
        <f>SampleList[[#This Row],[Date Sampled]]</f>
        <v>0</v>
      </c>
      <c r="D410">
        <f>SampleList[[#This Row],[Duration (Days)]]</f>
        <v>0</v>
      </c>
      <c r="E410">
        <f>NMRResults[[#This Row],[Ammonium Concentration (mM)]]</f>
        <v>0</v>
      </c>
      <c r="F410" t="str">
        <f>GCResults[[#This Row],[H2 (ppm)]]</f>
        <v/>
      </c>
      <c r="G410">
        <f>GCResults[[#This Row],[Total Gas Volume (mL), gas cylinder = 3785mL]]</f>
        <v>0</v>
      </c>
      <c r="H410">
        <f>GCResults[[#This Row],[Pressure on Sampling (PSI), 145PSI=1MPa]]</f>
        <v>3552.5</v>
      </c>
      <c r="I410">
        <f>pHCondMod[[#This Row],[Sample pH]]</f>
        <v>0</v>
      </c>
      <c r="J410">
        <f>pHCondMod[[#This Row],[Sample Conductivity (mS/cm)]]</f>
        <v>0</v>
      </c>
      <c r="K410">
        <f>pHCondMod[[#This Row],[Modification Description]]</f>
        <v>0</v>
      </c>
      <c r="L410" s="1">
        <f>NMRResults[[#This Row],[Date Run]]</f>
        <v>0</v>
      </c>
      <c r="M410" s="1">
        <f>ICPList[[#This Row],[Date Run]]</f>
        <v>0</v>
      </c>
      <c r="N410" s="1">
        <f>GCResults[[#This Row],[Date Run ]]</f>
        <v>0</v>
      </c>
    </row>
    <row r="411" spans="1:14" ht="14.45" x14ac:dyDescent="0.25">
      <c r="A411">
        <f>SampleList[[#This Row],[Experiment ID]]</f>
        <v>0</v>
      </c>
      <c r="B411">
        <f>SampleList[[#This Row],[Sample Description]]</f>
        <v>0</v>
      </c>
      <c r="C411" s="1">
        <f>SampleList[[#This Row],[Date Sampled]]</f>
        <v>0</v>
      </c>
      <c r="D411">
        <f>SampleList[[#This Row],[Duration (Days)]]</f>
        <v>0</v>
      </c>
      <c r="E411">
        <f>NMRResults[[#This Row],[Ammonium Concentration (mM)]]</f>
        <v>0</v>
      </c>
      <c r="F411" t="str">
        <f>GCResults[[#This Row],[H2 (ppm)]]</f>
        <v/>
      </c>
      <c r="G411">
        <f>GCResults[[#This Row],[Total Gas Volume (mL), gas cylinder = 3785mL]]</f>
        <v>0</v>
      </c>
      <c r="H411">
        <f>GCResults[[#This Row],[Pressure on Sampling (PSI), 145PSI=1MPa]]</f>
        <v>3552.5</v>
      </c>
      <c r="I411">
        <f>pHCondMod[[#This Row],[Sample pH]]</f>
        <v>0</v>
      </c>
      <c r="J411">
        <f>pHCondMod[[#This Row],[Sample Conductivity (mS/cm)]]</f>
        <v>0</v>
      </c>
      <c r="K411">
        <f>pHCondMod[[#This Row],[Modification Description]]</f>
        <v>0</v>
      </c>
      <c r="L411" s="1">
        <f>NMRResults[[#This Row],[Date Run]]</f>
        <v>0</v>
      </c>
      <c r="M411" s="1">
        <f>ICPList[[#This Row],[Date Run]]</f>
        <v>0</v>
      </c>
      <c r="N411" s="1">
        <f>GCResults[[#This Row],[Date Run ]]</f>
        <v>0</v>
      </c>
    </row>
    <row r="412" spans="1:14" ht="14.45" x14ac:dyDescent="0.25">
      <c r="A412">
        <f>SampleList[[#This Row],[Experiment ID]]</f>
        <v>0</v>
      </c>
      <c r="B412">
        <f>SampleList[[#This Row],[Sample Description]]</f>
        <v>0</v>
      </c>
      <c r="C412" s="1">
        <f>SampleList[[#This Row],[Date Sampled]]</f>
        <v>0</v>
      </c>
      <c r="D412">
        <f>SampleList[[#This Row],[Duration (Days)]]</f>
        <v>0</v>
      </c>
      <c r="E412">
        <f>NMRResults[[#This Row],[Ammonium Concentration (mM)]]</f>
        <v>0</v>
      </c>
      <c r="F412" t="str">
        <f>GCResults[[#This Row],[H2 (ppm)]]</f>
        <v/>
      </c>
      <c r="G412">
        <f>GCResults[[#This Row],[Total Gas Volume (mL), gas cylinder = 3785mL]]</f>
        <v>0</v>
      </c>
      <c r="H412">
        <f>GCResults[[#This Row],[Pressure on Sampling (PSI), 145PSI=1MPa]]</f>
        <v>3552.5</v>
      </c>
      <c r="I412">
        <f>pHCondMod[[#This Row],[Sample pH]]</f>
        <v>0</v>
      </c>
      <c r="J412">
        <f>pHCondMod[[#This Row],[Sample Conductivity (mS/cm)]]</f>
        <v>0</v>
      </c>
      <c r="K412">
        <f>pHCondMod[[#This Row],[Modification Description]]</f>
        <v>0</v>
      </c>
      <c r="L412" s="1">
        <f>NMRResults[[#This Row],[Date Run]]</f>
        <v>0</v>
      </c>
      <c r="M412" s="1">
        <f>ICPList[[#This Row],[Date Run]]</f>
        <v>0</v>
      </c>
      <c r="N412" s="1">
        <f>GCResults[[#This Row],[Date Run ]]</f>
        <v>0</v>
      </c>
    </row>
    <row r="413" spans="1:14" ht="14.45" x14ac:dyDescent="0.25">
      <c r="A413">
        <f>SampleList[[#This Row],[Experiment ID]]</f>
        <v>0</v>
      </c>
      <c r="B413">
        <f>SampleList[[#This Row],[Sample Description]]</f>
        <v>0</v>
      </c>
      <c r="C413" s="1">
        <f>SampleList[[#This Row],[Date Sampled]]</f>
        <v>0</v>
      </c>
      <c r="D413">
        <f>SampleList[[#This Row],[Duration (Days)]]</f>
        <v>0</v>
      </c>
      <c r="E413">
        <f>NMRResults[[#This Row],[Ammonium Concentration (mM)]]</f>
        <v>0</v>
      </c>
      <c r="F413" t="str">
        <f>GCResults[[#This Row],[H2 (ppm)]]</f>
        <v/>
      </c>
      <c r="G413">
        <f>GCResults[[#This Row],[Total Gas Volume (mL), gas cylinder = 3785mL]]</f>
        <v>0</v>
      </c>
      <c r="H413">
        <f>GCResults[[#This Row],[Pressure on Sampling (PSI), 145PSI=1MPa]]</f>
        <v>3552.5</v>
      </c>
      <c r="I413">
        <f>pHCondMod[[#This Row],[Sample pH]]</f>
        <v>0</v>
      </c>
      <c r="J413">
        <f>pHCondMod[[#This Row],[Sample Conductivity (mS/cm)]]</f>
        <v>0</v>
      </c>
      <c r="K413">
        <f>pHCondMod[[#This Row],[Modification Description]]</f>
        <v>0</v>
      </c>
      <c r="L413" s="1">
        <f>NMRResults[[#This Row],[Date Run]]</f>
        <v>0</v>
      </c>
      <c r="M413" s="1">
        <f>ICPList[[#This Row],[Date Run]]</f>
        <v>0</v>
      </c>
      <c r="N413" s="1">
        <f>GCResults[[#This Row],[Date Run ]]</f>
        <v>0</v>
      </c>
    </row>
    <row r="414" spans="1:14" ht="14.45" x14ac:dyDescent="0.25">
      <c r="A414">
        <f>SampleList[[#This Row],[Experiment ID]]</f>
        <v>0</v>
      </c>
      <c r="B414">
        <f>SampleList[[#This Row],[Sample Description]]</f>
        <v>0</v>
      </c>
      <c r="C414" s="1">
        <f>SampleList[[#This Row],[Date Sampled]]</f>
        <v>0</v>
      </c>
      <c r="D414">
        <f>SampleList[[#This Row],[Duration (Days)]]</f>
        <v>0</v>
      </c>
      <c r="E414">
        <f>NMRResults[[#This Row],[Ammonium Concentration (mM)]]</f>
        <v>0</v>
      </c>
      <c r="F414" t="str">
        <f>GCResults[[#This Row],[H2 (ppm)]]</f>
        <v/>
      </c>
      <c r="G414">
        <f>GCResults[[#This Row],[Total Gas Volume (mL), gas cylinder = 3785mL]]</f>
        <v>0</v>
      </c>
      <c r="H414">
        <f>GCResults[[#This Row],[Pressure on Sampling (PSI), 145PSI=1MPa]]</f>
        <v>3552.5</v>
      </c>
      <c r="I414">
        <f>pHCondMod[[#This Row],[Sample pH]]</f>
        <v>0</v>
      </c>
      <c r="J414">
        <f>pHCondMod[[#This Row],[Sample Conductivity (mS/cm)]]</f>
        <v>0</v>
      </c>
      <c r="K414">
        <f>pHCondMod[[#This Row],[Modification Description]]</f>
        <v>0</v>
      </c>
      <c r="L414" s="1">
        <f>NMRResults[[#This Row],[Date Run]]</f>
        <v>0</v>
      </c>
      <c r="M414" s="1">
        <f>ICPList[[#This Row],[Date Run]]</f>
        <v>0</v>
      </c>
      <c r="N414" s="1">
        <f>GCResults[[#This Row],[Date Run ]]</f>
        <v>0</v>
      </c>
    </row>
    <row r="415" spans="1:14" ht="14.45" x14ac:dyDescent="0.25">
      <c r="A415">
        <f>SampleList[[#This Row],[Experiment ID]]</f>
        <v>0</v>
      </c>
      <c r="B415">
        <f>SampleList[[#This Row],[Sample Description]]</f>
        <v>0</v>
      </c>
      <c r="C415" s="1">
        <f>SampleList[[#This Row],[Date Sampled]]</f>
        <v>0</v>
      </c>
      <c r="D415">
        <f>SampleList[[#This Row],[Duration (Days)]]</f>
        <v>0</v>
      </c>
      <c r="E415">
        <f>NMRResults[[#This Row],[Ammonium Concentration (mM)]]</f>
        <v>0</v>
      </c>
      <c r="F415" t="str">
        <f>GCResults[[#This Row],[H2 (ppm)]]</f>
        <v/>
      </c>
      <c r="G415">
        <f>GCResults[[#This Row],[Total Gas Volume (mL), gas cylinder = 3785mL]]</f>
        <v>0</v>
      </c>
      <c r="H415">
        <f>GCResults[[#This Row],[Pressure on Sampling (PSI), 145PSI=1MPa]]</f>
        <v>3552.5</v>
      </c>
      <c r="I415">
        <f>pHCondMod[[#This Row],[Sample pH]]</f>
        <v>0</v>
      </c>
      <c r="J415">
        <f>pHCondMod[[#This Row],[Sample Conductivity (mS/cm)]]</f>
        <v>0</v>
      </c>
      <c r="K415">
        <f>pHCondMod[[#This Row],[Modification Description]]</f>
        <v>0</v>
      </c>
      <c r="L415" s="1">
        <f>NMRResults[[#This Row],[Date Run]]</f>
        <v>0</v>
      </c>
      <c r="M415" s="1">
        <f>ICPList[[#This Row],[Date Run]]</f>
        <v>0</v>
      </c>
      <c r="N415" s="1">
        <f>GCResults[[#This Row],[Date Run ]]</f>
        <v>0</v>
      </c>
    </row>
    <row r="416" spans="1:14" ht="14.45" x14ac:dyDescent="0.25">
      <c r="A416">
        <f>SampleList[[#This Row],[Experiment ID]]</f>
        <v>0</v>
      </c>
      <c r="B416">
        <f>SampleList[[#This Row],[Sample Description]]</f>
        <v>0</v>
      </c>
      <c r="C416" s="1">
        <f>SampleList[[#This Row],[Date Sampled]]</f>
        <v>0</v>
      </c>
      <c r="D416">
        <f>SampleList[[#This Row],[Duration (Days)]]</f>
        <v>0</v>
      </c>
      <c r="E416">
        <f>NMRResults[[#This Row],[Ammonium Concentration (mM)]]</f>
        <v>0</v>
      </c>
      <c r="F416" t="str">
        <f>GCResults[[#This Row],[H2 (ppm)]]</f>
        <v/>
      </c>
      <c r="G416">
        <f>GCResults[[#This Row],[Total Gas Volume (mL), gas cylinder = 3785mL]]</f>
        <v>0</v>
      </c>
      <c r="H416">
        <f>GCResults[[#This Row],[Pressure on Sampling (PSI), 145PSI=1MPa]]</f>
        <v>3552.5</v>
      </c>
      <c r="I416">
        <f>pHCondMod[[#This Row],[Sample pH]]</f>
        <v>0</v>
      </c>
      <c r="J416">
        <f>pHCondMod[[#This Row],[Sample Conductivity (mS/cm)]]</f>
        <v>0</v>
      </c>
      <c r="K416">
        <f>pHCondMod[[#This Row],[Modification Description]]</f>
        <v>0</v>
      </c>
      <c r="L416" s="1">
        <f>NMRResults[[#This Row],[Date Run]]</f>
        <v>0</v>
      </c>
      <c r="M416" s="1">
        <f>ICPList[[#This Row],[Date Run]]</f>
        <v>0</v>
      </c>
      <c r="N416" s="1">
        <f>GCResults[[#This Row],[Date Run ]]</f>
        <v>0</v>
      </c>
    </row>
    <row r="417" spans="1:14" ht="14.45" x14ac:dyDescent="0.25">
      <c r="A417">
        <f>SampleList[[#This Row],[Experiment ID]]</f>
        <v>0</v>
      </c>
      <c r="B417">
        <f>SampleList[[#This Row],[Sample Description]]</f>
        <v>0</v>
      </c>
      <c r="C417" s="1">
        <f>SampleList[[#This Row],[Date Sampled]]</f>
        <v>0</v>
      </c>
      <c r="D417">
        <f>SampleList[[#This Row],[Duration (Days)]]</f>
        <v>0</v>
      </c>
      <c r="E417">
        <f>NMRResults[[#This Row],[Ammonium Concentration (mM)]]</f>
        <v>0</v>
      </c>
      <c r="F417" t="str">
        <f>GCResults[[#This Row],[H2 (ppm)]]</f>
        <v/>
      </c>
      <c r="G417">
        <f>GCResults[[#This Row],[Total Gas Volume (mL), gas cylinder = 3785mL]]</f>
        <v>0</v>
      </c>
      <c r="H417">
        <f>GCResults[[#This Row],[Pressure on Sampling (PSI), 145PSI=1MPa]]</f>
        <v>3552.5</v>
      </c>
      <c r="I417">
        <f>pHCondMod[[#This Row],[Sample pH]]</f>
        <v>0</v>
      </c>
      <c r="J417">
        <f>pHCondMod[[#This Row],[Sample Conductivity (mS/cm)]]</f>
        <v>0</v>
      </c>
      <c r="K417">
        <f>pHCondMod[[#This Row],[Modification Description]]</f>
        <v>0</v>
      </c>
      <c r="L417" s="1">
        <f>NMRResults[[#This Row],[Date Run]]</f>
        <v>0</v>
      </c>
      <c r="M417" s="1">
        <f>ICPList[[#This Row],[Date Run]]</f>
        <v>0</v>
      </c>
      <c r="N417" s="1">
        <f>GCResults[[#This Row],[Date Run ]]</f>
        <v>0</v>
      </c>
    </row>
    <row r="418" spans="1:14" ht="14.45" x14ac:dyDescent="0.25">
      <c r="A418">
        <f>SampleList[[#This Row],[Experiment ID]]</f>
        <v>0</v>
      </c>
      <c r="B418">
        <f>SampleList[[#This Row],[Sample Description]]</f>
        <v>0</v>
      </c>
      <c r="C418" s="1">
        <f>SampleList[[#This Row],[Date Sampled]]</f>
        <v>0</v>
      </c>
      <c r="D418">
        <f>SampleList[[#This Row],[Duration (Days)]]</f>
        <v>0</v>
      </c>
      <c r="E418">
        <f>NMRResults[[#This Row],[Ammonium Concentration (mM)]]</f>
        <v>0</v>
      </c>
      <c r="F418" t="str">
        <f>GCResults[[#This Row],[H2 (ppm)]]</f>
        <v/>
      </c>
      <c r="G418">
        <f>GCResults[[#This Row],[Total Gas Volume (mL), gas cylinder = 3785mL]]</f>
        <v>0</v>
      </c>
      <c r="H418">
        <f>GCResults[[#This Row],[Pressure on Sampling (PSI), 145PSI=1MPa]]</f>
        <v>3552.5</v>
      </c>
      <c r="I418">
        <f>pHCondMod[[#This Row],[Sample pH]]</f>
        <v>0</v>
      </c>
      <c r="J418">
        <f>pHCondMod[[#This Row],[Sample Conductivity (mS/cm)]]</f>
        <v>0</v>
      </c>
      <c r="K418">
        <f>pHCondMod[[#This Row],[Modification Description]]</f>
        <v>0</v>
      </c>
      <c r="L418" s="1">
        <f>NMRResults[[#This Row],[Date Run]]</f>
        <v>0</v>
      </c>
      <c r="M418" s="1">
        <f>ICPList[[#This Row],[Date Run]]</f>
        <v>0</v>
      </c>
      <c r="N418" s="1">
        <f>GCResults[[#This Row],[Date Run ]]</f>
        <v>0</v>
      </c>
    </row>
    <row r="419" spans="1:14" ht="14.45" x14ac:dyDescent="0.25">
      <c r="A419">
        <f>SampleList[[#This Row],[Experiment ID]]</f>
        <v>0</v>
      </c>
      <c r="B419">
        <f>SampleList[[#This Row],[Sample Description]]</f>
        <v>0</v>
      </c>
      <c r="C419" s="1">
        <f>SampleList[[#This Row],[Date Sampled]]</f>
        <v>0</v>
      </c>
      <c r="D419">
        <f>SampleList[[#This Row],[Duration (Days)]]</f>
        <v>0</v>
      </c>
      <c r="E419">
        <f>NMRResults[[#This Row],[Ammonium Concentration (mM)]]</f>
        <v>0</v>
      </c>
      <c r="F419" t="str">
        <f>GCResults[[#This Row],[H2 (ppm)]]</f>
        <v/>
      </c>
      <c r="G419">
        <f>GCResults[[#This Row],[Total Gas Volume (mL), gas cylinder = 3785mL]]</f>
        <v>0</v>
      </c>
      <c r="H419">
        <f>GCResults[[#This Row],[Pressure on Sampling (PSI), 145PSI=1MPa]]</f>
        <v>3552.5</v>
      </c>
      <c r="I419">
        <f>pHCondMod[[#This Row],[Sample pH]]</f>
        <v>0</v>
      </c>
      <c r="J419">
        <f>pHCondMod[[#This Row],[Sample Conductivity (mS/cm)]]</f>
        <v>0</v>
      </c>
      <c r="K419">
        <f>pHCondMod[[#This Row],[Modification Description]]</f>
        <v>0</v>
      </c>
      <c r="L419" s="1">
        <f>NMRResults[[#This Row],[Date Run]]</f>
        <v>0</v>
      </c>
      <c r="M419" s="1">
        <f>ICPList[[#This Row],[Date Run]]</f>
        <v>0</v>
      </c>
      <c r="N419" s="1">
        <f>GCResults[[#This Row],[Date Run ]]</f>
        <v>0</v>
      </c>
    </row>
    <row r="420" spans="1:14" ht="14.45" x14ac:dyDescent="0.25">
      <c r="A420">
        <f>SampleList[[#This Row],[Experiment ID]]</f>
        <v>0</v>
      </c>
      <c r="B420">
        <f>SampleList[[#This Row],[Sample Description]]</f>
        <v>0</v>
      </c>
      <c r="C420" s="1">
        <f>SampleList[[#This Row],[Date Sampled]]</f>
        <v>0</v>
      </c>
      <c r="D420">
        <f>SampleList[[#This Row],[Duration (Days)]]</f>
        <v>0</v>
      </c>
      <c r="E420">
        <f>NMRResults[[#This Row],[Ammonium Concentration (mM)]]</f>
        <v>0</v>
      </c>
      <c r="F420" t="str">
        <f>GCResults[[#This Row],[H2 (ppm)]]</f>
        <v/>
      </c>
      <c r="G420">
        <f>GCResults[[#This Row],[Total Gas Volume (mL), gas cylinder = 3785mL]]</f>
        <v>0</v>
      </c>
      <c r="H420">
        <f>GCResults[[#This Row],[Pressure on Sampling (PSI), 145PSI=1MPa]]</f>
        <v>3552.5</v>
      </c>
      <c r="I420">
        <f>pHCondMod[[#This Row],[Sample pH]]</f>
        <v>0</v>
      </c>
      <c r="J420">
        <f>pHCondMod[[#This Row],[Sample Conductivity (mS/cm)]]</f>
        <v>0</v>
      </c>
      <c r="K420">
        <f>pHCondMod[[#This Row],[Modification Description]]</f>
        <v>0</v>
      </c>
      <c r="L420" s="1">
        <f>NMRResults[[#This Row],[Date Run]]</f>
        <v>0</v>
      </c>
      <c r="M420" s="1">
        <f>ICPList[[#This Row],[Date Run]]</f>
        <v>0</v>
      </c>
      <c r="N420" s="1">
        <f>GCResults[[#This Row],[Date Run ]]</f>
        <v>0</v>
      </c>
    </row>
    <row r="421" spans="1:14" ht="14.45" x14ac:dyDescent="0.25">
      <c r="A421">
        <f>SampleList[[#This Row],[Experiment ID]]</f>
        <v>0</v>
      </c>
      <c r="B421">
        <f>SampleList[[#This Row],[Sample Description]]</f>
        <v>0</v>
      </c>
      <c r="C421" s="1">
        <f>SampleList[[#This Row],[Date Sampled]]</f>
        <v>0</v>
      </c>
      <c r="D421">
        <f>SampleList[[#This Row],[Duration (Days)]]</f>
        <v>0</v>
      </c>
      <c r="E421">
        <f>NMRResults[[#This Row],[Ammonium Concentration (mM)]]</f>
        <v>0</v>
      </c>
      <c r="F421" t="str">
        <f>GCResults[[#This Row],[H2 (ppm)]]</f>
        <v/>
      </c>
      <c r="G421">
        <f>GCResults[[#This Row],[Total Gas Volume (mL), gas cylinder = 3785mL]]</f>
        <v>0</v>
      </c>
      <c r="H421">
        <f>GCResults[[#This Row],[Pressure on Sampling (PSI), 145PSI=1MPa]]</f>
        <v>3552.5</v>
      </c>
      <c r="I421">
        <f>pHCondMod[[#This Row],[Sample pH]]</f>
        <v>0</v>
      </c>
      <c r="J421">
        <f>pHCondMod[[#This Row],[Sample Conductivity (mS/cm)]]</f>
        <v>0</v>
      </c>
      <c r="K421">
        <f>pHCondMod[[#This Row],[Modification Description]]</f>
        <v>0</v>
      </c>
      <c r="L421" s="1">
        <f>NMRResults[[#This Row],[Date Run]]</f>
        <v>0</v>
      </c>
      <c r="M421" s="1">
        <f>ICPList[[#This Row],[Date Run]]</f>
        <v>0</v>
      </c>
      <c r="N421" s="1">
        <f>GCResults[[#This Row],[Date Run ]]</f>
        <v>0</v>
      </c>
    </row>
    <row r="422" spans="1:14" ht="14.45" x14ac:dyDescent="0.25">
      <c r="A422">
        <f>SampleList[[#This Row],[Experiment ID]]</f>
        <v>0</v>
      </c>
      <c r="B422">
        <f>SampleList[[#This Row],[Sample Description]]</f>
        <v>0</v>
      </c>
      <c r="C422" s="1">
        <f>SampleList[[#This Row],[Date Sampled]]</f>
        <v>0</v>
      </c>
      <c r="D422">
        <f>SampleList[[#This Row],[Duration (Days)]]</f>
        <v>0</v>
      </c>
      <c r="E422">
        <f>NMRResults[[#This Row],[Ammonium Concentration (mM)]]</f>
        <v>0</v>
      </c>
      <c r="F422" t="str">
        <f>GCResults[[#This Row],[H2 (ppm)]]</f>
        <v/>
      </c>
      <c r="G422">
        <f>GCResults[[#This Row],[Total Gas Volume (mL), gas cylinder = 3785mL]]</f>
        <v>0</v>
      </c>
      <c r="H422">
        <f>GCResults[[#This Row],[Pressure on Sampling (PSI), 145PSI=1MPa]]</f>
        <v>3552.5</v>
      </c>
      <c r="I422">
        <f>pHCondMod[[#This Row],[Sample pH]]</f>
        <v>0</v>
      </c>
      <c r="J422">
        <f>pHCondMod[[#This Row],[Sample Conductivity (mS/cm)]]</f>
        <v>0</v>
      </c>
      <c r="K422">
        <f>pHCondMod[[#This Row],[Modification Description]]</f>
        <v>0</v>
      </c>
      <c r="L422" s="1">
        <f>NMRResults[[#This Row],[Date Run]]</f>
        <v>0</v>
      </c>
      <c r="M422" s="1">
        <f>ICPList[[#This Row],[Date Run]]</f>
        <v>0</v>
      </c>
      <c r="N422" s="1">
        <f>GCResults[[#This Row],[Date Run ]]</f>
        <v>0</v>
      </c>
    </row>
    <row r="423" spans="1:14" ht="14.45" x14ac:dyDescent="0.25">
      <c r="A423">
        <f>SampleList[[#This Row],[Experiment ID]]</f>
        <v>0</v>
      </c>
      <c r="B423">
        <f>SampleList[[#This Row],[Sample Description]]</f>
        <v>0</v>
      </c>
      <c r="C423" s="1">
        <f>SampleList[[#This Row],[Date Sampled]]</f>
        <v>0</v>
      </c>
      <c r="D423">
        <f>SampleList[[#This Row],[Duration (Days)]]</f>
        <v>0</v>
      </c>
      <c r="E423">
        <f>NMRResults[[#This Row],[Ammonium Concentration (mM)]]</f>
        <v>0</v>
      </c>
      <c r="F423" t="str">
        <f>GCResults[[#This Row],[H2 (ppm)]]</f>
        <v/>
      </c>
      <c r="G423">
        <f>GCResults[[#This Row],[Total Gas Volume (mL), gas cylinder = 3785mL]]</f>
        <v>0</v>
      </c>
      <c r="H423">
        <f>GCResults[[#This Row],[Pressure on Sampling (PSI), 145PSI=1MPa]]</f>
        <v>3552.5</v>
      </c>
      <c r="I423">
        <f>pHCondMod[[#This Row],[Sample pH]]</f>
        <v>0</v>
      </c>
      <c r="J423">
        <f>pHCondMod[[#This Row],[Sample Conductivity (mS/cm)]]</f>
        <v>0</v>
      </c>
      <c r="K423">
        <f>pHCondMod[[#This Row],[Modification Description]]</f>
        <v>0</v>
      </c>
      <c r="L423" s="1">
        <f>NMRResults[[#This Row],[Date Run]]</f>
        <v>0</v>
      </c>
      <c r="M423" s="1">
        <f>ICPList[[#This Row],[Date Run]]</f>
        <v>0</v>
      </c>
      <c r="N423" s="1">
        <f>GCResults[[#This Row],[Date Run ]]</f>
        <v>0</v>
      </c>
    </row>
    <row r="424" spans="1:14" ht="14.45" x14ac:dyDescent="0.25">
      <c r="A424">
        <f>SampleList[[#This Row],[Experiment ID]]</f>
        <v>0</v>
      </c>
      <c r="B424">
        <f>SampleList[[#This Row],[Sample Description]]</f>
        <v>0</v>
      </c>
      <c r="C424" s="1">
        <f>SampleList[[#This Row],[Date Sampled]]</f>
        <v>0</v>
      </c>
      <c r="D424">
        <f>SampleList[[#This Row],[Duration (Days)]]</f>
        <v>0</v>
      </c>
      <c r="E424">
        <f>NMRResults[[#This Row],[Ammonium Concentration (mM)]]</f>
        <v>0</v>
      </c>
      <c r="F424" t="str">
        <f>GCResults[[#This Row],[H2 (ppm)]]</f>
        <v/>
      </c>
      <c r="G424">
        <f>GCResults[[#This Row],[Total Gas Volume (mL), gas cylinder = 3785mL]]</f>
        <v>0</v>
      </c>
      <c r="H424">
        <f>GCResults[[#This Row],[Pressure on Sampling (PSI), 145PSI=1MPa]]</f>
        <v>3552.5</v>
      </c>
      <c r="I424">
        <f>pHCondMod[[#This Row],[Sample pH]]</f>
        <v>0</v>
      </c>
      <c r="J424">
        <f>pHCondMod[[#This Row],[Sample Conductivity (mS/cm)]]</f>
        <v>0</v>
      </c>
      <c r="K424">
        <f>pHCondMod[[#This Row],[Modification Description]]</f>
        <v>0</v>
      </c>
      <c r="L424" s="1">
        <f>NMRResults[[#This Row],[Date Run]]</f>
        <v>0</v>
      </c>
      <c r="M424" s="1">
        <f>ICPList[[#This Row],[Date Run]]</f>
        <v>0</v>
      </c>
      <c r="N424" s="1">
        <f>GCResults[[#This Row],[Date Run ]]</f>
        <v>0</v>
      </c>
    </row>
    <row r="425" spans="1:14" ht="14.45" x14ac:dyDescent="0.25">
      <c r="A425">
        <f>SampleList[[#This Row],[Experiment ID]]</f>
        <v>0</v>
      </c>
      <c r="B425">
        <f>SampleList[[#This Row],[Sample Description]]</f>
        <v>0</v>
      </c>
      <c r="C425" s="1">
        <f>SampleList[[#This Row],[Date Sampled]]</f>
        <v>0</v>
      </c>
      <c r="D425">
        <f>SampleList[[#This Row],[Duration (Days)]]</f>
        <v>0</v>
      </c>
      <c r="E425">
        <f>NMRResults[[#This Row],[Ammonium Concentration (mM)]]</f>
        <v>0</v>
      </c>
      <c r="F425" t="str">
        <f>GCResults[[#This Row],[H2 (ppm)]]</f>
        <v/>
      </c>
      <c r="G425">
        <f>GCResults[[#This Row],[Total Gas Volume (mL), gas cylinder = 3785mL]]</f>
        <v>0</v>
      </c>
      <c r="H425">
        <f>GCResults[[#This Row],[Pressure on Sampling (PSI), 145PSI=1MPa]]</f>
        <v>3552.5</v>
      </c>
      <c r="I425">
        <f>pHCondMod[[#This Row],[Sample pH]]</f>
        <v>0</v>
      </c>
      <c r="J425">
        <f>pHCondMod[[#This Row],[Sample Conductivity (mS/cm)]]</f>
        <v>0</v>
      </c>
      <c r="K425">
        <f>pHCondMod[[#This Row],[Modification Description]]</f>
        <v>0</v>
      </c>
      <c r="L425" s="1">
        <f>NMRResults[[#This Row],[Date Run]]</f>
        <v>0</v>
      </c>
      <c r="M425" s="1">
        <f>ICPList[[#This Row],[Date Run]]</f>
        <v>0</v>
      </c>
      <c r="N425" s="1">
        <f>GCResults[[#This Row],[Date Run ]]</f>
        <v>0</v>
      </c>
    </row>
    <row r="426" spans="1:14" ht="14.45" x14ac:dyDescent="0.25">
      <c r="A426">
        <f>SampleList[[#This Row],[Experiment ID]]</f>
        <v>0</v>
      </c>
      <c r="B426">
        <f>SampleList[[#This Row],[Sample Description]]</f>
        <v>0</v>
      </c>
      <c r="C426" s="1">
        <f>SampleList[[#This Row],[Date Sampled]]</f>
        <v>0</v>
      </c>
      <c r="D426">
        <f>SampleList[[#This Row],[Duration (Days)]]</f>
        <v>0</v>
      </c>
      <c r="E426">
        <f>NMRResults[[#This Row],[Ammonium Concentration (mM)]]</f>
        <v>0</v>
      </c>
      <c r="F426" t="str">
        <f>GCResults[[#This Row],[H2 (ppm)]]</f>
        <v/>
      </c>
      <c r="G426">
        <f>GCResults[[#This Row],[Total Gas Volume (mL), gas cylinder = 3785mL]]</f>
        <v>0</v>
      </c>
      <c r="H426">
        <f>GCResults[[#This Row],[Pressure on Sampling (PSI), 145PSI=1MPa]]</f>
        <v>3552.5</v>
      </c>
      <c r="I426">
        <f>pHCondMod[[#This Row],[Sample pH]]</f>
        <v>0</v>
      </c>
      <c r="J426">
        <f>pHCondMod[[#This Row],[Sample Conductivity (mS/cm)]]</f>
        <v>0</v>
      </c>
      <c r="K426">
        <f>pHCondMod[[#This Row],[Modification Description]]</f>
        <v>0</v>
      </c>
      <c r="L426" s="1">
        <f>NMRResults[[#This Row],[Date Run]]</f>
        <v>0</v>
      </c>
      <c r="M426" s="1">
        <f>ICPList[[#This Row],[Date Run]]</f>
        <v>0</v>
      </c>
      <c r="N426" s="1">
        <f>GCResults[[#This Row],[Date Run ]]</f>
        <v>0</v>
      </c>
    </row>
    <row r="427" spans="1:14" ht="14.45" x14ac:dyDescent="0.25">
      <c r="A427">
        <f>SampleList[[#This Row],[Experiment ID]]</f>
        <v>0</v>
      </c>
      <c r="B427">
        <f>SampleList[[#This Row],[Sample Description]]</f>
        <v>0</v>
      </c>
      <c r="C427" s="1">
        <f>SampleList[[#This Row],[Date Sampled]]</f>
        <v>0</v>
      </c>
      <c r="D427">
        <f>SampleList[[#This Row],[Duration (Days)]]</f>
        <v>0</v>
      </c>
      <c r="E427">
        <f>NMRResults[[#This Row],[Ammonium Concentration (mM)]]</f>
        <v>0</v>
      </c>
      <c r="F427" t="str">
        <f>GCResults[[#This Row],[H2 (ppm)]]</f>
        <v/>
      </c>
      <c r="G427">
        <f>GCResults[[#This Row],[Total Gas Volume (mL), gas cylinder = 3785mL]]</f>
        <v>0</v>
      </c>
      <c r="H427">
        <f>GCResults[[#This Row],[Pressure on Sampling (PSI), 145PSI=1MPa]]</f>
        <v>3552.5</v>
      </c>
      <c r="I427">
        <f>pHCondMod[[#This Row],[Sample pH]]</f>
        <v>0</v>
      </c>
      <c r="J427">
        <f>pHCondMod[[#This Row],[Sample Conductivity (mS/cm)]]</f>
        <v>0</v>
      </c>
      <c r="K427">
        <f>pHCondMod[[#This Row],[Modification Description]]</f>
        <v>0</v>
      </c>
      <c r="L427" s="1">
        <f>NMRResults[[#This Row],[Date Run]]</f>
        <v>0</v>
      </c>
      <c r="M427" s="1">
        <f>ICPList[[#This Row],[Date Run]]</f>
        <v>0</v>
      </c>
      <c r="N427" s="1">
        <f>GCResults[[#This Row],[Date Run ]]</f>
        <v>0</v>
      </c>
    </row>
    <row r="428" spans="1:14" ht="14.45" x14ac:dyDescent="0.25">
      <c r="A428">
        <f>SampleList[[#This Row],[Experiment ID]]</f>
        <v>0</v>
      </c>
      <c r="B428">
        <f>SampleList[[#This Row],[Sample Description]]</f>
        <v>0</v>
      </c>
      <c r="C428" s="1">
        <f>SampleList[[#This Row],[Date Sampled]]</f>
        <v>0</v>
      </c>
      <c r="D428">
        <f>SampleList[[#This Row],[Duration (Days)]]</f>
        <v>0</v>
      </c>
      <c r="E428">
        <f>NMRResults[[#This Row],[Ammonium Concentration (mM)]]</f>
        <v>0</v>
      </c>
      <c r="F428" t="str">
        <f>GCResults[[#This Row],[H2 (ppm)]]</f>
        <v/>
      </c>
      <c r="G428">
        <f>GCResults[[#This Row],[Total Gas Volume (mL), gas cylinder = 3785mL]]</f>
        <v>0</v>
      </c>
      <c r="H428">
        <f>GCResults[[#This Row],[Pressure on Sampling (PSI), 145PSI=1MPa]]</f>
        <v>3552.5</v>
      </c>
      <c r="I428">
        <f>pHCondMod[[#This Row],[Sample pH]]</f>
        <v>0</v>
      </c>
      <c r="J428">
        <f>pHCondMod[[#This Row],[Sample Conductivity (mS/cm)]]</f>
        <v>0</v>
      </c>
      <c r="K428">
        <f>pHCondMod[[#This Row],[Modification Description]]</f>
        <v>0</v>
      </c>
      <c r="L428" s="1">
        <f>NMRResults[[#This Row],[Date Run]]</f>
        <v>0</v>
      </c>
      <c r="M428" s="1">
        <f>ICPList[[#This Row],[Date Run]]</f>
        <v>0</v>
      </c>
      <c r="N428" s="1">
        <f>GCResults[[#This Row],[Date Run ]]</f>
        <v>0</v>
      </c>
    </row>
    <row r="429" spans="1:14" ht="14.45" x14ac:dyDescent="0.25">
      <c r="A429">
        <f>SampleList[[#This Row],[Experiment ID]]</f>
        <v>0</v>
      </c>
      <c r="B429">
        <f>SampleList[[#This Row],[Sample Description]]</f>
        <v>0</v>
      </c>
      <c r="C429" s="1">
        <f>SampleList[[#This Row],[Date Sampled]]</f>
        <v>0</v>
      </c>
      <c r="D429">
        <f>SampleList[[#This Row],[Duration (Days)]]</f>
        <v>0</v>
      </c>
      <c r="E429">
        <f>NMRResults[[#This Row],[Ammonium Concentration (mM)]]</f>
        <v>0</v>
      </c>
      <c r="F429" t="str">
        <f>GCResults[[#This Row],[H2 (ppm)]]</f>
        <v/>
      </c>
      <c r="G429">
        <f>GCResults[[#This Row],[Total Gas Volume (mL), gas cylinder = 3785mL]]</f>
        <v>0</v>
      </c>
      <c r="H429">
        <f>GCResults[[#This Row],[Pressure on Sampling (PSI), 145PSI=1MPa]]</f>
        <v>3552.5</v>
      </c>
      <c r="I429">
        <f>pHCondMod[[#This Row],[Sample pH]]</f>
        <v>0</v>
      </c>
      <c r="J429">
        <f>pHCondMod[[#This Row],[Sample Conductivity (mS/cm)]]</f>
        <v>0</v>
      </c>
      <c r="K429">
        <f>pHCondMod[[#This Row],[Modification Description]]</f>
        <v>0</v>
      </c>
      <c r="L429" s="1">
        <f>NMRResults[[#This Row],[Date Run]]</f>
        <v>0</v>
      </c>
      <c r="M429" s="1">
        <f>ICPList[[#This Row],[Date Run]]</f>
        <v>0</v>
      </c>
      <c r="N429" s="1">
        <f>GCResults[[#This Row],[Date Run ]]</f>
        <v>0</v>
      </c>
    </row>
    <row r="430" spans="1:14" ht="14.45" x14ac:dyDescent="0.25">
      <c r="A430">
        <f>SampleList[[#This Row],[Experiment ID]]</f>
        <v>0</v>
      </c>
      <c r="B430">
        <f>SampleList[[#This Row],[Sample Description]]</f>
        <v>0</v>
      </c>
      <c r="C430" s="1">
        <f>SampleList[[#This Row],[Date Sampled]]</f>
        <v>0</v>
      </c>
      <c r="D430">
        <f>SampleList[[#This Row],[Duration (Days)]]</f>
        <v>0</v>
      </c>
      <c r="E430">
        <f>NMRResults[[#This Row],[Ammonium Concentration (mM)]]</f>
        <v>0</v>
      </c>
      <c r="F430" t="str">
        <f>GCResults[[#This Row],[H2 (ppm)]]</f>
        <v/>
      </c>
      <c r="G430">
        <f>GCResults[[#This Row],[Total Gas Volume (mL), gas cylinder = 3785mL]]</f>
        <v>0</v>
      </c>
      <c r="H430">
        <f>GCResults[[#This Row],[Pressure on Sampling (PSI), 145PSI=1MPa]]</f>
        <v>3552.5</v>
      </c>
      <c r="I430">
        <f>pHCondMod[[#This Row],[Sample pH]]</f>
        <v>0</v>
      </c>
      <c r="J430">
        <f>pHCondMod[[#This Row],[Sample Conductivity (mS/cm)]]</f>
        <v>0</v>
      </c>
      <c r="K430">
        <f>pHCondMod[[#This Row],[Modification Description]]</f>
        <v>0</v>
      </c>
      <c r="L430" s="1">
        <f>NMRResults[[#This Row],[Date Run]]</f>
        <v>0</v>
      </c>
      <c r="M430" s="1">
        <f>ICPList[[#This Row],[Date Run]]</f>
        <v>0</v>
      </c>
      <c r="N430" s="1">
        <f>GCResults[[#This Row],[Date Run ]]</f>
        <v>0</v>
      </c>
    </row>
    <row r="431" spans="1:14" ht="14.45" x14ac:dyDescent="0.25">
      <c r="A431">
        <f>SampleList[[#This Row],[Experiment ID]]</f>
        <v>0</v>
      </c>
      <c r="B431">
        <f>SampleList[[#This Row],[Sample Description]]</f>
        <v>0</v>
      </c>
      <c r="C431" s="1">
        <f>SampleList[[#This Row],[Date Sampled]]</f>
        <v>0</v>
      </c>
      <c r="D431">
        <f>SampleList[[#This Row],[Duration (Days)]]</f>
        <v>0</v>
      </c>
      <c r="E431">
        <f>NMRResults[[#This Row],[Ammonium Concentration (mM)]]</f>
        <v>0</v>
      </c>
      <c r="F431" t="str">
        <f>GCResults[[#This Row],[H2 (ppm)]]</f>
        <v/>
      </c>
      <c r="G431">
        <f>GCResults[[#This Row],[Total Gas Volume (mL), gas cylinder = 3785mL]]</f>
        <v>0</v>
      </c>
      <c r="H431">
        <f>GCResults[[#This Row],[Pressure on Sampling (PSI), 145PSI=1MPa]]</f>
        <v>3552.5</v>
      </c>
      <c r="I431">
        <f>pHCondMod[[#This Row],[Sample pH]]</f>
        <v>0</v>
      </c>
      <c r="J431">
        <f>pHCondMod[[#This Row],[Sample Conductivity (mS/cm)]]</f>
        <v>0</v>
      </c>
      <c r="K431">
        <f>pHCondMod[[#This Row],[Modification Description]]</f>
        <v>0</v>
      </c>
      <c r="L431" s="1">
        <f>NMRResults[[#This Row],[Date Run]]</f>
        <v>0</v>
      </c>
      <c r="M431" s="1">
        <f>ICPList[[#This Row],[Date Run]]</f>
        <v>0</v>
      </c>
      <c r="N431" s="1">
        <f>GCResults[[#This Row],[Date Run ]]</f>
        <v>0</v>
      </c>
    </row>
    <row r="432" spans="1:14" ht="14.45" x14ac:dyDescent="0.25">
      <c r="A432">
        <f>SampleList[[#This Row],[Experiment ID]]</f>
        <v>0</v>
      </c>
      <c r="B432">
        <f>SampleList[[#This Row],[Sample Description]]</f>
        <v>0</v>
      </c>
      <c r="C432" s="1">
        <f>SampleList[[#This Row],[Date Sampled]]</f>
        <v>0</v>
      </c>
      <c r="D432">
        <f>SampleList[[#This Row],[Duration (Days)]]</f>
        <v>0</v>
      </c>
      <c r="E432">
        <f>NMRResults[[#This Row],[Ammonium Concentration (mM)]]</f>
        <v>0</v>
      </c>
      <c r="F432" t="str">
        <f>GCResults[[#This Row],[H2 (ppm)]]</f>
        <v/>
      </c>
      <c r="G432">
        <f>GCResults[[#This Row],[Total Gas Volume (mL), gas cylinder = 3785mL]]</f>
        <v>0</v>
      </c>
      <c r="H432">
        <f>GCResults[[#This Row],[Pressure on Sampling (PSI), 145PSI=1MPa]]</f>
        <v>3552.5</v>
      </c>
      <c r="I432">
        <f>pHCondMod[[#This Row],[Sample pH]]</f>
        <v>0</v>
      </c>
      <c r="J432">
        <f>pHCondMod[[#This Row],[Sample Conductivity (mS/cm)]]</f>
        <v>0</v>
      </c>
      <c r="K432">
        <f>pHCondMod[[#This Row],[Modification Description]]</f>
        <v>0</v>
      </c>
      <c r="L432" s="1">
        <f>NMRResults[[#This Row],[Date Run]]</f>
        <v>0</v>
      </c>
      <c r="M432" s="1">
        <f>ICPList[[#This Row],[Date Run]]</f>
        <v>0</v>
      </c>
      <c r="N432" s="1">
        <f>GCResults[[#This Row],[Date Run ]]</f>
        <v>0</v>
      </c>
    </row>
    <row r="433" spans="1:14" ht="14.45" x14ac:dyDescent="0.25">
      <c r="A433">
        <f>SampleList[[#This Row],[Experiment ID]]</f>
        <v>0</v>
      </c>
      <c r="B433">
        <f>SampleList[[#This Row],[Sample Description]]</f>
        <v>0</v>
      </c>
      <c r="C433" s="1">
        <f>SampleList[[#This Row],[Date Sampled]]</f>
        <v>0</v>
      </c>
      <c r="D433">
        <f>SampleList[[#This Row],[Duration (Days)]]</f>
        <v>0</v>
      </c>
      <c r="E433">
        <f>NMRResults[[#This Row],[Ammonium Concentration (mM)]]</f>
        <v>0</v>
      </c>
      <c r="F433" t="str">
        <f>GCResults[[#This Row],[H2 (ppm)]]</f>
        <v/>
      </c>
      <c r="G433">
        <f>GCResults[[#This Row],[Total Gas Volume (mL), gas cylinder = 3785mL]]</f>
        <v>0</v>
      </c>
      <c r="H433">
        <f>GCResults[[#This Row],[Pressure on Sampling (PSI), 145PSI=1MPa]]</f>
        <v>3552.5</v>
      </c>
      <c r="I433">
        <f>pHCondMod[[#This Row],[Sample pH]]</f>
        <v>0</v>
      </c>
      <c r="J433">
        <f>pHCondMod[[#This Row],[Sample Conductivity (mS/cm)]]</f>
        <v>0</v>
      </c>
      <c r="K433">
        <f>pHCondMod[[#This Row],[Modification Description]]</f>
        <v>0</v>
      </c>
      <c r="L433" s="1">
        <f>NMRResults[[#This Row],[Date Run]]</f>
        <v>0</v>
      </c>
      <c r="M433" s="1">
        <f>ICPList[[#This Row],[Date Run]]</f>
        <v>0</v>
      </c>
      <c r="N433" s="1">
        <f>GCResults[[#This Row],[Date Run ]]</f>
        <v>0</v>
      </c>
    </row>
    <row r="434" spans="1:14" ht="14.45" x14ac:dyDescent="0.25">
      <c r="A434">
        <f>SampleList[[#This Row],[Experiment ID]]</f>
        <v>0</v>
      </c>
      <c r="B434">
        <f>SampleList[[#This Row],[Sample Description]]</f>
        <v>0</v>
      </c>
      <c r="C434" s="1">
        <f>SampleList[[#This Row],[Date Sampled]]</f>
        <v>0</v>
      </c>
      <c r="D434">
        <f>SampleList[[#This Row],[Duration (Days)]]</f>
        <v>0</v>
      </c>
      <c r="E434">
        <f>NMRResults[[#This Row],[Ammonium Concentration (mM)]]</f>
        <v>0</v>
      </c>
      <c r="F434" t="str">
        <f>GCResults[[#This Row],[H2 (ppm)]]</f>
        <v/>
      </c>
      <c r="G434">
        <f>GCResults[[#This Row],[Total Gas Volume (mL), gas cylinder = 3785mL]]</f>
        <v>0</v>
      </c>
      <c r="H434">
        <f>GCResults[[#This Row],[Pressure on Sampling (PSI), 145PSI=1MPa]]</f>
        <v>3552.5</v>
      </c>
      <c r="I434">
        <f>pHCondMod[[#This Row],[Sample pH]]</f>
        <v>0</v>
      </c>
      <c r="J434">
        <f>pHCondMod[[#This Row],[Sample Conductivity (mS/cm)]]</f>
        <v>0</v>
      </c>
      <c r="K434">
        <f>pHCondMod[[#This Row],[Modification Description]]</f>
        <v>0</v>
      </c>
      <c r="L434" s="1">
        <f>NMRResults[[#This Row],[Date Run]]</f>
        <v>0</v>
      </c>
      <c r="M434" s="1">
        <f>ICPList[[#This Row],[Date Run]]</f>
        <v>0</v>
      </c>
      <c r="N434" s="1">
        <f>GCResults[[#This Row],[Date Run ]]</f>
        <v>0</v>
      </c>
    </row>
    <row r="435" spans="1:14" ht="14.45" x14ac:dyDescent="0.25">
      <c r="A435">
        <f>SampleList[[#This Row],[Experiment ID]]</f>
        <v>0</v>
      </c>
      <c r="B435">
        <f>SampleList[[#This Row],[Sample Description]]</f>
        <v>0</v>
      </c>
      <c r="C435" s="1">
        <f>SampleList[[#This Row],[Date Sampled]]</f>
        <v>0</v>
      </c>
      <c r="D435">
        <f>SampleList[[#This Row],[Duration (Days)]]</f>
        <v>0</v>
      </c>
      <c r="E435">
        <f>NMRResults[[#This Row],[Ammonium Concentration (mM)]]</f>
        <v>0</v>
      </c>
      <c r="F435" t="str">
        <f>GCResults[[#This Row],[H2 (ppm)]]</f>
        <v/>
      </c>
      <c r="G435">
        <f>GCResults[[#This Row],[Total Gas Volume (mL), gas cylinder = 3785mL]]</f>
        <v>0</v>
      </c>
      <c r="H435">
        <f>GCResults[[#This Row],[Pressure on Sampling (PSI), 145PSI=1MPa]]</f>
        <v>3552.5</v>
      </c>
      <c r="I435">
        <f>pHCondMod[[#This Row],[Sample pH]]</f>
        <v>0</v>
      </c>
      <c r="J435">
        <f>pHCondMod[[#This Row],[Sample Conductivity (mS/cm)]]</f>
        <v>0</v>
      </c>
      <c r="K435">
        <f>pHCondMod[[#This Row],[Modification Description]]</f>
        <v>0</v>
      </c>
      <c r="L435" s="1">
        <f>NMRResults[[#This Row],[Date Run]]</f>
        <v>0</v>
      </c>
      <c r="M435" s="1">
        <f>ICPList[[#This Row],[Date Run]]</f>
        <v>0</v>
      </c>
      <c r="N435" s="1">
        <f>GCResults[[#This Row],[Date Run ]]</f>
        <v>0</v>
      </c>
    </row>
    <row r="436" spans="1:14" ht="14.45" x14ac:dyDescent="0.25">
      <c r="A436">
        <f>SampleList[[#This Row],[Experiment ID]]</f>
        <v>0</v>
      </c>
      <c r="B436">
        <f>SampleList[[#This Row],[Sample Description]]</f>
        <v>0</v>
      </c>
      <c r="C436" s="1">
        <f>SampleList[[#This Row],[Date Sampled]]</f>
        <v>0</v>
      </c>
      <c r="D436">
        <f>SampleList[[#This Row],[Duration (Days)]]</f>
        <v>0</v>
      </c>
      <c r="E436">
        <f>NMRResults[[#This Row],[Ammonium Concentration (mM)]]</f>
        <v>0</v>
      </c>
      <c r="F436" t="str">
        <f>GCResults[[#This Row],[H2 (ppm)]]</f>
        <v/>
      </c>
      <c r="G436">
        <f>GCResults[[#This Row],[Total Gas Volume (mL), gas cylinder = 3785mL]]</f>
        <v>0</v>
      </c>
      <c r="H436">
        <f>GCResults[[#This Row],[Pressure on Sampling (PSI), 145PSI=1MPa]]</f>
        <v>3552.5</v>
      </c>
      <c r="I436">
        <f>pHCondMod[[#This Row],[Sample pH]]</f>
        <v>0</v>
      </c>
      <c r="J436">
        <f>pHCondMod[[#This Row],[Sample Conductivity (mS/cm)]]</f>
        <v>0</v>
      </c>
      <c r="K436">
        <f>pHCondMod[[#This Row],[Modification Description]]</f>
        <v>0</v>
      </c>
      <c r="L436" s="1">
        <f>NMRResults[[#This Row],[Date Run]]</f>
        <v>0</v>
      </c>
      <c r="M436" s="1">
        <f>ICPList[[#This Row],[Date Run]]</f>
        <v>0</v>
      </c>
      <c r="N436" s="1">
        <f>GCResults[[#This Row],[Date Run ]]</f>
        <v>0</v>
      </c>
    </row>
    <row r="437" spans="1:14" ht="14.45" x14ac:dyDescent="0.25">
      <c r="A437">
        <f>SampleList[[#This Row],[Experiment ID]]</f>
        <v>0</v>
      </c>
      <c r="B437">
        <f>SampleList[[#This Row],[Sample Description]]</f>
        <v>0</v>
      </c>
      <c r="C437" s="1">
        <f>SampleList[[#This Row],[Date Sampled]]</f>
        <v>0</v>
      </c>
      <c r="D437">
        <f>SampleList[[#This Row],[Duration (Days)]]</f>
        <v>0</v>
      </c>
      <c r="E437">
        <f>NMRResults[[#This Row],[Ammonium Concentration (mM)]]</f>
        <v>0</v>
      </c>
      <c r="F437" t="str">
        <f>GCResults[[#This Row],[H2 (ppm)]]</f>
        <v/>
      </c>
      <c r="G437">
        <f>GCResults[[#This Row],[Total Gas Volume (mL), gas cylinder = 3785mL]]</f>
        <v>0</v>
      </c>
      <c r="H437">
        <f>GCResults[[#This Row],[Pressure on Sampling (PSI), 145PSI=1MPa]]</f>
        <v>3552.5</v>
      </c>
      <c r="I437">
        <f>pHCondMod[[#This Row],[Sample pH]]</f>
        <v>0</v>
      </c>
      <c r="J437">
        <f>pHCondMod[[#This Row],[Sample Conductivity (mS/cm)]]</f>
        <v>0</v>
      </c>
      <c r="K437">
        <f>pHCondMod[[#This Row],[Modification Description]]</f>
        <v>0</v>
      </c>
      <c r="L437" s="1">
        <f>NMRResults[[#This Row],[Date Run]]</f>
        <v>0</v>
      </c>
      <c r="M437" s="1">
        <f>ICPList[[#This Row],[Date Run]]</f>
        <v>0</v>
      </c>
      <c r="N437" s="1">
        <f>GCResults[[#This Row],[Date Run ]]</f>
        <v>0</v>
      </c>
    </row>
    <row r="438" spans="1:14" ht="14.45" x14ac:dyDescent="0.25">
      <c r="A438">
        <f>SampleList[[#This Row],[Experiment ID]]</f>
        <v>0</v>
      </c>
      <c r="B438">
        <f>SampleList[[#This Row],[Sample Description]]</f>
        <v>0</v>
      </c>
      <c r="C438" s="1">
        <f>SampleList[[#This Row],[Date Sampled]]</f>
        <v>0</v>
      </c>
      <c r="D438">
        <f>SampleList[[#This Row],[Duration (Days)]]</f>
        <v>0</v>
      </c>
      <c r="E438">
        <f>NMRResults[[#This Row],[Ammonium Concentration (mM)]]</f>
        <v>0</v>
      </c>
      <c r="F438" t="str">
        <f>GCResults[[#This Row],[H2 (ppm)]]</f>
        <v/>
      </c>
      <c r="G438">
        <f>GCResults[[#This Row],[Total Gas Volume (mL), gas cylinder = 3785mL]]</f>
        <v>0</v>
      </c>
      <c r="H438">
        <f>GCResults[[#This Row],[Pressure on Sampling (PSI), 145PSI=1MPa]]</f>
        <v>3552.5</v>
      </c>
      <c r="I438">
        <f>pHCondMod[[#This Row],[Sample pH]]</f>
        <v>0</v>
      </c>
      <c r="J438">
        <f>pHCondMod[[#This Row],[Sample Conductivity (mS/cm)]]</f>
        <v>0</v>
      </c>
      <c r="K438">
        <f>pHCondMod[[#This Row],[Modification Description]]</f>
        <v>0</v>
      </c>
      <c r="L438" s="1">
        <f>NMRResults[[#This Row],[Date Run]]</f>
        <v>0</v>
      </c>
      <c r="M438" s="1">
        <f>ICPList[[#This Row],[Date Run]]</f>
        <v>0</v>
      </c>
      <c r="N438" s="1">
        <f>GCResults[[#This Row],[Date Run ]]</f>
        <v>0</v>
      </c>
    </row>
    <row r="439" spans="1:14" ht="14.45" x14ac:dyDescent="0.25">
      <c r="A439">
        <f>SampleList[[#This Row],[Experiment ID]]</f>
        <v>0</v>
      </c>
      <c r="B439">
        <f>SampleList[[#This Row],[Sample Description]]</f>
        <v>0</v>
      </c>
      <c r="C439" s="1">
        <f>SampleList[[#This Row],[Date Sampled]]</f>
        <v>0</v>
      </c>
      <c r="D439">
        <f>SampleList[[#This Row],[Duration (Days)]]</f>
        <v>0</v>
      </c>
      <c r="E439">
        <f>NMRResults[[#This Row],[Ammonium Concentration (mM)]]</f>
        <v>0</v>
      </c>
      <c r="F439" t="str">
        <f>GCResults[[#This Row],[H2 (ppm)]]</f>
        <v/>
      </c>
      <c r="G439">
        <f>GCResults[[#This Row],[Total Gas Volume (mL), gas cylinder = 3785mL]]</f>
        <v>0</v>
      </c>
      <c r="H439">
        <f>GCResults[[#This Row],[Pressure on Sampling (PSI), 145PSI=1MPa]]</f>
        <v>3552.5</v>
      </c>
      <c r="I439">
        <f>pHCondMod[[#This Row],[Sample pH]]</f>
        <v>0</v>
      </c>
      <c r="J439">
        <f>pHCondMod[[#This Row],[Sample Conductivity (mS/cm)]]</f>
        <v>0</v>
      </c>
      <c r="K439">
        <f>pHCondMod[[#This Row],[Modification Description]]</f>
        <v>0</v>
      </c>
      <c r="L439" s="1">
        <f>NMRResults[[#This Row],[Date Run]]</f>
        <v>0</v>
      </c>
      <c r="M439" s="1">
        <f>ICPList[[#This Row],[Date Run]]</f>
        <v>0</v>
      </c>
      <c r="N439" s="1">
        <f>GCResults[[#This Row],[Date Run ]]</f>
        <v>0</v>
      </c>
    </row>
    <row r="440" spans="1:14" ht="14.45" x14ac:dyDescent="0.25">
      <c r="A440">
        <f>SampleList[[#This Row],[Experiment ID]]</f>
        <v>0</v>
      </c>
      <c r="B440">
        <f>SampleList[[#This Row],[Sample Description]]</f>
        <v>0</v>
      </c>
      <c r="C440" s="1">
        <f>SampleList[[#This Row],[Date Sampled]]</f>
        <v>0</v>
      </c>
      <c r="D440">
        <f>SampleList[[#This Row],[Duration (Days)]]</f>
        <v>0</v>
      </c>
      <c r="E440">
        <f>NMRResults[[#This Row],[Ammonium Concentration (mM)]]</f>
        <v>0</v>
      </c>
      <c r="F440" t="str">
        <f>GCResults[[#This Row],[H2 (ppm)]]</f>
        <v/>
      </c>
      <c r="G440">
        <f>GCResults[[#This Row],[Total Gas Volume (mL), gas cylinder = 3785mL]]</f>
        <v>0</v>
      </c>
      <c r="H440">
        <f>GCResults[[#This Row],[Pressure on Sampling (PSI), 145PSI=1MPa]]</f>
        <v>3552.5</v>
      </c>
      <c r="I440">
        <f>pHCondMod[[#This Row],[Sample pH]]</f>
        <v>0</v>
      </c>
      <c r="J440">
        <f>pHCondMod[[#This Row],[Sample Conductivity (mS/cm)]]</f>
        <v>0</v>
      </c>
      <c r="K440">
        <f>pHCondMod[[#This Row],[Modification Description]]</f>
        <v>0</v>
      </c>
      <c r="L440" s="1">
        <f>NMRResults[[#This Row],[Date Run]]</f>
        <v>0</v>
      </c>
      <c r="M440" s="1">
        <f>ICPList[[#This Row],[Date Run]]</f>
        <v>0</v>
      </c>
      <c r="N440" s="1">
        <f>GCResults[[#This Row],[Date Run ]]</f>
        <v>0</v>
      </c>
    </row>
    <row r="441" spans="1:14" ht="14.45" x14ac:dyDescent="0.25">
      <c r="A441">
        <f>SampleList[[#This Row],[Experiment ID]]</f>
        <v>0</v>
      </c>
      <c r="B441">
        <f>SampleList[[#This Row],[Sample Description]]</f>
        <v>0</v>
      </c>
      <c r="C441" s="1">
        <f>SampleList[[#This Row],[Date Sampled]]</f>
        <v>0</v>
      </c>
      <c r="D441">
        <f>SampleList[[#This Row],[Duration (Days)]]</f>
        <v>0</v>
      </c>
      <c r="E441">
        <f>NMRResults[[#This Row],[Ammonium Concentration (mM)]]</f>
        <v>0</v>
      </c>
      <c r="F441" t="str">
        <f>GCResults[[#This Row],[H2 (ppm)]]</f>
        <v/>
      </c>
      <c r="G441">
        <f>GCResults[[#This Row],[Total Gas Volume (mL), gas cylinder = 3785mL]]</f>
        <v>0</v>
      </c>
      <c r="H441">
        <f>GCResults[[#This Row],[Pressure on Sampling (PSI), 145PSI=1MPa]]</f>
        <v>3552.5</v>
      </c>
      <c r="I441">
        <f>pHCondMod[[#This Row],[Sample pH]]</f>
        <v>0</v>
      </c>
      <c r="J441">
        <f>pHCondMod[[#This Row],[Sample Conductivity (mS/cm)]]</f>
        <v>0</v>
      </c>
      <c r="K441">
        <f>pHCondMod[[#This Row],[Modification Description]]</f>
        <v>0</v>
      </c>
      <c r="L441" s="1">
        <f>NMRResults[[#This Row],[Date Run]]</f>
        <v>0</v>
      </c>
      <c r="M441" s="1">
        <f>ICPList[[#This Row],[Date Run]]</f>
        <v>0</v>
      </c>
      <c r="N441" s="1">
        <f>GCResults[[#This Row],[Date Run ]]</f>
        <v>0</v>
      </c>
    </row>
    <row r="442" spans="1:14" ht="14.45" x14ac:dyDescent="0.25">
      <c r="A442">
        <f>SampleList[[#This Row],[Experiment ID]]</f>
        <v>0</v>
      </c>
      <c r="B442">
        <f>SampleList[[#This Row],[Sample Description]]</f>
        <v>0</v>
      </c>
      <c r="C442" s="1">
        <f>SampleList[[#This Row],[Date Sampled]]</f>
        <v>0</v>
      </c>
      <c r="D442">
        <f>SampleList[[#This Row],[Duration (Days)]]</f>
        <v>0</v>
      </c>
      <c r="E442">
        <f>NMRResults[[#This Row],[Ammonium Concentration (mM)]]</f>
        <v>0</v>
      </c>
      <c r="F442" t="str">
        <f>GCResults[[#This Row],[H2 (ppm)]]</f>
        <v/>
      </c>
      <c r="G442">
        <f>GCResults[[#This Row],[Total Gas Volume (mL), gas cylinder = 3785mL]]</f>
        <v>0</v>
      </c>
      <c r="H442">
        <f>GCResults[[#This Row],[Pressure on Sampling (PSI), 145PSI=1MPa]]</f>
        <v>3552.5</v>
      </c>
      <c r="I442">
        <f>pHCondMod[[#This Row],[Sample pH]]</f>
        <v>0</v>
      </c>
      <c r="J442">
        <f>pHCondMod[[#This Row],[Sample Conductivity (mS/cm)]]</f>
        <v>0</v>
      </c>
      <c r="K442">
        <f>pHCondMod[[#This Row],[Modification Description]]</f>
        <v>0</v>
      </c>
      <c r="L442" s="1">
        <f>NMRResults[[#This Row],[Date Run]]</f>
        <v>0</v>
      </c>
      <c r="M442" s="1">
        <f>ICPList[[#This Row],[Date Run]]</f>
        <v>0</v>
      </c>
      <c r="N442" s="1">
        <f>GCResults[[#This Row],[Date Run ]]</f>
        <v>0</v>
      </c>
    </row>
    <row r="443" spans="1:14" ht="14.45" x14ac:dyDescent="0.25">
      <c r="A443">
        <f>SampleList[[#This Row],[Experiment ID]]</f>
        <v>0</v>
      </c>
      <c r="B443">
        <f>SampleList[[#This Row],[Sample Description]]</f>
        <v>0</v>
      </c>
      <c r="C443" s="1">
        <f>SampleList[[#This Row],[Date Sampled]]</f>
        <v>0</v>
      </c>
      <c r="D443">
        <f>SampleList[[#This Row],[Duration (Days)]]</f>
        <v>0</v>
      </c>
      <c r="E443">
        <f>NMRResults[[#This Row],[Ammonium Concentration (mM)]]</f>
        <v>0</v>
      </c>
      <c r="F443" t="str">
        <f>GCResults[[#This Row],[H2 (ppm)]]</f>
        <v/>
      </c>
      <c r="G443">
        <f>GCResults[[#This Row],[Total Gas Volume (mL), gas cylinder = 3785mL]]</f>
        <v>0</v>
      </c>
      <c r="H443">
        <f>GCResults[[#This Row],[Pressure on Sampling (PSI), 145PSI=1MPa]]</f>
        <v>3552.5</v>
      </c>
      <c r="I443">
        <f>pHCondMod[[#This Row],[Sample pH]]</f>
        <v>0</v>
      </c>
      <c r="J443">
        <f>pHCondMod[[#This Row],[Sample Conductivity (mS/cm)]]</f>
        <v>0</v>
      </c>
      <c r="K443">
        <f>pHCondMod[[#This Row],[Modification Description]]</f>
        <v>0</v>
      </c>
      <c r="L443" s="1">
        <f>NMRResults[[#This Row],[Date Run]]</f>
        <v>0</v>
      </c>
      <c r="M443" s="1">
        <f>ICPList[[#This Row],[Date Run]]</f>
        <v>0</v>
      </c>
      <c r="N443" s="1">
        <f>GCResults[[#This Row],[Date Run ]]</f>
        <v>0</v>
      </c>
    </row>
    <row r="444" spans="1:14" ht="14.45" x14ac:dyDescent="0.25">
      <c r="A444">
        <f>SampleList[[#This Row],[Experiment ID]]</f>
        <v>0</v>
      </c>
      <c r="B444">
        <f>SampleList[[#This Row],[Sample Description]]</f>
        <v>0</v>
      </c>
      <c r="C444" s="1">
        <f>SampleList[[#This Row],[Date Sampled]]</f>
        <v>0</v>
      </c>
      <c r="D444">
        <f>SampleList[[#This Row],[Duration (Days)]]</f>
        <v>0</v>
      </c>
      <c r="E444">
        <f>NMRResults[[#This Row],[Ammonium Concentration (mM)]]</f>
        <v>0</v>
      </c>
      <c r="F444" t="str">
        <f>GCResults[[#This Row],[H2 (ppm)]]</f>
        <v/>
      </c>
      <c r="G444">
        <f>GCResults[[#This Row],[Total Gas Volume (mL), gas cylinder = 3785mL]]</f>
        <v>0</v>
      </c>
      <c r="H444">
        <f>GCResults[[#This Row],[Pressure on Sampling (PSI), 145PSI=1MPa]]</f>
        <v>3552.5</v>
      </c>
      <c r="I444">
        <f>pHCondMod[[#This Row],[Sample pH]]</f>
        <v>0</v>
      </c>
      <c r="J444">
        <f>pHCondMod[[#This Row],[Sample Conductivity (mS/cm)]]</f>
        <v>0</v>
      </c>
      <c r="K444">
        <f>pHCondMod[[#This Row],[Modification Description]]</f>
        <v>0</v>
      </c>
      <c r="L444" s="1">
        <f>NMRResults[[#This Row],[Date Run]]</f>
        <v>0</v>
      </c>
      <c r="M444" s="1">
        <f>ICPList[[#This Row],[Date Run]]</f>
        <v>0</v>
      </c>
      <c r="N444" s="1">
        <f>GCResults[[#This Row],[Date Run ]]</f>
        <v>0</v>
      </c>
    </row>
    <row r="445" spans="1:14" ht="14.45" x14ac:dyDescent="0.25">
      <c r="A445">
        <f>SampleList[[#This Row],[Experiment ID]]</f>
        <v>0</v>
      </c>
      <c r="B445">
        <f>SampleList[[#This Row],[Sample Description]]</f>
        <v>0</v>
      </c>
      <c r="C445" s="1">
        <f>SampleList[[#This Row],[Date Sampled]]</f>
        <v>0</v>
      </c>
      <c r="D445">
        <f>SampleList[[#This Row],[Duration (Days)]]</f>
        <v>0</v>
      </c>
      <c r="E445">
        <f>NMRResults[[#This Row],[Ammonium Concentration (mM)]]</f>
        <v>0</v>
      </c>
      <c r="F445" t="str">
        <f>GCResults[[#This Row],[H2 (ppm)]]</f>
        <v/>
      </c>
      <c r="G445">
        <f>GCResults[[#This Row],[Total Gas Volume (mL), gas cylinder = 3785mL]]</f>
        <v>0</v>
      </c>
      <c r="H445">
        <f>GCResults[[#This Row],[Pressure on Sampling (PSI), 145PSI=1MPa]]</f>
        <v>3552.5</v>
      </c>
      <c r="I445">
        <f>pHCondMod[[#This Row],[Sample pH]]</f>
        <v>0</v>
      </c>
      <c r="J445">
        <f>pHCondMod[[#This Row],[Sample Conductivity (mS/cm)]]</f>
        <v>0</v>
      </c>
      <c r="K445">
        <f>pHCondMod[[#This Row],[Modification Description]]</f>
        <v>0</v>
      </c>
      <c r="L445" s="1">
        <f>NMRResults[[#This Row],[Date Run]]</f>
        <v>0</v>
      </c>
      <c r="M445" s="1">
        <f>ICPList[[#This Row],[Date Run]]</f>
        <v>0</v>
      </c>
      <c r="N445" s="1">
        <f>GCResults[[#This Row],[Date Run ]]</f>
        <v>0</v>
      </c>
    </row>
    <row r="446" spans="1:14" ht="14.45" x14ac:dyDescent="0.25">
      <c r="A446">
        <f>SampleList[[#This Row],[Experiment ID]]</f>
        <v>0</v>
      </c>
      <c r="B446">
        <f>SampleList[[#This Row],[Sample Description]]</f>
        <v>0</v>
      </c>
      <c r="C446" s="1">
        <f>SampleList[[#This Row],[Date Sampled]]</f>
        <v>0</v>
      </c>
      <c r="D446">
        <f>SampleList[[#This Row],[Duration (Days)]]</f>
        <v>0</v>
      </c>
      <c r="E446">
        <f>NMRResults[[#This Row],[Ammonium Concentration (mM)]]</f>
        <v>0</v>
      </c>
      <c r="F446" t="str">
        <f>GCResults[[#This Row],[H2 (ppm)]]</f>
        <v/>
      </c>
      <c r="G446">
        <f>GCResults[[#This Row],[Total Gas Volume (mL), gas cylinder = 3785mL]]</f>
        <v>0</v>
      </c>
      <c r="H446">
        <f>GCResults[[#This Row],[Pressure on Sampling (PSI), 145PSI=1MPa]]</f>
        <v>3552.5</v>
      </c>
      <c r="I446">
        <f>pHCondMod[[#This Row],[Sample pH]]</f>
        <v>0</v>
      </c>
      <c r="J446">
        <f>pHCondMod[[#This Row],[Sample Conductivity (mS/cm)]]</f>
        <v>0</v>
      </c>
      <c r="K446">
        <f>pHCondMod[[#This Row],[Modification Description]]</f>
        <v>0</v>
      </c>
      <c r="L446" s="1">
        <f>NMRResults[[#This Row],[Date Run]]</f>
        <v>0</v>
      </c>
      <c r="M446" s="1">
        <f>ICPList[[#This Row],[Date Run]]</f>
        <v>0</v>
      </c>
      <c r="N446" s="1">
        <f>GCResults[[#This Row],[Date Run ]]</f>
        <v>0</v>
      </c>
    </row>
    <row r="447" spans="1:14" ht="14.45" x14ac:dyDescent="0.25">
      <c r="A447">
        <f>SampleList[[#This Row],[Experiment ID]]</f>
        <v>0</v>
      </c>
      <c r="B447">
        <f>SampleList[[#This Row],[Sample Description]]</f>
        <v>0</v>
      </c>
      <c r="C447" s="1">
        <f>SampleList[[#This Row],[Date Sampled]]</f>
        <v>0</v>
      </c>
      <c r="D447">
        <f>SampleList[[#This Row],[Duration (Days)]]</f>
        <v>0</v>
      </c>
      <c r="E447">
        <f>NMRResults[[#This Row],[Ammonium Concentration (mM)]]</f>
        <v>0</v>
      </c>
      <c r="F447" t="str">
        <f>GCResults[[#This Row],[H2 (ppm)]]</f>
        <v/>
      </c>
      <c r="G447">
        <f>GCResults[[#This Row],[Total Gas Volume (mL), gas cylinder = 3785mL]]</f>
        <v>0</v>
      </c>
      <c r="H447">
        <f>GCResults[[#This Row],[Pressure on Sampling (PSI), 145PSI=1MPa]]</f>
        <v>3552.5</v>
      </c>
      <c r="I447">
        <f>pHCondMod[[#This Row],[Sample pH]]</f>
        <v>0</v>
      </c>
      <c r="J447">
        <f>pHCondMod[[#This Row],[Sample Conductivity (mS/cm)]]</f>
        <v>0</v>
      </c>
      <c r="K447">
        <f>pHCondMod[[#This Row],[Modification Description]]</f>
        <v>0</v>
      </c>
      <c r="L447" s="1">
        <f>NMRResults[[#This Row],[Date Run]]</f>
        <v>0</v>
      </c>
      <c r="M447" s="1">
        <f>ICPList[[#This Row],[Date Run]]</f>
        <v>0</v>
      </c>
      <c r="N447" s="1">
        <f>GCResults[[#This Row],[Date Run ]]</f>
        <v>0</v>
      </c>
    </row>
    <row r="448" spans="1:14" ht="14.45" x14ac:dyDescent="0.25">
      <c r="A448">
        <f>SampleList[[#This Row],[Experiment ID]]</f>
        <v>0</v>
      </c>
      <c r="B448">
        <f>SampleList[[#This Row],[Sample Description]]</f>
        <v>0</v>
      </c>
      <c r="C448" s="1">
        <f>SampleList[[#This Row],[Date Sampled]]</f>
        <v>0</v>
      </c>
      <c r="D448">
        <f>SampleList[[#This Row],[Duration (Days)]]</f>
        <v>0</v>
      </c>
      <c r="E448">
        <f>NMRResults[[#This Row],[Ammonium Concentration (mM)]]</f>
        <v>0</v>
      </c>
      <c r="F448" t="str">
        <f>GCResults[[#This Row],[H2 (ppm)]]</f>
        <v/>
      </c>
      <c r="G448">
        <f>GCResults[[#This Row],[Total Gas Volume (mL), gas cylinder = 3785mL]]</f>
        <v>0</v>
      </c>
      <c r="H448">
        <f>GCResults[[#This Row],[Pressure on Sampling (PSI), 145PSI=1MPa]]</f>
        <v>3552.5</v>
      </c>
      <c r="I448">
        <f>pHCondMod[[#This Row],[Sample pH]]</f>
        <v>0</v>
      </c>
      <c r="J448">
        <f>pHCondMod[[#This Row],[Sample Conductivity (mS/cm)]]</f>
        <v>0</v>
      </c>
      <c r="K448">
        <f>pHCondMod[[#This Row],[Modification Description]]</f>
        <v>0</v>
      </c>
      <c r="L448" s="1">
        <f>NMRResults[[#This Row],[Date Run]]</f>
        <v>0</v>
      </c>
      <c r="M448" s="1">
        <f>ICPList[[#This Row],[Date Run]]</f>
        <v>0</v>
      </c>
      <c r="N448" s="1">
        <f>GCResults[[#This Row],[Date Run ]]</f>
        <v>0</v>
      </c>
    </row>
    <row r="449" spans="1:14" ht="14.45" x14ac:dyDescent="0.25">
      <c r="A449">
        <f>SampleList[[#This Row],[Experiment ID]]</f>
        <v>0</v>
      </c>
      <c r="B449">
        <f>SampleList[[#This Row],[Sample Description]]</f>
        <v>0</v>
      </c>
      <c r="C449" s="1">
        <f>SampleList[[#This Row],[Date Sampled]]</f>
        <v>0</v>
      </c>
      <c r="D449">
        <f>SampleList[[#This Row],[Duration (Days)]]</f>
        <v>0</v>
      </c>
      <c r="E449">
        <f>NMRResults[[#This Row],[Ammonium Concentration (mM)]]</f>
        <v>0</v>
      </c>
      <c r="F449" t="str">
        <f>GCResults[[#This Row],[H2 (ppm)]]</f>
        <v/>
      </c>
      <c r="G449">
        <f>GCResults[[#This Row],[Total Gas Volume (mL), gas cylinder = 3785mL]]</f>
        <v>0</v>
      </c>
      <c r="H449">
        <f>GCResults[[#This Row],[Pressure on Sampling (PSI), 145PSI=1MPa]]</f>
        <v>3552.5</v>
      </c>
      <c r="I449">
        <f>pHCondMod[[#This Row],[Sample pH]]</f>
        <v>0</v>
      </c>
      <c r="J449">
        <f>pHCondMod[[#This Row],[Sample Conductivity (mS/cm)]]</f>
        <v>0</v>
      </c>
      <c r="K449">
        <f>pHCondMod[[#This Row],[Modification Description]]</f>
        <v>0</v>
      </c>
      <c r="L449" s="1">
        <f>NMRResults[[#This Row],[Date Run]]</f>
        <v>0</v>
      </c>
      <c r="M449" s="1">
        <f>ICPList[[#This Row],[Date Run]]</f>
        <v>0</v>
      </c>
      <c r="N449" s="1">
        <f>GCResults[[#This Row],[Date Run ]]</f>
        <v>0</v>
      </c>
    </row>
    <row r="450" spans="1:14" ht="14.45" x14ac:dyDescent="0.25">
      <c r="A450">
        <f>SampleList[[#This Row],[Experiment ID]]</f>
        <v>0</v>
      </c>
      <c r="B450">
        <f>SampleList[[#This Row],[Sample Description]]</f>
        <v>0</v>
      </c>
      <c r="C450" s="1">
        <f>SampleList[[#This Row],[Date Sampled]]</f>
        <v>0</v>
      </c>
      <c r="D450">
        <f>SampleList[[#This Row],[Duration (Days)]]</f>
        <v>0</v>
      </c>
      <c r="E450">
        <f>NMRResults[[#This Row],[Ammonium Concentration (mM)]]</f>
        <v>0</v>
      </c>
      <c r="F450" t="str">
        <f>GCResults[[#This Row],[H2 (ppm)]]</f>
        <v/>
      </c>
      <c r="G450">
        <f>GCResults[[#This Row],[Total Gas Volume (mL), gas cylinder = 3785mL]]</f>
        <v>0</v>
      </c>
      <c r="H450">
        <f>GCResults[[#This Row],[Pressure on Sampling (PSI), 145PSI=1MPa]]</f>
        <v>3552.5</v>
      </c>
      <c r="I450">
        <f>pHCondMod[[#This Row],[Sample pH]]</f>
        <v>0</v>
      </c>
      <c r="J450">
        <f>pHCondMod[[#This Row],[Sample Conductivity (mS/cm)]]</f>
        <v>0</v>
      </c>
      <c r="K450">
        <f>pHCondMod[[#This Row],[Modification Description]]</f>
        <v>0</v>
      </c>
      <c r="L450" s="1">
        <f>NMRResults[[#This Row],[Date Run]]</f>
        <v>0</v>
      </c>
      <c r="M450" s="1">
        <f>ICPList[[#This Row],[Date Run]]</f>
        <v>0</v>
      </c>
      <c r="N450" s="1">
        <f>GCResults[[#This Row],[Date Run ]]</f>
        <v>0</v>
      </c>
    </row>
    <row r="451" spans="1:14" ht="14.45" x14ac:dyDescent="0.25">
      <c r="A451">
        <f>SampleList[[#This Row],[Experiment ID]]</f>
        <v>0</v>
      </c>
      <c r="B451">
        <f>SampleList[[#This Row],[Sample Description]]</f>
        <v>0</v>
      </c>
      <c r="C451" s="1">
        <f>SampleList[[#This Row],[Date Sampled]]</f>
        <v>0</v>
      </c>
      <c r="D451">
        <f>SampleList[[#This Row],[Duration (Days)]]</f>
        <v>0</v>
      </c>
      <c r="E451">
        <f>NMRResults[[#This Row],[Ammonium Concentration (mM)]]</f>
        <v>0</v>
      </c>
      <c r="F451" t="str">
        <f>GCResults[[#This Row],[H2 (ppm)]]</f>
        <v/>
      </c>
      <c r="G451">
        <f>GCResults[[#This Row],[Total Gas Volume (mL), gas cylinder = 3785mL]]</f>
        <v>0</v>
      </c>
      <c r="H451">
        <f>GCResults[[#This Row],[Pressure on Sampling (PSI), 145PSI=1MPa]]</f>
        <v>3552.5</v>
      </c>
      <c r="I451">
        <f>pHCondMod[[#This Row],[Sample pH]]</f>
        <v>0</v>
      </c>
      <c r="J451">
        <f>pHCondMod[[#This Row],[Sample Conductivity (mS/cm)]]</f>
        <v>0</v>
      </c>
      <c r="K451">
        <f>pHCondMod[[#This Row],[Modification Description]]</f>
        <v>0</v>
      </c>
      <c r="L451" s="1">
        <f>NMRResults[[#This Row],[Date Run]]</f>
        <v>0</v>
      </c>
      <c r="M451" s="1">
        <f>ICPList[[#This Row],[Date Run]]</f>
        <v>0</v>
      </c>
      <c r="N451" s="1">
        <f>GCResults[[#This Row],[Date Run ]]</f>
        <v>0</v>
      </c>
    </row>
    <row r="452" spans="1:14" ht="14.45" x14ac:dyDescent="0.25">
      <c r="A452">
        <f>SampleList[[#This Row],[Experiment ID]]</f>
        <v>0</v>
      </c>
      <c r="B452">
        <f>SampleList[[#This Row],[Sample Description]]</f>
        <v>0</v>
      </c>
      <c r="C452" s="1">
        <f>SampleList[[#This Row],[Date Sampled]]</f>
        <v>0</v>
      </c>
      <c r="D452">
        <f>SampleList[[#This Row],[Duration (Days)]]</f>
        <v>0</v>
      </c>
      <c r="E452">
        <f>NMRResults[[#This Row],[Ammonium Concentration (mM)]]</f>
        <v>0</v>
      </c>
      <c r="F452" t="str">
        <f>GCResults[[#This Row],[H2 (ppm)]]</f>
        <v/>
      </c>
      <c r="G452">
        <f>GCResults[[#This Row],[Total Gas Volume (mL), gas cylinder = 3785mL]]</f>
        <v>0</v>
      </c>
      <c r="H452">
        <f>GCResults[[#This Row],[Pressure on Sampling (PSI), 145PSI=1MPa]]</f>
        <v>3552.5</v>
      </c>
      <c r="I452">
        <f>pHCondMod[[#This Row],[Sample pH]]</f>
        <v>0</v>
      </c>
      <c r="J452">
        <f>pHCondMod[[#This Row],[Sample Conductivity (mS/cm)]]</f>
        <v>0</v>
      </c>
      <c r="K452">
        <f>pHCondMod[[#This Row],[Modification Description]]</f>
        <v>0</v>
      </c>
      <c r="L452" s="1">
        <f>NMRResults[[#This Row],[Date Run]]</f>
        <v>0</v>
      </c>
      <c r="M452" s="1">
        <f>ICPList[[#This Row],[Date Run]]</f>
        <v>0</v>
      </c>
      <c r="N452" s="1">
        <f>GCResults[[#This Row],[Date Run ]]</f>
        <v>0</v>
      </c>
    </row>
    <row r="453" spans="1:14" ht="14.45" x14ac:dyDescent="0.25">
      <c r="A453">
        <f>SampleList[[#This Row],[Experiment ID]]</f>
        <v>0</v>
      </c>
      <c r="B453">
        <f>SampleList[[#This Row],[Sample Description]]</f>
        <v>0</v>
      </c>
      <c r="C453" s="1">
        <f>SampleList[[#This Row],[Date Sampled]]</f>
        <v>0</v>
      </c>
      <c r="D453">
        <f>SampleList[[#This Row],[Duration (Days)]]</f>
        <v>0</v>
      </c>
      <c r="E453">
        <f>NMRResults[[#This Row],[Ammonium Concentration (mM)]]</f>
        <v>0</v>
      </c>
      <c r="F453" t="str">
        <f>GCResults[[#This Row],[H2 (ppm)]]</f>
        <v/>
      </c>
      <c r="G453">
        <f>GCResults[[#This Row],[Total Gas Volume (mL), gas cylinder = 3785mL]]</f>
        <v>0</v>
      </c>
      <c r="H453">
        <f>GCResults[[#This Row],[Pressure on Sampling (PSI), 145PSI=1MPa]]</f>
        <v>3552.5</v>
      </c>
      <c r="I453">
        <f>pHCondMod[[#This Row],[Sample pH]]</f>
        <v>0</v>
      </c>
      <c r="J453">
        <f>pHCondMod[[#This Row],[Sample Conductivity (mS/cm)]]</f>
        <v>0</v>
      </c>
      <c r="K453">
        <f>pHCondMod[[#This Row],[Modification Description]]</f>
        <v>0</v>
      </c>
      <c r="L453" s="1">
        <f>NMRResults[[#This Row],[Date Run]]</f>
        <v>0</v>
      </c>
      <c r="M453" s="1">
        <f>ICPList[[#This Row],[Date Run]]</f>
        <v>0</v>
      </c>
      <c r="N453" s="1">
        <f>GCResults[[#This Row],[Date Run ]]</f>
        <v>0</v>
      </c>
    </row>
    <row r="454" spans="1:14" ht="14.45" x14ac:dyDescent="0.25">
      <c r="A454">
        <f>SampleList[[#This Row],[Experiment ID]]</f>
        <v>0</v>
      </c>
      <c r="B454">
        <f>SampleList[[#This Row],[Sample Description]]</f>
        <v>0</v>
      </c>
      <c r="C454" s="1">
        <f>SampleList[[#This Row],[Date Sampled]]</f>
        <v>0</v>
      </c>
      <c r="D454">
        <f>SampleList[[#This Row],[Duration (Days)]]</f>
        <v>0</v>
      </c>
      <c r="E454">
        <f>NMRResults[[#This Row],[Ammonium Concentration (mM)]]</f>
        <v>0</v>
      </c>
      <c r="F454" t="str">
        <f>GCResults[[#This Row],[H2 (ppm)]]</f>
        <v/>
      </c>
      <c r="G454">
        <f>GCResults[[#This Row],[Total Gas Volume (mL), gas cylinder = 3785mL]]</f>
        <v>0</v>
      </c>
      <c r="H454">
        <f>GCResults[[#This Row],[Pressure on Sampling (PSI), 145PSI=1MPa]]</f>
        <v>3552.5</v>
      </c>
      <c r="I454">
        <f>pHCondMod[[#This Row],[Sample pH]]</f>
        <v>0</v>
      </c>
      <c r="J454">
        <f>pHCondMod[[#This Row],[Sample Conductivity (mS/cm)]]</f>
        <v>0</v>
      </c>
      <c r="K454">
        <f>pHCondMod[[#This Row],[Modification Description]]</f>
        <v>0</v>
      </c>
      <c r="L454" s="1">
        <f>NMRResults[[#This Row],[Date Run]]</f>
        <v>0</v>
      </c>
      <c r="M454" s="1">
        <f>ICPList[[#This Row],[Date Run]]</f>
        <v>0</v>
      </c>
      <c r="N454" s="1">
        <f>GCResults[[#This Row],[Date Run ]]</f>
        <v>0</v>
      </c>
    </row>
    <row r="455" spans="1:14" ht="14.45" x14ac:dyDescent="0.25">
      <c r="A455">
        <f>SampleList[[#This Row],[Experiment ID]]</f>
        <v>0</v>
      </c>
      <c r="B455">
        <f>SampleList[[#This Row],[Sample Description]]</f>
        <v>0</v>
      </c>
      <c r="C455" s="1">
        <f>SampleList[[#This Row],[Date Sampled]]</f>
        <v>0</v>
      </c>
      <c r="D455">
        <f>SampleList[[#This Row],[Duration (Days)]]</f>
        <v>0</v>
      </c>
      <c r="E455">
        <f>NMRResults[[#This Row],[Ammonium Concentration (mM)]]</f>
        <v>0</v>
      </c>
      <c r="F455" t="str">
        <f>GCResults[[#This Row],[H2 (ppm)]]</f>
        <v/>
      </c>
      <c r="G455">
        <f>GCResults[[#This Row],[Total Gas Volume (mL), gas cylinder = 3785mL]]</f>
        <v>0</v>
      </c>
      <c r="H455">
        <f>GCResults[[#This Row],[Pressure on Sampling (PSI), 145PSI=1MPa]]</f>
        <v>3552.5</v>
      </c>
      <c r="I455">
        <f>pHCondMod[[#This Row],[Sample pH]]</f>
        <v>0</v>
      </c>
      <c r="J455">
        <f>pHCondMod[[#This Row],[Sample Conductivity (mS/cm)]]</f>
        <v>0</v>
      </c>
      <c r="K455">
        <f>pHCondMod[[#This Row],[Modification Description]]</f>
        <v>0</v>
      </c>
      <c r="L455" s="1">
        <f>NMRResults[[#This Row],[Date Run]]</f>
        <v>0</v>
      </c>
      <c r="M455" s="1">
        <f>ICPList[[#This Row],[Date Run]]</f>
        <v>0</v>
      </c>
      <c r="N455" s="1">
        <f>GCResults[[#This Row],[Date Run ]]</f>
        <v>0</v>
      </c>
    </row>
    <row r="456" spans="1:14" ht="14.45" x14ac:dyDescent="0.25">
      <c r="A456">
        <f>SampleList[[#This Row],[Experiment ID]]</f>
        <v>0</v>
      </c>
      <c r="B456">
        <f>SampleList[[#This Row],[Sample Description]]</f>
        <v>0</v>
      </c>
      <c r="C456" s="1">
        <f>SampleList[[#This Row],[Date Sampled]]</f>
        <v>0</v>
      </c>
      <c r="D456">
        <f>SampleList[[#This Row],[Duration (Days)]]</f>
        <v>0</v>
      </c>
      <c r="E456">
        <f>NMRResults[[#This Row],[Ammonium Concentration (mM)]]</f>
        <v>0</v>
      </c>
      <c r="F456" t="str">
        <f>GCResults[[#This Row],[H2 (ppm)]]</f>
        <v/>
      </c>
      <c r="G456">
        <f>GCResults[[#This Row],[Total Gas Volume (mL), gas cylinder = 3785mL]]</f>
        <v>0</v>
      </c>
      <c r="H456">
        <f>GCResults[[#This Row],[Pressure on Sampling (PSI), 145PSI=1MPa]]</f>
        <v>3552.5</v>
      </c>
      <c r="I456">
        <f>pHCondMod[[#This Row],[Sample pH]]</f>
        <v>0</v>
      </c>
      <c r="J456">
        <f>pHCondMod[[#This Row],[Sample Conductivity (mS/cm)]]</f>
        <v>0</v>
      </c>
      <c r="K456">
        <f>pHCondMod[[#This Row],[Modification Description]]</f>
        <v>0</v>
      </c>
      <c r="L456" s="1">
        <f>NMRResults[[#This Row],[Date Run]]</f>
        <v>0</v>
      </c>
      <c r="M456" s="1">
        <f>ICPList[[#This Row],[Date Run]]</f>
        <v>0</v>
      </c>
      <c r="N456" s="1">
        <f>GCResults[[#This Row],[Date Run ]]</f>
        <v>0</v>
      </c>
    </row>
    <row r="457" spans="1:14" ht="14.45" x14ac:dyDescent="0.25">
      <c r="A457">
        <f>SampleList[[#This Row],[Experiment ID]]</f>
        <v>0</v>
      </c>
      <c r="B457">
        <f>SampleList[[#This Row],[Sample Description]]</f>
        <v>0</v>
      </c>
      <c r="C457" s="1">
        <f>SampleList[[#This Row],[Date Sampled]]</f>
        <v>0</v>
      </c>
      <c r="D457">
        <f>SampleList[[#This Row],[Duration (Days)]]</f>
        <v>0</v>
      </c>
      <c r="E457">
        <f>NMRResults[[#This Row],[Ammonium Concentration (mM)]]</f>
        <v>0</v>
      </c>
      <c r="F457" t="str">
        <f>GCResults[[#This Row],[H2 (ppm)]]</f>
        <v/>
      </c>
      <c r="G457">
        <f>GCResults[[#This Row],[Total Gas Volume (mL), gas cylinder = 3785mL]]</f>
        <v>0</v>
      </c>
      <c r="H457">
        <f>GCResults[[#This Row],[Pressure on Sampling (PSI), 145PSI=1MPa]]</f>
        <v>3552.5</v>
      </c>
      <c r="I457">
        <f>pHCondMod[[#This Row],[Sample pH]]</f>
        <v>0</v>
      </c>
      <c r="J457">
        <f>pHCondMod[[#This Row],[Sample Conductivity (mS/cm)]]</f>
        <v>0</v>
      </c>
      <c r="K457">
        <f>pHCondMod[[#This Row],[Modification Description]]</f>
        <v>0</v>
      </c>
      <c r="L457" s="1">
        <f>NMRResults[[#This Row],[Date Run]]</f>
        <v>0</v>
      </c>
      <c r="M457" s="1">
        <f>ICPList[[#This Row],[Date Run]]</f>
        <v>0</v>
      </c>
      <c r="N457" s="1">
        <f>GCResults[[#This Row],[Date Run ]]</f>
        <v>0</v>
      </c>
    </row>
    <row r="458" spans="1:14" ht="14.45" x14ac:dyDescent="0.25">
      <c r="A458">
        <f>SampleList[[#This Row],[Experiment ID]]</f>
        <v>0</v>
      </c>
      <c r="B458">
        <f>SampleList[[#This Row],[Sample Description]]</f>
        <v>0</v>
      </c>
      <c r="C458" s="1">
        <f>SampleList[[#This Row],[Date Sampled]]</f>
        <v>0</v>
      </c>
      <c r="D458">
        <f>SampleList[[#This Row],[Duration (Days)]]</f>
        <v>0</v>
      </c>
      <c r="E458">
        <f>NMRResults[[#This Row],[Ammonium Concentration (mM)]]</f>
        <v>0</v>
      </c>
      <c r="F458" t="str">
        <f>GCResults[[#This Row],[H2 (ppm)]]</f>
        <v/>
      </c>
      <c r="G458">
        <f>GCResults[[#This Row],[Total Gas Volume (mL), gas cylinder = 3785mL]]</f>
        <v>0</v>
      </c>
      <c r="H458">
        <f>GCResults[[#This Row],[Pressure on Sampling (PSI), 145PSI=1MPa]]</f>
        <v>3552.5</v>
      </c>
      <c r="I458">
        <f>pHCondMod[[#This Row],[Sample pH]]</f>
        <v>0</v>
      </c>
      <c r="J458">
        <f>pHCondMod[[#This Row],[Sample Conductivity (mS/cm)]]</f>
        <v>0</v>
      </c>
      <c r="K458">
        <f>pHCondMod[[#This Row],[Modification Description]]</f>
        <v>0</v>
      </c>
      <c r="L458" s="1">
        <f>NMRResults[[#This Row],[Date Run]]</f>
        <v>0</v>
      </c>
      <c r="M458" s="1">
        <f>ICPList[[#This Row],[Date Run]]</f>
        <v>0</v>
      </c>
      <c r="N458" s="1">
        <f>GCResults[[#This Row],[Date Run ]]</f>
        <v>0</v>
      </c>
    </row>
    <row r="459" spans="1:14" ht="14.45" x14ac:dyDescent="0.25">
      <c r="A459">
        <f>SampleList[[#This Row],[Experiment ID]]</f>
        <v>0</v>
      </c>
      <c r="B459">
        <f>SampleList[[#This Row],[Sample Description]]</f>
        <v>0</v>
      </c>
      <c r="C459" s="1">
        <f>SampleList[[#This Row],[Date Sampled]]</f>
        <v>0</v>
      </c>
      <c r="D459">
        <f>SampleList[[#This Row],[Duration (Days)]]</f>
        <v>0</v>
      </c>
      <c r="E459">
        <f>NMRResults[[#This Row],[Ammonium Concentration (mM)]]</f>
        <v>0</v>
      </c>
      <c r="F459" t="str">
        <f>GCResults[[#This Row],[H2 (ppm)]]</f>
        <v/>
      </c>
      <c r="G459">
        <f>GCResults[[#This Row],[Total Gas Volume (mL), gas cylinder = 3785mL]]</f>
        <v>0</v>
      </c>
      <c r="H459">
        <f>GCResults[[#This Row],[Pressure on Sampling (PSI), 145PSI=1MPa]]</f>
        <v>3552.5</v>
      </c>
      <c r="I459">
        <f>pHCondMod[[#This Row],[Sample pH]]</f>
        <v>0</v>
      </c>
      <c r="J459">
        <f>pHCondMod[[#This Row],[Sample Conductivity (mS/cm)]]</f>
        <v>0</v>
      </c>
      <c r="K459">
        <f>pHCondMod[[#This Row],[Modification Description]]</f>
        <v>0</v>
      </c>
      <c r="L459" s="1">
        <f>NMRResults[[#This Row],[Date Run]]</f>
        <v>0</v>
      </c>
      <c r="M459" s="1">
        <f>ICPList[[#This Row],[Date Run]]</f>
        <v>0</v>
      </c>
      <c r="N459" s="1">
        <f>GCResults[[#This Row],[Date Run ]]</f>
        <v>0</v>
      </c>
    </row>
    <row r="460" spans="1:14" ht="14.45" x14ac:dyDescent="0.25">
      <c r="A460">
        <f>SampleList[[#This Row],[Experiment ID]]</f>
        <v>0</v>
      </c>
      <c r="B460">
        <f>SampleList[[#This Row],[Sample Description]]</f>
        <v>0</v>
      </c>
      <c r="C460" s="1">
        <f>SampleList[[#This Row],[Date Sampled]]</f>
        <v>0</v>
      </c>
      <c r="D460">
        <f>SampleList[[#This Row],[Duration (Days)]]</f>
        <v>0</v>
      </c>
      <c r="E460">
        <f>NMRResults[[#This Row],[Ammonium Concentration (mM)]]</f>
        <v>0</v>
      </c>
      <c r="F460" t="str">
        <f>GCResults[[#This Row],[H2 (ppm)]]</f>
        <v/>
      </c>
      <c r="G460">
        <f>GCResults[[#This Row],[Total Gas Volume (mL), gas cylinder = 3785mL]]</f>
        <v>0</v>
      </c>
      <c r="H460">
        <f>GCResults[[#This Row],[Pressure on Sampling (PSI), 145PSI=1MPa]]</f>
        <v>3552.5</v>
      </c>
      <c r="I460">
        <f>pHCondMod[[#This Row],[Sample pH]]</f>
        <v>0</v>
      </c>
      <c r="J460">
        <f>pHCondMod[[#This Row],[Sample Conductivity (mS/cm)]]</f>
        <v>0</v>
      </c>
      <c r="K460">
        <f>pHCondMod[[#This Row],[Modification Description]]</f>
        <v>0</v>
      </c>
      <c r="L460" s="1">
        <f>NMRResults[[#This Row],[Date Run]]</f>
        <v>0</v>
      </c>
      <c r="M460" s="1">
        <f>ICPList[[#This Row],[Date Run]]</f>
        <v>0</v>
      </c>
      <c r="N460" s="1">
        <f>GCResults[[#This Row],[Date Run ]]</f>
        <v>0</v>
      </c>
    </row>
    <row r="461" spans="1:14" ht="14.45" x14ac:dyDescent="0.25">
      <c r="A461">
        <f>SampleList[[#This Row],[Experiment ID]]</f>
        <v>0</v>
      </c>
      <c r="B461">
        <f>SampleList[[#This Row],[Sample Description]]</f>
        <v>0</v>
      </c>
      <c r="C461" s="1">
        <f>SampleList[[#This Row],[Date Sampled]]</f>
        <v>0</v>
      </c>
      <c r="D461">
        <f>SampleList[[#This Row],[Duration (Days)]]</f>
        <v>0</v>
      </c>
      <c r="E461">
        <f>NMRResults[[#This Row],[Ammonium Concentration (mM)]]</f>
        <v>0</v>
      </c>
      <c r="F461" t="str">
        <f>GCResults[[#This Row],[H2 (ppm)]]</f>
        <v/>
      </c>
      <c r="G461">
        <f>GCResults[[#This Row],[Total Gas Volume (mL), gas cylinder = 3785mL]]</f>
        <v>0</v>
      </c>
      <c r="H461">
        <f>GCResults[[#This Row],[Pressure on Sampling (PSI), 145PSI=1MPa]]</f>
        <v>3552.5</v>
      </c>
      <c r="I461">
        <f>pHCondMod[[#This Row],[Sample pH]]</f>
        <v>0</v>
      </c>
      <c r="J461">
        <f>pHCondMod[[#This Row],[Sample Conductivity (mS/cm)]]</f>
        <v>0</v>
      </c>
      <c r="K461">
        <f>pHCondMod[[#This Row],[Modification Description]]</f>
        <v>0</v>
      </c>
      <c r="L461" s="1">
        <f>NMRResults[[#This Row],[Date Run]]</f>
        <v>0</v>
      </c>
      <c r="M461" s="1">
        <f>ICPList[[#This Row],[Date Run]]</f>
        <v>0</v>
      </c>
      <c r="N461" s="1">
        <f>GCResults[[#This Row],[Date Run ]]</f>
        <v>0</v>
      </c>
    </row>
    <row r="462" spans="1:14" ht="14.45" x14ac:dyDescent="0.25">
      <c r="A462">
        <f>SampleList[[#This Row],[Experiment ID]]</f>
        <v>0</v>
      </c>
      <c r="B462">
        <f>SampleList[[#This Row],[Sample Description]]</f>
        <v>0</v>
      </c>
      <c r="C462" s="1">
        <f>SampleList[[#This Row],[Date Sampled]]</f>
        <v>0</v>
      </c>
      <c r="D462">
        <f>SampleList[[#This Row],[Duration (Days)]]</f>
        <v>0</v>
      </c>
      <c r="E462">
        <f>NMRResults[[#This Row],[Ammonium Concentration (mM)]]</f>
        <v>0</v>
      </c>
      <c r="F462" t="str">
        <f>GCResults[[#This Row],[H2 (ppm)]]</f>
        <v/>
      </c>
      <c r="G462">
        <f>GCResults[[#This Row],[Total Gas Volume (mL), gas cylinder = 3785mL]]</f>
        <v>0</v>
      </c>
      <c r="H462">
        <f>GCResults[[#This Row],[Pressure on Sampling (PSI), 145PSI=1MPa]]</f>
        <v>3552.5</v>
      </c>
      <c r="I462">
        <f>pHCondMod[[#This Row],[Sample pH]]</f>
        <v>0</v>
      </c>
      <c r="J462">
        <f>pHCondMod[[#This Row],[Sample Conductivity (mS/cm)]]</f>
        <v>0</v>
      </c>
      <c r="K462">
        <f>pHCondMod[[#This Row],[Modification Description]]</f>
        <v>0</v>
      </c>
      <c r="L462" s="1">
        <f>NMRResults[[#This Row],[Date Run]]</f>
        <v>0</v>
      </c>
      <c r="M462" s="1">
        <f>ICPList[[#This Row],[Date Run]]</f>
        <v>0</v>
      </c>
      <c r="N462" s="1">
        <f>GCResults[[#This Row],[Date Run ]]</f>
        <v>0</v>
      </c>
    </row>
    <row r="463" spans="1:14" ht="14.45" x14ac:dyDescent="0.25">
      <c r="A463">
        <f>SampleList[[#This Row],[Experiment ID]]</f>
        <v>0</v>
      </c>
      <c r="B463">
        <f>SampleList[[#This Row],[Sample Description]]</f>
        <v>0</v>
      </c>
      <c r="C463" s="1">
        <f>SampleList[[#This Row],[Date Sampled]]</f>
        <v>0</v>
      </c>
      <c r="D463">
        <f>SampleList[[#This Row],[Duration (Days)]]</f>
        <v>0</v>
      </c>
      <c r="E463">
        <f>NMRResults[[#This Row],[Ammonium Concentration (mM)]]</f>
        <v>0</v>
      </c>
      <c r="F463" t="str">
        <f>GCResults[[#This Row],[H2 (ppm)]]</f>
        <v/>
      </c>
      <c r="G463">
        <f>GCResults[[#This Row],[Total Gas Volume (mL), gas cylinder = 3785mL]]</f>
        <v>0</v>
      </c>
      <c r="H463">
        <f>GCResults[[#This Row],[Pressure on Sampling (PSI), 145PSI=1MPa]]</f>
        <v>3552.5</v>
      </c>
      <c r="I463">
        <f>pHCondMod[[#This Row],[Sample pH]]</f>
        <v>0</v>
      </c>
      <c r="J463">
        <f>pHCondMod[[#This Row],[Sample Conductivity (mS/cm)]]</f>
        <v>0</v>
      </c>
      <c r="K463">
        <f>pHCondMod[[#This Row],[Modification Description]]</f>
        <v>0</v>
      </c>
      <c r="L463" s="1">
        <f>NMRResults[[#This Row],[Date Run]]</f>
        <v>0</v>
      </c>
      <c r="M463" s="1">
        <f>ICPList[[#This Row],[Date Run]]</f>
        <v>0</v>
      </c>
      <c r="N463" s="1">
        <f>GCResults[[#This Row],[Date Run ]]</f>
        <v>0</v>
      </c>
    </row>
    <row r="464" spans="1:14" ht="14.45" x14ac:dyDescent="0.25">
      <c r="A464">
        <f>SampleList[[#This Row],[Experiment ID]]</f>
        <v>0</v>
      </c>
      <c r="B464">
        <f>SampleList[[#This Row],[Sample Description]]</f>
        <v>0</v>
      </c>
      <c r="C464" s="1">
        <f>SampleList[[#This Row],[Date Sampled]]</f>
        <v>0</v>
      </c>
      <c r="D464">
        <f>SampleList[[#This Row],[Duration (Days)]]</f>
        <v>0</v>
      </c>
      <c r="E464">
        <f>NMRResults[[#This Row],[Ammonium Concentration (mM)]]</f>
        <v>0</v>
      </c>
      <c r="F464" t="str">
        <f>GCResults[[#This Row],[H2 (ppm)]]</f>
        <v/>
      </c>
      <c r="G464">
        <f>GCResults[[#This Row],[Total Gas Volume (mL), gas cylinder = 3785mL]]</f>
        <v>0</v>
      </c>
      <c r="H464">
        <f>GCResults[[#This Row],[Pressure on Sampling (PSI), 145PSI=1MPa]]</f>
        <v>3552.5</v>
      </c>
      <c r="I464">
        <f>pHCondMod[[#This Row],[Sample pH]]</f>
        <v>0</v>
      </c>
      <c r="J464">
        <f>pHCondMod[[#This Row],[Sample Conductivity (mS/cm)]]</f>
        <v>0</v>
      </c>
      <c r="K464">
        <f>pHCondMod[[#This Row],[Modification Description]]</f>
        <v>0</v>
      </c>
      <c r="L464" s="1">
        <f>NMRResults[[#This Row],[Date Run]]</f>
        <v>0</v>
      </c>
      <c r="M464" s="1">
        <f>ICPList[[#This Row],[Date Run]]</f>
        <v>0</v>
      </c>
      <c r="N464" s="1">
        <f>GCResults[[#This Row],[Date Run ]]</f>
        <v>0</v>
      </c>
    </row>
    <row r="465" spans="1:14" ht="14.45" x14ac:dyDescent="0.25">
      <c r="A465">
        <f>SampleList[[#This Row],[Experiment ID]]</f>
        <v>0</v>
      </c>
      <c r="B465">
        <f>SampleList[[#This Row],[Sample Description]]</f>
        <v>0</v>
      </c>
      <c r="C465" s="1">
        <f>SampleList[[#This Row],[Date Sampled]]</f>
        <v>0</v>
      </c>
      <c r="D465">
        <f>SampleList[[#This Row],[Duration (Days)]]</f>
        <v>0</v>
      </c>
      <c r="E465">
        <f>NMRResults[[#This Row],[Ammonium Concentration (mM)]]</f>
        <v>0</v>
      </c>
      <c r="F465" t="str">
        <f>GCResults[[#This Row],[H2 (ppm)]]</f>
        <v/>
      </c>
      <c r="G465">
        <f>GCResults[[#This Row],[Total Gas Volume (mL), gas cylinder = 3785mL]]</f>
        <v>0</v>
      </c>
      <c r="H465">
        <f>GCResults[[#This Row],[Pressure on Sampling (PSI), 145PSI=1MPa]]</f>
        <v>3552.5</v>
      </c>
      <c r="I465">
        <f>pHCondMod[[#This Row],[Sample pH]]</f>
        <v>0</v>
      </c>
      <c r="J465">
        <f>pHCondMod[[#This Row],[Sample Conductivity (mS/cm)]]</f>
        <v>0</v>
      </c>
      <c r="K465">
        <f>pHCondMod[[#This Row],[Modification Description]]</f>
        <v>0</v>
      </c>
      <c r="L465" s="1">
        <f>NMRResults[[#This Row],[Date Run]]</f>
        <v>0</v>
      </c>
      <c r="M465" s="1">
        <f>ICPList[[#This Row],[Date Run]]</f>
        <v>0</v>
      </c>
      <c r="N465" s="1">
        <f>GCResults[[#This Row],[Date Run ]]</f>
        <v>0</v>
      </c>
    </row>
    <row r="466" spans="1:14" ht="14.45" x14ac:dyDescent="0.25">
      <c r="A466">
        <f>SampleList[[#This Row],[Experiment ID]]</f>
        <v>0</v>
      </c>
      <c r="B466">
        <f>SampleList[[#This Row],[Sample Description]]</f>
        <v>0</v>
      </c>
      <c r="C466" s="1">
        <f>SampleList[[#This Row],[Date Sampled]]</f>
        <v>0</v>
      </c>
      <c r="D466">
        <f>SampleList[[#This Row],[Duration (Days)]]</f>
        <v>0</v>
      </c>
      <c r="E466">
        <f>NMRResults[[#This Row],[Ammonium Concentration (mM)]]</f>
        <v>0</v>
      </c>
      <c r="F466" t="str">
        <f>GCResults[[#This Row],[H2 (ppm)]]</f>
        <v/>
      </c>
      <c r="G466">
        <f>GCResults[[#This Row],[Total Gas Volume (mL), gas cylinder = 3785mL]]</f>
        <v>0</v>
      </c>
      <c r="H466">
        <f>GCResults[[#This Row],[Pressure on Sampling (PSI), 145PSI=1MPa]]</f>
        <v>3552.5</v>
      </c>
      <c r="I466">
        <f>pHCondMod[[#This Row],[Sample pH]]</f>
        <v>0</v>
      </c>
      <c r="J466">
        <f>pHCondMod[[#This Row],[Sample Conductivity (mS/cm)]]</f>
        <v>0</v>
      </c>
      <c r="K466">
        <f>pHCondMod[[#This Row],[Modification Description]]</f>
        <v>0</v>
      </c>
      <c r="L466" s="1">
        <f>NMRResults[[#This Row],[Date Run]]</f>
        <v>0</v>
      </c>
      <c r="M466" s="1">
        <f>ICPList[[#This Row],[Date Run]]</f>
        <v>0</v>
      </c>
      <c r="N466" s="1">
        <f>GCResults[[#This Row],[Date Run ]]</f>
        <v>0</v>
      </c>
    </row>
    <row r="467" spans="1:14" ht="14.45" x14ac:dyDescent="0.25">
      <c r="A467">
        <f>SampleList[[#This Row],[Experiment ID]]</f>
        <v>0</v>
      </c>
      <c r="B467">
        <f>SampleList[[#This Row],[Sample Description]]</f>
        <v>0</v>
      </c>
      <c r="C467" s="1">
        <f>SampleList[[#This Row],[Date Sampled]]</f>
        <v>0</v>
      </c>
      <c r="D467">
        <f>SampleList[[#This Row],[Duration (Days)]]</f>
        <v>0</v>
      </c>
      <c r="E467">
        <f>NMRResults[[#This Row],[Ammonium Concentration (mM)]]</f>
        <v>0</v>
      </c>
      <c r="F467" t="str">
        <f>GCResults[[#This Row],[H2 (ppm)]]</f>
        <v/>
      </c>
      <c r="G467">
        <f>GCResults[[#This Row],[Total Gas Volume (mL), gas cylinder = 3785mL]]</f>
        <v>0</v>
      </c>
      <c r="H467">
        <f>GCResults[[#This Row],[Pressure on Sampling (PSI), 145PSI=1MPa]]</f>
        <v>3552.5</v>
      </c>
      <c r="I467">
        <f>pHCondMod[[#This Row],[Sample pH]]</f>
        <v>0</v>
      </c>
      <c r="J467">
        <f>pHCondMod[[#This Row],[Sample Conductivity (mS/cm)]]</f>
        <v>0</v>
      </c>
      <c r="K467">
        <f>pHCondMod[[#This Row],[Modification Description]]</f>
        <v>0</v>
      </c>
      <c r="L467" s="1">
        <f>NMRResults[[#This Row],[Date Run]]</f>
        <v>0</v>
      </c>
      <c r="M467" s="1">
        <f>ICPList[[#This Row],[Date Run]]</f>
        <v>0</v>
      </c>
      <c r="N467" s="1">
        <f>GCResults[[#This Row],[Date Run ]]</f>
        <v>0</v>
      </c>
    </row>
    <row r="468" spans="1:14" ht="14.45" x14ac:dyDescent="0.25">
      <c r="A468">
        <f>SampleList[[#This Row],[Experiment ID]]</f>
        <v>0</v>
      </c>
      <c r="B468">
        <f>SampleList[[#This Row],[Sample Description]]</f>
        <v>0</v>
      </c>
      <c r="C468" s="1">
        <f>SampleList[[#This Row],[Date Sampled]]</f>
        <v>0</v>
      </c>
      <c r="D468">
        <f>SampleList[[#This Row],[Duration (Days)]]</f>
        <v>0</v>
      </c>
      <c r="E468">
        <f>NMRResults[[#This Row],[Ammonium Concentration (mM)]]</f>
        <v>0</v>
      </c>
      <c r="F468" t="str">
        <f>GCResults[[#This Row],[H2 (ppm)]]</f>
        <v/>
      </c>
      <c r="G468">
        <f>GCResults[[#This Row],[Total Gas Volume (mL), gas cylinder = 3785mL]]</f>
        <v>0</v>
      </c>
      <c r="H468">
        <f>GCResults[[#This Row],[Pressure on Sampling (PSI), 145PSI=1MPa]]</f>
        <v>3552.5</v>
      </c>
      <c r="I468">
        <f>pHCondMod[[#This Row],[Sample pH]]</f>
        <v>0</v>
      </c>
      <c r="J468">
        <f>pHCondMod[[#This Row],[Sample Conductivity (mS/cm)]]</f>
        <v>0</v>
      </c>
      <c r="K468">
        <f>pHCondMod[[#This Row],[Modification Description]]</f>
        <v>0</v>
      </c>
      <c r="L468" s="1">
        <f>NMRResults[[#This Row],[Date Run]]</f>
        <v>0</v>
      </c>
      <c r="M468" s="1">
        <f>ICPList[[#This Row],[Date Run]]</f>
        <v>0</v>
      </c>
      <c r="N468" s="1">
        <f>GCResults[[#This Row],[Date Run ]]</f>
        <v>0</v>
      </c>
    </row>
    <row r="469" spans="1:14" ht="14.45" x14ac:dyDescent="0.25">
      <c r="A469">
        <f>SampleList[[#This Row],[Experiment ID]]</f>
        <v>0</v>
      </c>
      <c r="B469">
        <f>SampleList[[#This Row],[Sample Description]]</f>
        <v>0</v>
      </c>
      <c r="C469" s="1">
        <f>SampleList[[#This Row],[Date Sampled]]</f>
        <v>0</v>
      </c>
      <c r="D469">
        <f>SampleList[[#This Row],[Duration (Days)]]</f>
        <v>0</v>
      </c>
      <c r="E469">
        <f>NMRResults[[#This Row],[Ammonium Concentration (mM)]]</f>
        <v>0</v>
      </c>
      <c r="F469" t="str">
        <f>GCResults[[#This Row],[H2 (ppm)]]</f>
        <v/>
      </c>
      <c r="G469">
        <f>GCResults[[#This Row],[Total Gas Volume (mL), gas cylinder = 3785mL]]</f>
        <v>0</v>
      </c>
      <c r="H469">
        <f>GCResults[[#This Row],[Pressure on Sampling (PSI), 145PSI=1MPa]]</f>
        <v>3552.5</v>
      </c>
      <c r="I469">
        <f>pHCondMod[[#This Row],[Sample pH]]</f>
        <v>0</v>
      </c>
      <c r="J469">
        <f>pHCondMod[[#This Row],[Sample Conductivity (mS/cm)]]</f>
        <v>0</v>
      </c>
      <c r="K469">
        <f>pHCondMod[[#This Row],[Modification Description]]</f>
        <v>0</v>
      </c>
      <c r="L469" s="1">
        <f>NMRResults[[#This Row],[Date Run]]</f>
        <v>0</v>
      </c>
      <c r="M469" s="1">
        <f>ICPList[[#This Row],[Date Run]]</f>
        <v>0</v>
      </c>
      <c r="N469" s="1">
        <f>GCResults[[#This Row],[Date Run ]]</f>
        <v>0</v>
      </c>
    </row>
    <row r="470" spans="1:14" ht="14.45" x14ac:dyDescent="0.25">
      <c r="A470">
        <f>SampleList[[#This Row],[Experiment ID]]</f>
        <v>0</v>
      </c>
      <c r="B470">
        <f>SampleList[[#This Row],[Sample Description]]</f>
        <v>0</v>
      </c>
      <c r="C470" s="1">
        <f>SampleList[[#This Row],[Date Sampled]]</f>
        <v>0</v>
      </c>
      <c r="D470">
        <f>SampleList[[#This Row],[Duration (Days)]]</f>
        <v>0</v>
      </c>
      <c r="E470">
        <f>NMRResults[[#This Row],[Ammonium Concentration (mM)]]</f>
        <v>0</v>
      </c>
      <c r="F470" t="str">
        <f>GCResults[[#This Row],[H2 (ppm)]]</f>
        <v/>
      </c>
      <c r="G470">
        <f>GCResults[[#This Row],[Total Gas Volume (mL), gas cylinder = 3785mL]]</f>
        <v>0</v>
      </c>
      <c r="H470">
        <f>GCResults[[#This Row],[Pressure on Sampling (PSI), 145PSI=1MPa]]</f>
        <v>3552.5</v>
      </c>
      <c r="I470">
        <f>pHCondMod[[#This Row],[Sample pH]]</f>
        <v>0</v>
      </c>
      <c r="J470">
        <f>pHCondMod[[#This Row],[Sample Conductivity (mS/cm)]]</f>
        <v>0</v>
      </c>
      <c r="K470">
        <f>pHCondMod[[#This Row],[Modification Description]]</f>
        <v>0</v>
      </c>
      <c r="L470" s="1">
        <f>NMRResults[[#This Row],[Date Run]]</f>
        <v>0</v>
      </c>
      <c r="M470" s="1">
        <f>ICPList[[#This Row],[Date Run]]</f>
        <v>0</v>
      </c>
      <c r="N470" s="1">
        <f>GCResults[[#This Row],[Date Run ]]</f>
        <v>0</v>
      </c>
    </row>
    <row r="471" spans="1:14" ht="14.45" x14ac:dyDescent="0.25">
      <c r="A471">
        <f>SampleList[[#This Row],[Experiment ID]]</f>
        <v>0</v>
      </c>
      <c r="B471">
        <f>SampleList[[#This Row],[Sample Description]]</f>
        <v>0</v>
      </c>
      <c r="C471" s="1">
        <f>SampleList[[#This Row],[Date Sampled]]</f>
        <v>0</v>
      </c>
      <c r="D471">
        <f>SampleList[[#This Row],[Duration (Days)]]</f>
        <v>0</v>
      </c>
      <c r="E471">
        <f>NMRResults[[#This Row],[Ammonium Concentration (mM)]]</f>
        <v>0</v>
      </c>
      <c r="F471" t="str">
        <f>GCResults[[#This Row],[H2 (ppm)]]</f>
        <v/>
      </c>
      <c r="G471">
        <f>GCResults[[#This Row],[Total Gas Volume (mL), gas cylinder = 3785mL]]</f>
        <v>0</v>
      </c>
      <c r="H471">
        <f>GCResults[[#This Row],[Pressure on Sampling (PSI), 145PSI=1MPa]]</f>
        <v>3552.5</v>
      </c>
      <c r="I471">
        <f>pHCondMod[[#This Row],[Sample pH]]</f>
        <v>0</v>
      </c>
      <c r="J471">
        <f>pHCondMod[[#This Row],[Sample Conductivity (mS/cm)]]</f>
        <v>0</v>
      </c>
      <c r="K471">
        <f>pHCondMod[[#This Row],[Modification Description]]</f>
        <v>0</v>
      </c>
      <c r="L471" s="1">
        <f>NMRResults[[#This Row],[Date Run]]</f>
        <v>0</v>
      </c>
      <c r="M471" s="1">
        <f>ICPList[[#This Row],[Date Run]]</f>
        <v>0</v>
      </c>
      <c r="N471" s="1">
        <f>GCResults[[#This Row],[Date Run ]]</f>
        <v>0</v>
      </c>
    </row>
    <row r="472" spans="1:14" ht="14.45" x14ac:dyDescent="0.25">
      <c r="A472">
        <f>SampleList[[#This Row],[Experiment ID]]</f>
        <v>0</v>
      </c>
      <c r="B472">
        <f>SampleList[[#This Row],[Sample Description]]</f>
        <v>0</v>
      </c>
      <c r="C472" s="1">
        <f>SampleList[[#This Row],[Date Sampled]]</f>
        <v>0</v>
      </c>
      <c r="D472">
        <f>SampleList[[#This Row],[Duration (Days)]]</f>
        <v>0</v>
      </c>
      <c r="E472">
        <f>NMRResults[[#This Row],[Ammonium Concentration (mM)]]</f>
        <v>0</v>
      </c>
      <c r="F472" t="str">
        <f>GCResults[[#This Row],[H2 (ppm)]]</f>
        <v/>
      </c>
      <c r="G472">
        <f>GCResults[[#This Row],[Total Gas Volume (mL), gas cylinder = 3785mL]]</f>
        <v>0</v>
      </c>
      <c r="H472">
        <f>GCResults[[#This Row],[Pressure on Sampling (PSI), 145PSI=1MPa]]</f>
        <v>3552.5</v>
      </c>
      <c r="I472">
        <f>pHCondMod[[#This Row],[Sample pH]]</f>
        <v>0</v>
      </c>
      <c r="J472">
        <f>pHCondMod[[#This Row],[Sample Conductivity (mS/cm)]]</f>
        <v>0</v>
      </c>
      <c r="K472">
        <f>pHCondMod[[#This Row],[Modification Description]]</f>
        <v>0</v>
      </c>
      <c r="L472" s="1">
        <f>NMRResults[[#This Row],[Date Run]]</f>
        <v>0</v>
      </c>
      <c r="M472" s="1">
        <f>ICPList[[#This Row],[Date Run]]</f>
        <v>0</v>
      </c>
      <c r="N472" s="1">
        <f>GCResults[[#This Row],[Date Run ]]</f>
        <v>0</v>
      </c>
    </row>
    <row r="473" spans="1:14" ht="14.45" x14ac:dyDescent="0.25">
      <c r="A473">
        <f>SampleList[[#This Row],[Experiment ID]]</f>
        <v>0</v>
      </c>
      <c r="B473">
        <f>SampleList[[#This Row],[Sample Description]]</f>
        <v>0</v>
      </c>
      <c r="C473" s="1">
        <f>SampleList[[#This Row],[Date Sampled]]</f>
        <v>0</v>
      </c>
      <c r="D473">
        <f>SampleList[[#This Row],[Duration (Days)]]</f>
        <v>0</v>
      </c>
      <c r="E473">
        <f>NMRResults[[#This Row],[Ammonium Concentration (mM)]]</f>
        <v>0</v>
      </c>
      <c r="F473" t="str">
        <f>GCResults[[#This Row],[H2 (ppm)]]</f>
        <v/>
      </c>
      <c r="G473">
        <f>GCResults[[#This Row],[Total Gas Volume (mL), gas cylinder = 3785mL]]</f>
        <v>0</v>
      </c>
      <c r="H473">
        <f>GCResults[[#This Row],[Pressure on Sampling (PSI), 145PSI=1MPa]]</f>
        <v>3552.5</v>
      </c>
      <c r="I473">
        <f>pHCondMod[[#This Row],[Sample pH]]</f>
        <v>0</v>
      </c>
      <c r="J473">
        <f>pHCondMod[[#This Row],[Sample Conductivity (mS/cm)]]</f>
        <v>0</v>
      </c>
      <c r="K473">
        <f>pHCondMod[[#This Row],[Modification Description]]</f>
        <v>0</v>
      </c>
      <c r="L473" s="1">
        <f>NMRResults[[#This Row],[Date Run]]</f>
        <v>0</v>
      </c>
      <c r="M473" s="1">
        <f>ICPList[[#This Row],[Date Run]]</f>
        <v>0</v>
      </c>
      <c r="N473" s="1">
        <f>GCResults[[#This Row],[Date Run ]]</f>
        <v>0</v>
      </c>
    </row>
    <row r="474" spans="1:14" ht="14.45" x14ac:dyDescent="0.25">
      <c r="A474">
        <f>SampleList[[#This Row],[Experiment ID]]</f>
        <v>0</v>
      </c>
      <c r="B474">
        <f>SampleList[[#This Row],[Sample Description]]</f>
        <v>0</v>
      </c>
      <c r="C474" s="1">
        <f>SampleList[[#This Row],[Date Sampled]]</f>
        <v>0</v>
      </c>
      <c r="D474">
        <f>SampleList[[#This Row],[Duration (Days)]]</f>
        <v>0</v>
      </c>
      <c r="E474">
        <f>NMRResults[[#This Row],[Ammonium Concentration (mM)]]</f>
        <v>0</v>
      </c>
      <c r="F474" t="str">
        <f>GCResults[[#This Row],[H2 (ppm)]]</f>
        <v/>
      </c>
      <c r="G474">
        <f>GCResults[[#This Row],[Total Gas Volume (mL), gas cylinder = 3785mL]]</f>
        <v>0</v>
      </c>
      <c r="H474">
        <f>GCResults[[#This Row],[Pressure on Sampling (PSI), 145PSI=1MPa]]</f>
        <v>3552.5</v>
      </c>
      <c r="I474">
        <f>pHCondMod[[#This Row],[Sample pH]]</f>
        <v>0</v>
      </c>
      <c r="J474">
        <f>pHCondMod[[#This Row],[Sample Conductivity (mS/cm)]]</f>
        <v>0</v>
      </c>
      <c r="K474">
        <f>pHCondMod[[#This Row],[Modification Description]]</f>
        <v>0</v>
      </c>
      <c r="L474" s="1">
        <f>NMRResults[[#This Row],[Date Run]]</f>
        <v>0</v>
      </c>
      <c r="M474" s="1">
        <f>ICPList[[#This Row],[Date Run]]</f>
        <v>0</v>
      </c>
      <c r="N474" s="1">
        <f>GCResults[[#This Row],[Date Run ]]</f>
        <v>0</v>
      </c>
    </row>
    <row r="475" spans="1:14" ht="14.45" x14ac:dyDescent="0.25">
      <c r="A475">
        <f>SampleList[[#This Row],[Experiment ID]]</f>
        <v>0</v>
      </c>
      <c r="B475">
        <f>SampleList[[#This Row],[Sample Description]]</f>
        <v>0</v>
      </c>
      <c r="C475" s="1">
        <f>SampleList[[#This Row],[Date Sampled]]</f>
        <v>0</v>
      </c>
      <c r="D475">
        <f>SampleList[[#This Row],[Duration (Days)]]</f>
        <v>0</v>
      </c>
      <c r="E475">
        <f>NMRResults[[#This Row],[Ammonium Concentration (mM)]]</f>
        <v>0</v>
      </c>
      <c r="F475" t="str">
        <f>GCResults[[#This Row],[H2 (ppm)]]</f>
        <v/>
      </c>
      <c r="G475">
        <f>GCResults[[#This Row],[Total Gas Volume (mL), gas cylinder = 3785mL]]</f>
        <v>0</v>
      </c>
      <c r="H475">
        <f>GCResults[[#This Row],[Pressure on Sampling (PSI), 145PSI=1MPa]]</f>
        <v>3552.5</v>
      </c>
      <c r="I475">
        <f>pHCondMod[[#This Row],[Sample pH]]</f>
        <v>0</v>
      </c>
      <c r="J475">
        <f>pHCondMod[[#This Row],[Sample Conductivity (mS/cm)]]</f>
        <v>0</v>
      </c>
      <c r="K475">
        <f>pHCondMod[[#This Row],[Modification Description]]</f>
        <v>0</v>
      </c>
      <c r="L475" s="1">
        <f>NMRResults[[#This Row],[Date Run]]</f>
        <v>0</v>
      </c>
      <c r="M475" s="1">
        <f>ICPList[[#This Row],[Date Run]]</f>
        <v>0</v>
      </c>
      <c r="N475" s="1">
        <f>GCResults[[#This Row],[Date Run ]]</f>
        <v>0</v>
      </c>
    </row>
    <row r="476" spans="1:14" ht="14.45" x14ac:dyDescent="0.25">
      <c r="A476">
        <f>SampleList[[#This Row],[Experiment ID]]</f>
        <v>0</v>
      </c>
      <c r="B476">
        <f>SampleList[[#This Row],[Sample Description]]</f>
        <v>0</v>
      </c>
      <c r="C476" s="1">
        <f>SampleList[[#This Row],[Date Sampled]]</f>
        <v>0</v>
      </c>
      <c r="D476">
        <f>SampleList[[#This Row],[Duration (Days)]]</f>
        <v>0</v>
      </c>
      <c r="E476">
        <f>NMRResults[[#This Row],[Ammonium Concentration (mM)]]</f>
        <v>0</v>
      </c>
      <c r="F476" t="str">
        <f>GCResults[[#This Row],[H2 (ppm)]]</f>
        <v/>
      </c>
      <c r="G476">
        <f>GCResults[[#This Row],[Total Gas Volume (mL), gas cylinder = 3785mL]]</f>
        <v>0</v>
      </c>
      <c r="H476">
        <f>GCResults[[#This Row],[Pressure on Sampling (PSI), 145PSI=1MPa]]</f>
        <v>3552.5</v>
      </c>
      <c r="I476">
        <f>pHCondMod[[#This Row],[Sample pH]]</f>
        <v>0</v>
      </c>
      <c r="J476">
        <f>pHCondMod[[#This Row],[Sample Conductivity (mS/cm)]]</f>
        <v>0</v>
      </c>
      <c r="K476">
        <f>pHCondMod[[#This Row],[Modification Description]]</f>
        <v>0</v>
      </c>
      <c r="L476" s="1">
        <f>NMRResults[[#This Row],[Date Run]]</f>
        <v>0</v>
      </c>
      <c r="M476" s="1">
        <f>ICPList[[#This Row],[Date Run]]</f>
        <v>0</v>
      </c>
      <c r="N476" s="1">
        <f>GCResults[[#This Row],[Date Run ]]</f>
        <v>0</v>
      </c>
    </row>
    <row r="477" spans="1:14" ht="14.45" x14ac:dyDescent="0.25">
      <c r="A477">
        <f>SampleList[[#This Row],[Experiment ID]]</f>
        <v>0</v>
      </c>
      <c r="B477">
        <f>SampleList[[#This Row],[Sample Description]]</f>
        <v>0</v>
      </c>
      <c r="C477" s="1">
        <f>SampleList[[#This Row],[Date Sampled]]</f>
        <v>0</v>
      </c>
      <c r="D477">
        <f>SampleList[[#This Row],[Duration (Days)]]</f>
        <v>0</v>
      </c>
      <c r="E477">
        <f>NMRResults[[#This Row],[Ammonium Concentration (mM)]]</f>
        <v>0</v>
      </c>
      <c r="F477" t="str">
        <f>GCResults[[#This Row],[H2 (ppm)]]</f>
        <v/>
      </c>
      <c r="G477">
        <f>GCResults[[#This Row],[Total Gas Volume (mL), gas cylinder = 3785mL]]</f>
        <v>0</v>
      </c>
      <c r="H477">
        <f>GCResults[[#This Row],[Pressure on Sampling (PSI), 145PSI=1MPa]]</f>
        <v>3552.5</v>
      </c>
      <c r="I477">
        <f>pHCondMod[[#This Row],[Sample pH]]</f>
        <v>0</v>
      </c>
      <c r="J477">
        <f>pHCondMod[[#This Row],[Sample Conductivity (mS/cm)]]</f>
        <v>0</v>
      </c>
      <c r="K477">
        <f>pHCondMod[[#This Row],[Modification Description]]</f>
        <v>0</v>
      </c>
      <c r="L477" s="1">
        <f>NMRResults[[#This Row],[Date Run]]</f>
        <v>0</v>
      </c>
      <c r="M477" s="1">
        <f>ICPList[[#This Row],[Date Run]]</f>
        <v>0</v>
      </c>
      <c r="N477" s="1">
        <f>GCResults[[#This Row],[Date Run ]]</f>
        <v>0</v>
      </c>
    </row>
    <row r="478" spans="1:14" ht="14.45" x14ac:dyDescent="0.25">
      <c r="A478">
        <f>SampleList[[#This Row],[Experiment ID]]</f>
        <v>0</v>
      </c>
      <c r="B478">
        <f>SampleList[[#This Row],[Sample Description]]</f>
        <v>0</v>
      </c>
      <c r="C478" s="1">
        <f>SampleList[[#This Row],[Date Sampled]]</f>
        <v>0</v>
      </c>
      <c r="D478">
        <f>SampleList[[#This Row],[Duration (Days)]]</f>
        <v>0</v>
      </c>
      <c r="E478">
        <f>NMRResults[[#This Row],[Ammonium Concentration (mM)]]</f>
        <v>0</v>
      </c>
      <c r="F478" t="str">
        <f>GCResults[[#This Row],[H2 (ppm)]]</f>
        <v/>
      </c>
      <c r="G478">
        <f>GCResults[[#This Row],[Total Gas Volume (mL), gas cylinder = 3785mL]]</f>
        <v>0</v>
      </c>
      <c r="H478">
        <f>GCResults[[#This Row],[Pressure on Sampling (PSI), 145PSI=1MPa]]</f>
        <v>3552.5</v>
      </c>
      <c r="I478">
        <f>pHCondMod[[#This Row],[Sample pH]]</f>
        <v>0</v>
      </c>
      <c r="J478">
        <f>pHCondMod[[#This Row],[Sample Conductivity (mS/cm)]]</f>
        <v>0</v>
      </c>
      <c r="K478">
        <f>pHCondMod[[#This Row],[Modification Description]]</f>
        <v>0</v>
      </c>
      <c r="L478" s="1">
        <f>NMRResults[[#This Row],[Date Run]]</f>
        <v>0</v>
      </c>
      <c r="M478" s="1">
        <f>ICPList[[#This Row],[Date Run]]</f>
        <v>0</v>
      </c>
      <c r="N478" s="1">
        <f>GCResults[[#This Row],[Date Run ]]</f>
        <v>0</v>
      </c>
    </row>
    <row r="479" spans="1:14" ht="14.45" x14ac:dyDescent="0.25">
      <c r="A479">
        <f>SampleList[[#This Row],[Experiment ID]]</f>
        <v>0</v>
      </c>
      <c r="B479">
        <f>SampleList[[#This Row],[Sample Description]]</f>
        <v>0</v>
      </c>
      <c r="C479" s="1">
        <f>SampleList[[#This Row],[Date Sampled]]</f>
        <v>0</v>
      </c>
      <c r="D479">
        <f>SampleList[[#This Row],[Duration (Days)]]</f>
        <v>0</v>
      </c>
      <c r="E479">
        <f>NMRResults[[#This Row],[Ammonium Concentration (mM)]]</f>
        <v>0</v>
      </c>
      <c r="F479" t="str">
        <f>GCResults[[#This Row],[H2 (ppm)]]</f>
        <v/>
      </c>
      <c r="G479">
        <f>GCResults[[#This Row],[Total Gas Volume (mL), gas cylinder = 3785mL]]</f>
        <v>0</v>
      </c>
      <c r="H479">
        <f>GCResults[[#This Row],[Pressure on Sampling (PSI), 145PSI=1MPa]]</f>
        <v>3552.5</v>
      </c>
      <c r="I479">
        <f>pHCondMod[[#This Row],[Sample pH]]</f>
        <v>0</v>
      </c>
      <c r="J479">
        <f>pHCondMod[[#This Row],[Sample Conductivity (mS/cm)]]</f>
        <v>0</v>
      </c>
      <c r="K479">
        <f>pHCondMod[[#This Row],[Modification Description]]</f>
        <v>0</v>
      </c>
      <c r="L479" s="1">
        <f>NMRResults[[#This Row],[Date Run]]</f>
        <v>0</v>
      </c>
      <c r="M479" s="1">
        <f>ICPList[[#This Row],[Date Run]]</f>
        <v>0</v>
      </c>
      <c r="N479" s="1">
        <f>GCResults[[#This Row],[Date Run ]]</f>
        <v>0</v>
      </c>
    </row>
    <row r="480" spans="1:14" ht="14.45" x14ac:dyDescent="0.25">
      <c r="A480">
        <f>SampleList[[#This Row],[Experiment ID]]</f>
        <v>0</v>
      </c>
      <c r="B480">
        <f>SampleList[[#This Row],[Sample Description]]</f>
        <v>0</v>
      </c>
      <c r="C480" s="1">
        <f>SampleList[[#This Row],[Date Sampled]]</f>
        <v>0</v>
      </c>
      <c r="D480">
        <f>SampleList[[#This Row],[Duration (Days)]]</f>
        <v>0</v>
      </c>
      <c r="E480">
        <f>NMRResults[[#This Row],[Ammonium Concentration (mM)]]</f>
        <v>0</v>
      </c>
      <c r="F480" t="str">
        <f>GCResults[[#This Row],[H2 (ppm)]]</f>
        <v/>
      </c>
      <c r="G480">
        <f>GCResults[[#This Row],[Total Gas Volume (mL), gas cylinder = 3785mL]]</f>
        <v>0</v>
      </c>
      <c r="H480">
        <f>GCResults[[#This Row],[Pressure on Sampling (PSI), 145PSI=1MPa]]</f>
        <v>3552.5</v>
      </c>
      <c r="I480">
        <f>pHCondMod[[#This Row],[Sample pH]]</f>
        <v>0</v>
      </c>
      <c r="J480">
        <f>pHCondMod[[#This Row],[Sample Conductivity (mS/cm)]]</f>
        <v>0</v>
      </c>
      <c r="K480">
        <f>pHCondMod[[#This Row],[Modification Description]]</f>
        <v>0</v>
      </c>
      <c r="L480" s="1">
        <f>NMRResults[[#This Row],[Date Run]]</f>
        <v>0</v>
      </c>
      <c r="M480" s="1">
        <f>ICPList[[#This Row],[Date Run]]</f>
        <v>0</v>
      </c>
      <c r="N480" s="1">
        <f>GCResults[[#This Row],[Date Run ]]</f>
        <v>0</v>
      </c>
    </row>
    <row r="481" spans="1:14" ht="14.45" x14ac:dyDescent="0.25">
      <c r="A481">
        <f>SampleList[[#This Row],[Experiment ID]]</f>
        <v>0</v>
      </c>
      <c r="B481">
        <f>SampleList[[#This Row],[Sample Description]]</f>
        <v>0</v>
      </c>
      <c r="C481" s="1">
        <f>SampleList[[#This Row],[Date Sampled]]</f>
        <v>0</v>
      </c>
      <c r="D481">
        <f>SampleList[[#This Row],[Duration (Days)]]</f>
        <v>0</v>
      </c>
      <c r="E481">
        <f>NMRResults[[#This Row],[Ammonium Concentration (mM)]]</f>
        <v>0</v>
      </c>
      <c r="F481" t="str">
        <f>GCResults[[#This Row],[H2 (ppm)]]</f>
        <v/>
      </c>
      <c r="G481">
        <f>GCResults[[#This Row],[Total Gas Volume (mL), gas cylinder = 3785mL]]</f>
        <v>0</v>
      </c>
      <c r="H481">
        <f>GCResults[[#This Row],[Pressure on Sampling (PSI), 145PSI=1MPa]]</f>
        <v>3552.5</v>
      </c>
      <c r="I481">
        <f>pHCondMod[[#This Row],[Sample pH]]</f>
        <v>0</v>
      </c>
      <c r="J481">
        <f>pHCondMod[[#This Row],[Sample Conductivity (mS/cm)]]</f>
        <v>0</v>
      </c>
      <c r="K481">
        <f>pHCondMod[[#This Row],[Modification Description]]</f>
        <v>0</v>
      </c>
      <c r="L481" s="1">
        <f>NMRResults[[#This Row],[Date Run]]</f>
        <v>0</v>
      </c>
      <c r="M481" s="1">
        <f>ICPList[[#This Row],[Date Run]]</f>
        <v>0</v>
      </c>
      <c r="N481" s="1">
        <f>GCResults[[#This Row],[Date Run ]]</f>
        <v>0</v>
      </c>
    </row>
    <row r="482" spans="1:14" ht="14.45" x14ac:dyDescent="0.25">
      <c r="A482">
        <f>SampleList[[#This Row],[Experiment ID]]</f>
        <v>0</v>
      </c>
      <c r="B482">
        <f>SampleList[[#This Row],[Sample Description]]</f>
        <v>0</v>
      </c>
      <c r="C482" s="1">
        <f>SampleList[[#This Row],[Date Sampled]]</f>
        <v>0</v>
      </c>
      <c r="D482">
        <f>SampleList[[#This Row],[Duration (Days)]]</f>
        <v>0</v>
      </c>
      <c r="E482">
        <f>NMRResults[[#This Row],[Ammonium Concentration (mM)]]</f>
        <v>0</v>
      </c>
      <c r="F482" t="str">
        <f>GCResults[[#This Row],[H2 (ppm)]]</f>
        <v/>
      </c>
      <c r="G482">
        <f>GCResults[[#This Row],[Total Gas Volume (mL), gas cylinder = 3785mL]]</f>
        <v>0</v>
      </c>
      <c r="H482">
        <f>GCResults[[#This Row],[Pressure on Sampling (PSI), 145PSI=1MPa]]</f>
        <v>3552.5</v>
      </c>
      <c r="I482">
        <f>pHCondMod[[#This Row],[Sample pH]]</f>
        <v>0</v>
      </c>
      <c r="J482">
        <f>pHCondMod[[#This Row],[Sample Conductivity (mS/cm)]]</f>
        <v>0</v>
      </c>
      <c r="K482">
        <f>pHCondMod[[#This Row],[Modification Description]]</f>
        <v>0</v>
      </c>
      <c r="L482" s="1">
        <f>NMRResults[[#This Row],[Date Run]]</f>
        <v>0</v>
      </c>
      <c r="M482" s="1">
        <f>ICPList[[#This Row],[Date Run]]</f>
        <v>0</v>
      </c>
      <c r="N482" s="1">
        <f>GCResults[[#This Row],[Date Run ]]</f>
        <v>0</v>
      </c>
    </row>
    <row r="483" spans="1:14" ht="14.45" x14ac:dyDescent="0.25">
      <c r="A483">
        <f>SampleList[[#This Row],[Experiment ID]]</f>
        <v>0</v>
      </c>
      <c r="B483">
        <f>SampleList[[#This Row],[Sample Description]]</f>
        <v>0</v>
      </c>
      <c r="C483" s="1">
        <f>SampleList[[#This Row],[Date Sampled]]</f>
        <v>0</v>
      </c>
      <c r="D483">
        <f>SampleList[[#This Row],[Duration (Days)]]</f>
        <v>0</v>
      </c>
      <c r="E483">
        <f>NMRResults[[#This Row],[Ammonium Concentration (mM)]]</f>
        <v>0</v>
      </c>
      <c r="F483" t="str">
        <f>GCResults[[#This Row],[H2 (ppm)]]</f>
        <v/>
      </c>
      <c r="G483">
        <f>GCResults[[#This Row],[Total Gas Volume (mL), gas cylinder = 3785mL]]</f>
        <v>0</v>
      </c>
      <c r="H483">
        <f>GCResults[[#This Row],[Pressure on Sampling (PSI), 145PSI=1MPa]]</f>
        <v>3552.5</v>
      </c>
      <c r="I483">
        <f>pHCondMod[[#This Row],[Sample pH]]</f>
        <v>0</v>
      </c>
      <c r="J483">
        <f>pHCondMod[[#This Row],[Sample Conductivity (mS/cm)]]</f>
        <v>0</v>
      </c>
      <c r="K483">
        <f>pHCondMod[[#This Row],[Modification Description]]</f>
        <v>0</v>
      </c>
      <c r="L483" s="1">
        <f>NMRResults[[#This Row],[Date Run]]</f>
        <v>0</v>
      </c>
      <c r="M483" s="1">
        <f>ICPList[[#This Row],[Date Run]]</f>
        <v>0</v>
      </c>
      <c r="N483" s="1">
        <f>GCResults[[#This Row],[Date Run ]]</f>
        <v>0</v>
      </c>
    </row>
    <row r="484" spans="1:14" ht="14.45" x14ac:dyDescent="0.25">
      <c r="A484">
        <f>SampleList[[#This Row],[Experiment ID]]</f>
        <v>0</v>
      </c>
      <c r="B484">
        <f>SampleList[[#This Row],[Sample Description]]</f>
        <v>0</v>
      </c>
      <c r="C484" s="1">
        <f>SampleList[[#This Row],[Date Sampled]]</f>
        <v>0</v>
      </c>
      <c r="D484">
        <f>SampleList[[#This Row],[Duration (Days)]]</f>
        <v>0</v>
      </c>
      <c r="E484">
        <f>NMRResults[[#This Row],[Ammonium Concentration (mM)]]</f>
        <v>0</v>
      </c>
      <c r="F484" t="str">
        <f>GCResults[[#This Row],[H2 (ppm)]]</f>
        <v/>
      </c>
      <c r="G484">
        <f>GCResults[[#This Row],[Total Gas Volume (mL), gas cylinder = 3785mL]]</f>
        <v>0</v>
      </c>
      <c r="H484">
        <f>GCResults[[#This Row],[Pressure on Sampling (PSI), 145PSI=1MPa]]</f>
        <v>3552.5</v>
      </c>
      <c r="I484">
        <f>pHCondMod[[#This Row],[Sample pH]]</f>
        <v>0</v>
      </c>
      <c r="J484">
        <f>pHCondMod[[#This Row],[Sample Conductivity (mS/cm)]]</f>
        <v>0</v>
      </c>
      <c r="K484">
        <f>pHCondMod[[#This Row],[Modification Description]]</f>
        <v>0</v>
      </c>
      <c r="L484" s="1">
        <f>NMRResults[[#This Row],[Date Run]]</f>
        <v>0</v>
      </c>
      <c r="M484" s="1">
        <f>ICPList[[#This Row],[Date Run]]</f>
        <v>0</v>
      </c>
      <c r="N484" s="1">
        <f>GCResults[[#This Row],[Date Run ]]</f>
        <v>0</v>
      </c>
    </row>
    <row r="485" spans="1:14" ht="14.45" x14ac:dyDescent="0.25">
      <c r="A485">
        <f>SampleList[[#This Row],[Experiment ID]]</f>
        <v>0</v>
      </c>
      <c r="B485">
        <f>SampleList[[#This Row],[Sample Description]]</f>
        <v>0</v>
      </c>
      <c r="C485" s="1">
        <f>SampleList[[#This Row],[Date Sampled]]</f>
        <v>0</v>
      </c>
      <c r="D485">
        <f>SampleList[[#This Row],[Duration (Days)]]</f>
        <v>0</v>
      </c>
      <c r="E485">
        <f>NMRResults[[#This Row],[Ammonium Concentration (mM)]]</f>
        <v>0</v>
      </c>
      <c r="F485" t="str">
        <f>GCResults[[#This Row],[H2 (ppm)]]</f>
        <v/>
      </c>
      <c r="G485">
        <f>GCResults[[#This Row],[Total Gas Volume (mL), gas cylinder = 3785mL]]</f>
        <v>0</v>
      </c>
      <c r="H485">
        <f>GCResults[[#This Row],[Pressure on Sampling (PSI), 145PSI=1MPa]]</f>
        <v>3552.5</v>
      </c>
      <c r="I485">
        <f>pHCondMod[[#This Row],[Sample pH]]</f>
        <v>0</v>
      </c>
      <c r="J485">
        <f>pHCondMod[[#This Row],[Sample Conductivity (mS/cm)]]</f>
        <v>0</v>
      </c>
      <c r="K485">
        <f>pHCondMod[[#This Row],[Modification Description]]</f>
        <v>0</v>
      </c>
      <c r="L485" s="1">
        <f>NMRResults[[#This Row],[Date Run]]</f>
        <v>0</v>
      </c>
      <c r="M485" s="1">
        <f>ICPList[[#This Row],[Date Run]]</f>
        <v>0</v>
      </c>
      <c r="N485" s="1">
        <f>GCResults[[#This Row],[Date Run ]]</f>
        <v>0</v>
      </c>
    </row>
    <row r="486" spans="1:14" ht="14.45" x14ac:dyDescent="0.25">
      <c r="A486">
        <f>SampleList[[#This Row],[Experiment ID]]</f>
        <v>0</v>
      </c>
      <c r="B486">
        <f>SampleList[[#This Row],[Sample Description]]</f>
        <v>0</v>
      </c>
      <c r="C486" s="1">
        <f>SampleList[[#This Row],[Date Sampled]]</f>
        <v>0</v>
      </c>
      <c r="D486">
        <f>SampleList[[#This Row],[Duration (Days)]]</f>
        <v>0</v>
      </c>
      <c r="E486">
        <f>NMRResults[[#This Row],[Ammonium Concentration (mM)]]</f>
        <v>0</v>
      </c>
      <c r="F486" t="str">
        <f>GCResults[[#This Row],[H2 (ppm)]]</f>
        <v/>
      </c>
      <c r="G486">
        <f>GCResults[[#This Row],[Total Gas Volume (mL), gas cylinder = 3785mL]]</f>
        <v>0</v>
      </c>
      <c r="H486">
        <f>GCResults[[#This Row],[Pressure on Sampling (PSI), 145PSI=1MPa]]</f>
        <v>3552.5</v>
      </c>
      <c r="I486">
        <f>pHCondMod[[#This Row],[Sample pH]]</f>
        <v>0</v>
      </c>
      <c r="J486">
        <f>pHCondMod[[#This Row],[Sample Conductivity (mS/cm)]]</f>
        <v>0</v>
      </c>
      <c r="K486">
        <f>pHCondMod[[#This Row],[Modification Description]]</f>
        <v>0</v>
      </c>
      <c r="L486" s="1">
        <f>NMRResults[[#This Row],[Date Run]]</f>
        <v>0</v>
      </c>
      <c r="M486" s="1">
        <f>ICPList[[#This Row],[Date Run]]</f>
        <v>0</v>
      </c>
      <c r="N486" s="1">
        <f>GCResults[[#This Row],[Date Run ]]</f>
        <v>0</v>
      </c>
    </row>
    <row r="487" spans="1:14" ht="14.45" x14ac:dyDescent="0.25">
      <c r="A487">
        <f>SampleList[[#This Row],[Experiment ID]]</f>
        <v>0</v>
      </c>
      <c r="B487">
        <f>SampleList[[#This Row],[Sample Description]]</f>
        <v>0</v>
      </c>
      <c r="C487" s="1">
        <f>SampleList[[#This Row],[Date Sampled]]</f>
        <v>0</v>
      </c>
      <c r="D487">
        <f>SampleList[[#This Row],[Duration (Days)]]</f>
        <v>0</v>
      </c>
      <c r="E487">
        <f>NMRResults[[#This Row],[Ammonium Concentration (mM)]]</f>
        <v>0</v>
      </c>
      <c r="F487" t="str">
        <f>GCResults[[#This Row],[H2 (ppm)]]</f>
        <v/>
      </c>
      <c r="G487">
        <f>GCResults[[#This Row],[Total Gas Volume (mL), gas cylinder = 3785mL]]</f>
        <v>0</v>
      </c>
      <c r="H487">
        <f>GCResults[[#This Row],[Pressure on Sampling (PSI), 145PSI=1MPa]]</f>
        <v>3552.5</v>
      </c>
      <c r="I487">
        <f>pHCondMod[[#This Row],[Sample pH]]</f>
        <v>0</v>
      </c>
      <c r="J487">
        <f>pHCondMod[[#This Row],[Sample Conductivity (mS/cm)]]</f>
        <v>0</v>
      </c>
      <c r="K487">
        <f>pHCondMod[[#This Row],[Modification Description]]</f>
        <v>0</v>
      </c>
      <c r="L487" s="1">
        <f>NMRResults[[#This Row],[Date Run]]</f>
        <v>0</v>
      </c>
      <c r="M487" s="1">
        <f>ICPList[[#This Row],[Date Run]]</f>
        <v>0</v>
      </c>
      <c r="N487" s="1">
        <f>GCResults[[#This Row],[Date Run ]]</f>
        <v>0</v>
      </c>
    </row>
    <row r="488" spans="1:14" ht="14.45" x14ac:dyDescent="0.25">
      <c r="A488">
        <f>SampleList[[#This Row],[Experiment ID]]</f>
        <v>0</v>
      </c>
      <c r="B488">
        <f>SampleList[[#This Row],[Sample Description]]</f>
        <v>0</v>
      </c>
      <c r="C488" s="1">
        <f>SampleList[[#This Row],[Date Sampled]]</f>
        <v>0</v>
      </c>
      <c r="D488">
        <f>SampleList[[#This Row],[Duration (Days)]]</f>
        <v>0</v>
      </c>
      <c r="E488">
        <f>NMRResults[[#This Row],[Ammonium Concentration (mM)]]</f>
        <v>0</v>
      </c>
      <c r="F488" t="str">
        <f>GCResults[[#This Row],[H2 (ppm)]]</f>
        <v/>
      </c>
      <c r="G488">
        <f>GCResults[[#This Row],[Total Gas Volume (mL), gas cylinder = 3785mL]]</f>
        <v>0</v>
      </c>
      <c r="H488">
        <f>GCResults[[#This Row],[Pressure on Sampling (PSI), 145PSI=1MPa]]</f>
        <v>3552.5</v>
      </c>
      <c r="I488">
        <f>pHCondMod[[#This Row],[Sample pH]]</f>
        <v>0</v>
      </c>
      <c r="J488">
        <f>pHCondMod[[#This Row],[Sample Conductivity (mS/cm)]]</f>
        <v>0</v>
      </c>
      <c r="K488">
        <f>pHCondMod[[#This Row],[Modification Description]]</f>
        <v>0</v>
      </c>
      <c r="L488" s="1">
        <f>NMRResults[[#This Row],[Date Run]]</f>
        <v>0</v>
      </c>
      <c r="M488" s="1">
        <f>ICPList[[#This Row],[Date Run]]</f>
        <v>0</v>
      </c>
      <c r="N488" s="1">
        <f>GCResults[[#This Row],[Date Run ]]</f>
        <v>0</v>
      </c>
    </row>
    <row r="489" spans="1:14" ht="14.45" x14ac:dyDescent="0.25">
      <c r="A489">
        <f>SampleList[[#This Row],[Experiment ID]]</f>
        <v>0</v>
      </c>
      <c r="B489">
        <f>SampleList[[#This Row],[Sample Description]]</f>
        <v>0</v>
      </c>
      <c r="C489" s="1">
        <f>SampleList[[#This Row],[Date Sampled]]</f>
        <v>0</v>
      </c>
      <c r="D489">
        <f>SampleList[[#This Row],[Duration (Days)]]</f>
        <v>0</v>
      </c>
      <c r="E489">
        <f>NMRResults[[#This Row],[Ammonium Concentration (mM)]]</f>
        <v>0</v>
      </c>
      <c r="F489" t="str">
        <f>GCResults[[#This Row],[H2 (ppm)]]</f>
        <v/>
      </c>
      <c r="G489">
        <f>GCResults[[#This Row],[Total Gas Volume (mL), gas cylinder = 3785mL]]</f>
        <v>0</v>
      </c>
      <c r="H489">
        <f>GCResults[[#This Row],[Pressure on Sampling (PSI), 145PSI=1MPa]]</f>
        <v>3552.5</v>
      </c>
      <c r="I489">
        <f>pHCondMod[[#This Row],[Sample pH]]</f>
        <v>0</v>
      </c>
      <c r="J489">
        <f>pHCondMod[[#This Row],[Sample Conductivity (mS/cm)]]</f>
        <v>0</v>
      </c>
      <c r="K489">
        <f>pHCondMod[[#This Row],[Modification Description]]</f>
        <v>0</v>
      </c>
      <c r="L489" s="1">
        <f>NMRResults[[#This Row],[Date Run]]</f>
        <v>0</v>
      </c>
      <c r="M489" s="1">
        <f>ICPList[[#This Row],[Date Run]]</f>
        <v>0</v>
      </c>
      <c r="N489" s="1">
        <f>GCResults[[#This Row],[Date Run ]]</f>
        <v>0</v>
      </c>
    </row>
    <row r="490" spans="1:14" ht="14.45" x14ac:dyDescent="0.25">
      <c r="A490">
        <f>SampleList[[#This Row],[Experiment ID]]</f>
        <v>0</v>
      </c>
      <c r="B490">
        <f>SampleList[[#This Row],[Sample Description]]</f>
        <v>0</v>
      </c>
      <c r="C490" s="1">
        <f>SampleList[[#This Row],[Date Sampled]]</f>
        <v>0</v>
      </c>
      <c r="D490">
        <f>SampleList[[#This Row],[Duration (Days)]]</f>
        <v>0</v>
      </c>
      <c r="E490">
        <f>NMRResults[[#This Row],[Ammonium Concentration (mM)]]</f>
        <v>0</v>
      </c>
      <c r="F490" t="str">
        <f>GCResults[[#This Row],[H2 (ppm)]]</f>
        <v/>
      </c>
      <c r="G490">
        <f>GCResults[[#This Row],[Total Gas Volume (mL), gas cylinder = 3785mL]]</f>
        <v>0</v>
      </c>
      <c r="H490">
        <f>GCResults[[#This Row],[Pressure on Sampling (PSI), 145PSI=1MPa]]</f>
        <v>3552.5</v>
      </c>
      <c r="I490">
        <f>pHCondMod[[#This Row],[Sample pH]]</f>
        <v>0</v>
      </c>
      <c r="J490">
        <f>pHCondMod[[#This Row],[Sample Conductivity (mS/cm)]]</f>
        <v>0</v>
      </c>
      <c r="K490">
        <f>pHCondMod[[#This Row],[Modification Description]]</f>
        <v>0</v>
      </c>
      <c r="L490" s="1">
        <f>NMRResults[[#This Row],[Date Run]]</f>
        <v>0</v>
      </c>
      <c r="M490" s="1">
        <f>ICPList[[#This Row],[Date Run]]</f>
        <v>0</v>
      </c>
      <c r="N490" s="1">
        <f>GCResults[[#This Row],[Date Run ]]</f>
        <v>0</v>
      </c>
    </row>
    <row r="491" spans="1:14" ht="14.45" x14ac:dyDescent="0.25">
      <c r="A491">
        <f>SampleList[[#This Row],[Experiment ID]]</f>
        <v>0</v>
      </c>
      <c r="B491">
        <f>SampleList[[#This Row],[Sample Description]]</f>
        <v>0</v>
      </c>
      <c r="C491" s="1">
        <f>SampleList[[#This Row],[Date Sampled]]</f>
        <v>0</v>
      </c>
      <c r="D491">
        <f>SampleList[[#This Row],[Duration (Days)]]</f>
        <v>0</v>
      </c>
      <c r="E491">
        <f>NMRResults[[#This Row],[Ammonium Concentration (mM)]]</f>
        <v>0</v>
      </c>
      <c r="F491" t="str">
        <f>GCResults[[#This Row],[H2 (ppm)]]</f>
        <v/>
      </c>
      <c r="G491">
        <f>GCResults[[#This Row],[Total Gas Volume (mL), gas cylinder = 3785mL]]</f>
        <v>0</v>
      </c>
      <c r="H491">
        <f>GCResults[[#This Row],[Pressure on Sampling (PSI), 145PSI=1MPa]]</f>
        <v>3552.5</v>
      </c>
      <c r="I491">
        <f>pHCondMod[[#This Row],[Sample pH]]</f>
        <v>0</v>
      </c>
      <c r="J491">
        <f>pHCondMod[[#This Row],[Sample Conductivity (mS/cm)]]</f>
        <v>0</v>
      </c>
      <c r="K491">
        <f>pHCondMod[[#This Row],[Modification Description]]</f>
        <v>0</v>
      </c>
      <c r="L491" s="1">
        <f>NMRResults[[#This Row],[Date Run]]</f>
        <v>0</v>
      </c>
      <c r="M491" s="1">
        <f>ICPList[[#This Row],[Date Run]]</f>
        <v>0</v>
      </c>
      <c r="N491" s="1">
        <f>GCResults[[#This Row],[Date Run ]]</f>
        <v>0</v>
      </c>
    </row>
    <row r="492" spans="1:14" ht="14.45" x14ac:dyDescent="0.25">
      <c r="A492">
        <f>SampleList[[#This Row],[Experiment ID]]</f>
        <v>0</v>
      </c>
      <c r="B492">
        <f>SampleList[[#This Row],[Sample Description]]</f>
        <v>0</v>
      </c>
      <c r="C492" s="1">
        <f>SampleList[[#This Row],[Date Sampled]]</f>
        <v>0</v>
      </c>
      <c r="D492">
        <f>SampleList[[#This Row],[Duration (Days)]]</f>
        <v>0</v>
      </c>
      <c r="E492">
        <f>NMRResults[[#This Row],[Ammonium Concentration (mM)]]</f>
        <v>0</v>
      </c>
      <c r="F492" t="str">
        <f>GCResults[[#This Row],[H2 (ppm)]]</f>
        <v/>
      </c>
      <c r="G492">
        <f>GCResults[[#This Row],[Total Gas Volume (mL), gas cylinder = 3785mL]]</f>
        <v>0</v>
      </c>
      <c r="H492">
        <f>GCResults[[#This Row],[Pressure on Sampling (PSI), 145PSI=1MPa]]</f>
        <v>3552.5</v>
      </c>
      <c r="I492">
        <f>pHCondMod[[#This Row],[Sample pH]]</f>
        <v>0</v>
      </c>
      <c r="J492">
        <f>pHCondMod[[#This Row],[Sample Conductivity (mS/cm)]]</f>
        <v>0</v>
      </c>
      <c r="K492">
        <f>pHCondMod[[#This Row],[Modification Description]]</f>
        <v>0</v>
      </c>
      <c r="L492" s="1">
        <f>NMRResults[[#This Row],[Date Run]]</f>
        <v>0</v>
      </c>
      <c r="M492" s="1">
        <f>ICPList[[#This Row],[Date Run]]</f>
        <v>0</v>
      </c>
      <c r="N492" s="1">
        <f>GCResults[[#This Row],[Date Run ]]</f>
        <v>0</v>
      </c>
    </row>
    <row r="493" spans="1:14" ht="14.45" x14ac:dyDescent="0.25">
      <c r="A493">
        <f>SampleList[[#This Row],[Experiment ID]]</f>
        <v>0</v>
      </c>
      <c r="B493">
        <f>SampleList[[#This Row],[Sample Description]]</f>
        <v>0</v>
      </c>
      <c r="C493" s="1">
        <f>SampleList[[#This Row],[Date Sampled]]</f>
        <v>0</v>
      </c>
      <c r="D493">
        <f>SampleList[[#This Row],[Duration (Days)]]</f>
        <v>0</v>
      </c>
      <c r="E493">
        <f>NMRResults[[#This Row],[Ammonium Concentration (mM)]]</f>
        <v>0</v>
      </c>
      <c r="F493" t="str">
        <f>GCResults[[#This Row],[H2 (ppm)]]</f>
        <v/>
      </c>
      <c r="G493">
        <f>GCResults[[#This Row],[Total Gas Volume (mL), gas cylinder = 3785mL]]</f>
        <v>0</v>
      </c>
      <c r="H493">
        <f>GCResults[[#This Row],[Pressure on Sampling (PSI), 145PSI=1MPa]]</f>
        <v>3552.5</v>
      </c>
      <c r="I493">
        <f>pHCondMod[[#This Row],[Sample pH]]</f>
        <v>0</v>
      </c>
      <c r="J493">
        <f>pHCondMod[[#This Row],[Sample Conductivity (mS/cm)]]</f>
        <v>0</v>
      </c>
      <c r="K493">
        <f>pHCondMod[[#This Row],[Modification Description]]</f>
        <v>0</v>
      </c>
      <c r="L493" s="1">
        <f>NMRResults[[#This Row],[Date Run]]</f>
        <v>0</v>
      </c>
      <c r="M493" s="1">
        <f>ICPList[[#This Row],[Date Run]]</f>
        <v>0</v>
      </c>
      <c r="N493" s="1">
        <f>GCResults[[#This Row],[Date Run ]]</f>
        <v>0</v>
      </c>
    </row>
    <row r="494" spans="1:14" ht="14.45" x14ac:dyDescent="0.25">
      <c r="A494">
        <f>SampleList[[#This Row],[Experiment ID]]</f>
        <v>0</v>
      </c>
      <c r="B494">
        <f>SampleList[[#This Row],[Sample Description]]</f>
        <v>0</v>
      </c>
      <c r="C494" s="1">
        <f>SampleList[[#This Row],[Date Sampled]]</f>
        <v>0</v>
      </c>
      <c r="D494">
        <f>SampleList[[#This Row],[Duration (Days)]]</f>
        <v>0</v>
      </c>
      <c r="E494">
        <f>NMRResults[[#This Row],[Ammonium Concentration (mM)]]</f>
        <v>0</v>
      </c>
      <c r="F494" t="str">
        <f>GCResults[[#This Row],[H2 (ppm)]]</f>
        <v/>
      </c>
      <c r="G494">
        <f>GCResults[[#This Row],[Total Gas Volume (mL), gas cylinder = 3785mL]]</f>
        <v>0</v>
      </c>
      <c r="H494">
        <f>GCResults[[#This Row],[Pressure on Sampling (PSI), 145PSI=1MPa]]</f>
        <v>3552.5</v>
      </c>
      <c r="I494">
        <f>pHCondMod[[#This Row],[Sample pH]]</f>
        <v>0</v>
      </c>
      <c r="J494">
        <f>pHCondMod[[#This Row],[Sample Conductivity (mS/cm)]]</f>
        <v>0</v>
      </c>
      <c r="K494">
        <f>pHCondMod[[#This Row],[Modification Description]]</f>
        <v>0</v>
      </c>
      <c r="L494" s="1">
        <f>NMRResults[[#This Row],[Date Run]]</f>
        <v>0</v>
      </c>
      <c r="M494" s="1">
        <f>ICPList[[#This Row],[Date Run]]</f>
        <v>0</v>
      </c>
      <c r="N494" s="1">
        <f>GCResults[[#This Row],[Date Run ]]</f>
        <v>0</v>
      </c>
    </row>
    <row r="495" spans="1:14" ht="14.45" x14ac:dyDescent="0.25">
      <c r="A495">
        <f>SampleList[[#This Row],[Experiment ID]]</f>
        <v>0</v>
      </c>
      <c r="B495">
        <f>SampleList[[#This Row],[Sample Description]]</f>
        <v>0</v>
      </c>
      <c r="C495" s="1">
        <f>SampleList[[#This Row],[Date Sampled]]</f>
        <v>0</v>
      </c>
      <c r="D495">
        <f>SampleList[[#This Row],[Duration (Days)]]</f>
        <v>0</v>
      </c>
      <c r="E495">
        <f>NMRResults[[#This Row],[Ammonium Concentration (mM)]]</f>
        <v>0</v>
      </c>
      <c r="F495" t="str">
        <f>GCResults[[#This Row],[H2 (ppm)]]</f>
        <v/>
      </c>
      <c r="G495">
        <f>GCResults[[#This Row],[Total Gas Volume (mL), gas cylinder = 3785mL]]</f>
        <v>0</v>
      </c>
      <c r="H495">
        <f>GCResults[[#This Row],[Pressure on Sampling (PSI), 145PSI=1MPa]]</f>
        <v>3552.5</v>
      </c>
      <c r="I495">
        <f>pHCondMod[[#This Row],[Sample pH]]</f>
        <v>0</v>
      </c>
      <c r="J495">
        <f>pHCondMod[[#This Row],[Sample Conductivity (mS/cm)]]</f>
        <v>0</v>
      </c>
      <c r="K495">
        <f>pHCondMod[[#This Row],[Modification Description]]</f>
        <v>0</v>
      </c>
      <c r="L495" s="1">
        <f>NMRResults[[#This Row],[Date Run]]</f>
        <v>0</v>
      </c>
      <c r="M495" s="1">
        <f>ICPList[[#This Row],[Date Run]]</f>
        <v>0</v>
      </c>
      <c r="N495" s="1">
        <f>GCResults[[#This Row],[Date Run ]]</f>
        <v>0</v>
      </c>
    </row>
    <row r="496" spans="1:14" ht="14.45" x14ac:dyDescent="0.25">
      <c r="A496">
        <f>SampleList[[#This Row],[Experiment ID]]</f>
        <v>0</v>
      </c>
      <c r="B496">
        <f>SampleList[[#This Row],[Sample Description]]</f>
        <v>0</v>
      </c>
      <c r="C496" s="1">
        <f>SampleList[[#This Row],[Date Sampled]]</f>
        <v>0</v>
      </c>
      <c r="D496">
        <f>SampleList[[#This Row],[Duration (Days)]]</f>
        <v>0</v>
      </c>
      <c r="E496">
        <f>NMRResults[[#This Row],[Ammonium Concentration (mM)]]</f>
        <v>0</v>
      </c>
      <c r="F496" t="str">
        <f>GCResults[[#This Row],[H2 (ppm)]]</f>
        <v/>
      </c>
      <c r="G496">
        <f>GCResults[[#This Row],[Total Gas Volume (mL), gas cylinder = 3785mL]]</f>
        <v>0</v>
      </c>
      <c r="H496">
        <f>GCResults[[#This Row],[Pressure on Sampling (PSI), 145PSI=1MPa]]</f>
        <v>3552.5</v>
      </c>
      <c r="I496">
        <f>pHCondMod[[#This Row],[Sample pH]]</f>
        <v>0</v>
      </c>
      <c r="J496">
        <f>pHCondMod[[#This Row],[Sample Conductivity (mS/cm)]]</f>
        <v>0</v>
      </c>
      <c r="K496">
        <f>pHCondMod[[#This Row],[Modification Description]]</f>
        <v>0</v>
      </c>
      <c r="L496" s="1">
        <f>NMRResults[[#This Row],[Date Run]]</f>
        <v>0</v>
      </c>
      <c r="M496" s="1">
        <f>ICPList[[#This Row],[Date Run]]</f>
        <v>0</v>
      </c>
      <c r="N496" s="1">
        <f>GCResults[[#This Row],[Date Run ]]</f>
        <v>0</v>
      </c>
    </row>
    <row r="497" spans="1:14" ht="14.45" x14ac:dyDescent="0.25">
      <c r="A497">
        <f>SampleList[[#This Row],[Experiment ID]]</f>
        <v>0</v>
      </c>
      <c r="B497">
        <f>SampleList[[#This Row],[Sample Description]]</f>
        <v>0</v>
      </c>
      <c r="C497" s="1">
        <f>SampleList[[#This Row],[Date Sampled]]</f>
        <v>0</v>
      </c>
      <c r="D497">
        <f>SampleList[[#This Row],[Duration (Days)]]</f>
        <v>0</v>
      </c>
      <c r="E497">
        <f>NMRResults[[#This Row],[Ammonium Concentration (mM)]]</f>
        <v>0</v>
      </c>
      <c r="F497" t="str">
        <f>GCResults[[#This Row],[H2 (ppm)]]</f>
        <v/>
      </c>
      <c r="G497">
        <f>GCResults[[#This Row],[Total Gas Volume (mL), gas cylinder = 3785mL]]</f>
        <v>0</v>
      </c>
      <c r="H497">
        <f>GCResults[[#This Row],[Pressure on Sampling (PSI), 145PSI=1MPa]]</f>
        <v>3552.5</v>
      </c>
      <c r="I497">
        <f>pHCondMod[[#This Row],[Sample pH]]</f>
        <v>0</v>
      </c>
      <c r="J497">
        <f>pHCondMod[[#This Row],[Sample Conductivity (mS/cm)]]</f>
        <v>0</v>
      </c>
      <c r="K497">
        <f>pHCondMod[[#This Row],[Modification Description]]</f>
        <v>0</v>
      </c>
      <c r="L497" s="1">
        <f>NMRResults[[#This Row],[Date Run]]</f>
        <v>0</v>
      </c>
      <c r="M497" s="1">
        <f>ICPList[[#This Row],[Date Run]]</f>
        <v>0</v>
      </c>
      <c r="N497" s="1">
        <f>GCResults[[#This Row],[Date Run ]]</f>
        <v>0</v>
      </c>
    </row>
    <row r="498" spans="1:14" ht="14.45" x14ac:dyDescent="0.25">
      <c r="A498">
        <f>SampleList[[#This Row],[Experiment ID]]</f>
        <v>0</v>
      </c>
      <c r="B498">
        <f>SampleList[[#This Row],[Sample Description]]</f>
        <v>0</v>
      </c>
      <c r="C498" s="1">
        <f>SampleList[[#This Row],[Date Sampled]]</f>
        <v>0</v>
      </c>
      <c r="D498">
        <f>SampleList[[#This Row],[Duration (Days)]]</f>
        <v>0</v>
      </c>
      <c r="E498">
        <f>NMRResults[[#This Row],[Ammonium Concentration (mM)]]</f>
        <v>0</v>
      </c>
      <c r="F498" t="str">
        <f>GCResults[[#This Row],[H2 (ppm)]]</f>
        <v/>
      </c>
      <c r="G498">
        <f>GCResults[[#This Row],[Total Gas Volume (mL), gas cylinder = 3785mL]]</f>
        <v>0</v>
      </c>
      <c r="H498">
        <f>GCResults[[#This Row],[Pressure on Sampling (PSI), 145PSI=1MPa]]</f>
        <v>3552.5</v>
      </c>
      <c r="I498">
        <f>pHCondMod[[#This Row],[Sample pH]]</f>
        <v>0</v>
      </c>
      <c r="J498">
        <f>pHCondMod[[#This Row],[Sample Conductivity (mS/cm)]]</f>
        <v>0</v>
      </c>
      <c r="K498">
        <f>pHCondMod[[#This Row],[Modification Description]]</f>
        <v>0</v>
      </c>
      <c r="L498" s="1">
        <f>NMRResults[[#This Row],[Date Run]]</f>
        <v>0</v>
      </c>
      <c r="M498" s="1">
        <f>ICPList[[#This Row],[Date Run]]</f>
        <v>0</v>
      </c>
      <c r="N498" s="1">
        <f>GCResults[[#This Row],[Date Run ]]</f>
        <v>0</v>
      </c>
    </row>
    <row r="499" spans="1:14" ht="14.45" x14ac:dyDescent="0.25">
      <c r="A499">
        <f>SampleList[[#This Row],[Experiment ID]]</f>
        <v>0</v>
      </c>
      <c r="B499">
        <f>SampleList[[#This Row],[Sample Description]]</f>
        <v>0</v>
      </c>
      <c r="C499" s="1">
        <f>SampleList[[#This Row],[Date Sampled]]</f>
        <v>0</v>
      </c>
      <c r="D499">
        <f>SampleList[[#This Row],[Duration (Days)]]</f>
        <v>0</v>
      </c>
      <c r="E499">
        <f>NMRResults[[#This Row],[Ammonium Concentration (mM)]]</f>
        <v>0</v>
      </c>
      <c r="F499" t="str">
        <f>GCResults[[#This Row],[H2 (ppm)]]</f>
        <v/>
      </c>
      <c r="G499">
        <f>GCResults[[#This Row],[Total Gas Volume (mL), gas cylinder = 3785mL]]</f>
        <v>0</v>
      </c>
      <c r="H499">
        <f>GCResults[[#This Row],[Pressure on Sampling (PSI), 145PSI=1MPa]]</f>
        <v>3552.5</v>
      </c>
      <c r="I499">
        <f>pHCondMod[[#This Row],[Sample pH]]</f>
        <v>0</v>
      </c>
      <c r="J499">
        <f>pHCondMod[[#This Row],[Sample Conductivity (mS/cm)]]</f>
        <v>0</v>
      </c>
      <c r="K499">
        <f>pHCondMod[[#This Row],[Modification Description]]</f>
        <v>0</v>
      </c>
      <c r="L499" s="1">
        <f>NMRResults[[#This Row],[Date Run]]</f>
        <v>0</v>
      </c>
      <c r="M499" s="1">
        <f>ICPList[[#This Row],[Date Run]]</f>
        <v>0</v>
      </c>
      <c r="N499" s="1">
        <f>GCResults[[#This Row],[Date Run ]]</f>
        <v>0</v>
      </c>
    </row>
    <row r="500" spans="1:14" ht="14.45" x14ac:dyDescent="0.25">
      <c r="A500">
        <f>SampleList[[#This Row],[Experiment ID]]</f>
        <v>0</v>
      </c>
      <c r="B500">
        <f>SampleList[[#This Row],[Sample Description]]</f>
        <v>0</v>
      </c>
      <c r="C500" s="1">
        <f>SampleList[[#This Row],[Date Sampled]]</f>
        <v>0</v>
      </c>
      <c r="D500">
        <f>SampleList[[#This Row],[Duration (Days)]]</f>
        <v>0</v>
      </c>
      <c r="E500">
        <f>NMRResults[[#This Row],[Ammonium Concentration (mM)]]</f>
        <v>0</v>
      </c>
      <c r="F500" t="str">
        <f>GCResults[[#This Row],[H2 (ppm)]]</f>
        <v/>
      </c>
      <c r="G500">
        <f>GCResults[[#This Row],[Total Gas Volume (mL), gas cylinder = 3785mL]]</f>
        <v>0</v>
      </c>
      <c r="H500">
        <f>GCResults[[#This Row],[Pressure on Sampling (PSI), 145PSI=1MPa]]</f>
        <v>3552.5</v>
      </c>
      <c r="I500">
        <f>pHCondMod[[#This Row],[Sample pH]]</f>
        <v>0</v>
      </c>
      <c r="J500">
        <f>pHCondMod[[#This Row],[Sample Conductivity (mS/cm)]]</f>
        <v>0</v>
      </c>
      <c r="K500">
        <f>pHCondMod[[#This Row],[Modification Description]]</f>
        <v>0</v>
      </c>
      <c r="L500" s="1">
        <f>NMRResults[[#This Row],[Date Run]]</f>
        <v>0</v>
      </c>
      <c r="M500" s="1">
        <f>ICPList[[#This Row],[Date Run]]</f>
        <v>0</v>
      </c>
      <c r="N500" s="1">
        <f>GCResults[[#This Row],[Date Run ]]</f>
        <v>0</v>
      </c>
    </row>
    <row r="501" spans="1:14" ht="14.45" x14ac:dyDescent="0.25">
      <c r="A501">
        <f>SampleList[[#This Row],[Experiment ID]]</f>
        <v>0</v>
      </c>
      <c r="B501">
        <f>SampleList[[#This Row],[Sample Description]]</f>
        <v>0</v>
      </c>
      <c r="C501" s="1">
        <f>SampleList[[#This Row],[Date Sampled]]</f>
        <v>0</v>
      </c>
      <c r="D501">
        <f>SampleList[[#This Row],[Duration (Days)]]</f>
        <v>0</v>
      </c>
      <c r="E501">
        <f>NMRResults[[#This Row],[Ammonium Concentration (mM)]]</f>
        <v>0</v>
      </c>
      <c r="F501" t="str">
        <f>GCResults[[#This Row],[H2 (ppm)]]</f>
        <v/>
      </c>
      <c r="G501">
        <f>GCResults[[#This Row],[Total Gas Volume (mL), gas cylinder = 3785mL]]</f>
        <v>0</v>
      </c>
      <c r="H501">
        <f>GCResults[[#This Row],[Pressure on Sampling (PSI), 145PSI=1MPa]]</f>
        <v>3552.5</v>
      </c>
      <c r="I501">
        <f>pHCondMod[[#This Row],[Sample pH]]</f>
        <v>0</v>
      </c>
      <c r="J501">
        <f>pHCondMod[[#This Row],[Sample Conductivity (mS/cm)]]</f>
        <v>0</v>
      </c>
      <c r="K501">
        <f>pHCondMod[[#This Row],[Modification Description]]</f>
        <v>0</v>
      </c>
      <c r="L501" s="1">
        <f>NMRResults[[#This Row],[Date Run]]</f>
        <v>0</v>
      </c>
      <c r="M501" s="1">
        <f>ICPList[[#This Row],[Date Run]]</f>
        <v>0</v>
      </c>
      <c r="N501" s="1">
        <f>GCResults[[#This Row],[Date Run ]]</f>
        <v>0</v>
      </c>
    </row>
    <row r="502" spans="1:14" ht="14.45" x14ac:dyDescent="0.25">
      <c r="A502">
        <f>SampleList[[#This Row],[Experiment ID]]</f>
        <v>0</v>
      </c>
      <c r="B502">
        <f>SampleList[[#This Row],[Sample Description]]</f>
        <v>0</v>
      </c>
      <c r="C502" s="1">
        <f>SampleList[[#This Row],[Date Sampled]]</f>
        <v>0</v>
      </c>
      <c r="D502">
        <f>SampleList[[#This Row],[Duration (Days)]]</f>
        <v>0</v>
      </c>
      <c r="E502">
        <f>NMRResults[[#This Row],[Ammonium Concentration (mM)]]</f>
        <v>0</v>
      </c>
      <c r="F502" t="str">
        <f>GCResults[[#This Row],[H2 (ppm)]]</f>
        <v/>
      </c>
      <c r="G502">
        <f>GCResults[[#This Row],[Total Gas Volume (mL), gas cylinder = 3785mL]]</f>
        <v>0</v>
      </c>
      <c r="H502">
        <f>GCResults[[#This Row],[Pressure on Sampling (PSI), 145PSI=1MPa]]</f>
        <v>3552.5</v>
      </c>
      <c r="I502">
        <f>pHCondMod[[#This Row],[Sample pH]]</f>
        <v>0</v>
      </c>
      <c r="J502">
        <f>pHCondMod[[#This Row],[Sample Conductivity (mS/cm)]]</f>
        <v>0</v>
      </c>
      <c r="K502">
        <f>pHCondMod[[#This Row],[Modification Description]]</f>
        <v>0</v>
      </c>
      <c r="L502" s="1">
        <f>NMRResults[[#This Row],[Date Run]]</f>
        <v>0</v>
      </c>
      <c r="M502" s="1">
        <f>ICPList[[#This Row],[Date Run]]</f>
        <v>0</v>
      </c>
      <c r="N502" s="1">
        <f>GCResults[[#This Row],[Date Run ]]</f>
        <v>0</v>
      </c>
    </row>
    <row r="503" spans="1:14" ht="14.45" x14ac:dyDescent="0.25">
      <c r="A503">
        <f>SampleList[[#This Row],[Experiment ID]]</f>
        <v>0</v>
      </c>
      <c r="B503">
        <f>SampleList[[#This Row],[Sample Description]]</f>
        <v>0</v>
      </c>
      <c r="C503" s="1">
        <f>SampleList[[#This Row],[Date Sampled]]</f>
        <v>0</v>
      </c>
      <c r="D503">
        <f>SampleList[[#This Row],[Duration (Days)]]</f>
        <v>0</v>
      </c>
      <c r="E503">
        <f>NMRResults[[#This Row],[Ammonium Concentration (mM)]]</f>
        <v>0</v>
      </c>
      <c r="F503" t="str">
        <f>GCResults[[#This Row],[H2 (ppm)]]</f>
        <v/>
      </c>
      <c r="G503">
        <f>GCResults[[#This Row],[Total Gas Volume (mL), gas cylinder = 3785mL]]</f>
        <v>0</v>
      </c>
      <c r="H503">
        <f>GCResults[[#This Row],[Pressure on Sampling (PSI), 145PSI=1MPa]]</f>
        <v>3552.5</v>
      </c>
      <c r="I503">
        <f>pHCondMod[[#This Row],[Sample pH]]</f>
        <v>0</v>
      </c>
      <c r="J503">
        <f>pHCondMod[[#This Row],[Sample Conductivity (mS/cm)]]</f>
        <v>0</v>
      </c>
      <c r="K503">
        <f>pHCondMod[[#This Row],[Modification Description]]</f>
        <v>0</v>
      </c>
      <c r="L503" s="1">
        <f>NMRResults[[#This Row],[Date Run]]</f>
        <v>0</v>
      </c>
      <c r="M503" s="1">
        <f>ICPList[[#This Row],[Date Run]]</f>
        <v>0</v>
      </c>
      <c r="N503" s="1">
        <f>GCResults[[#This Row],[Date Run ]]</f>
        <v>0</v>
      </c>
    </row>
    <row r="504" spans="1:14" ht="14.45" x14ac:dyDescent="0.25">
      <c r="A504">
        <f>SampleList[[#This Row],[Experiment ID]]</f>
        <v>0</v>
      </c>
      <c r="B504">
        <f>SampleList[[#This Row],[Sample Description]]</f>
        <v>0</v>
      </c>
      <c r="C504" s="1">
        <f>SampleList[[#This Row],[Date Sampled]]</f>
        <v>0</v>
      </c>
      <c r="D504">
        <f>SampleList[[#This Row],[Duration (Days)]]</f>
        <v>0</v>
      </c>
      <c r="E504">
        <f>NMRResults[[#This Row],[Ammonium Concentration (mM)]]</f>
        <v>0</v>
      </c>
      <c r="F504" t="str">
        <f>GCResults[[#This Row],[H2 (ppm)]]</f>
        <v/>
      </c>
      <c r="G504">
        <f>GCResults[[#This Row],[Total Gas Volume (mL), gas cylinder = 3785mL]]</f>
        <v>0</v>
      </c>
      <c r="H504">
        <f>GCResults[[#This Row],[Pressure on Sampling (PSI), 145PSI=1MPa]]</f>
        <v>3552.5</v>
      </c>
      <c r="I504">
        <f>pHCondMod[[#This Row],[Sample pH]]</f>
        <v>0</v>
      </c>
      <c r="J504">
        <f>pHCondMod[[#This Row],[Sample Conductivity (mS/cm)]]</f>
        <v>0</v>
      </c>
      <c r="K504">
        <f>pHCondMod[[#This Row],[Modification Description]]</f>
        <v>0</v>
      </c>
      <c r="L504" s="1">
        <f>NMRResults[[#This Row],[Date Run]]</f>
        <v>0</v>
      </c>
      <c r="M504" s="1">
        <f>ICPList[[#This Row],[Date Run]]</f>
        <v>0</v>
      </c>
      <c r="N504" s="1">
        <f>GCResults[[#This Row],[Date Run ]]</f>
        <v>0</v>
      </c>
    </row>
    <row r="505" spans="1:14" ht="14.45" x14ac:dyDescent="0.25">
      <c r="A505">
        <f>SampleList[[#This Row],[Experiment ID]]</f>
        <v>0</v>
      </c>
      <c r="B505">
        <f>SampleList[[#This Row],[Sample Description]]</f>
        <v>0</v>
      </c>
      <c r="C505" s="1">
        <f>SampleList[[#This Row],[Date Sampled]]</f>
        <v>0</v>
      </c>
      <c r="D505">
        <f>SampleList[[#This Row],[Duration (Days)]]</f>
        <v>0</v>
      </c>
      <c r="E505">
        <f>NMRResults[[#This Row],[Ammonium Concentration (mM)]]</f>
        <v>0</v>
      </c>
      <c r="F505" t="str">
        <f>GCResults[[#This Row],[H2 (ppm)]]</f>
        <v/>
      </c>
      <c r="G505">
        <f>GCResults[[#This Row],[Total Gas Volume (mL), gas cylinder = 3785mL]]</f>
        <v>0</v>
      </c>
      <c r="H505">
        <f>GCResults[[#This Row],[Pressure on Sampling (PSI), 145PSI=1MPa]]</f>
        <v>3552.5</v>
      </c>
      <c r="I505">
        <f>pHCondMod[[#This Row],[Sample pH]]</f>
        <v>0</v>
      </c>
      <c r="J505">
        <f>pHCondMod[[#This Row],[Sample Conductivity (mS/cm)]]</f>
        <v>0</v>
      </c>
      <c r="K505">
        <f>pHCondMod[[#This Row],[Modification Description]]</f>
        <v>0</v>
      </c>
      <c r="L505" s="1">
        <f>NMRResults[[#This Row],[Date Run]]</f>
        <v>0</v>
      </c>
      <c r="M505" s="1">
        <f>ICPList[[#This Row],[Date Run]]</f>
        <v>0</v>
      </c>
      <c r="N505" s="1">
        <f>GCResults[[#This Row],[Date Run ]]</f>
        <v>0</v>
      </c>
    </row>
    <row r="506" spans="1:14" ht="14.45" x14ac:dyDescent="0.25">
      <c r="A506">
        <f>SampleList[[#This Row],[Experiment ID]]</f>
        <v>0</v>
      </c>
      <c r="B506">
        <f>SampleList[[#This Row],[Sample Description]]</f>
        <v>0</v>
      </c>
      <c r="C506" s="1">
        <f>SampleList[[#This Row],[Date Sampled]]</f>
        <v>0</v>
      </c>
      <c r="D506">
        <f>SampleList[[#This Row],[Duration (Days)]]</f>
        <v>0</v>
      </c>
      <c r="E506">
        <f>NMRResults[[#This Row],[Ammonium Concentration (mM)]]</f>
        <v>0</v>
      </c>
      <c r="F506" t="str">
        <f>GCResults[[#This Row],[H2 (ppm)]]</f>
        <v/>
      </c>
      <c r="G506">
        <f>GCResults[[#This Row],[Total Gas Volume (mL), gas cylinder = 3785mL]]</f>
        <v>0</v>
      </c>
      <c r="H506">
        <f>GCResults[[#This Row],[Pressure on Sampling (PSI), 145PSI=1MPa]]</f>
        <v>3552.5</v>
      </c>
      <c r="I506">
        <f>pHCondMod[[#This Row],[Sample pH]]</f>
        <v>0</v>
      </c>
      <c r="J506">
        <f>pHCondMod[[#This Row],[Sample Conductivity (mS/cm)]]</f>
        <v>0</v>
      </c>
      <c r="K506">
        <f>pHCondMod[[#This Row],[Modification Description]]</f>
        <v>0</v>
      </c>
      <c r="L506" s="1">
        <f>NMRResults[[#This Row],[Date Run]]</f>
        <v>0</v>
      </c>
      <c r="M506" s="1">
        <f>ICPList[[#This Row],[Date Run]]</f>
        <v>0</v>
      </c>
      <c r="N506" s="1">
        <f>GCResults[[#This Row],[Date Run ]]</f>
        <v>0</v>
      </c>
    </row>
    <row r="507" spans="1:14" ht="14.45" x14ac:dyDescent="0.25">
      <c r="A507">
        <f>SampleList[[#This Row],[Experiment ID]]</f>
        <v>0</v>
      </c>
      <c r="B507">
        <f>SampleList[[#This Row],[Sample Description]]</f>
        <v>0</v>
      </c>
      <c r="C507" s="1">
        <f>SampleList[[#This Row],[Date Sampled]]</f>
        <v>0</v>
      </c>
      <c r="D507">
        <f>SampleList[[#This Row],[Duration (Days)]]</f>
        <v>0</v>
      </c>
      <c r="E507">
        <f>NMRResults[[#This Row],[Ammonium Concentration (mM)]]</f>
        <v>0</v>
      </c>
      <c r="F507" t="str">
        <f>GCResults[[#This Row],[H2 (ppm)]]</f>
        <v/>
      </c>
      <c r="G507">
        <f>GCResults[[#This Row],[Total Gas Volume (mL), gas cylinder = 3785mL]]</f>
        <v>0</v>
      </c>
      <c r="H507">
        <f>GCResults[[#This Row],[Pressure on Sampling (PSI), 145PSI=1MPa]]</f>
        <v>3552.5</v>
      </c>
      <c r="I507">
        <f>pHCondMod[[#This Row],[Sample pH]]</f>
        <v>0</v>
      </c>
      <c r="J507">
        <f>pHCondMod[[#This Row],[Sample Conductivity (mS/cm)]]</f>
        <v>0</v>
      </c>
      <c r="K507">
        <f>pHCondMod[[#This Row],[Modification Description]]</f>
        <v>0</v>
      </c>
      <c r="L507" s="1">
        <f>NMRResults[[#This Row],[Date Run]]</f>
        <v>0</v>
      </c>
      <c r="M507" s="1">
        <f>ICPList[[#This Row],[Date Run]]</f>
        <v>0</v>
      </c>
      <c r="N507" s="1">
        <f>GCResults[[#This Row],[Date Run ]]</f>
        <v>0</v>
      </c>
    </row>
    <row r="508" spans="1:14" ht="14.45" x14ac:dyDescent="0.25">
      <c r="A508">
        <f>SampleList[[#This Row],[Experiment ID]]</f>
        <v>0</v>
      </c>
      <c r="B508">
        <f>SampleList[[#This Row],[Sample Description]]</f>
        <v>0</v>
      </c>
      <c r="C508" s="1">
        <f>SampleList[[#This Row],[Date Sampled]]</f>
        <v>0</v>
      </c>
      <c r="D508">
        <f>SampleList[[#This Row],[Duration (Days)]]</f>
        <v>0</v>
      </c>
      <c r="E508">
        <f>NMRResults[[#This Row],[Ammonium Concentration (mM)]]</f>
        <v>0</v>
      </c>
      <c r="F508" t="str">
        <f>GCResults[[#This Row],[H2 (ppm)]]</f>
        <v/>
      </c>
      <c r="G508">
        <f>GCResults[[#This Row],[Total Gas Volume (mL), gas cylinder = 3785mL]]</f>
        <v>0</v>
      </c>
      <c r="H508">
        <f>GCResults[[#This Row],[Pressure on Sampling (PSI), 145PSI=1MPa]]</f>
        <v>3552.5</v>
      </c>
      <c r="I508">
        <f>pHCondMod[[#This Row],[Sample pH]]</f>
        <v>0</v>
      </c>
      <c r="J508">
        <f>pHCondMod[[#This Row],[Sample Conductivity (mS/cm)]]</f>
        <v>0</v>
      </c>
      <c r="K508">
        <f>pHCondMod[[#This Row],[Modification Description]]</f>
        <v>0</v>
      </c>
      <c r="L508" s="1">
        <f>NMRResults[[#This Row],[Date Run]]</f>
        <v>0</v>
      </c>
      <c r="M508" s="1">
        <f>ICPList[[#This Row],[Date Run]]</f>
        <v>0</v>
      </c>
      <c r="N508" s="1">
        <f>GCResults[[#This Row],[Date Run ]]</f>
        <v>0</v>
      </c>
    </row>
    <row r="509" spans="1:14" ht="14.45" x14ac:dyDescent="0.25">
      <c r="A509">
        <f>SampleList[[#This Row],[Experiment ID]]</f>
        <v>0</v>
      </c>
      <c r="B509">
        <f>SampleList[[#This Row],[Sample Description]]</f>
        <v>0</v>
      </c>
      <c r="C509" s="1">
        <f>SampleList[[#This Row],[Date Sampled]]</f>
        <v>0</v>
      </c>
      <c r="D509">
        <f>SampleList[[#This Row],[Duration (Days)]]</f>
        <v>0</v>
      </c>
      <c r="E509">
        <f>NMRResults[[#This Row],[Ammonium Concentration (mM)]]</f>
        <v>0</v>
      </c>
      <c r="F509" t="str">
        <f>GCResults[[#This Row],[H2 (ppm)]]</f>
        <v/>
      </c>
      <c r="G509">
        <f>GCResults[[#This Row],[Total Gas Volume (mL), gas cylinder = 3785mL]]</f>
        <v>0</v>
      </c>
      <c r="H509">
        <f>GCResults[[#This Row],[Pressure on Sampling (PSI), 145PSI=1MPa]]</f>
        <v>3552.5</v>
      </c>
      <c r="I509">
        <f>pHCondMod[[#This Row],[Sample pH]]</f>
        <v>0</v>
      </c>
      <c r="J509">
        <f>pHCondMod[[#This Row],[Sample Conductivity (mS/cm)]]</f>
        <v>0</v>
      </c>
      <c r="K509">
        <f>pHCondMod[[#This Row],[Modification Description]]</f>
        <v>0</v>
      </c>
      <c r="L509" s="1">
        <f>NMRResults[[#This Row],[Date Run]]</f>
        <v>0</v>
      </c>
      <c r="M509" s="1">
        <f>ICPList[[#This Row],[Date Run]]</f>
        <v>0</v>
      </c>
      <c r="N509" s="1">
        <f>GCResults[[#This Row],[Date Run ]]</f>
        <v>0</v>
      </c>
    </row>
    <row r="510" spans="1:14" ht="14.45" x14ac:dyDescent="0.25">
      <c r="A510">
        <f>SampleList[[#This Row],[Experiment ID]]</f>
        <v>0</v>
      </c>
      <c r="B510">
        <f>SampleList[[#This Row],[Sample Description]]</f>
        <v>0</v>
      </c>
      <c r="C510" s="1">
        <f>SampleList[[#This Row],[Date Sampled]]</f>
        <v>0</v>
      </c>
      <c r="D510">
        <f>SampleList[[#This Row],[Duration (Days)]]</f>
        <v>0</v>
      </c>
      <c r="E510">
        <f>NMRResults[[#This Row],[Ammonium Concentration (mM)]]</f>
        <v>0</v>
      </c>
      <c r="F510" t="str">
        <f>GCResults[[#This Row],[H2 (ppm)]]</f>
        <v/>
      </c>
      <c r="G510">
        <f>GCResults[[#This Row],[Total Gas Volume (mL), gas cylinder = 3785mL]]</f>
        <v>0</v>
      </c>
      <c r="H510">
        <f>GCResults[[#This Row],[Pressure on Sampling (PSI), 145PSI=1MPa]]</f>
        <v>3552.5</v>
      </c>
      <c r="I510">
        <f>pHCondMod[[#This Row],[Sample pH]]</f>
        <v>0</v>
      </c>
      <c r="J510">
        <f>pHCondMod[[#This Row],[Sample Conductivity (mS/cm)]]</f>
        <v>0</v>
      </c>
      <c r="K510">
        <f>pHCondMod[[#This Row],[Modification Description]]</f>
        <v>0</v>
      </c>
      <c r="L510" s="1">
        <f>NMRResults[[#This Row],[Date Run]]</f>
        <v>0</v>
      </c>
      <c r="M510" s="1">
        <f>ICPList[[#This Row],[Date Run]]</f>
        <v>0</v>
      </c>
      <c r="N510" s="1">
        <f>GCResults[[#This Row],[Date Run ]]</f>
        <v>0</v>
      </c>
    </row>
    <row r="511" spans="1:14" ht="14.45" x14ac:dyDescent="0.25">
      <c r="A511">
        <f>SampleList[[#This Row],[Experiment ID]]</f>
        <v>0</v>
      </c>
      <c r="B511">
        <f>SampleList[[#This Row],[Sample Description]]</f>
        <v>0</v>
      </c>
      <c r="C511" s="1">
        <f>SampleList[[#This Row],[Date Sampled]]</f>
        <v>0</v>
      </c>
      <c r="D511">
        <f>SampleList[[#This Row],[Duration (Days)]]</f>
        <v>0</v>
      </c>
      <c r="E511">
        <f>NMRResults[[#This Row],[Ammonium Concentration (mM)]]</f>
        <v>0</v>
      </c>
      <c r="F511" t="str">
        <f>GCResults[[#This Row],[H2 (ppm)]]</f>
        <v/>
      </c>
      <c r="G511">
        <f>GCResults[[#This Row],[Total Gas Volume (mL), gas cylinder = 3785mL]]</f>
        <v>0</v>
      </c>
      <c r="H511">
        <f>GCResults[[#This Row],[Pressure on Sampling (PSI), 145PSI=1MPa]]</f>
        <v>3552.5</v>
      </c>
      <c r="I511">
        <f>pHCondMod[[#This Row],[Sample pH]]</f>
        <v>0</v>
      </c>
      <c r="J511">
        <f>pHCondMod[[#This Row],[Sample Conductivity (mS/cm)]]</f>
        <v>0</v>
      </c>
      <c r="K511">
        <f>pHCondMod[[#This Row],[Modification Description]]</f>
        <v>0</v>
      </c>
      <c r="L511" s="1">
        <f>NMRResults[[#This Row],[Date Run]]</f>
        <v>0</v>
      </c>
      <c r="M511" s="1">
        <f>ICPList[[#This Row],[Date Run]]</f>
        <v>0</v>
      </c>
      <c r="N511" s="1">
        <f>GCResults[[#This Row],[Date Run ]]</f>
        <v>0</v>
      </c>
    </row>
    <row r="512" spans="1:14" ht="14.45" x14ac:dyDescent="0.25">
      <c r="A512">
        <f>SampleList[[#This Row],[Experiment ID]]</f>
        <v>0</v>
      </c>
      <c r="B512">
        <f>SampleList[[#This Row],[Sample Description]]</f>
        <v>0</v>
      </c>
      <c r="C512" s="1">
        <f>SampleList[[#This Row],[Date Sampled]]</f>
        <v>0</v>
      </c>
      <c r="D512">
        <f>SampleList[[#This Row],[Duration (Days)]]</f>
        <v>0</v>
      </c>
      <c r="E512">
        <f>NMRResults[[#This Row],[Ammonium Concentration (mM)]]</f>
        <v>0</v>
      </c>
      <c r="F512" t="str">
        <f>GCResults[[#This Row],[H2 (ppm)]]</f>
        <v/>
      </c>
      <c r="G512">
        <f>GCResults[[#This Row],[Total Gas Volume (mL), gas cylinder = 3785mL]]</f>
        <v>0</v>
      </c>
      <c r="H512">
        <f>GCResults[[#This Row],[Pressure on Sampling (PSI), 145PSI=1MPa]]</f>
        <v>3552.5</v>
      </c>
      <c r="I512">
        <f>pHCondMod[[#This Row],[Sample pH]]</f>
        <v>0</v>
      </c>
      <c r="J512">
        <f>pHCondMod[[#This Row],[Sample Conductivity (mS/cm)]]</f>
        <v>0</v>
      </c>
      <c r="K512">
        <f>pHCondMod[[#This Row],[Modification Description]]</f>
        <v>0</v>
      </c>
      <c r="L512" s="1">
        <f>NMRResults[[#This Row],[Date Run]]</f>
        <v>0</v>
      </c>
      <c r="M512" s="1">
        <f>ICPList[[#This Row],[Date Run]]</f>
        <v>0</v>
      </c>
      <c r="N512" s="1">
        <f>GCResults[[#This Row],[Date Run ]]</f>
        <v>0</v>
      </c>
    </row>
    <row r="513" spans="1:14" ht="14.45" x14ac:dyDescent="0.25">
      <c r="A513">
        <f>SampleList[[#This Row],[Experiment ID]]</f>
        <v>0</v>
      </c>
      <c r="B513">
        <f>SampleList[[#This Row],[Sample Description]]</f>
        <v>0</v>
      </c>
      <c r="C513" s="1">
        <f>SampleList[[#This Row],[Date Sampled]]</f>
        <v>0</v>
      </c>
      <c r="D513">
        <f>SampleList[[#This Row],[Duration (Days)]]</f>
        <v>0</v>
      </c>
      <c r="E513">
        <f>NMRResults[[#This Row],[Ammonium Concentration (mM)]]</f>
        <v>0</v>
      </c>
      <c r="F513" t="str">
        <f>GCResults[[#This Row],[H2 (ppm)]]</f>
        <v/>
      </c>
      <c r="G513">
        <f>GCResults[[#This Row],[Total Gas Volume (mL), gas cylinder = 3785mL]]</f>
        <v>0</v>
      </c>
      <c r="H513">
        <f>GCResults[[#This Row],[Pressure on Sampling (PSI), 145PSI=1MPa]]</f>
        <v>3552.5</v>
      </c>
      <c r="I513">
        <f>pHCondMod[[#This Row],[Sample pH]]</f>
        <v>0</v>
      </c>
      <c r="J513">
        <f>pHCondMod[[#This Row],[Sample Conductivity (mS/cm)]]</f>
        <v>0</v>
      </c>
      <c r="K513">
        <f>pHCondMod[[#This Row],[Modification Description]]</f>
        <v>0</v>
      </c>
      <c r="L513" s="1">
        <f>NMRResults[[#This Row],[Date Run]]</f>
        <v>0</v>
      </c>
      <c r="M513" s="1">
        <f>ICPList[[#This Row],[Date Run]]</f>
        <v>0</v>
      </c>
      <c r="N513" s="1">
        <f>GCResults[[#This Row],[Date Run ]]</f>
        <v>0</v>
      </c>
    </row>
    <row r="514" spans="1:14" ht="14.45" x14ac:dyDescent="0.25">
      <c r="A514">
        <f>SampleList[[#This Row],[Experiment ID]]</f>
        <v>0</v>
      </c>
      <c r="B514">
        <f>SampleList[[#This Row],[Sample Description]]</f>
        <v>0</v>
      </c>
      <c r="C514" s="1">
        <f>SampleList[[#This Row],[Date Sampled]]</f>
        <v>0</v>
      </c>
      <c r="D514">
        <f>SampleList[[#This Row],[Duration (Days)]]</f>
        <v>0</v>
      </c>
      <c r="E514">
        <f>NMRResults[[#This Row],[Ammonium Concentration (mM)]]</f>
        <v>0</v>
      </c>
      <c r="F514" t="str">
        <f>GCResults[[#This Row],[H2 (ppm)]]</f>
        <v/>
      </c>
      <c r="G514">
        <f>GCResults[[#This Row],[Total Gas Volume (mL), gas cylinder = 3785mL]]</f>
        <v>0</v>
      </c>
      <c r="H514">
        <f>GCResults[[#This Row],[Pressure on Sampling (PSI), 145PSI=1MPa]]</f>
        <v>3552.5</v>
      </c>
      <c r="I514">
        <f>pHCondMod[[#This Row],[Sample pH]]</f>
        <v>0</v>
      </c>
      <c r="J514">
        <f>pHCondMod[[#This Row],[Sample Conductivity (mS/cm)]]</f>
        <v>0</v>
      </c>
      <c r="K514">
        <f>pHCondMod[[#This Row],[Modification Description]]</f>
        <v>0</v>
      </c>
      <c r="L514" s="1">
        <f>NMRResults[[#This Row],[Date Run]]</f>
        <v>0</v>
      </c>
      <c r="M514" s="1">
        <f>ICPList[[#This Row],[Date Run]]</f>
        <v>0</v>
      </c>
      <c r="N514" s="1">
        <f>GCResults[[#This Row],[Date Run ]]</f>
        <v>0</v>
      </c>
    </row>
    <row r="515" spans="1:14" ht="14.45" x14ac:dyDescent="0.25">
      <c r="A515">
        <f>SampleList[[#This Row],[Experiment ID]]</f>
        <v>0</v>
      </c>
      <c r="B515">
        <f>SampleList[[#This Row],[Sample Description]]</f>
        <v>0</v>
      </c>
      <c r="C515" s="1">
        <f>SampleList[[#This Row],[Date Sampled]]</f>
        <v>0</v>
      </c>
      <c r="D515">
        <f>SampleList[[#This Row],[Duration (Days)]]</f>
        <v>0</v>
      </c>
      <c r="E515">
        <f>NMRResults[[#This Row],[Ammonium Concentration (mM)]]</f>
        <v>0</v>
      </c>
      <c r="F515" t="str">
        <f>GCResults[[#This Row],[H2 (ppm)]]</f>
        <v/>
      </c>
      <c r="G515">
        <f>GCResults[[#This Row],[Total Gas Volume (mL), gas cylinder = 3785mL]]</f>
        <v>0</v>
      </c>
      <c r="H515">
        <f>GCResults[[#This Row],[Pressure on Sampling (PSI), 145PSI=1MPa]]</f>
        <v>3552.5</v>
      </c>
      <c r="I515">
        <f>pHCondMod[[#This Row],[Sample pH]]</f>
        <v>0</v>
      </c>
      <c r="J515">
        <f>pHCondMod[[#This Row],[Sample Conductivity (mS/cm)]]</f>
        <v>0</v>
      </c>
      <c r="K515">
        <f>pHCondMod[[#This Row],[Modification Description]]</f>
        <v>0</v>
      </c>
      <c r="L515" s="1">
        <f>NMRResults[[#This Row],[Date Run]]</f>
        <v>0</v>
      </c>
      <c r="M515" s="1">
        <f>ICPList[[#This Row],[Date Run]]</f>
        <v>0</v>
      </c>
      <c r="N515" s="1">
        <f>GCResults[[#This Row],[Date Run ]]</f>
        <v>0</v>
      </c>
    </row>
    <row r="516" spans="1:14" ht="14.45" x14ac:dyDescent="0.25">
      <c r="A516">
        <f>SampleList[[#This Row],[Experiment ID]]</f>
        <v>0</v>
      </c>
      <c r="B516">
        <f>SampleList[[#This Row],[Sample Description]]</f>
        <v>0</v>
      </c>
      <c r="C516" s="1">
        <f>SampleList[[#This Row],[Date Sampled]]</f>
        <v>0</v>
      </c>
      <c r="D516">
        <f>SampleList[[#This Row],[Duration (Days)]]</f>
        <v>0</v>
      </c>
      <c r="E516">
        <f>NMRResults[[#This Row],[Ammonium Concentration (mM)]]</f>
        <v>0</v>
      </c>
      <c r="F516" t="str">
        <f>GCResults[[#This Row],[H2 (ppm)]]</f>
        <v/>
      </c>
      <c r="G516">
        <f>GCResults[[#This Row],[Total Gas Volume (mL), gas cylinder = 3785mL]]</f>
        <v>0</v>
      </c>
      <c r="H516">
        <f>GCResults[[#This Row],[Pressure on Sampling (PSI), 145PSI=1MPa]]</f>
        <v>3552.5</v>
      </c>
      <c r="I516">
        <f>pHCondMod[[#This Row],[Sample pH]]</f>
        <v>0</v>
      </c>
      <c r="J516">
        <f>pHCondMod[[#This Row],[Sample Conductivity (mS/cm)]]</f>
        <v>0</v>
      </c>
      <c r="K516">
        <f>pHCondMod[[#This Row],[Modification Description]]</f>
        <v>0</v>
      </c>
      <c r="L516" s="1">
        <f>NMRResults[[#This Row],[Date Run]]</f>
        <v>0</v>
      </c>
      <c r="M516" s="1">
        <f>ICPList[[#This Row],[Date Run]]</f>
        <v>0</v>
      </c>
      <c r="N516" s="1">
        <f>GCResults[[#This Row],[Date Run ]]</f>
        <v>0</v>
      </c>
    </row>
    <row r="517" spans="1:14" ht="14.45" x14ac:dyDescent="0.25">
      <c r="A517">
        <f>SampleList[[#This Row],[Experiment ID]]</f>
        <v>0</v>
      </c>
      <c r="B517">
        <f>SampleList[[#This Row],[Sample Description]]</f>
        <v>0</v>
      </c>
      <c r="C517" s="1">
        <f>SampleList[[#This Row],[Date Sampled]]</f>
        <v>0</v>
      </c>
      <c r="D517">
        <f>SampleList[[#This Row],[Duration (Days)]]</f>
        <v>0</v>
      </c>
      <c r="E517">
        <f>NMRResults[[#This Row],[Ammonium Concentration (mM)]]</f>
        <v>0</v>
      </c>
      <c r="F517" t="str">
        <f>GCResults[[#This Row],[H2 (ppm)]]</f>
        <v/>
      </c>
      <c r="G517">
        <f>GCResults[[#This Row],[Total Gas Volume (mL), gas cylinder = 3785mL]]</f>
        <v>0</v>
      </c>
      <c r="H517">
        <f>GCResults[[#This Row],[Pressure on Sampling (PSI), 145PSI=1MPa]]</f>
        <v>3552.5</v>
      </c>
      <c r="I517">
        <f>pHCondMod[[#This Row],[Sample pH]]</f>
        <v>0</v>
      </c>
      <c r="J517">
        <f>pHCondMod[[#This Row],[Sample Conductivity (mS/cm)]]</f>
        <v>0</v>
      </c>
      <c r="K517">
        <f>pHCondMod[[#This Row],[Modification Description]]</f>
        <v>0</v>
      </c>
      <c r="L517" s="1">
        <f>NMRResults[[#This Row],[Date Run]]</f>
        <v>0</v>
      </c>
      <c r="M517" s="1">
        <f>ICPList[[#This Row],[Date Run]]</f>
        <v>0</v>
      </c>
      <c r="N517" s="1">
        <f>GCResults[[#This Row],[Date Run ]]</f>
        <v>0</v>
      </c>
    </row>
    <row r="518" spans="1:14" ht="14.45" x14ac:dyDescent="0.25">
      <c r="A518">
        <f>SampleList[[#This Row],[Experiment ID]]</f>
        <v>0</v>
      </c>
      <c r="B518">
        <f>SampleList[[#This Row],[Sample Description]]</f>
        <v>0</v>
      </c>
      <c r="C518" s="1">
        <f>SampleList[[#This Row],[Date Sampled]]</f>
        <v>0</v>
      </c>
      <c r="D518">
        <f>SampleList[[#This Row],[Duration (Days)]]</f>
        <v>0</v>
      </c>
      <c r="E518">
        <f>NMRResults[[#This Row],[Ammonium Concentration (mM)]]</f>
        <v>0</v>
      </c>
      <c r="F518" t="str">
        <f>GCResults[[#This Row],[H2 (ppm)]]</f>
        <v/>
      </c>
      <c r="G518">
        <f>GCResults[[#This Row],[Total Gas Volume (mL), gas cylinder = 3785mL]]</f>
        <v>0</v>
      </c>
      <c r="H518">
        <f>GCResults[[#This Row],[Pressure on Sampling (PSI), 145PSI=1MPa]]</f>
        <v>3552.5</v>
      </c>
      <c r="I518">
        <f>pHCondMod[[#This Row],[Sample pH]]</f>
        <v>0</v>
      </c>
      <c r="J518">
        <f>pHCondMod[[#This Row],[Sample Conductivity (mS/cm)]]</f>
        <v>0</v>
      </c>
      <c r="K518">
        <f>pHCondMod[[#This Row],[Modification Description]]</f>
        <v>0</v>
      </c>
      <c r="L518" s="1">
        <f>NMRResults[[#This Row],[Date Run]]</f>
        <v>0</v>
      </c>
      <c r="M518" s="1">
        <f>ICPList[[#This Row],[Date Run]]</f>
        <v>0</v>
      </c>
      <c r="N518" s="1">
        <f>GCResults[[#This Row],[Date Run ]]</f>
        <v>0</v>
      </c>
    </row>
    <row r="519" spans="1:14" ht="14.45" x14ac:dyDescent="0.25">
      <c r="A519">
        <f>SampleList[[#This Row],[Experiment ID]]</f>
        <v>0</v>
      </c>
      <c r="B519">
        <f>SampleList[[#This Row],[Sample Description]]</f>
        <v>0</v>
      </c>
      <c r="C519" s="1">
        <f>SampleList[[#This Row],[Date Sampled]]</f>
        <v>0</v>
      </c>
      <c r="D519">
        <f>SampleList[[#This Row],[Duration (Days)]]</f>
        <v>0</v>
      </c>
      <c r="E519">
        <f>NMRResults[[#This Row],[Ammonium Concentration (mM)]]</f>
        <v>0</v>
      </c>
      <c r="F519" t="str">
        <f>GCResults[[#This Row],[H2 (ppm)]]</f>
        <v/>
      </c>
      <c r="G519">
        <f>GCResults[[#This Row],[Total Gas Volume (mL), gas cylinder = 3785mL]]</f>
        <v>0</v>
      </c>
      <c r="H519">
        <f>GCResults[[#This Row],[Pressure on Sampling (PSI), 145PSI=1MPa]]</f>
        <v>3552.5</v>
      </c>
      <c r="I519">
        <f>pHCondMod[[#This Row],[Sample pH]]</f>
        <v>0</v>
      </c>
      <c r="J519">
        <f>pHCondMod[[#This Row],[Sample Conductivity (mS/cm)]]</f>
        <v>0</v>
      </c>
      <c r="K519">
        <f>pHCondMod[[#This Row],[Modification Description]]</f>
        <v>0</v>
      </c>
      <c r="L519" s="1">
        <f>NMRResults[[#This Row],[Date Run]]</f>
        <v>0</v>
      </c>
      <c r="M519" s="1">
        <f>ICPList[[#This Row],[Date Run]]</f>
        <v>0</v>
      </c>
      <c r="N519" s="1">
        <f>GCResults[[#This Row],[Date Run ]]</f>
        <v>0</v>
      </c>
    </row>
    <row r="520" spans="1:14" ht="14.45" x14ac:dyDescent="0.25">
      <c r="A520">
        <f>SampleList[[#This Row],[Experiment ID]]</f>
        <v>0</v>
      </c>
      <c r="B520">
        <f>SampleList[[#This Row],[Sample Description]]</f>
        <v>0</v>
      </c>
      <c r="C520" s="1">
        <f>SampleList[[#This Row],[Date Sampled]]</f>
        <v>0</v>
      </c>
      <c r="D520">
        <f>SampleList[[#This Row],[Duration (Days)]]</f>
        <v>0</v>
      </c>
      <c r="E520">
        <f>NMRResults[[#This Row],[Ammonium Concentration (mM)]]</f>
        <v>0</v>
      </c>
      <c r="F520" t="str">
        <f>GCResults[[#This Row],[H2 (ppm)]]</f>
        <v/>
      </c>
      <c r="G520">
        <f>GCResults[[#This Row],[Total Gas Volume (mL), gas cylinder = 3785mL]]</f>
        <v>0</v>
      </c>
      <c r="H520">
        <f>GCResults[[#This Row],[Pressure on Sampling (PSI), 145PSI=1MPa]]</f>
        <v>3552.5</v>
      </c>
      <c r="I520">
        <f>pHCondMod[[#This Row],[Sample pH]]</f>
        <v>0</v>
      </c>
      <c r="J520">
        <f>pHCondMod[[#This Row],[Sample Conductivity (mS/cm)]]</f>
        <v>0</v>
      </c>
      <c r="K520">
        <f>pHCondMod[[#This Row],[Modification Description]]</f>
        <v>0</v>
      </c>
      <c r="L520" s="1">
        <f>NMRResults[[#This Row],[Date Run]]</f>
        <v>0</v>
      </c>
      <c r="M520" s="1">
        <f>ICPList[[#This Row],[Date Run]]</f>
        <v>0</v>
      </c>
      <c r="N520" s="1">
        <f>GCResults[[#This Row],[Date Run ]]</f>
        <v>0</v>
      </c>
    </row>
    <row r="521" spans="1:14" ht="14.45" x14ac:dyDescent="0.25">
      <c r="A521">
        <f>SampleList[[#This Row],[Experiment ID]]</f>
        <v>0</v>
      </c>
      <c r="B521">
        <f>SampleList[[#This Row],[Sample Description]]</f>
        <v>0</v>
      </c>
      <c r="C521" s="1">
        <f>SampleList[[#This Row],[Date Sampled]]</f>
        <v>0</v>
      </c>
      <c r="D521">
        <f>SampleList[[#This Row],[Duration (Days)]]</f>
        <v>0</v>
      </c>
      <c r="E521">
        <f>NMRResults[[#This Row],[Ammonium Concentration (mM)]]</f>
        <v>0</v>
      </c>
      <c r="F521" t="str">
        <f>GCResults[[#This Row],[H2 (ppm)]]</f>
        <v/>
      </c>
      <c r="G521">
        <f>GCResults[[#This Row],[Total Gas Volume (mL), gas cylinder = 3785mL]]</f>
        <v>0</v>
      </c>
      <c r="H521">
        <f>GCResults[[#This Row],[Pressure on Sampling (PSI), 145PSI=1MPa]]</f>
        <v>3552.5</v>
      </c>
      <c r="I521">
        <f>pHCondMod[[#This Row],[Sample pH]]</f>
        <v>0</v>
      </c>
      <c r="J521">
        <f>pHCondMod[[#This Row],[Sample Conductivity (mS/cm)]]</f>
        <v>0</v>
      </c>
      <c r="K521">
        <f>pHCondMod[[#This Row],[Modification Description]]</f>
        <v>0</v>
      </c>
      <c r="L521" s="1">
        <f>NMRResults[[#This Row],[Date Run]]</f>
        <v>0</v>
      </c>
      <c r="M521" s="1">
        <f>ICPList[[#This Row],[Date Run]]</f>
        <v>0</v>
      </c>
      <c r="N521" s="1">
        <f>GCResults[[#This Row],[Date Run ]]</f>
        <v>0</v>
      </c>
    </row>
    <row r="522" spans="1:14" ht="14.45" x14ac:dyDescent="0.25">
      <c r="A522">
        <f>SampleList[[#This Row],[Experiment ID]]</f>
        <v>0</v>
      </c>
      <c r="B522">
        <f>SampleList[[#This Row],[Sample Description]]</f>
        <v>0</v>
      </c>
      <c r="C522" s="1">
        <f>SampleList[[#This Row],[Date Sampled]]</f>
        <v>0</v>
      </c>
      <c r="D522">
        <f>SampleList[[#This Row],[Duration (Days)]]</f>
        <v>0</v>
      </c>
      <c r="E522">
        <f>NMRResults[[#This Row],[Ammonium Concentration (mM)]]</f>
        <v>0</v>
      </c>
      <c r="F522" t="str">
        <f>GCResults[[#This Row],[H2 (ppm)]]</f>
        <v/>
      </c>
      <c r="G522">
        <f>GCResults[[#This Row],[Total Gas Volume (mL), gas cylinder = 3785mL]]</f>
        <v>0</v>
      </c>
      <c r="H522">
        <f>GCResults[[#This Row],[Pressure on Sampling (PSI), 145PSI=1MPa]]</f>
        <v>3552.5</v>
      </c>
      <c r="I522">
        <f>pHCondMod[[#This Row],[Sample pH]]</f>
        <v>0</v>
      </c>
      <c r="J522">
        <f>pHCondMod[[#This Row],[Sample Conductivity (mS/cm)]]</f>
        <v>0</v>
      </c>
      <c r="K522">
        <f>pHCondMod[[#This Row],[Modification Description]]</f>
        <v>0</v>
      </c>
      <c r="L522" s="1">
        <f>NMRResults[[#This Row],[Date Run]]</f>
        <v>0</v>
      </c>
      <c r="M522" s="1">
        <f>ICPList[[#This Row],[Date Run]]</f>
        <v>0</v>
      </c>
      <c r="N522" s="1">
        <f>GCResults[[#This Row],[Date Run ]]</f>
        <v>0</v>
      </c>
    </row>
    <row r="523" spans="1:14" ht="14.45" x14ac:dyDescent="0.25">
      <c r="A523">
        <f>SampleList[[#This Row],[Experiment ID]]</f>
        <v>0</v>
      </c>
      <c r="B523">
        <f>SampleList[[#This Row],[Sample Description]]</f>
        <v>0</v>
      </c>
      <c r="C523" s="1">
        <f>SampleList[[#This Row],[Date Sampled]]</f>
        <v>0</v>
      </c>
      <c r="D523">
        <f>SampleList[[#This Row],[Duration (Days)]]</f>
        <v>0</v>
      </c>
      <c r="E523">
        <f>NMRResults[[#This Row],[Ammonium Concentration (mM)]]</f>
        <v>0</v>
      </c>
      <c r="F523" t="str">
        <f>GCResults[[#This Row],[H2 (ppm)]]</f>
        <v/>
      </c>
      <c r="G523">
        <f>GCResults[[#This Row],[Total Gas Volume (mL), gas cylinder = 3785mL]]</f>
        <v>0</v>
      </c>
      <c r="H523">
        <f>GCResults[[#This Row],[Pressure on Sampling (PSI), 145PSI=1MPa]]</f>
        <v>3552.5</v>
      </c>
      <c r="I523">
        <f>pHCondMod[[#This Row],[Sample pH]]</f>
        <v>0</v>
      </c>
      <c r="J523">
        <f>pHCondMod[[#This Row],[Sample Conductivity (mS/cm)]]</f>
        <v>0</v>
      </c>
      <c r="K523">
        <f>pHCondMod[[#This Row],[Modification Description]]</f>
        <v>0</v>
      </c>
      <c r="L523" s="1">
        <f>NMRResults[[#This Row],[Date Run]]</f>
        <v>0</v>
      </c>
      <c r="M523" s="1">
        <f>ICPList[[#This Row],[Date Run]]</f>
        <v>0</v>
      </c>
      <c r="N523" s="1">
        <f>GCResults[[#This Row],[Date Run ]]</f>
        <v>0</v>
      </c>
    </row>
    <row r="524" spans="1:14" ht="14.45" x14ac:dyDescent="0.25">
      <c r="A524">
        <f>SampleList[[#This Row],[Experiment ID]]</f>
        <v>0</v>
      </c>
      <c r="B524">
        <f>SampleList[[#This Row],[Sample Description]]</f>
        <v>0</v>
      </c>
      <c r="C524" s="1">
        <f>SampleList[[#This Row],[Date Sampled]]</f>
        <v>0</v>
      </c>
      <c r="D524">
        <f>SampleList[[#This Row],[Duration (Days)]]</f>
        <v>0</v>
      </c>
      <c r="E524">
        <f>NMRResults[[#This Row],[Ammonium Concentration (mM)]]</f>
        <v>0</v>
      </c>
      <c r="F524" t="str">
        <f>GCResults[[#This Row],[H2 (ppm)]]</f>
        <v/>
      </c>
      <c r="G524">
        <f>GCResults[[#This Row],[Total Gas Volume (mL), gas cylinder = 3785mL]]</f>
        <v>0</v>
      </c>
      <c r="H524">
        <f>GCResults[[#This Row],[Pressure on Sampling (PSI), 145PSI=1MPa]]</f>
        <v>3552.5</v>
      </c>
      <c r="I524">
        <f>pHCondMod[[#This Row],[Sample pH]]</f>
        <v>0</v>
      </c>
      <c r="J524">
        <f>pHCondMod[[#This Row],[Sample Conductivity (mS/cm)]]</f>
        <v>0</v>
      </c>
      <c r="K524">
        <f>pHCondMod[[#This Row],[Modification Description]]</f>
        <v>0</v>
      </c>
      <c r="L524" s="1">
        <f>NMRResults[[#This Row],[Date Run]]</f>
        <v>0</v>
      </c>
      <c r="M524" s="1">
        <f>ICPList[[#This Row],[Date Run]]</f>
        <v>0</v>
      </c>
      <c r="N524" s="1">
        <f>GCResults[[#This Row],[Date Run ]]</f>
        <v>0</v>
      </c>
    </row>
    <row r="525" spans="1:14" ht="14.45" x14ac:dyDescent="0.25">
      <c r="A525">
        <f>SampleList[[#This Row],[Experiment ID]]</f>
        <v>0</v>
      </c>
      <c r="B525">
        <f>SampleList[[#This Row],[Sample Description]]</f>
        <v>0</v>
      </c>
      <c r="C525" s="1">
        <f>SampleList[[#This Row],[Date Sampled]]</f>
        <v>0</v>
      </c>
      <c r="D525">
        <f>SampleList[[#This Row],[Duration (Days)]]</f>
        <v>0</v>
      </c>
      <c r="E525">
        <f>NMRResults[[#This Row],[Ammonium Concentration (mM)]]</f>
        <v>0</v>
      </c>
      <c r="F525" t="str">
        <f>GCResults[[#This Row],[H2 (ppm)]]</f>
        <v/>
      </c>
      <c r="G525">
        <f>GCResults[[#This Row],[Total Gas Volume (mL), gas cylinder = 3785mL]]</f>
        <v>0</v>
      </c>
      <c r="H525">
        <f>GCResults[[#This Row],[Pressure on Sampling (PSI), 145PSI=1MPa]]</f>
        <v>3552.5</v>
      </c>
      <c r="I525">
        <f>pHCondMod[[#This Row],[Sample pH]]</f>
        <v>0</v>
      </c>
      <c r="J525">
        <f>pHCondMod[[#This Row],[Sample Conductivity (mS/cm)]]</f>
        <v>0</v>
      </c>
      <c r="K525">
        <f>pHCondMod[[#This Row],[Modification Description]]</f>
        <v>0</v>
      </c>
      <c r="L525" s="1">
        <f>NMRResults[[#This Row],[Date Run]]</f>
        <v>0</v>
      </c>
      <c r="M525" s="1">
        <f>ICPList[[#This Row],[Date Run]]</f>
        <v>0</v>
      </c>
      <c r="N525" s="1">
        <f>GCResults[[#This Row],[Date Run ]]</f>
        <v>0</v>
      </c>
    </row>
    <row r="526" spans="1:14" ht="14.45" x14ac:dyDescent="0.25">
      <c r="A526">
        <f>SampleList[[#This Row],[Experiment ID]]</f>
        <v>0</v>
      </c>
      <c r="B526">
        <f>SampleList[[#This Row],[Sample Description]]</f>
        <v>0</v>
      </c>
      <c r="C526" s="1">
        <f>SampleList[[#This Row],[Date Sampled]]</f>
        <v>0</v>
      </c>
      <c r="D526">
        <f>SampleList[[#This Row],[Duration (Days)]]</f>
        <v>0</v>
      </c>
      <c r="E526">
        <f>NMRResults[[#This Row],[Ammonium Concentration (mM)]]</f>
        <v>0</v>
      </c>
      <c r="F526" t="str">
        <f>GCResults[[#This Row],[H2 (ppm)]]</f>
        <v/>
      </c>
      <c r="G526">
        <f>GCResults[[#This Row],[Total Gas Volume (mL), gas cylinder = 3785mL]]</f>
        <v>0</v>
      </c>
      <c r="H526">
        <f>GCResults[[#This Row],[Pressure on Sampling (PSI), 145PSI=1MPa]]</f>
        <v>3552.5</v>
      </c>
      <c r="I526">
        <f>pHCondMod[[#This Row],[Sample pH]]</f>
        <v>0</v>
      </c>
      <c r="J526">
        <f>pHCondMod[[#This Row],[Sample Conductivity (mS/cm)]]</f>
        <v>0</v>
      </c>
      <c r="K526">
        <f>pHCondMod[[#This Row],[Modification Description]]</f>
        <v>0</v>
      </c>
      <c r="L526" s="1">
        <f>NMRResults[[#This Row],[Date Run]]</f>
        <v>0</v>
      </c>
      <c r="M526" s="1">
        <f>ICPList[[#This Row],[Date Run]]</f>
        <v>0</v>
      </c>
      <c r="N526" s="1">
        <f>GCResults[[#This Row],[Date Run ]]</f>
        <v>0</v>
      </c>
    </row>
    <row r="527" spans="1:14" ht="14.45" x14ac:dyDescent="0.25">
      <c r="A527">
        <f>SampleList[[#This Row],[Experiment ID]]</f>
        <v>0</v>
      </c>
      <c r="B527">
        <f>SampleList[[#This Row],[Sample Description]]</f>
        <v>0</v>
      </c>
      <c r="C527" s="1">
        <f>SampleList[[#This Row],[Date Sampled]]</f>
        <v>0</v>
      </c>
      <c r="D527">
        <f>SampleList[[#This Row],[Duration (Days)]]</f>
        <v>0</v>
      </c>
      <c r="E527">
        <f>NMRResults[[#This Row],[Ammonium Concentration (mM)]]</f>
        <v>0</v>
      </c>
      <c r="F527" t="str">
        <f>GCResults[[#This Row],[H2 (ppm)]]</f>
        <v/>
      </c>
      <c r="G527">
        <f>GCResults[[#This Row],[Total Gas Volume (mL), gas cylinder = 3785mL]]</f>
        <v>0</v>
      </c>
      <c r="H527">
        <f>GCResults[[#This Row],[Pressure on Sampling (PSI), 145PSI=1MPa]]</f>
        <v>3552.5</v>
      </c>
      <c r="I527">
        <f>pHCondMod[[#This Row],[Sample pH]]</f>
        <v>0</v>
      </c>
      <c r="J527">
        <f>pHCondMod[[#This Row],[Sample Conductivity (mS/cm)]]</f>
        <v>0</v>
      </c>
      <c r="K527">
        <f>pHCondMod[[#This Row],[Modification Description]]</f>
        <v>0</v>
      </c>
      <c r="L527" s="1">
        <f>NMRResults[[#This Row],[Date Run]]</f>
        <v>0</v>
      </c>
      <c r="M527" s="1">
        <f>ICPList[[#This Row],[Date Run]]</f>
        <v>0</v>
      </c>
      <c r="N527" s="1">
        <f>GCResults[[#This Row],[Date Run ]]</f>
        <v>0</v>
      </c>
    </row>
    <row r="528" spans="1:14" ht="14.45" x14ac:dyDescent="0.25">
      <c r="A528">
        <f>SampleList[[#This Row],[Experiment ID]]</f>
        <v>0</v>
      </c>
      <c r="B528">
        <f>SampleList[[#This Row],[Sample Description]]</f>
        <v>0</v>
      </c>
      <c r="C528" s="1">
        <f>SampleList[[#This Row],[Date Sampled]]</f>
        <v>0</v>
      </c>
      <c r="D528">
        <f>SampleList[[#This Row],[Duration (Days)]]</f>
        <v>0</v>
      </c>
      <c r="E528">
        <f>NMRResults[[#This Row],[Ammonium Concentration (mM)]]</f>
        <v>0</v>
      </c>
      <c r="F528" t="str">
        <f>GCResults[[#This Row],[H2 (ppm)]]</f>
        <v/>
      </c>
      <c r="G528">
        <f>GCResults[[#This Row],[Total Gas Volume (mL), gas cylinder = 3785mL]]</f>
        <v>0</v>
      </c>
      <c r="H528">
        <f>GCResults[[#This Row],[Pressure on Sampling (PSI), 145PSI=1MPa]]</f>
        <v>3552.5</v>
      </c>
      <c r="I528">
        <f>pHCondMod[[#This Row],[Sample pH]]</f>
        <v>0</v>
      </c>
      <c r="J528">
        <f>pHCondMod[[#This Row],[Sample Conductivity (mS/cm)]]</f>
        <v>0</v>
      </c>
      <c r="K528">
        <f>pHCondMod[[#This Row],[Modification Description]]</f>
        <v>0</v>
      </c>
      <c r="L528" s="1">
        <f>NMRResults[[#This Row],[Date Run]]</f>
        <v>0</v>
      </c>
      <c r="M528" s="1">
        <f>ICPList[[#This Row],[Date Run]]</f>
        <v>0</v>
      </c>
      <c r="N528" s="1">
        <f>GCResults[[#This Row],[Date Run ]]</f>
        <v>0</v>
      </c>
    </row>
    <row r="529" spans="1:14" ht="14.45" x14ac:dyDescent="0.25">
      <c r="A529">
        <f>SampleList[[#This Row],[Experiment ID]]</f>
        <v>0</v>
      </c>
      <c r="B529">
        <f>SampleList[[#This Row],[Sample Description]]</f>
        <v>0</v>
      </c>
      <c r="C529" s="1">
        <f>SampleList[[#This Row],[Date Sampled]]</f>
        <v>0</v>
      </c>
      <c r="D529">
        <f>SampleList[[#This Row],[Duration (Days)]]</f>
        <v>0</v>
      </c>
      <c r="E529">
        <f>NMRResults[[#This Row],[Ammonium Concentration (mM)]]</f>
        <v>0</v>
      </c>
      <c r="F529" t="str">
        <f>GCResults[[#This Row],[H2 (ppm)]]</f>
        <v/>
      </c>
      <c r="G529">
        <f>GCResults[[#This Row],[Total Gas Volume (mL), gas cylinder = 3785mL]]</f>
        <v>0</v>
      </c>
      <c r="H529">
        <f>GCResults[[#This Row],[Pressure on Sampling (PSI), 145PSI=1MPa]]</f>
        <v>3552.5</v>
      </c>
      <c r="I529">
        <f>pHCondMod[[#This Row],[Sample pH]]</f>
        <v>0</v>
      </c>
      <c r="J529">
        <f>pHCondMod[[#This Row],[Sample Conductivity (mS/cm)]]</f>
        <v>0</v>
      </c>
      <c r="K529">
        <f>pHCondMod[[#This Row],[Modification Description]]</f>
        <v>0</v>
      </c>
      <c r="L529" s="1">
        <f>NMRResults[[#This Row],[Date Run]]</f>
        <v>0</v>
      </c>
      <c r="M529" s="1">
        <f>ICPList[[#This Row],[Date Run]]</f>
        <v>0</v>
      </c>
      <c r="N529" s="1">
        <f>GCResults[[#This Row],[Date Run ]]</f>
        <v>0</v>
      </c>
    </row>
    <row r="530" spans="1:14" ht="14.45" x14ac:dyDescent="0.25">
      <c r="A530">
        <f>SampleList[[#This Row],[Experiment ID]]</f>
        <v>0</v>
      </c>
      <c r="B530">
        <f>SampleList[[#This Row],[Sample Description]]</f>
        <v>0</v>
      </c>
      <c r="C530" s="1">
        <f>SampleList[[#This Row],[Date Sampled]]</f>
        <v>0</v>
      </c>
      <c r="D530">
        <f>SampleList[[#This Row],[Duration (Days)]]</f>
        <v>0</v>
      </c>
      <c r="E530">
        <f>NMRResults[[#This Row],[Ammonium Concentration (mM)]]</f>
        <v>0</v>
      </c>
      <c r="F530" t="str">
        <f>GCResults[[#This Row],[H2 (ppm)]]</f>
        <v/>
      </c>
      <c r="G530">
        <f>GCResults[[#This Row],[Total Gas Volume (mL), gas cylinder = 3785mL]]</f>
        <v>0</v>
      </c>
      <c r="H530">
        <f>GCResults[[#This Row],[Pressure on Sampling (PSI), 145PSI=1MPa]]</f>
        <v>3552.5</v>
      </c>
      <c r="I530">
        <f>pHCondMod[[#This Row],[Sample pH]]</f>
        <v>0</v>
      </c>
      <c r="J530">
        <f>pHCondMod[[#This Row],[Sample Conductivity (mS/cm)]]</f>
        <v>0</v>
      </c>
      <c r="K530">
        <f>pHCondMod[[#This Row],[Modification Description]]</f>
        <v>0</v>
      </c>
      <c r="L530" s="1">
        <f>NMRResults[[#This Row],[Date Run]]</f>
        <v>0</v>
      </c>
      <c r="M530" s="1">
        <f>ICPList[[#This Row],[Date Run]]</f>
        <v>0</v>
      </c>
      <c r="N530" s="1">
        <f>GCResults[[#This Row],[Date Run ]]</f>
        <v>0</v>
      </c>
    </row>
    <row r="531" spans="1:14" ht="14.45" x14ac:dyDescent="0.25">
      <c r="A531">
        <f>SampleList[[#This Row],[Experiment ID]]</f>
        <v>0</v>
      </c>
      <c r="B531">
        <f>SampleList[[#This Row],[Sample Description]]</f>
        <v>0</v>
      </c>
      <c r="C531" s="1">
        <f>SampleList[[#This Row],[Date Sampled]]</f>
        <v>0</v>
      </c>
      <c r="D531">
        <f>SampleList[[#This Row],[Duration (Days)]]</f>
        <v>0</v>
      </c>
      <c r="E531">
        <f>NMRResults[[#This Row],[Ammonium Concentration (mM)]]</f>
        <v>0</v>
      </c>
      <c r="F531" t="str">
        <f>GCResults[[#This Row],[H2 (ppm)]]</f>
        <v/>
      </c>
      <c r="G531">
        <f>GCResults[[#This Row],[Total Gas Volume (mL), gas cylinder = 3785mL]]</f>
        <v>0</v>
      </c>
      <c r="H531">
        <f>GCResults[[#This Row],[Pressure on Sampling (PSI), 145PSI=1MPa]]</f>
        <v>3552.5</v>
      </c>
      <c r="I531">
        <f>pHCondMod[[#This Row],[Sample pH]]</f>
        <v>0</v>
      </c>
      <c r="J531">
        <f>pHCondMod[[#This Row],[Sample Conductivity (mS/cm)]]</f>
        <v>0</v>
      </c>
      <c r="K531">
        <f>pHCondMod[[#This Row],[Modification Description]]</f>
        <v>0</v>
      </c>
      <c r="L531" s="1">
        <f>NMRResults[[#This Row],[Date Run]]</f>
        <v>0</v>
      </c>
      <c r="M531" s="1">
        <f>ICPList[[#This Row],[Date Run]]</f>
        <v>0</v>
      </c>
      <c r="N531" s="1">
        <f>GCResults[[#This Row],[Date Run ]]</f>
        <v>0</v>
      </c>
    </row>
    <row r="532" spans="1:14" ht="14.45" x14ac:dyDescent="0.25">
      <c r="A532">
        <f>SampleList[[#This Row],[Experiment ID]]</f>
        <v>0</v>
      </c>
      <c r="B532">
        <f>SampleList[[#This Row],[Sample Description]]</f>
        <v>0</v>
      </c>
      <c r="C532" s="1">
        <f>SampleList[[#This Row],[Date Sampled]]</f>
        <v>0</v>
      </c>
      <c r="D532">
        <f>SampleList[[#This Row],[Duration (Days)]]</f>
        <v>0</v>
      </c>
      <c r="E532">
        <f>NMRResults[[#This Row],[Ammonium Concentration (mM)]]</f>
        <v>0</v>
      </c>
      <c r="F532" t="str">
        <f>GCResults[[#This Row],[H2 (ppm)]]</f>
        <v/>
      </c>
      <c r="G532">
        <f>GCResults[[#This Row],[Total Gas Volume (mL), gas cylinder = 3785mL]]</f>
        <v>0</v>
      </c>
      <c r="H532">
        <f>GCResults[[#This Row],[Pressure on Sampling (PSI), 145PSI=1MPa]]</f>
        <v>3552.5</v>
      </c>
      <c r="I532">
        <f>pHCondMod[[#This Row],[Sample pH]]</f>
        <v>0</v>
      </c>
      <c r="J532">
        <f>pHCondMod[[#This Row],[Sample Conductivity (mS/cm)]]</f>
        <v>0</v>
      </c>
      <c r="K532">
        <f>pHCondMod[[#This Row],[Modification Description]]</f>
        <v>0</v>
      </c>
      <c r="L532" s="1">
        <f>NMRResults[[#This Row],[Date Run]]</f>
        <v>0</v>
      </c>
      <c r="M532" s="1">
        <f>ICPList[[#This Row],[Date Run]]</f>
        <v>0</v>
      </c>
      <c r="N532" s="1">
        <f>GCResults[[#This Row],[Date Run ]]</f>
        <v>0</v>
      </c>
    </row>
    <row r="533" spans="1:14" ht="14.45" x14ac:dyDescent="0.25">
      <c r="A533">
        <f>SampleList[[#This Row],[Experiment ID]]</f>
        <v>0</v>
      </c>
      <c r="B533">
        <f>SampleList[[#This Row],[Sample Description]]</f>
        <v>0</v>
      </c>
      <c r="C533" s="1">
        <f>SampleList[[#This Row],[Date Sampled]]</f>
        <v>0</v>
      </c>
      <c r="D533">
        <f>SampleList[[#This Row],[Duration (Days)]]</f>
        <v>0</v>
      </c>
      <c r="E533">
        <f>NMRResults[[#This Row],[Ammonium Concentration (mM)]]</f>
        <v>0</v>
      </c>
      <c r="F533" t="str">
        <f>GCResults[[#This Row],[H2 (ppm)]]</f>
        <v/>
      </c>
      <c r="G533">
        <f>GCResults[[#This Row],[Total Gas Volume (mL), gas cylinder = 3785mL]]</f>
        <v>0</v>
      </c>
      <c r="H533">
        <f>GCResults[[#This Row],[Pressure on Sampling (PSI), 145PSI=1MPa]]</f>
        <v>3552.5</v>
      </c>
      <c r="I533">
        <f>pHCondMod[[#This Row],[Sample pH]]</f>
        <v>0</v>
      </c>
      <c r="J533">
        <f>pHCondMod[[#This Row],[Sample Conductivity (mS/cm)]]</f>
        <v>0</v>
      </c>
      <c r="K533">
        <f>pHCondMod[[#This Row],[Modification Description]]</f>
        <v>0</v>
      </c>
      <c r="L533" s="1">
        <f>NMRResults[[#This Row],[Date Run]]</f>
        <v>0</v>
      </c>
      <c r="M533" s="1">
        <f>ICPList[[#This Row],[Date Run]]</f>
        <v>0</v>
      </c>
      <c r="N533" s="1">
        <f>GCResults[[#This Row],[Date Run ]]</f>
        <v>0</v>
      </c>
    </row>
    <row r="534" spans="1:14" ht="14.45" x14ac:dyDescent="0.25">
      <c r="A534">
        <f>SampleList[[#This Row],[Experiment ID]]</f>
        <v>0</v>
      </c>
      <c r="B534">
        <f>SampleList[[#This Row],[Sample Description]]</f>
        <v>0</v>
      </c>
      <c r="C534" s="1">
        <f>SampleList[[#This Row],[Date Sampled]]</f>
        <v>0</v>
      </c>
      <c r="D534">
        <f>SampleList[[#This Row],[Duration (Days)]]</f>
        <v>0</v>
      </c>
      <c r="E534">
        <f>NMRResults[[#This Row],[Ammonium Concentration (mM)]]</f>
        <v>0</v>
      </c>
      <c r="F534" t="str">
        <f>GCResults[[#This Row],[H2 (ppm)]]</f>
        <v/>
      </c>
      <c r="G534">
        <f>GCResults[[#This Row],[Total Gas Volume (mL), gas cylinder = 3785mL]]</f>
        <v>0</v>
      </c>
      <c r="H534">
        <f>GCResults[[#This Row],[Pressure on Sampling (PSI), 145PSI=1MPa]]</f>
        <v>3552.5</v>
      </c>
      <c r="I534">
        <f>pHCondMod[[#This Row],[Sample pH]]</f>
        <v>0</v>
      </c>
      <c r="J534">
        <f>pHCondMod[[#This Row],[Sample Conductivity (mS/cm)]]</f>
        <v>0</v>
      </c>
      <c r="K534">
        <f>pHCondMod[[#This Row],[Modification Description]]</f>
        <v>0</v>
      </c>
      <c r="L534" s="1">
        <f>NMRResults[[#This Row],[Date Run]]</f>
        <v>0</v>
      </c>
      <c r="M534" s="1">
        <f>ICPList[[#This Row],[Date Run]]</f>
        <v>0</v>
      </c>
      <c r="N534" s="1">
        <f>GCResults[[#This Row],[Date Run ]]</f>
        <v>0</v>
      </c>
    </row>
    <row r="535" spans="1:14" ht="14.45" x14ac:dyDescent="0.25">
      <c r="A535">
        <f>SampleList[[#This Row],[Experiment ID]]</f>
        <v>0</v>
      </c>
      <c r="B535">
        <f>SampleList[[#This Row],[Sample Description]]</f>
        <v>0</v>
      </c>
      <c r="C535" s="1">
        <f>SampleList[[#This Row],[Date Sampled]]</f>
        <v>0</v>
      </c>
      <c r="D535">
        <f>SampleList[[#This Row],[Duration (Days)]]</f>
        <v>0</v>
      </c>
      <c r="E535">
        <f>NMRResults[[#This Row],[Ammonium Concentration (mM)]]</f>
        <v>0</v>
      </c>
      <c r="F535" t="str">
        <f>GCResults[[#This Row],[H2 (ppm)]]</f>
        <v/>
      </c>
      <c r="G535">
        <f>GCResults[[#This Row],[Total Gas Volume (mL), gas cylinder = 3785mL]]</f>
        <v>0</v>
      </c>
      <c r="H535">
        <f>GCResults[[#This Row],[Pressure on Sampling (PSI), 145PSI=1MPa]]</f>
        <v>3552.5</v>
      </c>
      <c r="I535">
        <f>pHCondMod[[#This Row],[Sample pH]]</f>
        <v>0</v>
      </c>
      <c r="J535">
        <f>pHCondMod[[#This Row],[Sample Conductivity (mS/cm)]]</f>
        <v>0</v>
      </c>
      <c r="K535">
        <f>pHCondMod[[#This Row],[Modification Description]]</f>
        <v>0</v>
      </c>
      <c r="L535" s="1">
        <f>NMRResults[[#This Row],[Date Run]]</f>
        <v>0</v>
      </c>
      <c r="M535" s="1">
        <f>ICPList[[#This Row],[Date Run]]</f>
        <v>0</v>
      </c>
      <c r="N535" s="1">
        <f>GCResults[[#This Row],[Date Run ]]</f>
        <v>0</v>
      </c>
    </row>
    <row r="536" spans="1:14" ht="14.45" x14ac:dyDescent="0.25">
      <c r="A536">
        <f>SampleList[[#This Row],[Experiment ID]]</f>
        <v>0</v>
      </c>
      <c r="B536">
        <f>SampleList[[#This Row],[Sample Description]]</f>
        <v>0</v>
      </c>
      <c r="C536" s="1">
        <f>SampleList[[#This Row],[Date Sampled]]</f>
        <v>0</v>
      </c>
      <c r="D536">
        <f>SampleList[[#This Row],[Duration (Days)]]</f>
        <v>0</v>
      </c>
      <c r="E536">
        <f>NMRResults[[#This Row],[Ammonium Concentration (mM)]]</f>
        <v>0</v>
      </c>
      <c r="F536" t="str">
        <f>GCResults[[#This Row],[H2 (ppm)]]</f>
        <v/>
      </c>
      <c r="G536">
        <f>GCResults[[#This Row],[Total Gas Volume (mL), gas cylinder = 3785mL]]</f>
        <v>0</v>
      </c>
      <c r="H536">
        <f>GCResults[[#This Row],[Pressure on Sampling (PSI), 145PSI=1MPa]]</f>
        <v>3552.5</v>
      </c>
      <c r="I536">
        <f>pHCondMod[[#This Row],[Sample pH]]</f>
        <v>0</v>
      </c>
      <c r="J536">
        <f>pHCondMod[[#This Row],[Sample Conductivity (mS/cm)]]</f>
        <v>0</v>
      </c>
      <c r="K536">
        <f>pHCondMod[[#This Row],[Modification Description]]</f>
        <v>0</v>
      </c>
      <c r="L536" s="1">
        <f>NMRResults[[#This Row],[Date Run]]</f>
        <v>0</v>
      </c>
      <c r="M536" s="1">
        <f>ICPList[[#This Row],[Date Run]]</f>
        <v>0</v>
      </c>
      <c r="N536" s="1">
        <f>GCResults[[#This Row],[Date Run ]]</f>
        <v>0</v>
      </c>
    </row>
    <row r="537" spans="1:14" ht="14.45" x14ac:dyDescent="0.25">
      <c r="A537">
        <f>SampleList[[#This Row],[Experiment ID]]</f>
        <v>0</v>
      </c>
      <c r="B537">
        <f>SampleList[[#This Row],[Sample Description]]</f>
        <v>0</v>
      </c>
      <c r="C537" s="1">
        <f>SampleList[[#This Row],[Date Sampled]]</f>
        <v>0</v>
      </c>
      <c r="D537">
        <f>SampleList[[#This Row],[Duration (Days)]]</f>
        <v>0</v>
      </c>
      <c r="E537">
        <f>NMRResults[[#This Row],[Ammonium Concentration (mM)]]</f>
        <v>0</v>
      </c>
      <c r="F537" t="str">
        <f>GCResults[[#This Row],[H2 (ppm)]]</f>
        <v/>
      </c>
      <c r="G537">
        <f>GCResults[[#This Row],[Total Gas Volume (mL), gas cylinder = 3785mL]]</f>
        <v>0</v>
      </c>
      <c r="H537">
        <f>GCResults[[#This Row],[Pressure on Sampling (PSI), 145PSI=1MPa]]</f>
        <v>3552.5</v>
      </c>
      <c r="I537">
        <f>pHCondMod[[#This Row],[Sample pH]]</f>
        <v>0</v>
      </c>
      <c r="J537">
        <f>pHCondMod[[#This Row],[Sample Conductivity (mS/cm)]]</f>
        <v>0</v>
      </c>
      <c r="K537">
        <f>pHCondMod[[#This Row],[Modification Description]]</f>
        <v>0</v>
      </c>
      <c r="L537" s="1">
        <f>NMRResults[[#This Row],[Date Run]]</f>
        <v>0</v>
      </c>
      <c r="M537" s="1">
        <f>ICPList[[#This Row],[Date Run]]</f>
        <v>0</v>
      </c>
      <c r="N537" s="1">
        <f>GCResults[[#This Row],[Date Run ]]</f>
        <v>0</v>
      </c>
    </row>
    <row r="538" spans="1:14" ht="14.45" x14ac:dyDescent="0.25">
      <c r="A538">
        <f>SampleList[[#This Row],[Experiment ID]]</f>
        <v>0</v>
      </c>
      <c r="B538">
        <f>SampleList[[#This Row],[Sample Description]]</f>
        <v>0</v>
      </c>
      <c r="C538" s="1">
        <f>SampleList[[#This Row],[Date Sampled]]</f>
        <v>0</v>
      </c>
      <c r="D538">
        <f>SampleList[[#This Row],[Duration (Days)]]</f>
        <v>0</v>
      </c>
      <c r="E538">
        <f>NMRResults[[#This Row],[Ammonium Concentration (mM)]]</f>
        <v>0</v>
      </c>
      <c r="F538" t="str">
        <f>GCResults[[#This Row],[H2 (ppm)]]</f>
        <v/>
      </c>
      <c r="G538">
        <f>GCResults[[#This Row],[Total Gas Volume (mL), gas cylinder = 3785mL]]</f>
        <v>0</v>
      </c>
      <c r="H538">
        <f>GCResults[[#This Row],[Pressure on Sampling (PSI), 145PSI=1MPa]]</f>
        <v>3552.5</v>
      </c>
      <c r="I538">
        <f>pHCondMod[[#This Row],[Sample pH]]</f>
        <v>0</v>
      </c>
      <c r="J538">
        <f>pHCondMod[[#This Row],[Sample Conductivity (mS/cm)]]</f>
        <v>0</v>
      </c>
      <c r="K538">
        <f>pHCondMod[[#This Row],[Modification Description]]</f>
        <v>0</v>
      </c>
      <c r="L538" s="1">
        <f>NMRResults[[#This Row],[Date Run]]</f>
        <v>0</v>
      </c>
      <c r="M538" s="1">
        <f>ICPList[[#This Row],[Date Run]]</f>
        <v>0</v>
      </c>
      <c r="N538" s="1">
        <f>GCResults[[#This Row],[Date Run ]]</f>
        <v>0</v>
      </c>
    </row>
    <row r="539" spans="1:14" ht="14.45" x14ac:dyDescent="0.25">
      <c r="A539">
        <f>SampleList[[#This Row],[Experiment ID]]</f>
        <v>0</v>
      </c>
      <c r="B539">
        <f>SampleList[[#This Row],[Sample Description]]</f>
        <v>0</v>
      </c>
      <c r="C539" s="1">
        <f>SampleList[[#This Row],[Date Sampled]]</f>
        <v>0</v>
      </c>
      <c r="D539">
        <f>SampleList[[#This Row],[Duration (Days)]]</f>
        <v>0</v>
      </c>
      <c r="E539">
        <f>NMRResults[[#This Row],[Ammonium Concentration (mM)]]</f>
        <v>0</v>
      </c>
      <c r="F539" t="str">
        <f>GCResults[[#This Row],[H2 (ppm)]]</f>
        <v/>
      </c>
      <c r="G539">
        <f>GCResults[[#This Row],[Total Gas Volume (mL), gas cylinder = 3785mL]]</f>
        <v>0</v>
      </c>
      <c r="H539">
        <f>GCResults[[#This Row],[Pressure on Sampling (PSI), 145PSI=1MPa]]</f>
        <v>3552.5</v>
      </c>
      <c r="I539">
        <f>pHCondMod[[#This Row],[Sample pH]]</f>
        <v>0</v>
      </c>
      <c r="J539">
        <f>pHCondMod[[#This Row],[Sample Conductivity (mS/cm)]]</f>
        <v>0</v>
      </c>
      <c r="K539">
        <f>pHCondMod[[#This Row],[Modification Description]]</f>
        <v>0</v>
      </c>
      <c r="L539" s="1">
        <f>NMRResults[[#This Row],[Date Run]]</f>
        <v>0</v>
      </c>
      <c r="M539" s="1">
        <f>ICPList[[#This Row],[Date Run]]</f>
        <v>0</v>
      </c>
      <c r="N539" s="1">
        <f>GCResults[[#This Row],[Date Run ]]</f>
        <v>0</v>
      </c>
    </row>
    <row r="540" spans="1:14" ht="14.45" x14ac:dyDescent="0.25">
      <c r="A540">
        <f>SampleList[[#This Row],[Experiment ID]]</f>
        <v>0</v>
      </c>
      <c r="B540">
        <f>SampleList[[#This Row],[Sample Description]]</f>
        <v>0</v>
      </c>
      <c r="C540" s="1">
        <f>SampleList[[#This Row],[Date Sampled]]</f>
        <v>0</v>
      </c>
      <c r="D540">
        <f>SampleList[[#This Row],[Duration (Days)]]</f>
        <v>0</v>
      </c>
      <c r="E540">
        <f>NMRResults[[#This Row],[Ammonium Concentration (mM)]]</f>
        <v>0</v>
      </c>
      <c r="F540" t="str">
        <f>GCResults[[#This Row],[H2 (ppm)]]</f>
        <v/>
      </c>
      <c r="G540">
        <f>GCResults[[#This Row],[Total Gas Volume (mL), gas cylinder = 3785mL]]</f>
        <v>0</v>
      </c>
      <c r="H540">
        <f>GCResults[[#This Row],[Pressure on Sampling (PSI), 145PSI=1MPa]]</f>
        <v>3552.5</v>
      </c>
      <c r="I540">
        <f>pHCondMod[[#This Row],[Sample pH]]</f>
        <v>0</v>
      </c>
      <c r="J540">
        <f>pHCondMod[[#This Row],[Sample Conductivity (mS/cm)]]</f>
        <v>0</v>
      </c>
      <c r="K540">
        <f>pHCondMod[[#This Row],[Modification Description]]</f>
        <v>0</v>
      </c>
      <c r="L540" s="1">
        <f>NMRResults[[#This Row],[Date Run]]</f>
        <v>0</v>
      </c>
      <c r="M540" s="1">
        <f>ICPList[[#This Row],[Date Run]]</f>
        <v>0</v>
      </c>
      <c r="N540" s="1">
        <f>GCResults[[#This Row],[Date Run ]]</f>
        <v>0</v>
      </c>
    </row>
    <row r="541" spans="1:14" ht="14.45" x14ac:dyDescent="0.25">
      <c r="A541">
        <f>SampleList[[#This Row],[Experiment ID]]</f>
        <v>0</v>
      </c>
      <c r="B541">
        <f>SampleList[[#This Row],[Sample Description]]</f>
        <v>0</v>
      </c>
      <c r="C541" s="1">
        <f>SampleList[[#This Row],[Date Sampled]]</f>
        <v>0</v>
      </c>
      <c r="D541">
        <f>SampleList[[#This Row],[Duration (Days)]]</f>
        <v>0</v>
      </c>
      <c r="E541">
        <f>NMRResults[[#This Row],[Ammonium Concentration (mM)]]</f>
        <v>0</v>
      </c>
      <c r="F541" t="str">
        <f>GCResults[[#This Row],[H2 (ppm)]]</f>
        <v/>
      </c>
      <c r="G541">
        <f>GCResults[[#This Row],[Total Gas Volume (mL), gas cylinder = 3785mL]]</f>
        <v>0</v>
      </c>
      <c r="H541">
        <f>GCResults[[#This Row],[Pressure on Sampling (PSI), 145PSI=1MPa]]</f>
        <v>3552.5</v>
      </c>
      <c r="I541">
        <f>pHCondMod[[#This Row],[Sample pH]]</f>
        <v>0</v>
      </c>
      <c r="J541">
        <f>pHCondMod[[#This Row],[Sample Conductivity (mS/cm)]]</f>
        <v>0</v>
      </c>
      <c r="K541">
        <f>pHCondMod[[#This Row],[Modification Description]]</f>
        <v>0</v>
      </c>
      <c r="L541" s="1">
        <f>NMRResults[[#This Row],[Date Run]]</f>
        <v>0</v>
      </c>
      <c r="M541" s="1">
        <f>ICPList[[#This Row],[Date Run]]</f>
        <v>0</v>
      </c>
      <c r="N541" s="1">
        <f>GCResults[[#This Row],[Date Run ]]</f>
        <v>0</v>
      </c>
    </row>
    <row r="542" spans="1:14" ht="14.45" x14ac:dyDescent="0.25">
      <c r="A542">
        <f>SampleList[[#This Row],[Experiment ID]]</f>
        <v>0</v>
      </c>
      <c r="B542">
        <f>SampleList[[#This Row],[Sample Description]]</f>
        <v>0</v>
      </c>
      <c r="C542" s="1">
        <f>SampleList[[#This Row],[Date Sampled]]</f>
        <v>0</v>
      </c>
      <c r="D542">
        <f>SampleList[[#This Row],[Duration (Days)]]</f>
        <v>0</v>
      </c>
      <c r="E542">
        <f>NMRResults[[#This Row],[Ammonium Concentration (mM)]]</f>
        <v>0</v>
      </c>
      <c r="F542" t="str">
        <f>GCResults[[#This Row],[H2 (ppm)]]</f>
        <v/>
      </c>
      <c r="G542">
        <f>GCResults[[#This Row],[Total Gas Volume (mL), gas cylinder = 3785mL]]</f>
        <v>0</v>
      </c>
      <c r="H542">
        <f>GCResults[[#This Row],[Pressure on Sampling (PSI), 145PSI=1MPa]]</f>
        <v>3552.5</v>
      </c>
      <c r="I542">
        <f>pHCondMod[[#This Row],[Sample pH]]</f>
        <v>0</v>
      </c>
      <c r="J542">
        <f>pHCondMod[[#This Row],[Sample Conductivity (mS/cm)]]</f>
        <v>0</v>
      </c>
      <c r="K542">
        <f>pHCondMod[[#This Row],[Modification Description]]</f>
        <v>0</v>
      </c>
      <c r="L542" s="1">
        <f>NMRResults[[#This Row],[Date Run]]</f>
        <v>0</v>
      </c>
      <c r="M542" s="1">
        <f>ICPList[[#This Row],[Date Run]]</f>
        <v>0</v>
      </c>
      <c r="N542" s="1">
        <f>GCResults[[#This Row],[Date Run ]]</f>
        <v>0</v>
      </c>
    </row>
    <row r="543" spans="1:14" ht="14.45" x14ac:dyDescent="0.25">
      <c r="A543">
        <f>SampleList[[#This Row],[Experiment ID]]</f>
        <v>0</v>
      </c>
      <c r="B543">
        <f>SampleList[[#This Row],[Sample Description]]</f>
        <v>0</v>
      </c>
      <c r="C543" s="1">
        <f>SampleList[[#This Row],[Date Sampled]]</f>
        <v>0</v>
      </c>
      <c r="D543">
        <f>SampleList[[#This Row],[Duration (Days)]]</f>
        <v>0</v>
      </c>
      <c r="E543">
        <f>NMRResults[[#This Row],[Ammonium Concentration (mM)]]</f>
        <v>0</v>
      </c>
      <c r="F543" t="str">
        <f>GCResults[[#This Row],[H2 (ppm)]]</f>
        <v/>
      </c>
      <c r="G543">
        <f>GCResults[[#This Row],[Total Gas Volume (mL), gas cylinder = 3785mL]]</f>
        <v>0</v>
      </c>
      <c r="H543">
        <f>GCResults[[#This Row],[Pressure on Sampling (PSI), 145PSI=1MPa]]</f>
        <v>3552.5</v>
      </c>
      <c r="I543">
        <f>pHCondMod[[#This Row],[Sample pH]]</f>
        <v>0</v>
      </c>
      <c r="J543">
        <f>pHCondMod[[#This Row],[Sample Conductivity (mS/cm)]]</f>
        <v>0</v>
      </c>
      <c r="K543">
        <f>pHCondMod[[#This Row],[Modification Description]]</f>
        <v>0</v>
      </c>
      <c r="L543" s="1">
        <f>NMRResults[[#This Row],[Date Run]]</f>
        <v>0</v>
      </c>
      <c r="M543" s="1">
        <f>ICPList[[#This Row],[Date Run]]</f>
        <v>0</v>
      </c>
      <c r="N543" s="1">
        <f>GCResults[[#This Row],[Date Run ]]</f>
        <v>0</v>
      </c>
    </row>
    <row r="544" spans="1:14" ht="14.45" x14ac:dyDescent="0.25">
      <c r="A544">
        <f>SampleList[[#This Row],[Experiment ID]]</f>
        <v>0</v>
      </c>
      <c r="B544">
        <f>SampleList[[#This Row],[Sample Description]]</f>
        <v>0</v>
      </c>
      <c r="C544" s="1">
        <f>SampleList[[#This Row],[Date Sampled]]</f>
        <v>0</v>
      </c>
      <c r="D544">
        <f>SampleList[[#This Row],[Duration (Days)]]</f>
        <v>0</v>
      </c>
      <c r="E544">
        <f>NMRResults[[#This Row],[Ammonium Concentration (mM)]]</f>
        <v>0</v>
      </c>
      <c r="F544" t="str">
        <f>GCResults[[#This Row],[H2 (ppm)]]</f>
        <v/>
      </c>
      <c r="G544">
        <f>GCResults[[#This Row],[Total Gas Volume (mL), gas cylinder = 3785mL]]</f>
        <v>0</v>
      </c>
      <c r="H544">
        <f>GCResults[[#This Row],[Pressure on Sampling (PSI), 145PSI=1MPa]]</f>
        <v>3552.5</v>
      </c>
      <c r="I544">
        <f>pHCondMod[[#This Row],[Sample pH]]</f>
        <v>0</v>
      </c>
      <c r="J544">
        <f>pHCondMod[[#This Row],[Sample Conductivity (mS/cm)]]</f>
        <v>0</v>
      </c>
      <c r="K544">
        <f>pHCondMod[[#This Row],[Modification Description]]</f>
        <v>0</v>
      </c>
      <c r="L544" s="1">
        <f>NMRResults[[#This Row],[Date Run]]</f>
        <v>0</v>
      </c>
      <c r="M544" s="1">
        <f>ICPList[[#This Row],[Date Run]]</f>
        <v>0</v>
      </c>
      <c r="N544" s="1">
        <f>GCResults[[#This Row],[Date Run ]]</f>
        <v>0</v>
      </c>
    </row>
    <row r="545" spans="1:14" ht="14.45" x14ac:dyDescent="0.25">
      <c r="A545">
        <f>SampleList[[#This Row],[Experiment ID]]</f>
        <v>0</v>
      </c>
      <c r="B545">
        <f>SampleList[[#This Row],[Sample Description]]</f>
        <v>0</v>
      </c>
      <c r="C545" s="1">
        <f>SampleList[[#This Row],[Date Sampled]]</f>
        <v>0</v>
      </c>
      <c r="D545">
        <f>SampleList[[#This Row],[Duration (Days)]]</f>
        <v>0</v>
      </c>
      <c r="E545">
        <f>NMRResults[[#This Row],[Ammonium Concentration (mM)]]</f>
        <v>0</v>
      </c>
      <c r="F545" t="str">
        <f>GCResults[[#This Row],[H2 (ppm)]]</f>
        <v/>
      </c>
      <c r="G545">
        <f>GCResults[[#This Row],[Total Gas Volume (mL), gas cylinder = 3785mL]]</f>
        <v>0</v>
      </c>
      <c r="H545">
        <f>GCResults[[#This Row],[Pressure on Sampling (PSI), 145PSI=1MPa]]</f>
        <v>3552.5</v>
      </c>
      <c r="I545">
        <f>pHCondMod[[#This Row],[Sample pH]]</f>
        <v>0</v>
      </c>
      <c r="J545">
        <f>pHCondMod[[#This Row],[Sample Conductivity (mS/cm)]]</f>
        <v>0</v>
      </c>
      <c r="K545">
        <f>pHCondMod[[#This Row],[Modification Description]]</f>
        <v>0</v>
      </c>
      <c r="L545" s="1">
        <f>NMRResults[[#This Row],[Date Run]]</f>
        <v>0</v>
      </c>
      <c r="M545" s="1">
        <f>ICPList[[#This Row],[Date Run]]</f>
        <v>0</v>
      </c>
      <c r="N545" s="1">
        <f>GCResults[[#This Row],[Date Run ]]</f>
        <v>0</v>
      </c>
    </row>
    <row r="546" spans="1:14" ht="14.45" x14ac:dyDescent="0.25">
      <c r="A546">
        <f>SampleList[[#This Row],[Experiment ID]]</f>
        <v>0</v>
      </c>
      <c r="B546">
        <f>SampleList[[#This Row],[Sample Description]]</f>
        <v>0</v>
      </c>
      <c r="C546" s="1">
        <f>SampleList[[#This Row],[Date Sampled]]</f>
        <v>0</v>
      </c>
      <c r="D546">
        <f>SampleList[[#This Row],[Duration (Days)]]</f>
        <v>0</v>
      </c>
      <c r="E546">
        <f>NMRResults[[#This Row],[Ammonium Concentration (mM)]]</f>
        <v>0</v>
      </c>
      <c r="F546" t="str">
        <f>GCResults[[#This Row],[H2 (ppm)]]</f>
        <v/>
      </c>
      <c r="G546">
        <f>GCResults[[#This Row],[Total Gas Volume (mL), gas cylinder = 3785mL]]</f>
        <v>0</v>
      </c>
      <c r="H546">
        <f>GCResults[[#This Row],[Pressure on Sampling (PSI), 145PSI=1MPa]]</f>
        <v>3552.5</v>
      </c>
      <c r="I546">
        <f>pHCondMod[[#This Row],[Sample pH]]</f>
        <v>0</v>
      </c>
      <c r="J546">
        <f>pHCondMod[[#This Row],[Sample Conductivity (mS/cm)]]</f>
        <v>0</v>
      </c>
      <c r="K546">
        <f>pHCondMod[[#This Row],[Modification Description]]</f>
        <v>0</v>
      </c>
      <c r="L546" s="1">
        <f>NMRResults[[#This Row],[Date Run]]</f>
        <v>0</v>
      </c>
      <c r="M546" s="1">
        <f>ICPList[[#This Row],[Date Run]]</f>
        <v>0</v>
      </c>
      <c r="N546" s="1">
        <f>GCResults[[#This Row],[Date Run ]]</f>
        <v>0</v>
      </c>
    </row>
    <row r="547" spans="1:14" ht="14.45" x14ac:dyDescent="0.25">
      <c r="A547">
        <f>SampleList[[#This Row],[Experiment ID]]</f>
        <v>0</v>
      </c>
      <c r="B547">
        <f>SampleList[[#This Row],[Sample Description]]</f>
        <v>0</v>
      </c>
      <c r="C547" s="1">
        <f>SampleList[[#This Row],[Date Sampled]]</f>
        <v>0</v>
      </c>
      <c r="D547">
        <f>SampleList[[#This Row],[Duration (Days)]]</f>
        <v>0</v>
      </c>
      <c r="E547">
        <f>NMRResults[[#This Row],[Ammonium Concentration (mM)]]</f>
        <v>0</v>
      </c>
      <c r="F547" t="str">
        <f>GCResults[[#This Row],[H2 (ppm)]]</f>
        <v/>
      </c>
      <c r="G547">
        <f>GCResults[[#This Row],[Total Gas Volume (mL), gas cylinder = 3785mL]]</f>
        <v>0</v>
      </c>
      <c r="H547">
        <f>GCResults[[#This Row],[Pressure on Sampling (PSI), 145PSI=1MPa]]</f>
        <v>3552.5</v>
      </c>
      <c r="I547">
        <f>pHCondMod[[#This Row],[Sample pH]]</f>
        <v>0</v>
      </c>
      <c r="J547">
        <f>pHCondMod[[#This Row],[Sample Conductivity (mS/cm)]]</f>
        <v>0</v>
      </c>
      <c r="K547">
        <f>pHCondMod[[#This Row],[Modification Description]]</f>
        <v>0</v>
      </c>
      <c r="L547" s="1">
        <f>NMRResults[[#This Row],[Date Run]]</f>
        <v>0</v>
      </c>
      <c r="M547" s="1">
        <f>ICPList[[#This Row],[Date Run]]</f>
        <v>0</v>
      </c>
      <c r="N547" s="1">
        <f>GCResults[[#This Row],[Date Run ]]</f>
        <v>0</v>
      </c>
    </row>
    <row r="548" spans="1:14" ht="14.45" x14ac:dyDescent="0.25">
      <c r="A548">
        <f>SampleList[[#This Row],[Experiment ID]]</f>
        <v>0</v>
      </c>
      <c r="B548">
        <f>SampleList[[#This Row],[Sample Description]]</f>
        <v>0</v>
      </c>
      <c r="C548" s="1">
        <f>SampleList[[#This Row],[Date Sampled]]</f>
        <v>0</v>
      </c>
      <c r="D548">
        <f>SampleList[[#This Row],[Duration (Days)]]</f>
        <v>0</v>
      </c>
      <c r="E548">
        <f>NMRResults[[#This Row],[Ammonium Concentration (mM)]]</f>
        <v>0</v>
      </c>
      <c r="F548" t="str">
        <f>GCResults[[#This Row],[H2 (ppm)]]</f>
        <v/>
      </c>
      <c r="G548">
        <f>GCResults[[#This Row],[Total Gas Volume (mL), gas cylinder = 3785mL]]</f>
        <v>0</v>
      </c>
      <c r="H548">
        <f>GCResults[[#This Row],[Pressure on Sampling (PSI), 145PSI=1MPa]]</f>
        <v>3552.5</v>
      </c>
      <c r="I548">
        <f>pHCondMod[[#This Row],[Sample pH]]</f>
        <v>0</v>
      </c>
      <c r="J548">
        <f>pHCondMod[[#This Row],[Sample Conductivity (mS/cm)]]</f>
        <v>0</v>
      </c>
      <c r="K548">
        <f>pHCondMod[[#This Row],[Modification Description]]</f>
        <v>0</v>
      </c>
      <c r="L548" s="1">
        <f>NMRResults[[#This Row],[Date Run]]</f>
        <v>0</v>
      </c>
      <c r="M548" s="1">
        <f>ICPList[[#This Row],[Date Run]]</f>
        <v>0</v>
      </c>
      <c r="N548" s="1">
        <f>GCResults[[#This Row],[Date Run ]]</f>
        <v>0</v>
      </c>
    </row>
    <row r="549" spans="1:14" ht="14.45" x14ac:dyDescent="0.25">
      <c r="A549">
        <f>SampleList[[#This Row],[Experiment ID]]</f>
        <v>0</v>
      </c>
      <c r="B549">
        <f>SampleList[[#This Row],[Sample Description]]</f>
        <v>0</v>
      </c>
      <c r="C549" s="1">
        <f>SampleList[[#This Row],[Date Sampled]]</f>
        <v>0</v>
      </c>
      <c r="D549">
        <f>SampleList[[#This Row],[Duration (Days)]]</f>
        <v>0</v>
      </c>
      <c r="E549">
        <f>NMRResults[[#This Row],[Ammonium Concentration (mM)]]</f>
        <v>0</v>
      </c>
      <c r="F549" t="str">
        <f>GCResults[[#This Row],[H2 (ppm)]]</f>
        <v/>
      </c>
      <c r="G549">
        <f>GCResults[[#This Row],[Total Gas Volume (mL), gas cylinder = 3785mL]]</f>
        <v>0</v>
      </c>
      <c r="H549">
        <f>GCResults[[#This Row],[Pressure on Sampling (PSI), 145PSI=1MPa]]</f>
        <v>3552.5</v>
      </c>
      <c r="I549">
        <f>pHCondMod[[#This Row],[Sample pH]]</f>
        <v>0</v>
      </c>
      <c r="J549">
        <f>pHCondMod[[#This Row],[Sample Conductivity (mS/cm)]]</f>
        <v>0</v>
      </c>
      <c r="K549">
        <f>pHCondMod[[#This Row],[Modification Description]]</f>
        <v>0</v>
      </c>
      <c r="L549" s="1">
        <f>NMRResults[[#This Row],[Date Run]]</f>
        <v>0</v>
      </c>
      <c r="M549" s="1">
        <f>ICPList[[#This Row],[Date Run]]</f>
        <v>0</v>
      </c>
      <c r="N549" s="1">
        <f>GCResults[[#This Row],[Date Run ]]</f>
        <v>0</v>
      </c>
    </row>
    <row r="550" spans="1:14" ht="14.45" x14ac:dyDescent="0.25">
      <c r="A550">
        <f>SampleList[[#This Row],[Experiment ID]]</f>
        <v>0</v>
      </c>
      <c r="B550">
        <f>SampleList[[#This Row],[Sample Description]]</f>
        <v>0</v>
      </c>
      <c r="C550" s="1">
        <f>SampleList[[#This Row],[Date Sampled]]</f>
        <v>0</v>
      </c>
      <c r="D550">
        <f>SampleList[[#This Row],[Duration (Days)]]</f>
        <v>0</v>
      </c>
      <c r="E550">
        <f>NMRResults[[#This Row],[Ammonium Concentration (mM)]]</f>
        <v>0</v>
      </c>
      <c r="F550" t="str">
        <f>GCResults[[#This Row],[H2 (ppm)]]</f>
        <v/>
      </c>
      <c r="G550">
        <f>GCResults[[#This Row],[Total Gas Volume (mL), gas cylinder = 3785mL]]</f>
        <v>0</v>
      </c>
      <c r="H550">
        <f>GCResults[[#This Row],[Pressure on Sampling (PSI), 145PSI=1MPa]]</f>
        <v>3552.5</v>
      </c>
      <c r="I550">
        <f>pHCondMod[[#This Row],[Sample pH]]</f>
        <v>0</v>
      </c>
      <c r="J550">
        <f>pHCondMod[[#This Row],[Sample Conductivity (mS/cm)]]</f>
        <v>0</v>
      </c>
      <c r="K550">
        <f>pHCondMod[[#This Row],[Modification Description]]</f>
        <v>0</v>
      </c>
      <c r="L550" s="1">
        <f>NMRResults[[#This Row],[Date Run]]</f>
        <v>0</v>
      </c>
      <c r="M550" s="1">
        <f>ICPList[[#This Row],[Date Run]]</f>
        <v>0</v>
      </c>
      <c r="N550" s="1">
        <f>GCResults[[#This Row],[Date Run ]]</f>
        <v>0</v>
      </c>
    </row>
    <row r="551" spans="1:14" ht="14.45" x14ac:dyDescent="0.25">
      <c r="A551">
        <f>SampleList[[#This Row],[Experiment ID]]</f>
        <v>0</v>
      </c>
      <c r="B551">
        <f>SampleList[[#This Row],[Sample Description]]</f>
        <v>0</v>
      </c>
      <c r="C551" s="1">
        <f>SampleList[[#This Row],[Date Sampled]]</f>
        <v>0</v>
      </c>
      <c r="D551">
        <f>SampleList[[#This Row],[Duration (Days)]]</f>
        <v>0</v>
      </c>
      <c r="E551">
        <f>NMRResults[[#This Row],[Ammonium Concentration (mM)]]</f>
        <v>0</v>
      </c>
      <c r="F551" t="str">
        <f>GCResults[[#This Row],[H2 (ppm)]]</f>
        <v/>
      </c>
      <c r="G551">
        <f>GCResults[[#This Row],[Total Gas Volume (mL), gas cylinder = 3785mL]]</f>
        <v>0</v>
      </c>
      <c r="H551">
        <f>GCResults[[#This Row],[Pressure on Sampling (PSI), 145PSI=1MPa]]</f>
        <v>3552.5</v>
      </c>
      <c r="I551">
        <f>pHCondMod[[#This Row],[Sample pH]]</f>
        <v>0</v>
      </c>
      <c r="J551">
        <f>pHCondMod[[#This Row],[Sample Conductivity (mS/cm)]]</f>
        <v>0</v>
      </c>
      <c r="K551">
        <f>pHCondMod[[#This Row],[Modification Description]]</f>
        <v>0</v>
      </c>
      <c r="L551" s="1">
        <f>NMRResults[[#This Row],[Date Run]]</f>
        <v>0</v>
      </c>
      <c r="M551" s="1">
        <f>ICPList[[#This Row],[Date Run]]</f>
        <v>0</v>
      </c>
      <c r="N551" s="1">
        <f>GCResults[[#This Row],[Date Run ]]</f>
        <v>0</v>
      </c>
    </row>
    <row r="552" spans="1:14" ht="14.45" x14ac:dyDescent="0.25">
      <c r="A552">
        <f>SampleList[[#This Row],[Experiment ID]]</f>
        <v>0</v>
      </c>
      <c r="B552">
        <f>SampleList[[#This Row],[Sample Description]]</f>
        <v>0</v>
      </c>
      <c r="C552" s="1">
        <f>SampleList[[#This Row],[Date Sampled]]</f>
        <v>0</v>
      </c>
      <c r="D552">
        <f>SampleList[[#This Row],[Duration (Days)]]</f>
        <v>0</v>
      </c>
      <c r="E552">
        <f>NMRResults[[#This Row],[Ammonium Concentration (mM)]]</f>
        <v>0</v>
      </c>
      <c r="F552" t="str">
        <f>GCResults[[#This Row],[H2 (ppm)]]</f>
        <v/>
      </c>
      <c r="G552">
        <f>GCResults[[#This Row],[Total Gas Volume (mL), gas cylinder = 3785mL]]</f>
        <v>0</v>
      </c>
      <c r="H552">
        <f>GCResults[[#This Row],[Pressure on Sampling (PSI), 145PSI=1MPa]]</f>
        <v>3552.5</v>
      </c>
      <c r="I552">
        <f>pHCondMod[[#This Row],[Sample pH]]</f>
        <v>0</v>
      </c>
      <c r="J552">
        <f>pHCondMod[[#This Row],[Sample Conductivity (mS/cm)]]</f>
        <v>0</v>
      </c>
      <c r="K552">
        <f>pHCondMod[[#This Row],[Modification Description]]</f>
        <v>0</v>
      </c>
      <c r="L552" s="1">
        <f>NMRResults[[#This Row],[Date Run]]</f>
        <v>0</v>
      </c>
      <c r="M552" s="1">
        <f>ICPList[[#This Row],[Date Run]]</f>
        <v>0</v>
      </c>
      <c r="N552" s="1">
        <f>GCResults[[#This Row],[Date Run ]]</f>
        <v>0</v>
      </c>
    </row>
    <row r="553" spans="1:14" ht="14.45" x14ac:dyDescent="0.25">
      <c r="A553">
        <f>SampleList[[#This Row],[Experiment ID]]</f>
        <v>0</v>
      </c>
      <c r="B553">
        <f>SampleList[[#This Row],[Sample Description]]</f>
        <v>0</v>
      </c>
      <c r="C553" s="1">
        <f>SampleList[[#This Row],[Date Sampled]]</f>
        <v>0</v>
      </c>
      <c r="D553">
        <f>SampleList[[#This Row],[Duration (Days)]]</f>
        <v>0</v>
      </c>
      <c r="E553">
        <f>NMRResults[[#This Row],[Ammonium Concentration (mM)]]</f>
        <v>0</v>
      </c>
      <c r="F553" t="str">
        <f>GCResults[[#This Row],[H2 (ppm)]]</f>
        <v/>
      </c>
      <c r="G553">
        <f>GCResults[[#This Row],[Total Gas Volume (mL), gas cylinder = 3785mL]]</f>
        <v>0</v>
      </c>
      <c r="H553">
        <f>GCResults[[#This Row],[Pressure on Sampling (PSI), 145PSI=1MPa]]</f>
        <v>3552.5</v>
      </c>
      <c r="I553">
        <f>pHCondMod[[#This Row],[Sample pH]]</f>
        <v>0</v>
      </c>
      <c r="J553">
        <f>pHCondMod[[#This Row],[Sample Conductivity (mS/cm)]]</f>
        <v>0</v>
      </c>
      <c r="K553">
        <f>pHCondMod[[#This Row],[Modification Description]]</f>
        <v>0</v>
      </c>
      <c r="L553" s="1">
        <f>NMRResults[[#This Row],[Date Run]]</f>
        <v>0</v>
      </c>
      <c r="M553" s="1">
        <f>ICPList[[#This Row],[Date Run]]</f>
        <v>0</v>
      </c>
      <c r="N553" s="1">
        <f>GCResults[[#This Row],[Date Run ]]</f>
        <v>0</v>
      </c>
    </row>
    <row r="554" spans="1:14" ht="14.45" x14ac:dyDescent="0.25">
      <c r="A554">
        <f>SampleList[[#This Row],[Experiment ID]]</f>
        <v>0</v>
      </c>
      <c r="B554">
        <f>SampleList[[#This Row],[Sample Description]]</f>
        <v>0</v>
      </c>
      <c r="C554" s="1">
        <f>SampleList[[#This Row],[Date Sampled]]</f>
        <v>0</v>
      </c>
      <c r="D554">
        <f>SampleList[[#This Row],[Duration (Days)]]</f>
        <v>0</v>
      </c>
      <c r="E554">
        <f>NMRResults[[#This Row],[Ammonium Concentration (mM)]]</f>
        <v>0</v>
      </c>
      <c r="F554" t="str">
        <f>GCResults[[#This Row],[H2 (ppm)]]</f>
        <v/>
      </c>
      <c r="G554">
        <f>GCResults[[#This Row],[Total Gas Volume (mL), gas cylinder = 3785mL]]</f>
        <v>0</v>
      </c>
      <c r="H554">
        <f>GCResults[[#This Row],[Pressure on Sampling (PSI), 145PSI=1MPa]]</f>
        <v>3552.5</v>
      </c>
      <c r="I554">
        <f>pHCondMod[[#This Row],[Sample pH]]</f>
        <v>0</v>
      </c>
      <c r="J554">
        <f>pHCondMod[[#This Row],[Sample Conductivity (mS/cm)]]</f>
        <v>0</v>
      </c>
      <c r="K554">
        <f>pHCondMod[[#This Row],[Modification Description]]</f>
        <v>0</v>
      </c>
      <c r="L554" s="1">
        <f>NMRResults[[#This Row],[Date Run]]</f>
        <v>0</v>
      </c>
      <c r="M554" s="1">
        <f>ICPList[[#This Row],[Date Run]]</f>
        <v>0</v>
      </c>
      <c r="N554" s="1">
        <f>GCResults[[#This Row],[Date Run ]]</f>
        <v>0</v>
      </c>
    </row>
    <row r="555" spans="1:14" ht="14.45" x14ac:dyDescent="0.25">
      <c r="A555">
        <f>SampleList[[#This Row],[Experiment ID]]</f>
        <v>0</v>
      </c>
      <c r="B555">
        <f>SampleList[[#This Row],[Sample Description]]</f>
        <v>0</v>
      </c>
      <c r="C555" s="1">
        <f>SampleList[[#This Row],[Date Sampled]]</f>
        <v>0</v>
      </c>
      <c r="D555">
        <f>SampleList[[#This Row],[Duration (Days)]]</f>
        <v>0</v>
      </c>
      <c r="E555">
        <f>NMRResults[[#This Row],[Ammonium Concentration (mM)]]</f>
        <v>0</v>
      </c>
      <c r="F555" t="str">
        <f>GCResults[[#This Row],[H2 (ppm)]]</f>
        <v/>
      </c>
      <c r="G555">
        <f>GCResults[[#This Row],[Total Gas Volume (mL), gas cylinder = 3785mL]]</f>
        <v>0</v>
      </c>
      <c r="H555">
        <f>GCResults[[#This Row],[Pressure on Sampling (PSI), 145PSI=1MPa]]</f>
        <v>3552.5</v>
      </c>
      <c r="I555">
        <f>pHCondMod[[#This Row],[Sample pH]]</f>
        <v>0</v>
      </c>
      <c r="J555">
        <f>pHCondMod[[#This Row],[Sample Conductivity (mS/cm)]]</f>
        <v>0</v>
      </c>
      <c r="K555">
        <f>pHCondMod[[#This Row],[Modification Description]]</f>
        <v>0</v>
      </c>
      <c r="L555" s="1">
        <f>NMRResults[[#This Row],[Date Run]]</f>
        <v>0</v>
      </c>
      <c r="M555" s="1">
        <f>ICPList[[#This Row],[Date Run]]</f>
        <v>0</v>
      </c>
      <c r="N555" s="1">
        <f>GCResults[[#This Row],[Date Run ]]</f>
        <v>0</v>
      </c>
    </row>
    <row r="556" spans="1:14" ht="14.45" x14ac:dyDescent="0.25">
      <c r="A556">
        <f>SampleList[[#This Row],[Experiment ID]]</f>
        <v>0</v>
      </c>
      <c r="B556">
        <f>SampleList[[#This Row],[Sample Description]]</f>
        <v>0</v>
      </c>
      <c r="C556" s="1">
        <f>SampleList[[#This Row],[Date Sampled]]</f>
        <v>0</v>
      </c>
      <c r="D556">
        <f>SampleList[[#This Row],[Duration (Days)]]</f>
        <v>0</v>
      </c>
      <c r="E556">
        <f>NMRResults[[#This Row],[Ammonium Concentration (mM)]]</f>
        <v>0</v>
      </c>
      <c r="F556" t="str">
        <f>GCResults[[#This Row],[H2 (ppm)]]</f>
        <v/>
      </c>
      <c r="G556">
        <f>GCResults[[#This Row],[Total Gas Volume (mL), gas cylinder = 3785mL]]</f>
        <v>0</v>
      </c>
      <c r="H556">
        <f>GCResults[[#This Row],[Pressure on Sampling (PSI), 145PSI=1MPa]]</f>
        <v>3552.5</v>
      </c>
      <c r="I556">
        <f>pHCondMod[[#This Row],[Sample pH]]</f>
        <v>0</v>
      </c>
      <c r="J556">
        <f>pHCondMod[[#This Row],[Sample Conductivity (mS/cm)]]</f>
        <v>0</v>
      </c>
      <c r="K556">
        <f>pHCondMod[[#This Row],[Modification Description]]</f>
        <v>0</v>
      </c>
      <c r="L556" s="1">
        <f>NMRResults[[#This Row],[Date Run]]</f>
        <v>0</v>
      </c>
      <c r="M556" s="1">
        <f>ICPList[[#This Row],[Date Run]]</f>
        <v>0</v>
      </c>
      <c r="N556" s="1">
        <f>GCResults[[#This Row],[Date Run ]]</f>
        <v>0</v>
      </c>
    </row>
    <row r="557" spans="1:14" ht="14.45" x14ac:dyDescent="0.25">
      <c r="A557">
        <f>SampleList[[#This Row],[Experiment ID]]</f>
        <v>0</v>
      </c>
      <c r="B557">
        <f>SampleList[[#This Row],[Sample Description]]</f>
        <v>0</v>
      </c>
      <c r="C557" s="1">
        <f>SampleList[[#This Row],[Date Sampled]]</f>
        <v>0</v>
      </c>
      <c r="D557">
        <f>SampleList[[#This Row],[Duration (Days)]]</f>
        <v>0</v>
      </c>
      <c r="E557">
        <f>NMRResults[[#This Row],[Ammonium Concentration (mM)]]</f>
        <v>0</v>
      </c>
      <c r="F557" t="str">
        <f>GCResults[[#This Row],[H2 (ppm)]]</f>
        <v/>
      </c>
      <c r="G557">
        <f>GCResults[[#This Row],[Total Gas Volume (mL), gas cylinder = 3785mL]]</f>
        <v>0</v>
      </c>
      <c r="H557">
        <f>GCResults[[#This Row],[Pressure on Sampling (PSI), 145PSI=1MPa]]</f>
        <v>3552.5</v>
      </c>
      <c r="I557">
        <f>pHCondMod[[#This Row],[Sample pH]]</f>
        <v>0</v>
      </c>
      <c r="J557">
        <f>pHCondMod[[#This Row],[Sample Conductivity (mS/cm)]]</f>
        <v>0</v>
      </c>
      <c r="K557">
        <f>pHCondMod[[#This Row],[Modification Description]]</f>
        <v>0</v>
      </c>
      <c r="L557" s="1">
        <f>NMRResults[[#This Row],[Date Run]]</f>
        <v>0</v>
      </c>
      <c r="M557" s="1">
        <f>ICPList[[#This Row],[Date Run]]</f>
        <v>0</v>
      </c>
      <c r="N557" s="1">
        <f>GCResults[[#This Row],[Date Run ]]</f>
        <v>0</v>
      </c>
    </row>
    <row r="558" spans="1:14" ht="14.45" x14ac:dyDescent="0.25">
      <c r="A558">
        <f>SampleList[[#This Row],[Experiment ID]]</f>
        <v>0</v>
      </c>
      <c r="B558">
        <f>SampleList[[#This Row],[Sample Description]]</f>
        <v>0</v>
      </c>
      <c r="C558" s="1">
        <f>SampleList[[#This Row],[Date Sampled]]</f>
        <v>0</v>
      </c>
      <c r="D558">
        <f>SampleList[[#This Row],[Duration (Days)]]</f>
        <v>0</v>
      </c>
      <c r="E558">
        <f>NMRResults[[#This Row],[Ammonium Concentration (mM)]]</f>
        <v>0</v>
      </c>
      <c r="F558" t="str">
        <f>GCResults[[#This Row],[H2 (ppm)]]</f>
        <v/>
      </c>
      <c r="G558">
        <f>GCResults[[#This Row],[Total Gas Volume (mL), gas cylinder = 3785mL]]</f>
        <v>0</v>
      </c>
      <c r="H558">
        <f>GCResults[[#This Row],[Pressure on Sampling (PSI), 145PSI=1MPa]]</f>
        <v>3552.5</v>
      </c>
      <c r="I558">
        <f>pHCondMod[[#This Row],[Sample pH]]</f>
        <v>0</v>
      </c>
      <c r="J558">
        <f>pHCondMod[[#This Row],[Sample Conductivity (mS/cm)]]</f>
        <v>0</v>
      </c>
      <c r="K558">
        <f>pHCondMod[[#This Row],[Modification Description]]</f>
        <v>0</v>
      </c>
      <c r="L558" s="1">
        <f>NMRResults[[#This Row],[Date Run]]</f>
        <v>0</v>
      </c>
      <c r="M558" s="1">
        <f>ICPList[[#This Row],[Date Run]]</f>
        <v>0</v>
      </c>
      <c r="N558" s="1">
        <f>GCResults[[#This Row],[Date Run ]]</f>
        <v>0</v>
      </c>
    </row>
    <row r="559" spans="1:14" ht="14.45" x14ac:dyDescent="0.25">
      <c r="A559">
        <f>SampleList[[#This Row],[Experiment ID]]</f>
        <v>0</v>
      </c>
      <c r="B559">
        <f>SampleList[[#This Row],[Sample Description]]</f>
        <v>0</v>
      </c>
      <c r="C559" s="1">
        <f>SampleList[[#This Row],[Date Sampled]]</f>
        <v>0</v>
      </c>
      <c r="D559">
        <f>SampleList[[#This Row],[Duration (Days)]]</f>
        <v>0</v>
      </c>
      <c r="E559">
        <f>NMRResults[[#This Row],[Ammonium Concentration (mM)]]</f>
        <v>0</v>
      </c>
      <c r="F559" t="str">
        <f>GCResults[[#This Row],[H2 (ppm)]]</f>
        <v/>
      </c>
      <c r="G559">
        <f>GCResults[[#This Row],[Total Gas Volume (mL), gas cylinder = 3785mL]]</f>
        <v>0</v>
      </c>
      <c r="H559">
        <f>GCResults[[#This Row],[Pressure on Sampling (PSI), 145PSI=1MPa]]</f>
        <v>3552.5</v>
      </c>
      <c r="I559">
        <f>pHCondMod[[#This Row],[Sample pH]]</f>
        <v>0</v>
      </c>
      <c r="J559">
        <f>pHCondMod[[#This Row],[Sample Conductivity (mS/cm)]]</f>
        <v>0</v>
      </c>
      <c r="K559">
        <f>pHCondMod[[#This Row],[Modification Description]]</f>
        <v>0</v>
      </c>
      <c r="L559" s="1">
        <f>NMRResults[[#This Row],[Date Run]]</f>
        <v>0</v>
      </c>
      <c r="M559" s="1">
        <f>ICPList[[#This Row],[Date Run]]</f>
        <v>0</v>
      </c>
      <c r="N559" s="1">
        <f>GCResults[[#This Row],[Date Run ]]</f>
        <v>0</v>
      </c>
    </row>
    <row r="560" spans="1:14" ht="14.45" x14ac:dyDescent="0.25">
      <c r="A560">
        <f>SampleList[[#This Row],[Experiment ID]]</f>
        <v>0</v>
      </c>
      <c r="B560">
        <f>SampleList[[#This Row],[Sample Description]]</f>
        <v>0</v>
      </c>
      <c r="C560" s="1">
        <f>SampleList[[#This Row],[Date Sampled]]</f>
        <v>0</v>
      </c>
      <c r="D560">
        <f>SampleList[[#This Row],[Duration (Days)]]</f>
        <v>0</v>
      </c>
      <c r="E560">
        <f>NMRResults[[#This Row],[Ammonium Concentration (mM)]]</f>
        <v>0</v>
      </c>
      <c r="F560" t="str">
        <f>GCResults[[#This Row],[H2 (ppm)]]</f>
        <v/>
      </c>
      <c r="G560">
        <f>GCResults[[#This Row],[Total Gas Volume (mL), gas cylinder = 3785mL]]</f>
        <v>0</v>
      </c>
      <c r="H560">
        <f>GCResults[[#This Row],[Pressure on Sampling (PSI), 145PSI=1MPa]]</f>
        <v>3552.5</v>
      </c>
      <c r="I560">
        <f>pHCondMod[[#This Row],[Sample pH]]</f>
        <v>0</v>
      </c>
      <c r="J560">
        <f>pHCondMod[[#This Row],[Sample Conductivity (mS/cm)]]</f>
        <v>0</v>
      </c>
      <c r="K560">
        <f>pHCondMod[[#This Row],[Modification Description]]</f>
        <v>0</v>
      </c>
      <c r="L560" s="1">
        <f>NMRResults[[#This Row],[Date Run]]</f>
        <v>0</v>
      </c>
      <c r="M560" s="1">
        <f>ICPList[[#This Row],[Date Run]]</f>
        <v>0</v>
      </c>
      <c r="N560" s="1">
        <f>GCResults[[#This Row],[Date Run ]]</f>
        <v>0</v>
      </c>
    </row>
    <row r="561" spans="1:14" ht="14.45" x14ac:dyDescent="0.25">
      <c r="A561">
        <f>SampleList[[#This Row],[Experiment ID]]</f>
        <v>0</v>
      </c>
      <c r="B561">
        <f>SampleList[[#This Row],[Sample Description]]</f>
        <v>0</v>
      </c>
      <c r="C561" s="1">
        <f>SampleList[[#This Row],[Date Sampled]]</f>
        <v>0</v>
      </c>
      <c r="D561">
        <f>SampleList[[#This Row],[Duration (Days)]]</f>
        <v>0</v>
      </c>
      <c r="E561">
        <f>NMRResults[[#This Row],[Ammonium Concentration (mM)]]</f>
        <v>0</v>
      </c>
      <c r="F561" t="str">
        <f>GCResults[[#This Row],[H2 (ppm)]]</f>
        <v/>
      </c>
      <c r="G561">
        <f>GCResults[[#This Row],[Total Gas Volume (mL), gas cylinder = 3785mL]]</f>
        <v>0</v>
      </c>
      <c r="H561">
        <f>GCResults[[#This Row],[Pressure on Sampling (PSI), 145PSI=1MPa]]</f>
        <v>3552.5</v>
      </c>
      <c r="I561">
        <f>pHCondMod[[#This Row],[Sample pH]]</f>
        <v>0</v>
      </c>
      <c r="J561">
        <f>pHCondMod[[#This Row],[Sample Conductivity (mS/cm)]]</f>
        <v>0</v>
      </c>
      <c r="K561">
        <f>pHCondMod[[#This Row],[Modification Description]]</f>
        <v>0</v>
      </c>
      <c r="L561" s="1">
        <f>NMRResults[[#This Row],[Date Run]]</f>
        <v>0</v>
      </c>
      <c r="M561" s="1">
        <f>ICPList[[#This Row],[Date Run]]</f>
        <v>0</v>
      </c>
      <c r="N561" s="1">
        <f>GCResults[[#This Row],[Date Run ]]</f>
        <v>0</v>
      </c>
    </row>
    <row r="562" spans="1:14" ht="14.45" x14ac:dyDescent="0.25">
      <c r="A562">
        <f>SampleList[[#This Row],[Experiment ID]]</f>
        <v>0</v>
      </c>
      <c r="B562">
        <f>SampleList[[#This Row],[Sample Description]]</f>
        <v>0</v>
      </c>
      <c r="C562" s="1">
        <f>SampleList[[#This Row],[Date Sampled]]</f>
        <v>0</v>
      </c>
      <c r="D562">
        <f>SampleList[[#This Row],[Duration (Days)]]</f>
        <v>0</v>
      </c>
      <c r="E562">
        <f>NMRResults[[#This Row],[Ammonium Concentration (mM)]]</f>
        <v>0</v>
      </c>
      <c r="F562" t="str">
        <f>GCResults[[#This Row],[H2 (ppm)]]</f>
        <v/>
      </c>
      <c r="G562">
        <f>GCResults[[#This Row],[Total Gas Volume (mL), gas cylinder = 3785mL]]</f>
        <v>0</v>
      </c>
      <c r="H562">
        <f>GCResults[[#This Row],[Pressure on Sampling (PSI), 145PSI=1MPa]]</f>
        <v>3552.5</v>
      </c>
      <c r="I562">
        <f>pHCondMod[[#This Row],[Sample pH]]</f>
        <v>0</v>
      </c>
      <c r="J562">
        <f>pHCondMod[[#This Row],[Sample Conductivity (mS/cm)]]</f>
        <v>0</v>
      </c>
      <c r="K562">
        <f>pHCondMod[[#This Row],[Modification Description]]</f>
        <v>0</v>
      </c>
      <c r="L562" s="1">
        <f>NMRResults[[#This Row],[Date Run]]</f>
        <v>0</v>
      </c>
      <c r="M562" s="1">
        <f>ICPList[[#This Row],[Date Run]]</f>
        <v>0</v>
      </c>
      <c r="N562" s="1">
        <f>GCResults[[#This Row],[Date Run ]]</f>
        <v>0</v>
      </c>
    </row>
    <row r="563" spans="1:14" ht="14.45" x14ac:dyDescent="0.25">
      <c r="A563">
        <f>SampleList[[#This Row],[Experiment ID]]</f>
        <v>0</v>
      </c>
      <c r="B563">
        <f>SampleList[[#This Row],[Sample Description]]</f>
        <v>0</v>
      </c>
      <c r="C563" s="1">
        <f>SampleList[[#This Row],[Date Sampled]]</f>
        <v>0</v>
      </c>
      <c r="D563">
        <f>SampleList[[#This Row],[Duration (Days)]]</f>
        <v>0</v>
      </c>
      <c r="E563">
        <f>NMRResults[[#This Row],[Ammonium Concentration (mM)]]</f>
        <v>0</v>
      </c>
      <c r="F563" t="str">
        <f>GCResults[[#This Row],[H2 (ppm)]]</f>
        <v/>
      </c>
      <c r="G563">
        <f>GCResults[[#This Row],[Total Gas Volume (mL), gas cylinder = 3785mL]]</f>
        <v>0</v>
      </c>
      <c r="H563">
        <f>GCResults[[#This Row],[Pressure on Sampling (PSI), 145PSI=1MPa]]</f>
        <v>3552.5</v>
      </c>
      <c r="I563">
        <f>pHCondMod[[#This Row],[Sample pH]]</f>
        <v>0</v>
      </c>
      <c r="J563">
        <f>pHCondMod[[#This Row],[Sample Conductivity (mS/cm)]]</f>
        <v>0</v>
      </c>
      <c r="K563">
        <f>pHCondMod[[#This Row],[Modification Description]]</f>
        <v>0</v>
      </c>
      <c r="L563" s="1">
        <f>NMRResults[[#This Row],[Date Run]]</f>
        <v>0</v>
      </c>
      <c r="M563" s="1">
        <f>ICPList[[#This Row],[Date Run]]</f>
        <v>0</v>
      </c>
      <c r="N563" s="1">
        <f>GCResults[[#This Row],[Date Run ]]</f>
        <v>0</v>
      </c>
    </row>
    <row r="564" spans="1:14" ht="14.45" x14ac:dyDescent="0.25">
      <c r="A564">
        <f>SampleList[[#This Row],[Experiment ID]]</f>
        <v>0</v>
      </c>
      <c r="B564">
        <f>SampleList[[#This Row],[Sample Description]]</f>
        <v>0</v>
      </c>
      <c r="C564" s="1">
        <f>SampleList[[#This Row],[Date Sampled]]</f>
        <v>0</v>
      </c>
      <c r="D564">
        <f>SampleList[[#This Row],[Duration (Days)]]</f>
        <v>0</v>
      </c>
      <c r="E564">
        <f>NMRResults[[#This Row],[Ammonium Concentration (mM)]]</f>
        <v>0</v>
      </c>
      <c r="F564" t="str">
        <f>GCResults[[#This Row],[H2 (ppm)]]</f>
        <v/>
      </c>
      <c r="G564">
        <f>GCResults[[#This Row],[Total Gas Volume (mL), gas cylinder = 3785mL]]</f>
        <v>0</v>
      </c>
      <c r="H564">
        <f>GCResults[[#This Row],[Pressure on Sampling (PSI), 145PSI=1MPa]]</f>
        <v>3552.5</v>
      </c>
      <c r="I564">
        <f>pHCondMod[[#This Row],[Sample pH]]</f>
        <v>0</v>
      </c>
      <c r="J564">
        <f>pHCondMod[[#This Row],[Sample Conductivity (mS/cm)]]</f>
        <v>0</v>
      </c>
      <c r="K564">
        <f>pHCondMod[[#This Row],[Modification Description]]</f>
        <v>0</v>
      </c>
      <c r="L564" s="1">
        <f>NMRResults[[#This Row],[Date Run]]</f>
        <v>0</v>
      </c>
      <c r="M564" s="1">
        <f>ICPList[[#This Row],[Date Run]]</f>
        <v>0</v>
      </c>
      <c r="N564" s="1">
        <f>GCResults[[#This Row],[Date Run ]]</f>
        <v>0</v>
      </c>
    </row>
    <row r="565" spans="1:14" ht="14.45" x14ac:dyDescent="0.25">
      <c r="A565">
        <f>SampleList[[#This Row],[Experiment ID]]</f>
        <v>0</v>
      </c>
      <c r="B565">
        <f>SampleList[[#This Row],[Sample Description]]</f>
        <v>0</v>
      </c>
      <c r="C565" s="1">
        <f>SampleList[[#This Row],[Date Sampled]]</f>
        <v>0</v>
      </c>
      <c r="D565">
        <f>SampleList[[#This Row],[Duration (Days)]]</f>
        <v>0</v>
      </c>
      <c r="E565">
        <f>NMRResults[[#This Row],[Ammonium Concentration (mM)]]</f>
        <v>0</v>
      </c>
      <c r="F565" t="str">
        <f>GCResults[[#This Row],[H2 (ppm)]]</f>
        <v/>
      </c>
      <c r="G565">
        <f>GCResults[[#This Row],[Total Gas Volume (mL), gas cylinder = 3785mL]]</f>
        <v>0</v>
      </c>
      <c r="H565">
        <f>GCResults[[#This Row],[Pressure on Sampling (PSI), 145PSI=1MPa]]</f>
        <v>3552.5</v>
      </c>
      <c r="I565">
        <f>pHCondMod[[#This Row],[Sample pH]]</f>
        <v>0</v>
      </c>
      <c r="J565">
        <f>pHCondMod[[#This Row],[Sample Conductivity (mS/cm)]]</f>
        <v>0</v>
      </c>
      <c r="K565">
        <f>pHCondMod[[#This Row],[Modification Description]]</f>
        <v>0</v>
      </c>
      <c r="L565" s="1">
        <f>NMRResults[[#This Row],[Date Run]]</f>
        <v>0</v>
      </c>
      <c r="M565" s="1">
        <f>ICPList[[#This Row],[Date Run]]</f>
        <v>0</v>
      </c>
      <c r="N565" s="1">
        <f>GCResults[[#This Row],[Date Run ]]</f>
        <v>0</v>
      </c>
    </row>
    <row r="566" spans="1:14" ht="14.45" x14ac:dyDescent="0.25">
      <c r="A566">
        <f>SampleList[[#This Row],[Experiment ID]]</f>
        <v>0</v>
      </c>
      <c r="B566">
        <f>SampleList[[#This Row],[Sample Description]]</f>
        <v>0</v>
      </c>
      <c r="C566" s="1">
        <f>SampleList[[#This Row],[Date Sampled]]</f>
        <v>0</v>
      </c>
      <c r="D566">
        <f>SampleList[[#This Row],[Duration (Days)]]</f>
        <v>0</v>
      </c>
      <c r="E566">
        <f>NMRResults[[#This Row],[Ammonium Concentration (mM)]]</f>
        <v>0</v>
      </c>
      <c r="F566" t="str">
        <f>GCResults[[#This Row],[H2 (ppm)]]</f>
        <v/>
      </c>
      <c r="G566">
        <f>GCResults[[#This Row],[Total Gas Volume (mL), gas cylinder = 3785mL]]</f>
        <v>0</v>
      </c>
      <c r="H566">
        <f>GCResults[[#This Row],[Pressure on Sampling (PSI), 145PSI=1MPa]]</f>
        <v>3552.5</v>
      </c>
      <c r="I566">
        <f>pHCondMod[[#This Row],[Sample pH]]</f>
        <v>0</v>
      </c>
      <c r="J566">
        <f>pHCondMod[[#This Row],[Sample Conductivity (mS/cm)]]</f>
        <v>0</v>
      </c>
      <c r="K566">
        <f>pHCondMod[[#This Row],[Modification Description]]</f>
        <v>0</v>
      </c>
      <c r="L566" s="1">
        <f>NMRResults[[#This Row],[Date Run]]</f>
        <v>0</v>
      </c>
      <c r="M566" s="1">
        <f>ICPList[[#This Row],[Date Run]]</f>
        <v>0</v>
      </c>
      <c r="N566" s="1">
        <f>GCResults[[#This Row],[Date Run ]]</f>
        <v>0</v>
      </c>
    </row>
    <row r="567" spans="1:14" ht="14.45" x14ac:dyDescent="0.25">
      <c r="A567">
        <f>SampleList[[#This Row],[Experiment ID]]</f>
        <v>0</v>
      </c>
      <c r="B567">
        <f>SampleList[[#This Row],[Sample Description]]</f>
        <v>0</v>
      </c>
      <c r="C567" s="1">
        <f>SampleList[[#This Row],[Date Sampled]]</f>
        <v>0</v>
      </c>
      <c r="D567">
        <f>SampleList[[#This Row],[Duration (Days)]]</f>
        <v>0</v>
      </c>
      <c r="E567">
        <f>NMRResults[[#This Row],[Ammonium Concentration (mM)]]</f>
        <v>0</v>
      </c>
      <c r="F567" t="str">
        <f>GCResults[[#This Row],[H2 (ppm)]]</f>
        <v/>
      </c>
      <c r="G567">
        <f>GCResults[[#This Row],[Total Gas Volume (mL), gas cylinder = 3785mL]]</f>
        <v>0</v>
      </c>
      <c r="H567">
        <f>GCResults[[#This Row],[Pressure on Sampling (PSI), 145PSI=1MPa]]</f>
        <v>3552.5</v>
      </c>
      <c r="I567">
        <f>pHCondMod[[#This Row],[Sample pH]]</f>
        <v>0</v>
      </c>
      <c r="J567">
        <f>pHCondMod[[#This Row],[Sample Conductivity (mS/cm)]]</f>
        <v>0</v>
      </c>
      <c r="K567">
        <f>pHCondMod[[#This Row],[Modification Description]]</f>
        <v>0</v>
      </c>
      <c r="L567" s="1">
        <f>NMRResults[[#This Row],[Date Run]]</f>
        <v>0</v>
      </c>
      <c r="M567" s="1">
        <f>ICPList[[#This Row],[Date Run]]</f>
        <v>0</v>
      </c>
      <c r="N567" s="1">
        <f>GCResults[[#This Row],[Date Run ]]</f>
        <v>0</v>
      </c>
    </row>
    <row r="568" spans="1:14" ht="14.45" x14ac:dyDescent="0.25">
      <c r="A568">
        <f>SampleList[[#This Row],[Experiment ID]]</f>
        <v>0</v>
      </c>
      <c r="B568">
        <f>SampleList[[#This Row],[Sample Description]]</f>
        <v>0</v>
      </c>
      <c r="C568" s="1">
        <f>SampleList[[#This Row],[Date Sampled]]</f>
        <v>0</v>
      </c>
      <c r="D568">
        <f>SampleList[[#This Row],[Duration (Days)]]</f>
        <v>0</v>
      </c>
      <c r="E568">
        <f>NMRResults[[#This Row],[Ammonium Concentration (mM)]]</f>
        <v>0</v>
      </c>
      <c r="F568" t="str">
        <f>GCResults[[#This Row],[H2 (ppm)]]</f>
        <v/>
      </c>
      <c r="G568">
        <f>GCResults[[#This Row],[Total Gas Volume (mL), gas cylinder = 3785mL]]</f>
        <v>0</v>
      </c>
      <c r="H568">
        <f>GCResults[[#This Row],[Pressure on Sampling (PSI), 145PSI=1MPa]]</f>
        <v>3552.5</v>
      </c>
      <c r="I568">
        <f>pHCondMod[[#This Row],[Sample pH]]</f>
        <v>0</v>
      </c>
      <c r="J568">
        <f>pHCondMod[[#This Row],[Sample Conductivity (mS/cm)]]</f>
        <v>0</v>
      </c>
      <c r="K568">
        <f>pHCondMod[[#This Row],[Modification Description]]</f>
        <v>0</v>
      </c>
      <c r="L568" s="1">
        <f>NMRResults[[#This Row],[Date Run]]</f>
        <v>0</v>
      </c>
      <c r="M568" s="1">
        <f>ICPList[[#This Row],[Date Run]]</f>
        <v>0</v>
      </c>
      <c r="N568" s="1">
        <f>GCResults[[#This Row],[Date Run ]]</f>
        <v>0</v>
      </c>
    </row>
    <row r="569" spans="1:14" ht="14.45" x14ac:dyDescent="0.25">
      <c r="A569">
        <f>SampleList[[#This Row],[Experiment ID]]</f>
        <v>0</v>
      </c>
      <c r="B569">
        <f>SampleList[[#This Row],[Sample Description]]</f>
        <v>0</v>
      </c>
      <c r="C569" s="1">
        <f>SampleList[[#This Row],[Date Sampled]]</f>
        <v>0</v>
      </c>
      <c r="D569">
        <f>SampleList[[#This Row],[Duration (Days)]]</f>
        <v>0</v>
      </c>
      <c r="E569">
        <f>NMRResults[[#This Row],[Ammonium Concentration (mM)]]</f>
        <v>0</v>
      </c>
      <c r="F569" t="str">
        <f>GCResults[[#This Row],[H2 (ppm)]]</f>
        <v/>
      </c>
      <c r="G569">
        <f>GCResults[[#This Row],[Total Gas Volume (mL), gas cylinder = 3785mL]]</f>
        <v>0</v>
      </c>
      <c r="H569">
        <f>GCResults[[#This Row],[Pressure on Sampling (PSI), 145PSI=1MPa]]</f>
        <v>3552.5</v>
      </c>
      <c r="I569">
        <f>pHCondMod[[#This Row],[Sample pH]]</f>
        <v>0</v>
      </c>
      <c r="J569">
        <f>pHCondMod[[#This Row],[Sample Conductivity (mS/cm)]]</f>
        <v>0</v>
      </c>
      <c r="K569">
        <f>pHCondMod[[#This Row],[Modification Description]]</f>
        <v>0</v>
      </c>
      <c r="L569" s="1">
        <f>NMRResults[[#This Row],[Date Run]]</f>
        <v>0</v>
      </c>
      <c r="M569" s="1">
        <f>ICPList[[#This Row],[Date Run]]</f>
        <v>0</v>
      </c>
      <c r="N569" s="1">
        <f>GCResults[[#This Row],[Date Run ]]</f>
        <v>0</v>
      </c>
    </row>
    <row r="570" spans="1:14" ht="14.45" x14ac:dyDescent="0.25">
      <c r="A570">
        <f>SampleList[[#This Row],[Experiment ID]]</f>
        <v>0</v>
      </c>
      <c r="B570">
        <f>SampleList[[#This Row],[Sample Description]]</f>
        <v>0</v>
      </c>
      <c r="C570" s="1">
        <f>SampleList[[#This Row],[Date Sampled]]</f>
        <v>0</v>
      </c>
      <c r="D570">
        <f>SampleList[[#This Row],[Duration (Days)]]</f>
        <v>0</v>
      </c>
      <c r="E570">
        <f>NMRResults[[#This Row],[Ammonium Concentration (mM)]]</f>
        <v>0</v>
      </c>
      <c r="F570" t="str">
        <f>GCResults[[#This Row],[H2 (ppm)]]</f>
        <v/>
      </c>
      <c r="G570">
        <f>GCResults[[#This Row],[Total Gas Volume (mL), gas cylinder = 3785mL]]</f>
        <v>0</v>
      </c>
      <c r="H570">
        <f>GCResults[[#This Row],[Pressure on Sampling (PSI), 145PSI=1MPa]]</f>
        <v>3552.5</v>
      </c>
      <c r="I570">
        <f>pHCondMod[[#This Row],[Sample pH]]</f>
        <v>0</v>
      </c>
      <c r="J570">
        <f>pHCondMod[[#This Row],[Sample Conductivity (mS/cm)]]</f>
        <v>0</v>
      </c>
      <c r="K570">
        <f>pHCondMod[[#This Row],[Modification Description]]</f>
        <v>0</v>
      </c>
      <c r="L570" s="1">
        <f>NMRResults[[#This Row],[Date Run]]</f>
        <v>0</v>
      </c>
      <c r="M570" s="1">
        <f>ICPList[[#This Row],[Date Run]]</f>
        <v>0</v>
      </c>
      <c r="N570" s="1">
        <f>GCResults[[#This Row],[Date Run ]]</f>
        <v>0</v>
      </c>
    </row>
    <row r="571" spans="1:14" ht="14.45" x14ac:dyDescent="0.25">
      <c r="A571">
        <f>SampleList[[#This Row],[Experiment ID]]</f>
        <v>0</v>
      </c>
      <c r="B571">
        <f>SampleList[[#This Row],[Sample Description]]</f>
        <v>0</v>
      </c>
      <c r="C571" s="1">
        <f>SampleList[[#This Row],[Date Sampled]]</f>
        <v>0</v>
      </c>
      <c r="D571">
        <f>SampleList[[#This Row],[Duration (Days)]]</f>
        <v>0</v>
      </c>
      <c r="E571">
        <f>NMRResults[[#This Row],[Ammonium Concentration (mM)]]</f>
        <v>0</v>
      </c>
      <c r="F571" t="str">
        <f>GCResults[[#This Row],[H2 (ppm)]]</f>
        <v/>
      </c>
      <c r="G571">
        <f>GCResults[[#This Row],[Total Gas Volume (mL), gas cylinder = 3785mL]]</f>
        <v>0</v>
      </c>
      <c r="H571">
        <f>GCResults[[#This Row],[Pressure on Sampling (PSI), 145PSI=1MPa]]</f>
        <v>3552.5</v>
      </c>
      <c r="I571">
        <f>pHCondMod[[#This Row],[Sample pH]]</f>
        <v>0</v>
      </c>
      <c r="J571">
        <f>pHCondMod[[#This Row],[Sample Conductivity (mS/cm)]]</f>
        <v>0</v>
      </c>
      <c r="K571">
        <f>pHCondMod[[#This Row],[Modification Description]]</f>
        <v>0</v>
      </c>
      <c r="L571" s="1">
        <f>NMRResults[[#This Row],[Date Run]]</f>
        <v>0</v>
      </c>
      <c r="M571" s="1">
        <f>ICPList[[#This Row],[Date Run]]</f>
        <v>0</v>
      </c>
      <c r="N571" s="1">
        <f>GCResults[[#This Row],[Date Run ]]</f>
        <v>0</v>
      </c>
    </row>
    <row r="572" spans="1:14" ht="14.45" x14ac:dyDescent="0.25">
      <c r="A572">
        <f>SampleList[[#This Row],[Experiment ID]]</f>
        <v>0</v>
      </c>
      <c r="B572">
        <f>SampleList[[#This Row],[Sample Description]]</f>
        <v>0</v>
      </c>
      <c r="C572" s="1">
        <f>SampleList[[#This Row],[Date Sampled]]</f>
        <v>0</v>
      </c>
      <c r="D572">
        <f>SampleList[[#This Row],[Duration (Days)]]</f>
        <v>0</v>
      </c>
      <c r="E572">
        <f>NMRResults[[#This Row],[Ammonium Concentration (mM)]]</f>
        <v>0</v>
      </c>
      <c r="F572" t="str">
        <f>GCResults[[#This Row],[H2 (ppm)]]</f>
        <v/>
      </c>
      <c r="G572">
        <f>GCResults[[#This Row],[Total Gas Volume (mL), gas cylinder = 3785mL]]</f>
        <v>0</v>
      </c>
      <c r="H572">
        <f>GCResults[[#This Row],[Pressure on Sampling (PSI), 145PSI=1MPa]]</f>
        <v>3552.5</v>
      </c>
      <c r="I572">
        <f>pHCondMod[[#This Row],[Sample pH]]</f>
        <v>0</v>
      </c>
      <c r="J572">
        <f>pHCondMod[[#This Row],[Sample Conductivity (mS/cm)]]</f>
        <v>0</v>
      </c>
      <c r="K572">
        <f>pHCondMod[[#This Row],[Modification Description]]</f>
        <v>0</v>
      </c>
      <c r="L572" s="1">
        <f>NMRResults[[#This Row],[Date Run]]</f>
        <v>0</v>
      </c>
      <c r="M572" s="1">
        <f>ICPList[[#This Row],[Date Run]]</f>
        <v>0</v>
      </c>
      <c r="N572" s="1">
        <f>GCResults[[#This Row],[Date Run ]]</f>
        <v>0</v>
      </c>
    </row>
    <row r="573" spans="1:14" ht="14.45" x14ac:dyDescent="0.25">
      <c r="A573">
        <f>SampleList[[#This Row],[Experiment ID]]</f>
        <v>0</v>
      </c>
      <c r="B573">
        <f>SampleList[[#This Row],[Sample Description]]</f>
        <v>0</v>
      </c>
      <c r="C573" s="1">
        <f>SampleList[[#This Row],[Date Sampled]]</f>
        <v>0</v>
      </c>
      <c r="D573">
        <f>SampleList[[#This Row],[Duration (Days)]]</f>
        <v>0</v>
      </c>
      <c r="E573">
        <f>NMRResults[[#This Row],[Ammonium Concentration (mM)]]</f>
        <v>0</v>
      </c>
      <c r="F573" t="str">
        <f>GCResults[[#This Row],[H2 (ppm)]]</f>
        <v/>
      </c>
      <c r="G573">
        <f>GCResults[[#This Row],[Total Gas Volume (mL), gas cylinder = 3785mL]]</f>
        <v>0</v>
      </c>
      <c r="H573">
        <f>GCResults[[#This Row],[Pressure on Sampling (PSI), 145PSI=1MPa]]</f>
        <v>3552.5</v>
      </c>
      <c r="I573">
        <f>pHCondMod[[#This Row],[Sample pH]]</f>
        <v>0</v>
      </c>
      <c r="J573">
        <f>pHCondMod[[#This Row],[Sample Conductivity (mS/cm)]]</f>
        <v>0</v>
      </c>
      <c r="K573">
        <f>pHCondMod[[#This Row],[Modification Description]]</f>
        <v>0</v>
      </c>
      <c r="L573" s="1">
        <f>NMRResults[[#This Row],[Date Run]]</f>
        <v>0</v>
      </c>
      <c r="M573" s="1">
        <f>ICPList[[#This Row],[Date Run]]</f>
        <v>0</v>
      </c>
      <c r="N573" s="1">
        <f>GCResults[[#This Row],[Date Run ]]</f>
        <v>0</v>
      </c>
    </row>
    <row r="574" spans="1:14" ht="14.45" x14ac:dyDescent="0.25">
      <c r="A574">
        <f>SampleList[[#This Row],[Experiment ID]]</f>
        <v>0</v>
      </c>
      <c r="B574">
        <f>SampleList[[#This Row],[Sample Description]]</f>
        <v>0</v>
      </c>
      <c r="C574" s="1">
        <f>SampleList[[#This Row],[Date Sampled]]</f>
        <v>0</v>
      </c>
      <c r="D574">
        <f>SampleList[[#This Row],[Duration (Days)]]</f>
        <v>0</v>
      </c>
      <c r="E574">
        <f>NMRResults[[#This Row],[Ammonium Concentration (mM)]]</f>
        <v>0</v>
      </c>
      <c r="F574" t="str">
        <f>GCResults[[#This Row],[H2 (ppm)]]</f>
        <v/>
      </c>
      <c r="G574">
        <f>GCResults[[#This Row],[Total Gas Volume (mL), gas cylinder = 3785mL]]</f>
        <v>0</v>
      </c>
      <c r="H574">
        <f>GCResults[[#This Row],[Pressure on Sampling (PSI), 145PSI=1MPa]]</f>
        <v>3552.5</v>
      </c>
      <c r="I574">
        <f>pHCondMod[[#This Row],[Sample pH]]</f>
        <v>0</v>
      </c>
      <c r="J574">
        <f>pHCondMod[[#This Row],[Sample Conductivity (mS/cm)]]</f>
        <v>0</v>
      </c>
      <c r="K574">
        <f>pHCondMod[[#This Row],[Modification Description]]</f>
        <v>0</v>
      </c>
      <c r="L574" s="1">
        <f>NMRResults[[#This Row],[Date Run]]</f>
        <v>0</v>
      </c>
      <c r="M574" s="1">
        <f>ICPList[[#This Row],[Date Run]]</f>
        <v>0</v>
      </c>
      <c r="N574" s="1">
        <f>GCResults[[#This Row],[Date Run ]]</f>
        <v>0</v>
      </c>
    </row>
    <row r="575" spans="1:14" ht="14.45" x14ac:dyDescent="0.25">
      <c r="A575">
        <f>SampleList[[#This Row],[Experiment ID]]</f>
        <v>0</v>
      </c>
      <c r="B575">
        <f>SampleList[[#This Row],[Sample Description]]</f>
        <v>0</v>
      </c>
      <c r="C575" s="1">
        <f>SampleList[[#This Row],[Date Sampled]]</f>
        <v>0</v>
      </c>
      <c r="D575">
        <f>SampleList[[#This Row],[Duration (Days)]]</f>
        <v>0</v>
      </c>
      <c r="E575">
        <f>NMRResults[[#This Row],[Ammonium Concentration (mM)]]</f>
        <v>0</v>
      </c>
      <c r="F575" t="str">
        <f>GCResults[[#This Row],[H2 (ppm)]]</f>
        <v/>
      </c>
      <c r="G575">
        <f>GCResults[[#This Row],[Total Gas Volume (mL), gas cylinder = 3785mL]]</f>
        <v>0</v>
      </c>
      <c r="H575">
        <f>GCResults[[#This Row],[Pressure on Sampling (PSI), 145PSI=1MPa]]</f>
        <v>3552.5</v>
      </c>
      <c r="I575">
        <f>pHCondMod[[#This Row],[Sample pH]]</f>
        <v>0</v>
      </c>
      <c r="J575">
        <f>pHCondMod[[#This Row],[Sample Conductivity (mS/cm)]]</f>
        <v>0</v>
      </c>
      <c r="K575">
        <f>pHCondMod[[#This Row],[Modification Description]]</f>
        <v>0</v>
      </c>
      <c r="L575" s="1">
        <f>NMRResults[[#This Row],[Date Run]]</f>
        <v>0</v>
      </c>
      <c r="M575" s="1">
        <f>ICPList[[#This Row],[Date Run]]</f>
        <v>0</v>
      </c>
      <c r="N575" s="1">
        <f>GCResults[[#This Row],[Date Run ]]</f>
        <v>0</v>
      </c>
    </row>
    <row r="576" spans="1:14" ht="14.45" x14ac:dyDescent="0.25">
      <c r="A576">
        <f>SampleList[[#This Row],[Experiment ID]]</f>
        <v>0</v>
      </c>
      <c r="B576">
        <f>SampleList[[#This Row],[Sample Description]]</f>
        <v>0</v>
      </c>
      <c r="C576" s="1">
        <f>SampleList[[#This Row],[Date Sampled]]</f>
        <v>0</v>
      </c>
      <c r="D576">
        <f>SampleList[[#This Row],[Duration (Days)]]</f>
        <v>0</v>
      </c>
      <c r="E576">
        <f>NMRResults[[#This Row],[Ammonium Concentration (mM)]]</f>
        <v>0</v>
      </c>
      <c r="F576" t="str">
        <f>GCResults[[#This Row],[H2 (ppm)]]</f>
        <v/>
      </c>
      <c r="G576">
        <f>GCResults[[#This Row],[Total Gas Volume (mL), gas cylinder = 3785mL]]</f>
        <v>0</v>
      </c>
      <c r="H576">
        <f>GCResults[[#This Row],[Pressure on Sampling (PSI), 145PSI=1MPa]]</f>
        <v>3552.5</v>
      </c>
      <c r="I576">
        <f>pHCondMod[[#This Row],[Sample pH]]</f>
        <v>0</v>
      </c>
      <c r="J576">
        <f>pHCondMod[[#This Row],[Sample Conductivity (mS/cm)]]</f>
        <v>0</v>
      </c>
      <c r="K576">
        <f>pHCondMod[[#This Row],[Modification Description]]</f>
        <v>0</v>
      </c>
      <c r="L576" s="1">
        <f>NMRResults[[#This Row],[Date Run]]</f>
        <v>0</v>
      </c>
      <c r="M576" s="1">
        <f>ICPList[[#This Row],[Date Run]]</f>
        <v>0</v>
      </c>
      <c r="N576" s="1">
        <f>GCResults[[#This Row],[Date Run ]]</f>
        <v>0</v>
      </c>
    </row>
    <row r="577" spans="1:14" ht="14.45" x14ac:dyDescent="0.25">
      <c r="A577">
        <f>SampleList[[#This Row],[Experiment ID]]</f>
        <v>0</v>
      </c>
      <c r="B577">
        <f>SampleList[[#This Row],[Sample Description]]</f>
        <v>0</v>
      </c>
      <c r="C577" s="1">
        <f>SampleList[[#This Row],[Date Sampled]]</f>
        <v>0</v>
      </c>
      <c r="D577">
        <f>SampleList[[#This Row],[Duration (Days)]]</f>
        <v>0</v>
      </c>
      <c r="E577">
        <f>NMRResults[[#This Row],[Ammonium Concentration (mM)]]</f>
        <v>0</v>
      </c>
      <c r="F577" t="str">
        <f>GCResults[[#This Row],[H2 (ppm)]]</f>
        <v/>
      </c>
      <c r="G577">
        <f>GCResults[[#This Row],[Total Gas Volume (mL), gas cylinder = 3785mL]]</f>
        <v>0</v>
      </c>
      <c r="H577">
        <f>GCResults[[#This Row],[Pressure on Sampling (PSI), 145PSI=1MPa]]</f>
        <v>3552.5</v>
      </c>
      <c r="I577">
        <f>pHCondMod[[#This Row],[Sample pH]]</f>
        <v>0</v>
      </c>
      <c r="J577">
        <f>pHCondMod[[#This Row],[Sample Conductivity (mS/cm)]]</f>
        <v>0</v>
      </c>
      <c r="K577">
        <f>pHCondMod[[#This Row],[Modification Description]]</f>
        <v>0</v>
      </c>
      <c r="L577" s="1">
        <f>NMRResults[[#This Row],[Date Run]]</f>
        <v>0</v>
      </c>
      <c r="M577" s="1">
        <f>ICPList[[#This Row],[Date Run]]</f>
        <v>0</v>
      </c>
      <c r="N577" s="1">
        <f>GCResults[[#This Row],[Date Run ]]</f>
        <v>0</v>
      </c>
    </row>
    <row r="578" spans="1:14" ht="14.45" x14ac:dyDescent="0.25">
      <c r="A578">
        <f>SampleList[[#This Row],[Experiment ID]]</f>
        <v>0</v>
      </c>
      <c r="B578">
        <f>SampleList[[#This Row],[Sample Description]]</f>
        <v>0</v>
      </c>
      <c r="C578" s="1">
        <f>SampleList[[#This Row],[Date Sampled]]</f>
        <v>0</v>
      </c>
      <c r="D578">
        <f>SampleList[[#This Row],[Duration (Days)]]</f>
        <v>0</v>
      </c>
      <c r="E578">
        <f>NMRResults[[#This Row],[Ammonium Concentration (mM)]]</f>
        <v>0</v>
      </c>
      <c r="F578" t="str">
        <f>GCResults[[#This Row],[H2 (ppm)]]</f>
        <v/>
      </c>
      <c r="G578">
        <f>GCResults[[#This Row],[Total Gas Volume (mL), gas cylinder = 3785mL]]</f>
        <v>0</v>
      </c>
      <c r="H578">
        <f>GCResults[[#This Row],[Pressure on Sampling (PSI), 145PSI=1MPa]]</f>
        <v>3552.5</v>
      </c>
      <c r="I578">
        <f>pHCondMod[[#This Row],[Sample pH]]</f>
        <v>0</v>
      </c>
      <c r="J578">
        <f>pHCondMod[[#This Row],[Sample Conductivity (mS/cm)]]</f>
        <v>0</v>
      </c>
      <c r="K578">
        <f>pHCondMod[[#This Row],[Modification Description]]</f>
        <v>0</v>
      </c>
      <c r="L578" s="1">
        <f>NMRResults[[#This Row],[Date Run]]</f>
        <v>0</v>
      </c>
      <c r="M578" s="1">
        <f>ICPList[[#This Row],[Date Run]]</f>
        <v>0</v>
      </c>
      <c r="N578" s="1">
        <f>GCResults[[#This Row],[Date Run ]]</f>
        <v>0</v>
      </c>
    </row>
    <row r="579" spans="1:14" ht="14.45" x14ac:dyDescent="0.25">
      <c r="A579">
        <f>SampleList[[#This Row],[Experiment ID]]</f>
        <v>0</v>
      </c>
      <c r="B579">
        <f>SampleList[[#This Row],[Sample Description]]</f>
        <v>0</v>
      </c>
      <c r="C579" s="1">
        <f>SampleList[[#This Row],[Date Sampled]]</f>
        <v>0</v>
      </c>
      <c r="D579">
        <f>SampleList[[#This Row],[Duration (Days)]]</f>
        <v>0</v>
      </c>
      <c r="E579">
        <f>NMRResults[[#This Row],[Ammonium Concentration (mM)]]</f>
        <v>0</v>
      </c>
      <c r="F579" t="str">
        <f>GCResults[[#This Row],[H2 (ppm)]]</f>
        <v/>
      </c>
      <c r="G579">
        <f>GCResults[[#This Row],[Total Gas Volume (mL), gas cylinder = 3785mL]]</f>
        <v>0</v>
      </c>
      <c r="H579">
        <f>GCResults[[#This Row],[Pressure on Sampling (PSI), 145PSI=1MPa]]</f>
        <v>3552.5</v>
      </c>
      <c r="I579">
        <f>pHCondMod[[#This Row],[Sample pH]]</f>
        <v>0</v>
      </c>
      <c r="J579">
        <f>pHCondMod[[#This Row],[Sample Conductivity (mS/cm)]]</f>
        <v>0</v>
      </c>
      <c r="K579">
        <f>pHCondMod[[#This Row],[Modification Description]]</f>
        <v>0</v>
      </c>
      <c r="L579" s="1">
        <f>NMRResults[[#This Row],[Date Run]]</f>
        <v>0</v>
      </c>
      <c r="M579" s="1">
        <f>ICPList[[#This Row],[Date Run]]</f>
        <v>0</v>
      </c>
      <c r="N579" s="1">
        <f>GCResults[[#This Row],[Date Run ]]</f>
        <v>0</v>
      </c>
    </row>
    <row r="580" spans="1:14" ht="14.45" x14ac:dyDescent="0.25">
      <c r="A580">
        <f>SampleList[[#This Row],[Experiment ID]]</f>
        <v>0</v>
      </c>
      <c r="B580">
        <f>SampleList[[#This Row],[Sample Description]]</f>
        <v>0</v>
      </c>
      <c r="C580" s="1">
        <f>SampleList[[#This Row],[Date Sampled]]</f>
        <v>0</v>
      </c>
      <c r="D580">
        <f>SampleList[[#This Row],[Duration (Days)]]</f>
        <v>0</v>
      </c>
      <c r="E580">
        <f>NMRResults[[#This Row],[Ammonium Concentration (mM)]]</f>
        <v>0</v>
      </c>
      <c r="F580" t="str">
        <f>GCResults[[#This Row],[H2 (ppm)]]</f>
        <v/>
      </c>
      <c r="G580">
        <f>GCResults[[#This Row],[Total Gas Volume (mL), gas cylinder = 3785mL]]</f>
        <v>0</v>
      </c>
      <c r="H580">
        <f>GCResults[[#This Row],[Pressure on Sampling (PSI), 145PSI=1MPa]]</f>
        <v>3552.5</v>
      </c>
      <c r="I580">
        <f>pHCondMod[[#This Row],[Sample pH]]</f>
        <v>0</v>
      </c>
      <c r="J580">
        <f>pHCondMod[[#This Row],[Sample Conductivity (mS/cm)]]</f>
        <v>0</v>
      </c>
      <c r="K580">
        <f>pHCondMod[[#This Row],[Modification Description]]</f>
        <v>0</v>
      </c>
      <c r="L580" s="1">
        <f>NMRResults[[#This Row],[Date Run]]</f>
        <v>0</v>
      </c>
      <c r="M580" s="1">
        <f>ICPList[[#This Row],[Date Run]]</f>
        <v>0</v>
      </c>
      <c r="N580" s="1">
        <f>GCResults[[#This Row],[Date Run ]]</f>
        <v>0</v>
      </c>
    </row>
    <row r="581" spans="1:14" ht="14.45" x14ac:dyDescent="0.25">
      <c r="A581">
        <f>SampleList[[#This Row],[Experiment ID]]</f>
        <v>0</v>
      </c>
      <c r="B581">
        <f>SampleList[[#This Row],[Sample Description]]</f>
        <v>0</v>
      </c>
      <c r="C581" s="1">
        <f>SampleList[[#This Row],[Date Sampled]]</f>
        <v>0</v>
      </c>
      <c r="D581">
        <f>SampleList[[#This Row],[Duration (Days)]]</f>
        <v>0</v>
      </c>
      <c r="E581">
        <f>NMRResults[[#This Row],[Ammonium Concentration (mM)]]</f>
        <v>0</v>
      </c>
      <c r="F581" t="str">
        <f>GCResults[[#This Row],[H2 (ppm)]]</f>
        <v/>
      </c>
      <c r="G581">
        <f>GCResults[[#This Row],[Total Gas Volume (mL), gas cylinder = 3785mL]]</f>
        <v>0</v>
      </c>
      <c r="H581">
        <f>GCResults[[#This Row],[Pressure on Sampling (PSI), 145PSI=1MPa]]</f>
        <v>3552.5</v>
      </c>
      <c r="I581">
        <f>pHCondMod[[#This Row],[Sample pH]]</f>
        <v>0</v>
      </c>
      <c r="J581">
        <f>pHCondMod[[#This Row],[Sample Conductivity (mS/cm)]]</f>
        <v>0</v>
      </c>
      <c r="K581">
        <f>pHCondMod[[#This Row],[Modification Description]]</f>
        <v>0</v>
      </c>
      <c r="L581" s="1">
        <f>NMRResults[[#This Row],[Date Run]]</f>
        <v>0</v>
      </c>
      <c r="M581" s="1">
        <f>ICPList[[#This Row],[Date Run]]</f>
        <v>0</v>
      </c>
      <c r="N581" s="1">
        <f>GCResults[[#This Row],[Date Run ]]</f>
        <v>0</v>
      </c>
    </row>
    <row r="582" spans="1:14" ht="14.45" x14ac:dyDescent="0.25">
      <c r="A582">
        <f>SampleList[[#This Row],[Experiment ID]]</f>
        <v>0</v>
      </c>
      <c r="B582">
        <f>SampleList[[#This Row],[Sample Description]]</f>
        <v>0</v>
      </c>
      <c r="C582" s="1">
        <f>SampleList[[#This Row],[Date Sampled]]</f>
        <v>0</v>
      </c>
      <c r="D582">
        <f>SampleList[[#This Row],[Duration (Days)]]</f>
        <v>0</v>
      </c>
      <c r="E582">
        <f>NMRResults[[#This Row],[Ammonium Concentration (mM)]]</f>
        <v>0</v>
      </c>
      <c r="F582" t="str">
        <f>GCResults[[#This Row],[H2 (ppm)]]</f>
        <v/>
      </c>
      <c r="G582">
        <f>GCResults[[#This Row],[Total Gas Volume (mL), gas cylinder = 3785mL]]</f>
        <v>0</v>
      </c>
      <c r="H582">
        <f>GCResults[[#This Row],[Pressure on Sampling (PSI), 145PSI=1MPa]]</f>
        <v>3552.5</v>
      </c>
      <c r="I582">
        <f>pHCondMod[[#This Row],[Sample pH]]</f>
        <v>0</v>
      </c>
      <c r="J582">
        <f>pHCondMod[[#This Row],[Sample Conductivity (mS/cm)]]</f>
        <v>0</v>
      </c>
      <c r="K582">
        <f>pHCondMod[[#This Row],[Modification Description]]</f>
        <v>0</v>
      </c>
      <c r="L582" s="1">
        <f>NMRResults[[#This Row],[Date Run]]</f>
        <v>0</v>
      </c>
      <c r="M582" s="1">
        <f>ICPList[[#This Row],[Date Run]]</f>
        <v>0</v>
      </c>
      <c r="N582" s="1">
        <f>GCResults[[#This Row],[Date Run ]]</f>
        <v>0</v>
      </c>
    </row>
    <row r="583" spans="1:14" ht="14.45" x14ac:dyDescent="0.25">
      <c r="A583">
        <f>SampleList[[#This Row],[Experiment ID]]</f>
        <v>0</v>
      </c>
      <c r="B583">
        <f>SampleList[[#This Row],[Sample Description]]</f>
        <v>0</v>
      </c>
      <c r="C583" s="1">
        <f>SampleList[[#This Row],[Date Sampled]]</f>
        <v>0</v>
      </c>
      <c r="D583">
        <f>SampleList[[#This Row],[Duration (Days)]]</f>
        <v>0</v>
      </c>
      <c r="E583">
        <f>NMRResults[[#This Row],[Ammonium Concentration (mM)]]</f>
        <v>0</v>
      </c>
      <c r="F583" t="str">
        <f>GCResults[[#This Row],[H2 (ppm)]]</f>
        <v/>
      </c>
      <c r="G583">
        <f>GCResults[[#This Row],[Total Gas Volume (mL), gas cylinder = 3785mL]]</f>
        <v>0</v>
      </c>
      <c r="H583">
        <f>GCResults[[#This Row],[Pressure on Sampling (PSI), 145PSI=1MPa]]</f>
        <v>3552.5</v>
      </c>
      <c r="I583">
        <f>pHCondMod[[#This Row],[Sample pH]]</f>
        <v>0</v>
      </c>
      <c r="J583">
        <f>pHCondMod[[#This Row],[Sample Conductivity (mS/cm)]]</f>
        <v>0</v>
      </c>
      <c r="K583">
        <f>pHCondMod[[#This Row],[Modification Description]]</f>
        <v>0</v>
      </c>
      <c r="L583" s="1">
        <f>NMRResults[[#This Row],[Date Run]]</f>
        <v>0</v>
      </c>
      <c r="M583" s="1">
        <f>ICPList[[#This Row],[Date Run]]</f>
        <v>0</v>
      </c>
      <c r="N583" s="1">
        <f>GCResults[[#This Row],[Date Run ]]</f>
        <v>0</v>
      </c>
    </row>
    <row r="584" spans="1:14" ht="14.45" x14ac:dyDescent="0.25">
      <c r="A584">
        <f>SampleList[[#This Row],[Experiment ID]]</f>
        <v>0</v>
      </c>
      <c r="B584">
        <f>SampleList[[#This Row],[Sample Description]]</f>
        <v>0</v>
      </c>
      <c r="C584" s="1">
        <f>SampleList[[#This Row],[Date Sampled]]</f>
        <v>0</v>
      </c>
      <c r="D584">
        <f>SampleList[[#This Row],[Duration (Days)]]</f>
        <v>0</v>
      </c>
      <c r="E584">
        <f>NMRResults[[#This Row],[Ammonium Concentration (mM)]]</f>
        <v>0</v>
      </c>
      <c r="F584" t="str">
        <f>GCResults[[#This Row],[H2 (ppm)]]</f>
        <v/>
      </c>
      <c r="G584">
        <f>GCResults[[#This Row],[Total Gas Volume (mL), gas cylinder = 3785mL]]</f>
        <v>0</v>
      </c>
      <c r="H584">
        <f>GCResults[[#This Row],[Pressure on Sampling (PSI), 145PSI=1MPa]]</f>
        <v>3552.5</v>
      </c>
      <c r="I584">
        <f>pHCondMod[[#This Row],[Sample pH]]</f>
        <v>0</v>
      </c>
      <c r="J584">
        <f>pHCondMod[[#This Row],[Sample Conductivity (mS/cm)]]</f>
        <v>0</v>
      </c>
      <c r="K584">
        <f>pHCondMod[[#This Row],[Modification Description]]</f>
        <v>0</v>
      </c>
      <c r="L584" s="1">
        <f>NMRResults[[#This Row],[Date Run]]</f>
        <v>0</v>
      </c>
      <c r="M584" s="1">
        <f>ICPList[[#This Row],[Date Run]]</f>
        <v>0</v>
      </c>
      <c r="N584" s="1">
        <f>GCResults[[#This Row],[Date Run ]]</f>
        <v>0</v>
      </c>
    </row>
    <row r="585" spans="1:14" ht="14.45" x14ac:dyDescent="0.25">
      <c r="A585">
        <f>SampleList[[#This Row],[Experiment ID]]</f>
        <v>0</v>
      </c>
      <c r="B585">
        <f>SampleList[[#This Row],[Sample Description]]</f>
        <v>0</v>
      </c>
      <c r="C585" s="1">
        <f>SampleList[[#This Row],[Date Sampled]]</f>
        <v>0</v>
      </c>
      <c r="D585">
        <f>SampleList[[#This Row],[Duration (Days)]]</f>
        <v>0</v>
      </c>
      <c r="E585">
        <f>NMRResults[[#This Row],[Ammonium Concentration (mM)]]</f>
        <v>0</v>
      </c>
      <c r="F585" t="str">
        <f>GCResults[[#This Row],[H2 (ppm)]]</f>
        <v/>
      </c>
      <c r="G585">
        <f>GCResults[[#This Row],[Total Gas Volume (mL), gas cylinder = 3785mL]]</f>
        <v>0</v>
      </c>
      <c r="H585">
        <f>GCResults[[#This Row],[Pressure on Sampling (PSI), 145PSI=1MPa]]</f>
        <v>3552.5</v>
      </c>
      <c r="I585">
        <f>pHCondMod[[#This Row],[Sample pH]]</f>
        <v>0</v>
      </c>
      <c r="J585">
        <f>pHCondMod[[#This Row],[Sample Conductivity (mS/cm)]]</f>
        <v>0</v>
      </c>
      <c r="K585">
        <f>pHCondMod[[#This Row],[Modification Description]]</f>
        <v>0</v>
      </c>
      <c r="L585" s="1">
        <f>NMRResults[[#This Row],[Date Run]]</f>
        <v>0</v>
      </c>
      <c r="M585" s="1">
        <f>ICPList[[#This Row],[Date Run]]</f>
        <v>0</v>
      </c>
      <c r="N585" s="1">
        <f>GCResults[[#This Row],[Date Run ]]</f>
        <v>0</v>
      </c>
    </row>
    <row r="586" spans="1:14" ht="14.45" x14ac:dyDescent="0.25">
      <c r="A586">
        <f>SampleList[[#This Row],[Experiment ID]]</f>
        <v>0</v>
      </c>
      <c r="B586">
        <f>SampleList[[#This Row],[Sample Description]]</f>
        <v>0</v>
      </c>
      <c r="C586" s="1">
        <f>SampleList[[#This Row],[Date Sampled]]</f>
        <v>0</v>
      </c>
      <c r="D586">
        <f>SampleList[[#This Row],[Duration (Days)]]</f>
        <v>0</v>
      </c>
      <c r="E586">
        <f>NMRResults[[#This Row],[Ammonium Concentration (mM)]]</f>
        <v>0</v>
      </c>
      <c r="F586" t="str">
        <f>GCResults[[#This Row],[H2 (ppm)]]</f>
        <v/>
      </c>
      <c r="G586">
        <f>GCResults[[#This Row],[Total Gas Volume (mL), gas cylinder = 3785mL]]</f>
        <v>0</v>
      </c>
      <c r="H586">
        <f>GCResults[[#This Row],[Pressure on Sampling (PSI), 145PSI=1MPa]]</f>
        <v>3552.5</v>
      </c>
      <c r="I586">
        <f>pHCondMod[[#This Row],[Sample pH]]</f>
        <v>0</v>
      </c>
      <c r="J586">
        <f>pHCondMod[[#This Row],[Sample Conductivity (mS/cm)]]</f>
        <v>0</v>
      </c>
      <c r="K586">
        <f>pHCondMod[[#This Row],[Modification Description]]</f>
        <v>0</v>
      </c>
      <c r="L586" s="1">
        <f>NMRResults[[#This Row],[Date Run]]</f>
        <v>0</v>
      </c>
      <c r="M586" s="1">
        <f>ICPList[[#This Row],[Date Run]]</f>
        <v>0</v>
      </c>
      <c r="N586" s="1">
        <f>GCResults[[#This Row],[Date Run ]]</f>
        <v>0</v>
      </c>
    </row>
    <row r="587" spans="1:14" ht="14.45" x14ac:dyDescent="0.25">
      <c r="A587">
        <f>SampleList[[#This Row],[Experiment ID]]</f>
        <v>0</v>
      </c>
      <c r="B587">
        <f>SampleList[[#This Row],[Sample Description]]</f>
        <v>0</v>
      </c>
      <c r="C587" s="1">
        <f>SampleList[[#This Row],[Date Sampled]]</f>
        <v>0</v>
      </c>
      <c r="D587">
        <f>SampleList[[#This Row],[Duration (Days)]]</f>
        <v>0</v>
      </c>
      <c r="E587">
        <f>NMRResults[[#This Row],[Ammonium Concentration (mM)]]</f>
        <v>0</v>
      </c>
      <c r="F587" t="str">
        <f>GCResults[[#This Row],[H2 (ppm)]]</f>
        <v/>
      </c>
      <c r="G587">
        <f>GCResults[[#This Row],[Total Gas Volume (mL), gas cylinder = 3785mL]]</f>
        <v>0</v>
      </c>
      <c r="H587">
        <f>GCResults[[#This Row],[Pressure on Sampling (PSI), 145PSI=1MPa]]</f>
        <v>3552.5</v>
      </c>
      <c r="I587">
        <f>pHCondMod[[#This Row],[Sample pH]]</f>
        <v>0</v>
      </c>
      <c r="J587">
        <f>pHCondMod[[#This Row],[Sample Conductivity (mS/cm)]]</f>
        <v>0</v>
      </c>
      <c r="K587">
        <f>pHCondMod[[#This Row],[Modification Description]]</f>
        <v>0</v>
      </c>
      <c r="L587" s="1">
        <f>NMRResults[[#This Row],[Date Run]]</f>
        <v>0</v>
      </c>
      <c r="M587" s="1">
        <f>ICPList[[#This Row],[Date Run]]</f>
        <v>0</v>
      </c>
      <c r="N587" s="1">
        <f>GCResults[[#This Row],[Date Run ]]</f>
        <v>0</v>
      </c>
    </row>
    <row r="588" spans="1:14" ht="14.45" x14ac:dyDescent="0.25">
      <c r="A588">
        <f>SampleList[[#This Row],[Experiment ID]]</f>
        <v>0</v>
      </c>
      <c r="B588">
        <f>SampleList[[#This Row],[Sample Description]]</f>
        <v>0</v>
      </c>
      <c r="C588" s="1">
        <f>SampleList[[#This Row],[Date Sampled]]</f>
        <v>0</v>
      </c>
      <c r="D588">
        <f>SampleList[[#This Row],[Duration (Days)]]</f>
        <v>0</v>
      </c>
      <c r="E588">
        <f>NMRResults[[#This Row],[Ammonium Concentration (mM)]]</f>
        <v>0</v>
      </c>
      <c r="F588" t="str">
        <f>GCResults[[#This Row],[H2 (ppm)]]</f>
        <v/>
      </c>
      <c r="G588">
        <f>GCResults[[#This Row],[Total Gas Volume (mL), gas cylinder = 3785mL]]</f>
        <v>0</v>
      </c>
      <c r="H588">
        <f>GCResults[[#This Row],[Pressure on Sampling (PSI), 145PSI=1MPa]]</f>
        <v>3552.5</v>
      </c>
      <c r="I588">
        <f>pHCondMod[[#This Row],[Sample pH]]</f>
        <v>0</v>
      </c>
      <c r="J588">
        <f>pHCondMod[[#This Row],[Sample Conductivity (mS/cm)]]</f>
        <v>0</v>
      </c>
      <c r="K588">
        <f>pHCondMod[[#This Row],[Modification Description]]</f>
        <v>0</v>
      </c>
      <c r="L588" s="1">
        <f>NMRResults[[#This Row],[Date Run]]</f>
        <v>0</v>
      </c>
      <c r="M588" s="1">
        <f>ICPList[[#This Row],[Date Run]]</f>
        <v>0</v>
      </c>
      <c r="N588" s="1">
        <f>GCResults[[#This Row],[Date Run ]]</f>
        <v>0</v>
      </c>
    </row>
    <row r="589" spans="1:14" ht="14.45" x14ac:dyDescent="0.25">
      <c r="A589">
        <f>SampleList[[#This Row],[Experiment ID]]</f>
        <v>0</v>
      </c>
      <c r="B589">
        <f>SampleList[[#This Row],[Sample Description]]</f>
        <v>0</v>
      </c>
      <c r="C589" s="1">
        <f>SampleList[[#This Row],[Date Sampled]]</f>
        <v>0</v>
      </c>
      <c r="D589">
        <f>SampleList[[#This Row],[Duration (Days)]]</f>
        <v>0</v>
      </c>
      <c r="E589">
        <f>NMRResults[[#This Row],[Ammonium Concentration (mM)]]</f>
        <v>0</v>
      </c>
      <c r="F589" t="str">
        <f>GCResults[[#This Row],[H2 (ppm)]]</f>
        <v/>
      </c>
      <c r="G589">
        <f>GCResults[[#This Row],[Total Gas Volume (mL), gas cylinder = 3785mL]]</f>
        <v>0</v>
      </c>
      <c r="H589">
        <f>GCResults[[#This Row],[Pressure on Sampling (PSI), 145PSI=1MPa]]</f>
        <v>3552.5</v>
      </c>
      <c r="I589">
        <f>pHCondMod[[#This Row],[Sample pH]]</f>
        <v>0</v>
      </c>
      <c r="J589">
        <f>pHCondMod[[#This Row],[Sample Conductivity (mS/cm)]]</f>
        <v>0</v>
      </c>
      <c r="K589">
        <f>pHCondMod[[#This Row],[Modification Description]]</f>
        <v>0</v>
      </c>
      <c r="L589" s="1">
        <f>NMRResults[[#This Row],[Date Run]]</f>
        <v>0</v>
      </c>
      <c r="M589" s="1">
        <f>ICPList[[#This Row],[Date Run]]</f>
        <v>0</v>
      </c>
      <c r="N589" s="1">
        <f>GCResults[[#This Row],[Date Run ]]</f>
        <v>0</v>
      </c>
    </row>
    <row r="590" spans="1:14" ht="14.45" x14ac:dyDescent="0.25">
      <c r="A590">
        <f>SampleList[[#This Row],[Experiment ID]]</f>
        <v>0</v>
      </c>
      <c r="B590">
        <f>SampleList[[#This Row],[Sample Description]]</f>
        <v>0</v>
      </c>
      <c r="C590" s="1">
        <f>SampleList[[#This Row],[Date Sampled]]</f>
        <v>0</v>
      </c>
      <c r="D590">
        <f>SampleList[[#This Row],[Duration (Days)]]</f>
        <v>0</v>
      </c>
      <c r="E590">
        <f>NMRResults[[#This Row],[Ammonium Concentration (mM)]]</f>
        <v>0</v>
      </c>
      <c r="F590" t="str">
        <f>GCResults[[#This Row],[H2 (ppm)]]</f>
        <v/>
      </c>
      <c r="G590">
        <f>GCResults[[#This Row],[Total Gas Volume (mL), gas cylinder = 3785mL]]</f>
        <v>0</v>
      </c>
      <c r="H590">
        <f>GCResults[[#This Row],[Pressure on Sampling (PSI), 145PSI=1MPa]]</f>
        <v>3552.5</v>
      </c>
      <c r="I590">
        <f>pHCondMod[[#This Row],[Sample pH]]</f>
        <v>0</v>
      </c>
      <c r="J590">
        <f>pHCondMod[[#This Row],[Sample Conductivity (mS/cm)]]</f>
        <v>0</v>
      </c>
      <c r="K590">
        <f>pHCondMod[[#This Row],[Modification Description]]</f>
        <v>0</v>
      </c>
      <c r="L590" s="1">
        <f>NMRResults[[#This Row],[Date Run]]</f>
        <v>0</v>
      </c>
      <c r="M590" s="1">
        <f>ICPList[[#This Row],[Date Run]]</f>
        <v>0</v>
      </c>
      <c r="N590" s="1">
        <f>GCResults[[#This Row],[Date Run ]]</f>
        <v>0</v>
      </c>
    </row>
    <row r="591" spans="1:14" ht="14.45" x14ac:dyDescent="0.25">
      <c r="A591">
        <f>SampleList[[#This Row],[Experiment ID]]</f>
        <v>0</v>
      </c>
      <c r="B591">
        <f>SampleList[[#This Row],[Sample Description]]</f>
        <v>0</v>
      </c>
      <c r="C591" s="1">
        <f>SampleList[[#This Row],[Date Sampled]]</f>
        <v>0</v>
      </c>
      <c r="D591">
        <f>SampleList[[#This Row],[Duration (Days)]]</f>
        <v>0</v>
      </c>
      <c r="E591">
        <f>NMRResults[[#This Row],[Ammonium Concentration (mM)]]</f>
        <v>0</v>
      </c>
      <c r="F591" t="str">
        <f>GCResults[[#This Row],[H2 (ppm)]]</f>
        <v/>
      </c>
      <c r="G591">
        <f>GCResults[[#This Row],[Total Gas Volume (mL), gas cylinder = 3785mL]]</f>
        <v>0</v>
      </c>
      <c r="H591">
        <f>GCResults[[#This Row],[Pressure on Sampling (PSI), 145PSI=1MPa]]</f>
        <v>3552.5</v>
      </c>
      <c r="I591">
        <f>pHCondMod[[#This Row],[Sample pH]]</f>
        <v>0</v>
      </c>
      <c r="J591">
        <f>pHCondMod[[#This Row],[Sample Conductivity (mS/cm)]]</f>
        <v>0</v>
      </c>
      <c r="K591">
        <f>pHCondMod[[#This Row],[Modification Description]]</f>
        <v>0</v>
      </c>
      <c r="L591" s="1">
        <f>NMRResults[[#This Row],[Date Run]]</f>
        <v>0</v>
      </c>
      <c r="M591" s="1">
        <f>ICPList[[#This Row],[Date Run]]</f>
        <v>0</v>
      </c>
      <c r="N591" s="1">
        <f>GCResults[[#This Row],[Date Run ]]</f>
        <v>0</v>
      </c>
    </row>
    <row r="592" spans="1:14" ht="14.45" x14ac:dyDescent="0.25">
      <c r="A592">
        <f>SampleList[[#This Row],[Experiment ID]]</f>
        <v>0</v>
      </c>
      <c r="B592">
        <f>SampleList[[#This Row],[Sample Description]]</f>
        <v>0</v>
      </c>
      <c r="C592" s="1">
        <f>SampleList[[#This Row],[Date Sampled]]</f>
        <v>0</v>
      </c>
      <c r="D592">
        <f>SampleList[[#This Row],[Duration (Days)]]</f>
        <v>0</v>
      </c>
      <c r="E592">
        <f>NMRResults[[#This Row],[Ammonium Concentration (mM)]]</f>
        <v>0</v>
      </c>
      <c r="F592" t="str">
        <f>GCResults[[#This Row],[H2 (ppm)]]</f>
        <v/>
      </c>
      <c r="G592">
        <f>GCResults[[#This Row],[Total Gas Volume (mL), gas cylinder = 3785mL]]</f>
        <v>0</v>
      </c>
      <c r="H592">
        <f>GCResults[[#This Row],[Pressure on Sampling (PSI), 145PSI=1MPa]]</f>
        <v>3552.5</v>
      </c>
      <c r="I592">
        <f>pHCondMod[[#This Row],[Sample pH]]</f>
        <v>0</v>
      </c>
      <c r="J592">
        <f>pHCondMod[[#This Row],[Sample Conductivity (mS/cm)]]</f>
        <v>0</v>
      </c>
      <c r="K592">
        <f>pHCondMod[[#This Row],[Modification Description]]</f>
        <v>0</v>
      </c>
      <c r="L592" s="1">
        <f>NMRResults[[#This Row],[Date Run]]</f>
        <v>0</v>
      </c>
      <c r="M592" s="1">
        <f>ICPList[[#This Row],[Date Run]]</f>
        <v>0</v>
      </c>
      <c r="N592" s="1">
        <f>GCResults[[#This Row],[Date Run ]]</f>
        <v>0</v>
      </c>
    </row>
    <row r="593" spans="1:14" ht="14.45" x14ac:dyDescent="0.25">
      <c r="A593">
        <f>SampleList[[#This Row],[Experiment ID]]</f>
        <v>0</v>
      </c>
      <c r="B593">
        <f>SampleList[[#This Row],[Sample Description]]</f>
        <v>0</v>
      </c>
      <c r="C593" s="1">
        <f>SampleList[[#This Row],[Date Sampled]]</f>
        <v>0</v>
      </c>
      <c r="D593">
        <f>SampleList[[#This Row],[Duration (Days)]]</f>
        <v>0</v>
      </c>
      <c r="E593">
        <f>NMRResults[[#This Row],[Ammonium Concentration (mM)]]</f>
        <v>0</v>
      </c>
      <c r="F593" t="str">
        <f>GCResults[[#This Row],[H2 (ppm)]]</f>
        <v/>
      </c>
      <c r="G593">
        <f>GCResults[[#This Row],[Total Gas Volume (mL), gas cylinder = 3785mL]]</f>
        <v>0</v>
      </c>
      <c r="H593">
        <f>GCResults[[#This Row],[Pressure on Sampling (PSI), 145PSI=1MPa]]</f>
        <v>3552.5</v>
      </c>
      <c r="I593">
        <f>pHCondMod[[#This Row],[Sample pH]]</f>
        <v>0</v>
      </c>
      <c r="J593">
        <f>pHCondMod[[#This Row],[Sample Conductivity (mS/cm)]]</f>
        <v>0</v>
      </c>
      <c r="K593">
        <f>pHCondMod[[#This Row],[Modification Description]]</f>
        <v>0</v>
      </c>
      <c r="L593" s="1">
        <f>NMRResults[[#This Row],[Date Run]]</f>
        <v>0</v>
      </c>
      <c r="M593" s="1">
        <f>ICPList[[#This Row],[Date Run]]</f>
        <v>0</v>
      </c>
      <c r="N593" s="1">
        <f>GCResults[[#This Row],[Date Run ]]</f>
        <v>0</v>
      </c>
    </row>
    <row r="594" spans="1:14" ht="14.45" x14ac:dyDescent="0.25">
      <c r="A594">
        <f>SampleList[[#This Row],[Experiment ID]]</f>
        <v>0</v>
      </c>
      <c r="B594">
        <f>SampleList[[#This Row],[Sample Description]]</f>
        <v>0</v>
      </c>
      <c r="C594" s="1">
        <f>SampleList[[#This Row],[Date Sampled]]</f>
        <v>0</v>
      </c>
      <c r="D594">
        <f>SampleList[[#This Row],[Duration (Days)]]</f>
        <v>0</v>
      </c>
      <c r="E594">
        <f>NMRResults[[#This Row],[Ammonium Concentration (mM)]]</f>
        <v>0</v>
      </c>
      <c r="F594" t="str">
        <f>GCResults[[#This Row],[H2 (ppm)]]</f>
        <v/>
      </c>
      <c r="G594">
        <f>GCResults[[#This Row],[Total Gas Volume (mL), gas cylinder = 3785mL]]</f>
        <v>0</v>
      </c>
      <c r="H594">
        <f>GCResults[[#This Row],[Pressure on Sampling (PSI), 145PSI=1MPa]]</f>
        <v>3552.5</v>
      </c>
      <c r="I594">
        <f>pHCondMod[[#This Row],[Sample pH]]</f>
        <v>0</v>
      </c>
      <c r="J594">
        <f>pHCondMod[[#This Row],[Sample Conductivity (mS/cm)]]</f>
        <v>0</v>
      </c>
      <c r="K594">
        <f>pHCondMod[[#This Row],[Modification Description]]</f>
        <v>0</v>
      </c>
      <c r="L594" s="1">
        <f>NMRResults[[#This Row],[Date Run]]</f>
        <v>0</v>
      </c>
      <c r="M594" s="1">
        <f>ICPList[[#This Row],[Date Run]]</f>
        <v>0</v>
      </c>
      <c r="N594" s="1">
        <f>GCResults[[#This Row],[Date Run ]]</f>
        <v>0</v>
      </c>
    </row>
    <row r="595" spans="1:14" ht="14.45" x14ac:dyDescent="0.25">
      <c r="A595">
        <f>SampleList[[#This Row],[Experiment ID]]</f>
        <v>0</v>
      </c>
      <c r="B595">
        <f>SampleList[[#This Row],[Sample Description]]</f>
        <v>0</v>
      </c>
      <c r="C595" s="1">
        <f>SampleList[[#This Row],[Date Sampled]]</f>
        <v>0</v>
      </c>
      <c r="D595">
        <f>SampleList[[#This Row],[Duration (Days)]]</f>
        <v>0</v>
      </c>
      <c r="E595">
        <f>NMRResults[[#This Row],[Ammonium Concentration (mM)]]</f>
        <v>0</v>
      </c>
      <c r="F595" t="str">
        <f>GCResults[[#This Row],[H2 (ppm)]]</f>
        <v/>
      </c>
      <c r="G595">
        <f>GCResults[[#This Row],[Total Gas Volume (mL), gas cylinder = 3785mL]]</f>
        <v>0</v>
      </c>
      <c r="H595">
        <f>GCResults[[#This Row],[Pressure on Sampling (PSI), 145PSI=1MPa]]</f>
        <v>3552.5</v>
      </c>
      <c r="I595">
        <f>pHCondMod[[#This Row],[Sample pH]]</f>
        <v>0</v>
      </c>
      <c r="J595">
        <f>pHCondMod[[#This Row],[Sample Conductivity (mS/cm)]]</f>
        <v>0</v>
      </c>
      <c r="K595">
        <f>pHCondMod[[#This Row],[Modification Description]]</f>
        <v>0</v>
      </c>
      <c r="L595" s="1">
        <f>NMRResults[[#This Row],[Date Run]]</f>
        <v>0</v>
      </c>
      <c r="M595" s="1">
        <f>ICPList[[#This Row],[Date Run]]</f>
        <v>0</v>
      </c>
      <c r="N595" s="1">
        <f>GCResults[[#This Row],[Date Run ]]</f>
        <v>0</v>
      </c>
    </row>
    <row r="596" spans="1:14" ht="14.45" x14ac:dyDescent="0.25">
      <c r="A596">
        <f>SampleList[[#This Row],[Experiment ID]]</f>
        <v>0</v>
      </c>
      <c r="B596">
        <f>SampleList[[#This Row],[Sample Description]]</f>
        <v>0</v>
      </c>
      <c r="C596" s="1">
        <f>SampleList[[#This Row],[Date Sampled]]</f>
        <v>0</v>
      </c>
      <c r="D596">
        <f>SampleList[[#This Row],[Duration (Days)]]</f>
        <v>0</v>
      </c>
      <c r="E596">
        <f>NMRResults[[#This Row],[Ammonium Concentration (mM)]]</f>
        <v>0</v>
      </c>
      <c r="F596" t="str">
        <f>GCResults[[#This Row],[H2 (ppm)]]</f>
        <v/>
      </c>
      <c r="G596">
        <f>GCResults[[#This Row],[Total Gas Volume (mL), gas cylinder = 3785mL]]</f>
        <v>0</v>
      </c>
      <c r="H596">
        <f>GCResults[[#This Row],[Pressure on Sampling (PSI), 145PSI=1MPa]]</f>
        <v>3552.5</v>
      </c>
      <c r="I596">
        <f>pHCondMod[[#This Row],[Sample pH]]</f>
        <v>0</v>
      </c>
      <c r="J596">
        <f>pHCondMod[[#This Row],[Sample Conductivity (mS/cm)]]</f>
        <v>0</v>
      </c>
      <c r="K596">
        <f>pHCondMod[[#This Row],[Modification Description]]</f>
        <v>0</v>
      </c>
      <c r="L596" s="1">
        <f>NMRResults[[#This Row],[Date Run]]</f>
        <v>0</v>
      </c>
      <c r="M596" s="1">
        <f>ICPList[[#This Row],[Date Run]]</f>
        <v>0</v>
      </c>
      <c r="N596" s="1">
        <f>GCResults[[#This Row],[Date Run ]]</f>
        <v>0</v>
      </c>
    </row>
    <row r="597" spans="1:14" ht="14.45" x14ac:dyDescent="0.25">
      <c r="A597">
        <f>SampleList[[#This Row],[Experiment ID]]</f>
        <v>0</v>
      </c>
      <c r="B597">
        <f>SampleList[[#This Row],[Sample Description]]</f>
        <v>0</v>
      </c>
      <c r="C597" s="1">
        <f>SampleList[[#This Row],[Date Sampled]]</f>
        <v>0</v>
      </c>
      <c r="D597">
        <f>SampleList[[#This Row],[Duration (Days)]]</f>
        <v>0</v>
      </c>
      <c r="E597">
        <f>NMRResults[[#This Row],[Ammonium Concentration (mM)]]</f>
        <v>0</v>
      </c>
      <c r="F597" t="str">
        <f>GCResults[[#This Row],[H2 (ppm)]]</f>
        <v/>
      </c>
      <c r="G597">
        <f>GCResults[[#This Row],[Total Gas Volume (mL), gas cylinder = 3785mL]]</f>
        <v>0</v>
      </c>
      <c r="H597">
        <f>GCResults[[#This Row],[Pressure on Sampling (PSI), 145PSI=1MPa]]</f>
        <v>3552.5</v>
      </c>
      <c r="I597">
        <f>pHCondMod[[#This Row],[Sample pH]]</f>
        <v>0</v>
      </c>
      <c r="J597">
        <f>pHCondMod[[#This Row],[Sample Conductivity (mS/cm)]]</f>
        <v>0</v>
      </c>
      <c r="K597">
        <f>pHCondMod[[#This Row],[Modification Description]]</f>
        <v>0</v>
      </c>
      <c r="L597" s="1">
        <f>NMRResults[[#This Row],[Date Run]]</f>
        <v>0</v>
      </c>
      <c r="M597" s="1">
        <f>ICPList[[#This Row],[Date Run]]</f>
        <v>0</v>
      </c>
      <c r="N597" s="1">
        <f>GCResults[[#This Row],[Date Run ]]</f>
        <v>0</v>
      </c>
    </row>
    <row r="598" spans="1:14" ht="14.45" x14ac:dyDescent="0.25">
      <c r="A598">
        <f>SampleList[[#This Row],[Experiment ID]]</f>
        <v>0</v>
      </c>
      <c r="B598">
        <f>SampleList[[#This Row],[Sample Description]]</f>
        <v>0</v>
      </c>
      <c r="C598" s="1">
        <f>SampleList[[#This Row],[Date Sampled]]</f>
        <v>0</v>
      </c>
      <c r="D598">
        <f>SampleList[[#This Row],[Duration (Days)]]</f>
        <v>0</v>
      </c>
      <c r="E598">
        <f>NMRResults[[#This Row],[Ammonium Concentration (mM)]]</f>
        <v>0</v>
      </c>
      <c r="F598" t="str">
        <f>GCResults[[#This Row],[H2 (ppm)]]</f>
        <v/>
      </c>
      <c r="G598">
        <f>GCResults[[#This Row],[Total Gas Volume (mL), gas cylinder = 3785mL]]</f>
        <v>0</v>
      </c>
      <c r="H598">
        <f>GCResults[[#This Row],[Pressure on Sampling (PSI), 145PSI=1MPa]]</f>
        <v>3552.5</v>
      </c>
      <c r="I598">
        <f>pHCondMod[[#This Row],[Sample pH]]</f>
        <v>0</v>
      </c>
      <c r="J598">
        <f>pHCondMod[[#This Row],[Sample Conductivity (mS/cm)]]</f>
        <v>0</v>
      </c>
      <c r="K598">
        <f>pHCondMod[[#This Row],[Modification Description]]</f>
        <v>0</v>
      </c>
      <c r="L598" s="1">
        <f>NMRResults[[#This Row],[Date Run]]</f>
        <v>0</v>
      </c>
      <c r="M598" s="1">
        <f>ICPList[[#This Row],[Date Run]]</f>
        <v>0</v>
      </c>
      <c r="N598" s="1">
        <f>GCResults[[#This Row],[Date Run ]]</f>
        <v>0</v>
      </c>
    </row>
    <row r="599" spans="1:14" ht="14.45" x14ac:dyDescent="0.25">
      <c r="A599">
        <f>SampleList[[#This Row],[Experiment ID]]</f>
        <v>0</v>
      </c>
      <c r="B599">
        <f>SampleList[[#This Row],[Sample Description]]</f>
        <v>0</v>
      </c>
      <c r="C599" s="1">
        <f>SampleList[[#This Row],[Date Sampled]]</f>
        <v>0</v>
      </c>
      <c r="D599">
        <f>SampleList[[#This Row],[Duration (Days)]]</f>
        <v>0</v>
      </c>
      <c r="E599">
        <f>NMRResults[[#This Row],[Ammonium Concentration (mM)]]</f>
        <v>0</v>
      </c>
      <c r="F599" t="str">
        <f>GCResults[[#This Row],[H2 (ppm)]]</f>
        <v/>
      </c>
      <c r="G599">
        <f>GCResults[[#This Row],[Total Gas Volume (mL), gas cylinder = 3785mL]]</f>
        <v>0</v>
      </c>
      <c r="H599">
        <f>GCResults[[#This Row],[Pressure on Sampling (PSI), 145PSI=1MPa]]</f>
        <v>3552.5</v>
      </c>
      <c r="I599">
        <f>pHCondMod[[#This Row],[Sample pH]]</f>
        <v>0</v>
      </c>
      <c r="J599">
        <f>pHCondMod[[#This Row],[Sample Conductivity (mS/cm)]]</f>
        <v>0</v>
      </c>
      <c r="K599">
        <f>pHCondMod[[#This Row],[Modification Description]]</f>
        <v>0</v>
      </c>
      <c r="L599" s="1">
        <f>NMRResults[[#This Row],[Date Run]]</f>
        <v>0</v>
      </c>
      <c r="M599" s="1">
        <f>ICPList[[#This Row],[Date Run]]</f>
        <v>0</v>
      </c>
      <c r="N599" s="1">
        <f>GCResults[[#This Row],[Date Run ]]</f>
        <v>0</v>
      </c>
    </row>
    <row r="600" spans="1:14" ht="14.45" x14ac:dyDescent="0.25">
      <c r="A600">
        <f>SampleList[[#This Row],[Experiment ID]]</f>
        <v>0</v>
      </c>
      <c r="B600">
        <f>SampleList[[#This Row],[Sample Description]]</f>
        <v>0</v>
      </c>
      <c r="C600" s="1">
        <f>SampleList[[#This Row],[Date Sampled]]</f>
        <v>0</v>
      </c>
      <c r="D600">
        <f>SampleList[[#This Row],[Duration (Days)]]</f>
        <v>0</v>
      </c>
      <c r="E600">
        <f>NMRResults[[#This Row],[Ammonium Concentration (mM)]]</f>
        <v>0</v>
      </c>
      <c r="F600" t="str">
        <f>GCResults[[#This Row],[H2 (ppm)]]</f>
        <v/>
      </c>
      <c r="G600">
        <f>GCResults[[#This Row],[Total Gas Volume (mL), gas cylinder = 3785mL]]</f>
        <v>0</v>
      </c>
      <c r="H600">
        <f>GCResults[[#This Row],[Pressure on Sampling (PSI), 145PSI=1MPa]]</f>
        <v>3552.5</v>
      </c>
      <c r="I600">
        <f>pHCondMod[[#This Row],[Sample pH]]</f>
        <v>0</v>
      </c>
      <c r="J600">
        <f>pHCondMod[[#This Row],[Sample Conductivity (mS/cm)]]</f>
        <v>0</v>
      </c>
      <c r="K600">
        <f>pHCondMod[[#This Row],[Modification Description]]</f>
        <v>0</v>
      </c>
      <c r="L600" s="1">
        <f>NMRResults[[#This Row],[Date Run]]</f>
        <v>0</v>
      </c>
      <c r="M600" s="1">
        <f>ICPList[[#This Row],[Date Run]]</f>
        <v>0</v>
      </c>
      <c r="N600" s="1">
        <f>GCResults[[#This Row],[Date Run ]]</f>
        <v>0</v>
      </c>
    </row>
    <row r="601" spans="1:14" ht="14.45" x14ac:dyDescent="0.25">
      <c r="A601">
        <f>SampleList[[#This Row],[Experiment ID]]</f>
        <v>0</v>
      </c>
      <c r="B601">
        <f>SampleList[[#This Row],[Sample Description]]</f>
        <v>0</v>
      </c>
      <c r="C601" s="1">
        <f>SampleList[[#This Row],[Date Sampled]]</f>
        <v>0</v>
      </c>
      <c r="D601">
        <f>SampleList[[#This Row],[Duration (Days)]]</f>
        <v>0</v>
      </c>
      <c r="E601">
        <f>NMRResults[[#This Row],[Ammonium Concentration (mM)]]</f>
        <v>0</v>
      </c>
      <c r="F601" t="str">
        <f>GCResults[[#This Row],[H2 (ppm)]]</f>
        <v/>
      </c>
      <c r="G601">
        <f>GCResults[[#This Row],[Total Gas Volume (mL), gas cylinder = 3785mL]]</f>
        <v>0</v>
      </c>
      <c r="H601">
        <f>GCResults[[#This Row],[Pressure on Sampling (PSI), 145PSI=1MPa]]</f>
        <v>3552.5</v>
      </c>
      <c r="I601">
        <f>pHCondMod[[#This Row],[Sample pH]]</f>
        <v>0</v>
      </c>
      <c r="J601">
        <f>pHCondMod[[#This Row],[Sample Conductivity (mS/cm)]]</f>
        <v>0</v>
      </c>
      <c r="K601">
        <f>pHCondMod[[#This Row],[Modification Description]]</f>
        <v>0</v>
      </c>
      <c r="L601" s="1">
        <f>NMRResults[[#This Row],[Date Run]]</f>
        <v>0</v>
      </c>
      <c r="M601" s="1">
        <f>ICPList[[#This Row],[Date Run]]</f>
        <v>0</v>
      </c>
      <c r="N601" s="1">
        <f>GCResults[[#This Row],[Date Run ]]</f>
        <v>0</v>
      </c>
    </row>
    <row r="602" spans="1:14" ht="14.45" x14ac:dyDescent="0.25">
      <c r="A602">
        <f>SampleList[[#This Row],[Experiment ID]]</f>
        <v>0</v>
      </c>
      <c r="B602">
        <f>SampleList[[#This Row],[Sample Description]]</f>
        <v>0</v>
      </c>
      <c r="C602" s="1">
        <f>SampleList[[#This Row],[Date Sampled]]</f>
        <v>0</v>
      </c>
      <c r="D602">
        <f>SampleList[[#This Row],[Duration (Days)]]</f>
        <v>0</v>
      </c>
      <c r="E602">
        <f>NMRResults[[#This Row],[Ammonium Concentration (mM)]]</f>
        <v>0</v>
      </c>
      <c r="F602" t="str">
        <f>GCResults[[#This Row],[H2 (ppm)]]</f>
        <v/>
      </c>
      <c r="G602">
        <f>GCResults[[#This Row],[Total Gas Volume (mL), gas cylinder = 3785mL]]</f>
        <v>0</v>
      </c>
      <c r="H602">
        <f>GCResults[[#This Row],[Pressure on Sampling (PSI), 145PSI=1MPa]]</f>
        <v>3552.5</v>
      </c>
      <c r="I602">
        <f>pHCondMod[[#This Row],[Sample pH]]</f>
        <v>0</v>
      </c>
      <c r="J602">
        <f>pHCondMod[[#This Row],[Sample Conductivity (mS/cm)]]</f>
        <v>0</v>
      </c>
      <c r="K602">
        <f>pHCondMod[[#This Row],[Modification Description]]</f>
        <v>0</v>
      </c>
      <c r="L602" s="1">
        <f>NMRResults[[#This Row],[Date Run]]</f>
        <v>0</v>
      </c>
      <c r="M602" s="1">
        <f>ICPList[[#This Row],[Date Run]]</f>
        <v>0</v>
      </c>
      <c r="N602" s="1">
        <f>GCResults[[#This Row],[Date Run ]]</f>
        <v>0</v>
      </c>
    </row>
    <row r="603" spans="1:14" ht="14.45" x14ac:dyDescent="0.25">
      <c r="A603">
        <f>SampleList[[#This Row],[Experiment ID]]</f>
        <v>0</v>
      </c>
      <c r="B603">
        <f>SampleList[[#This Row],[Sample Description]]</f>
        <v>0</v>
      </c>
      <c r="C603" s="1">
        <f>SampleList[[#This Row],[Date Sampled]]</f>
        <v>0</v>
      </c>
      <c r="D603">
        <f>SampleList[[#This Row],[Duration (Days)]]</f>
        <v>0</v>
      </c>
      <c r="E603">
        <f>NMRResults[[#This Row],[Ammonium Concentration (mM)]]</f>
        <v>0</v>
      </c>
      <c r="F603" t="str">
        <f>GCResults[[#This Row],[H2 (ppm)]]</f>
        <v/>
      </c>
      <c r="G603">
        <f>GCResults[[#This Row],[Total Gas Volume (mL), gas cylinder = 3785mL]]</f>
        <v>0</v>
      </c>
      <c r="H603">
        <f>GCResults[[#This Row],[Pressure on Sampling (PSI), 145PSI=1MPa]]</f>
        <v>3552.5</v>
      </c>
      <c r="I603">
        <f>pHCondMod[[#This Row],[Sample pH]]</f>
        <v>0</v>
      </c>
      <c r="J603">
        <f>pHCondMod[[#This Row],[Sample Conductivity (mS/cm)]]</f>
        <v>0</v>
      </c>
      <c r="K603">
        <f>pHCondMod[[#This Row],[Modification Description]]</f>
        <v>0</v>
      </c>
      <c r="L603" s="1">
        <f>NMRResults[[#This Row],[Date Run]]</f>
        <v>0</v>
      </c>
      <c r="M603" s="1">
        <f>ICPList[[#This Row],[Date Run]]</f>
        <v>0</v>
      </c>
      <c r="N603" s="1">
        <f>GCResults[[#This Row],[Date Run ]]</f>
        <v>0</v>
      </c>
    </row>
    <row r="604" spans="1:14" ht="14.45" x14ac:dyDescent="0.25">
      <c r="A604">
        <f>SampleList[[#This Row],[Experiment ID]]</f>
        <v>0</v>
      </c>
      <c r="B604">
        <f>SampleList[[#This Row],[Sample Description]]</f>
        <v>0</v>
      </c>
      <c r="C604" s="1">
        <f>SampleList[[#This Row],[Date Sampled]]</f>
        <v>0</v>
      </c>
      <c r="D604">
        <f>SampleList[[#This Row],[Duration (Days)]]</f>
        <v>0</v>
      </c>
      <c r="E604">
        <f>NMRResults[[#This Row],[Ammonium Concentration (mM)]]</f>
        <v>0</v>
      </c>
      <c r="F604" t="str">
        <f>GCResults[[#This Row],[H2 (ppm)]]</f>
        <v/>
      </c>
      <c r="G604">
        <f>GCResults[[#This Row],[Total Gas Volume (mL), gas cylinder = 3785mL]]</f>
        <v>0</v>
      </c>
      <c r="H604">
        <f>GCResults[[#This Row],[Pressure on Sampling (PSI), 145PSI=1MPa]]</f>
        <v>3552.5</v>
      </c>
      <c r="I604">
        <f>pHCondMod[[#This Row],[Sample pH]]</f>
        <v>0</v>
      </c>
      <c r="J604">
        <f>pHCondMod[[#This Row],[Sample Conductivity (mS/cm)]]</f>
        <v>0</v>
      </c>
      <c r="K604">
        <f>pHCondMod[[#This Row],[Modification Description]]</f>
        <v>0</v>
      </c>
      <c r="L604" s="1">
        <f>NMRResults[[#This Row],[Date Run]]</f>
        <v>0</v>
      </c>
      <c r="M604" s="1">
        <f>ICPList[[#This Row],[Date Run]]</f>
        <v>0</v>
      </c>
      <c r="N604" s="1">
        <f>GCResults[[#This Row],[Date Run ]]</f>
        <v>0</v>
      </c>
    </row>
    <row r="605" spans="1:14" ht="14.45" x14ac:dyDescent="0.25">
      <c r="A605">
        <f>SampleList[[#This Row],[Experiment ID]]</f>
        <v>0</v>
      </c>
      <c r="B605">
        <f>SampleList[[#This Row],[Sample Description]]</f>
        <v>0</v>
      </c>
      <c r="C605" s="1">
        <f>SampleList[[#This Row],[Date Sampled]]</f>
        <v>0</v>
      </c>
      <c r="D605">
        <f>SampleList[[#This Row],[Duration (Days)]]</f>
        <v>0</v>
      </c>
      <c r="E605">
        <f>NMRResults[[#This Row],[Ammonium Concentration (mM)]]</f>
        <v>0</v>
      </c>
      <c r="F605" t="str">
        <f>GCResults[[#This Row],[H2 (ppm)]]</f>
        <v/>
      </c>
      <c r="G605">
        <f>GCResults[[#This Row],[Total Gas Volume (mL), gas cylinder = 3785mL]]</f>
        <v>0</v>
      </c>
      <c r="H605">
        <f>GCResults[[#This Row],[Pressure on Sampling (PSI), 145PSI=1MPa]]</f>
        <v>3552.5</v>
      </c>
      <c r="I605">
        <f>pHCondMod[[#This Row],[Sample pH]]</f>
        <v>0</v>
      </c>
      <c r="J605">
        <f>pHCondMod[[#This Row],[Sample Conductivity (mS/cm)]]</f>
        <v>0</v>
      </c>
      <c r="K605">
        <f>pHCondMod[[#This Row],[Modification Description]]</f>
        <v>0</v>
      </c>
      <c r="L605" s="1">
        <f>NMRResults[[#This Row],[Date Run]]</f>
        <v>0</v>
      </c>
      <c r="M605" s="1">
        <f>ICPList[[#This Row],[Date Run]]</f>
        <v>0</v>
      </c>
      <c r="N605" s="1">
        <f>GCResults[[#This Row],[Date Run ]]</f>
        <v>0</v>
      </c>
    </row>
    <row r="606" spans="1:14" ht="14.45" x14ac:dyDescent="0.25">
      <c r="A606">
        <f>SampleList[[#This Row],[Experiment ID]]</f>
        <v>0</v>
      </c>
      <c r="B606">
        <f>SampleList[[#This Row],[Sample Description]]</f>
        <v>0</v>
      </c>
      <c r="C606" s="1">
        <f>SampleList[[#This Row],[Date Sampled]]</f>
        <v>0</v>
      </c>
      <c r="D606">
        <f>SampleList[[#This Row],[Duration (Days)]]</f>
        <v>0</v>
      </c>
      <c r="E606">
        <f>NMRResults[[#This Row],[Ammonium Concentration (mM)]]</f>
        <v>0</v>
      </c>
      <c r="F606" t="str">
        <f>GCResults[[#This Row],[H2 (ppm)]]</f>
        <v/>
      </c>
      <c r="G606">
        <f>GCResults[[#This Row],[Total Gas Volume (mL), gas cylinder = 3785mL]]</f>
        <v>0</v>
      </c>
      <c r="H606">
        <f>GCResults[[#This Row],[Pressure on Sampling (PSI), 145PSI=1MPa]]</f>
        <v>3552.5</v>
      </c>
      <c r="I606">
        <f>pHCondMod[[#This Row],[Sample pH]]</f>
        <v>0</v>
      </c>
      <c r="J606">
        <f>pHCondMod[[#This Row],[Sample Conductivity (mS/cm)]]</f>
        <v>0</v>
      </c>
      <c r="K606">
        <f>pHCondMod[[#This Row],[Modification Description]]</f>
        <v>0</v>
      </c>
      <c r="L606" s="1">
        <f>NMRResults[[#This Row],[Date Run]]</f>
        <v>0</v>
      </c>
      <c r="M606" s="1">
        <f>ICPList[[#This Row],[Date Run]]</f>
        <v>0</v>
      </c>
      <c r="N606" s="1">
        <f>GCResults[[#This Row],[Date Run ]]</f>
        <v>0</v>
      </c>
    </row>
    <row r="607" spans="1:14" ht="14.45" x14ac:dyDescent="0.25">
      <c r="A607">
        <f>SampleList[[#This Row],[Experiment ID]]</f>
        <v>0</v>
      </c>
      <c r="B607">
        <f>SampleList[[#This Row],[Sample Description]]</f>
        <v>0</v>
      </c>
      <c r="C607" s="1">
        <f>SampleList[[#This Row],[Date Sampled]]</f>
        <v>0</v>
      </c>
      <c r="D607">
        <f>SampleList[[#This Row],[Duration (Days)]]</f>
        <v>0</v>
      </c>
      <c r="E607">
        <f>NMRResults[[#This Row],[Ammonium Concentration (mM)]]</f>
        <v>0</v>
      </c>
      <c r="F607" t="str">
        <f>GCResults[[#This Row],[H2 (ppm)]]</f>
        <v/>
      </c>
      <c r="G607">
        <f>GCResults[[#This Row],[Total Gas Volume (mL), gas cylinder = 3785mL]]</f>
        <v>0</v>
      </c>
      <c r="H607">
        <f>GCResults[[#This Row],[Pressure on Sampling (PSI), 145PSI=1MPa]]</f>
        <v>3552.5</v>
      </c>
      <c r="I607">
        <f>pHCondMod[[#This Row],[Sample pH]]</f>
        <v>0</v>
      </c>
      <c r="J607">
        <f>pHCondMod[[#This Row],[Sample Conductivity (mS/cm)]]</f>
        <v>0</v>
      </c>
      <c r="K607">
        <f>pHCondMod[[#This Row],[Modification Description]]</f>
        <v>0</v>
      </c>
      <c r="L607" s="1">
        <f>NMRResults[[#This Row],[Date Run]]</f>
        <v>0</v>
      </c>
      <c r="M607" s="1">
        <f>ICPList[[#This Row],[Date Run]]</f>
        <v>0</v>
      </c>
      <c r="N607" s="1">
        <f>GCResults[[#This Row],[Date Run ]]</f>
        <v>0</v>
      </c>
    </row>
    <row r="608" spans="1:14" ht="14.45" x14ac:dyDescent="0.25">
      <c r="A608">
        <f>SampleList[[#This Row],[Experiment ID]]</f>
        <v>0</v>
      </c>
      <c r="B608">
        <f>SampleList[[#This Row],[Sample Description]]</f>
        <v>0</v>
      </c>
      <c r="C608" s="1">
        <f>SampleList[[#This Row],[Date Sampled]]</f>
        <v>0</v>
      </c>
      <c r="D608">
        <f>SampleList[[#This Row],[Duration (Days)]]</f>
        <v>0</v>
      </c>
      <c r="E608">
        <f>NMRResults[[#This Row],[Ammonium Concentration (mM)]]</f>
        <v>0</v>
      </c>
      <c r="F608" t="str">
        <f>GCResults[[#This Row],[H2 (ppm)]]</f>
        <v/>
      </c>
      <c r="G608">
        <f>GCResults[[#This Row],[Total Gas Volume (mL), gas cylinder = 3785mL]]</f>
        <v>0</v>
      </c>
      <c r="H608">
        <f>GCResults[[#This Row],[Pressure on Sampling (PSI), 145PSI=1MPa]]</f>
        <v>3552.5</v>
      </c>
      <c r="I608">
        <f>pHCondMod[[#This Row],[Sample pH]]</f>
        <v>0</v>
      </c>
      <c r="J608">
        <f>pHCondMod[[#This Row],[Sample Conductivity (mS/cm)]]</f>
        <v>0</v>
      </c>
      <c r="K608">
        <f>pHCondMod[[#This Row],[Modification Description]]</f>
        <v>0</v>
      </c>
      <c r="L608" s="1">
        <f>NMRResults[[#This Row],[Date Run]]</f>
        <v>0</v>
      </c>
      <c r="M608" s="1">
        <f>ICPList[[#This Row],[Date Run]]</f>
        <v>0</v>
      </c>
      <c r="N608" s="1">
        <f>GCResults[[#This Row],[Date Run ]]</f>
        <v>0</v>
      </c>
    </row>
    <row r="609" spans="1:14" ht="14.45" x14ac:dyDescent="0.25">
      <c r="A609">
        <f>SampleList[[#This Row],[Experiment ID]]</f>
        <v>0</v>
      </c>
      <c r="B609">
        <f>SampleList[[#This Row],[Sample Description]]</f>
        <v>0</v>
      </c>
      <c r="C609" s="1">
        <f>SampleList[[#This Row],[Date Sampled]]</f>
        <v>0</v>
      </c>
      <c r="D609">
        <f>SampleList[[#This Row],[Duration (Days)]]</f>
        <v>0</v>
      </c>
      <c r="E609">
        <f>NMRResults[[#This Row],[Ammonium Concentration (mM)]]</f>
        <v>0</v>
      </c>
      <c r="F609" t="str">
        <f>GCResults[[#This Row],[H2 (ppm)]]</f>
        <v/>
      </c>
      <c r="G609">
        <f>GCResults[[#This Row],[Total Gas Volume (mL), gas cylinder = 3785mL]]</f>
        <v>0</v>
      </c>
      <c r="H609">
        <f>GCResults[[#This Row],[Pressure on Sampling (PSI), 145PSI=1MPa]]</f>
        <v>3552.5</v>
      </c>
      <c r="I609">
        <f>pHCondMod[[#This Row],[Sample pH]]</f>
        <v>0</v>
      </c>
      <c r="J609">
        <f>pHCondMod[[#This Row],[Sample Conductivity (mS/cm)]]</f>
        <v>0</v>
      </c>
      <c r="K609">
        <f>pHCondMod[[#This Row],[Modification Description]]</f>
        <v>0</v>
      </c>
      <c r="L609" s="1">
        <f>NMRResults[[#This Row],[Date Run]]</f>
        <v>0</v>
      </c>
      <c r="M609" s="1">
        <f>ICPList[[#This Row],[Date Run]]</f>
        <v>0</v>
      </c>
      <c r="N609" s="1">
        <f>GCResults[[#This Row],[Date Run ]]</f>
        <v>0</v>
      </c>
    </row>
    <row r="610" spans="1:14" ht="14.45" x14ac:dyDescent="0.25">
      <c r="A610">
        <f>SampleList[[#This Row],[Experiment ID]]</f>
        <v>0</v>
      </c>
      <c r="B610">
        <f>SampleList[[#This Row],[Sample Description]]</f>
        <v>0</v>
      </c>
      <c r="C610" s="1">
        <f>SampleList[[#This Row],[Date Sampled]]</f>
        <v>0</v>
      </c>
      <c r="D610">
        <f>SampleList[[#This Row],[Duration (Days)]]</f>
        <v>0</v>
      </c>
      <c r="E610">
        <f>NMRResults[[#This Row],[Ammonium Concentration (mM)]]</f>
        <v>0</v>
      </c>
      <c r="F610" t="str">
        <f>GCResults[[#This Row],[H2 (ppm)]]</f>
        <v/>
      </c>
      <c r="G610">
        <f>GCResults[[#This Row],[Total Gas Volume (mL), gas cylinder = 3785mL]]</f>
        <v>0</v>
      </c>
      <c r="H610">
        <f>GCResults[[#This Row],[Pressure on Sampling (PSI), 145PSI=1MPa]]</f>
        <v>3552.5</v>
      </c>
      <c r="I610">
        <f>pHCondMod[[#This Row],[Sample pH]]</f>
        <v>0</v>
      </c>
      <c r="J610">
        <f>pHCondMod[[#This Row],[Sample Conductivity (mS/cm)]]</f>
        <v>0</v>
      </c>
      <c r="K610">
        <f>pHCondMod[[#This Row],[Modification Description]]</f>
        <v>0</v>
      </c>
      <c r="L610" s="1">
        <f>NMRResults[[#This Row],[Date Run]]</f>
        <v>0</v>
      </c>
      <c r="M610" s="1">
        <f>ICPList[[#This Row],[Date Run]]</f>
        <v>0</v>
      </c>
      <c r="N610" s="1">
        <f>GCResults[[#This Row],[Date Run ]]</f>
        <v>0</v>
      </c>
    </row>
    <row r="611" spans="1:14" ht="14.45" x14ac:dyDescent="0.25">
      <c r="A611">
        <f>SampleList[[#This Row],[Experiment ID]]</f>
        <v>0</v>
      </c>
      <c r="B611">
        <f>SampleList[[#This Row],[Sample Description]]</f>
        <v>0</v>
      </c>
      <c r="C611" s="1">
        <f>SampleList[[#This Row],[Date Sampled]]</f>
        <v>0</v>
      </c>
      <c r="D611">
        <f>SampleList[[#This Row],[Duration (Days)]]</f>
        <v>0</v>
      </c>
      <c r="E611">
        <f>NMRResults[[#This Row],[Ammonium Concentration (mM)]]</f>
        <v>0</v>
      </c>
      <c r="F611" t="str">
        <f>GCResults[[#This Row],[H2 (ppm)]]</f>
        <v/>
      </c>
      <c r="G611">
        <f>GCResults[[#This Row],[Total Gas Volume (mL), gas cylinder = 3785mL]]</f>
        <v>0</v>
      </c>
      <c r="H611">
        <f>GCResults[[#This Row],[Pressure on Sampling (PSI), 145PSI=1MPa]]</f>
        <v>3552.5</v>
      </c>
      <c r="I611">
        <f>pHCondMod[[#This Row],[Sample pH]]</f>
        <v>0</v>
      </c>
      <c r="J611">
        <f>pHCondMod[[#This Row],[Sample Conductivity (mS/cm)]]</f>
        <v>0</v>
      </c>
      <c r="K611">
        <f>pHCondMod[[#This Row],[Modification Description]]</f>
        <v>0</v>
      </c>
      <c r="L611" s="1">
        <f>NMRResults[[#This Row],[Date Run]]</f>
        <v>0</v>
      </c>
      <c r="M611" s="1">
        <f>ICPList[[#This Row],[Date Run]]</f>
        <v>0</v>
      </c>
      <c r="N611" s="1">
        <f>GCResults[[#This Row],[Date Run ]]</f>
        <v>0</v>
      </c>
    </row>
    <row r="612" spans="1:14" ht="14.45" x14ac:dyDescent="0.25">
      <c r="A612">
        <f>SampleList[[#This Row],[Experiment ID]]</f>
        <v>0</v>
      </c>
      <c r="B612">
        <f>SampleList[[#This Row],[Sample Description]]</f>
        <v>0</v>
      </c>
      <c r="C612" s="1">
        <f>SampleList[[#This Row],[Date Sampled]]</f>
        <v>0</v>
      </c>
      <c r="D612">
        <f>SampleList[[#This Row],[Duration (Days)]]</f>
        <v>0</v>
      </c>
      <c r="E612">
        <f>NMRResults[[#This Row],[Ammonium Concentration (mM)]]</f>
        <v>0</v>
      </c>
      <c r="F612" t="str">
        <f>GCResults[[#This Row],[H2 (ppm)]]</f>
        <v/>
      </c>
      <c r="G612">
        <f>GCResults[[#This Row],[Total Gas Volume (mL), gas cylinder = 3785mL]]</f>
        <v>0</v>
      </c>
      <c r="H612">
        <f>GCResults[[#This Row],[Pressure on Sampling (PSI), 145PSI=1MPa]]</f>
        <v>3552.5</v>
      </c>
      <c r="I612">
        <f>pHCondMod[[#This Row],[Sample pH]]</f>
        <v>0</v>
      </c>
      <c r="J612">
        <f>pHCondMod[[#This Row],[Sample Conductivity (mS/cm)]]</f>
        <v>0</v>
      </c>
      <c r="K612">
        <f>pHCondMod[[#This Row],[Modification Description]]</f>
        <v>0</v>
      </c>
      <c r="L612" s="1">
        <f>NMRResults[[#This Row],[Date Run]]</f>
        <v>0</v>
      </c>
      <c r="M612" s="1">
        <f>ICPList[[#This Row],[Date Run]]</f>
        <v>0</v>
      </c>
      <c r="N612" s="1">
        <f>GCResults[[#This Row],[Date Run ]]</f>
        <v>0</v>
      </c>
    </row>
    <row r="613" spans="1:14" ht="14.45" x14ac:dyDescent="0.25">
      <c r="A613">
        <f>SampleList[[#This Row],[Experiment ID]]</f>
        <v>0</v>
      </c>
      <c r="B613">
        <f>SampleList[[#This Row],[Sample Description]]</f>
        <v>0</v>
      </c>
      <c r="C613" s="1">
        <f>SampleList[[#This Row],[Date Sampled]]</f>
        <v>0</v>
      </c>
      <c r="D613">
        <f>SampleList[[#This Row],[Duration (Days)]]</f>
        <v>0</v>
      </c>
      <c r="E613">
        <f>NMRResults[[#This Row],[Ammonium Concentration (mM)]]</f>
        <v>0</v>
      </c>
      <c r="F613" t="str">
        <f>GCResults[[#This Row],[H2 (ppm)]]</f>
        <v/>
      </c>
      <c r="G613">
        <f>GCResults[[#This Row],[Total Gas Volume (mL), gas cylinder = 3785mL]]</f>
        <v>0</v>
      </c>
      <c r="H613">
        <f>GCResults[[#This Row],[Pressure on Sampling (PSI), 145PSI=1MPa]]</f>
        <v>3552.5</v>
      </c>
      <c r="I613">
        <f>pHCondMod[[#This Row],[Sample pH]]</f>
        <v>0</v>
      </c>
      <c r="J613">
        <f>pHCondMod[[#This Row],[Sample Conductivity (mS/cm)]]</f>
        <v>0</v>
      </c>
      <c r="K613">
        <f>pHCondMod[[#This Row],[Modification Description]]</f>
        <v>0</v>
      </c>
      <c r="L613" s="1">
        <f>NMRResults[[#This Row],[Date Run]]</f>
        <v>0</v>
      </c>
      <c r="M613" s="1">
        <f>ICPList[[#This Row],[Date Run]]</f>
        <v>0</v>
      </c>
      <c r="N613" s="1">
        <f>GCResults[[#This Row],[Date Run ]]</f>
        <v>0</v>
      </c>
    </row>
    <row r="614" spans="1:14" ht="14.45" x14ac:dyDescent="0.25">
      <c r="A614">
        <f>SampleList[[#This Row],[Experiment ID]]</f>
        <v>0</v>
      </c>
      <c r="B614">
        <f>SampleList[[#This Row],[Sample Description]]</f>
        <v>0</v>
      </c>
      <c r="C614" s="1">
        <f>SampleList[[#This Row],[Date Sampled]]</f>
        <v>0</v>
      </c>
      <c r="D614">
        <f>SampleList[[#This Row],[Duration (Days)]]</f>
        <v>0</v>
      </c>
      <c r="E614">
        <f>NMRResults[[#This Row],[Ammonium Concentration (mM)]]</f>
        <v>0</v>
      </c>
      <c r="F614" t="str">
        <f>GCResults[[#This Row],[H2 (ppm)]]</f>
        <v/>
      </c>
      <c r="G614">
        <f>GCResults[[#This Row],[Total Gas Volume (mL), gas cylinder = 3785mL]]</f>
        <v>0</v>
      </c>
      <c r="H614">
        <f>GCResults[[#This Row],[Pressure on Sampling (PSI), 145PSI=1MPa]]</f>
        <v>3552.5</v>
      </c>
      <c r="I614">
        <f>pHCondMod[[#This Row],[Sample pH]]</f>
        <v>0</v>
      </c>
      <c r="J614">
        <f>pHCondMod[[#This Row],[Sample Conductivity (mS/cm)]]</f>
        <v>0</v>
      </c>
      <c r="K614">
        <f>pHCondMod[[#This Row],[Modification Description]]</f>
        <v>0</v>
      </c>
      <c r="L614" s="1">
        <f>NMRResults[[#This Row],[Date Run]]</f>
        <v>0</v>
      </c>
      <c r="M614" s="1">
        <f>ICPList[[#This Row],[Date Run]]</f>
        <v>0</v>
      </c>
      <c r="N614" s="1">
        <f>GCResults[[#This Row],[Date Run ]]</f>
        <v>0</v>
      </c>
    </row>
    <row r="615" spans="1:14" ht="14.45" x14ac:dyDescent="0.25">
      <c r="A615">
        <f>SampleList[[#This Row],[Experiment ID]]</f>
        <v>0</v>
      </c>
      <c r="B615">
        <f>SampleList[[#This Row],[Sample Description]]</f>
        <v>0</v>
      </c>
      <c r="C615" s="1">
        <f>SampleList[[#This Row],[Date Sampled]]</f>
        <v>0</v>
      </c>
      <c r="D615">
        <f>SampleList[[#This Row],[Duration (Days)]]</f>
        <v>0</v>
      </c>
      <c r="E615">
        <f>NMRResults[[#This Row],[Ammonium Concentration (mM)]]</f>
        <v>0</v>
      </c>
      <c r="F615" t="str">
        <f>GCResults[[#This Row],[H2 (ppm)]]</f>
        <v/>
      </c>
      <c r="G615">
        <f>GCResults[[#This Row],[Total Gas Volume (mL), gas cylinder = 3785mL]]</f>
        <v>0</v>
      </c>
      <c r="H615">
        <f>GCResults[[#This Row],[Pressure on Sampling (PSI), 145PSI=1MPa]]</f>
        <v>3552.5</v>
      </c>
      <c r="I615">
        <f>pHCondMod[[#This Row],[Sample pH]]</f>
        <v>0</v>
      </c>
      <c r="J615">
        <f>pHCondMod[[#This Row],[Sample Conductivity (mS/cm)]]</f>
        <v>0</v>
      </c>
      <c r="K615">
        <f>pHCondMod[[#This Row],[Modification Description]]</f>
        <v>0</v>
      </c>
      <c r="L615" s="1">
        <f>NMRResults[[#This Row],[Date Run]]</f>
        <v>0</v>
      </c>
      <c r="M615" s="1">
        <f>ICPList[[#This Row],[Date Run]]</f>
        <v>0</v>
      </c>
      <c r="N615" s="1">
        <f>GCResults[[#This Row],[Date Run ]]</f>
        <v>0</v>
      </c>
    </row>
    <row r="616" spans="1:14" ht="14.45" x14ac:dyDescent="0.25">
      <c r="A616">
        <f>SampleList[[#This Row],[Experiment ID]]</f>
        <v>0</v>
      </c>
      <c r="B616">
        <f>SampleList[[#This Row],[Sample Description]]</f>
        <v>0</v>
      </c>
      <c r="C616" s="1">
        <f>SampleList[[#This Row],[Date Sampled]]</f>
        <v>0</v>
      </c>
      <c r="D616">
        <f>SampleList[[#This Row],[Duration (Days)]]</f>
        <v>0</v>
      </c>
      <c r="E616">
        <f>NMRResults[[#This Row],[Ammonium Concentration (mM)]]</f>
        <v>0</v>
      </c>
      <c r="F616" t="str">
        <f>GCResults[[#This Row],[H2 (ppm)]]</f>
        <v/>
      </c>
      <c r="G616">
        <f>GCResults[[#This Row],[Total Gas Volume (mL), gas cylinder = 3785mL]]</f>
        <v>0</v>
      </c>
      <c r="H616">
        <f>GCResults[[#This Row],[Pressure on Sampling (PSI), 145PSI=1MPa]]</f>
        <v>3552.5</v>
      </c>
      <c r="I616">
        <f>pHCondMod[[#This Row],[Sample pH]]</f>
        <v>0</v>
      </c>
      <c r="J616">
        <f>pHCondMod[[#This Row],[Sample Conductivity (mS/cm)]]</f>
        <v>0</v>
      </c>
      <c r="K616">
        <f>pHCondMod[[#This Row],[Modification Description]]</f>
        <v>0</v>
      </c>
      <c r="L616" s="1">
        <f>NMRResults[[#This Row],[Date Run]]</f>
        <v>0</v>
      </c>
      <c r="M616" s="1">
        <f>ICPList[[#This Row],[Date Run]]</f>
        <v>0</v>
      </c>
      <c r="N616" s="1">
        <f>GCResults[[#This Row],[Date Run ]]</f>
        <v>0</v>
      </c>
    </row>
    <row r="617" spans="1:14" ht="14.45" x14ac:dyDescent="0.25">
      <c r="A617">
        <f>SampleList[[#This Row],[Experiment ID]]</f>
        <v>0</v>
      </c>
      <c r="B617">
        <f>SampleList[[#This Row],[Sample Description]]</f>
        <v>0</v>
      </c>
      <c r="C617" s="1">
        <f>SampleList[[#This Row],[Date Sampled]]</f>
        <v>0</v>
      </c>
      <c r="D617">
        <f>SampleList[[#This Row],[Duration (Days)]]</f>
        <v>0</v>
      </c>
      <c r="E617">
        <f>NMRResults[[#This Row],[Ammonium Concentration (mM)]]</f>
        <v>0</v>
      </c>
      <c r="F617" t="str">
        <f>GCResults[[#This Row],[H2 (ppm)]]</f>
        <v/>
      </c>
      <c r="G617">
        <f>GCResults[[#This Row],[Total Gas Volume (mL), gas cylinder = 3785mL]]</f>
        <v>0</v>
      </c>
      <c r="H617">
        <f>GCResults[[#This Row],[Pressure on Sampling (PSI), 145PSI=1MPa]]</f>
        <v>3552.5</v>
      </c>
      <c r="I617">
        <f>pHCondMod[[#This Row],[Sample pH]]</f>
        <v>0</v>
      </c>
      <c r="J617">
        <f>pHCondMod[[#This Row],[Sample Conductivity (mS/cm)]]</f>
        <v>0</v>
      </c>
      <c r="K617">
        <f>pHCondMod[[#This Row],[Modification Description]]</f>
        <v>0</v>
      </c>
      <c r="L617" s="1">
        <f>NMRResults[[#This Row],[Date Run]]</f>
        <v>0</v>
      </c>
      <c r="M617" s="1">
        <f>ICPList[[#This Row],[Date Run]]</f>
        <v>0</v>
      </c>
      <c r="N617" s="1">
        <f>GCResults[[#This Row],[Date Run ]]</f>
        <v>0</v>
      </c>
    </row>
    <row r="618" spans="1:14" ht="14.45" x14ac:dyDescent="0.25">
      <c r="A618">
        <f>SampleList[[#This Row],[Experiment ID]]</f>
        <v>0</v>
      </c>
      <c r="B618">
        <f>SampleList[[#This Row],[Sample Description]]</f>
        <v>0</v>
      </c>
      <c r="C618" s="1">
        <f>SampleList[[#This Row],[Date Sampled]]</f>
        <v>0</v>
      </c>
      <c r="D618">
        <f>SampleList[[#This Row],[Duration (Days)]]</f>
        <v>0</v>
      </c>
      <c r="E618">
        <f>NMRResults[[#This Row],[Ammonium Concentration (mM)]]</f>
        <v>0</v>
      </c>
      <c r="F618" t="str">
        <f>GCResults[[#This Row],[H2 (ppm)]]</f>
        <v/>
      </c>
      <c r="G618">
        <f>GCResults[[#This Row],[Total Gas Volume (mL), gas cylinder = 3785mL]]</f>
        <v>0</v>
      </c>
      <c r="H618">
        <f>GCResults[[#This Row],[Pressure on Sampling (PSI), 145PSI=1MPa]]</f>
        <v>3552.5</v>
      </c>
      <c r="I618">
        <f>pHCondMod[[#This Row],[Sample pH]]</f>
        <v>0</v>
      </c>
      <c r="J618">
        <f>pHCondMod[[#This Row],[Sample Conductivity (mS/cm)]]</f>
        <v>0</v>
      </c>
      <c r="K618">
        <f>pHCondMod[[#This Row],[Modification Description]]</f>
        <v>0</v>
      </c>
      <c r="L618" s="1">
        <f>NMRResults[[#This Row],[Date Run]]</f>
        <v>0</v>
      </c>
      <c r="M618" s="1">
        <f>ICPList[[#This Row],[Date Run]]</f>
        <v>0</v>
      </c>
      <c r="N618" s="1">
        <f>GCResults[[#This Row],[Date Run ]]</f>
        <v>0</v>
      </c>
    </row>
    <row r="619" spans="1:14" ht="14.45" x14ac:dyDescent="0.25">
      <c r="A619">
        <f>SampleList[[#This Row],[Experiment ID]]</f>
        <v>0</v>
      </c>
      <c r="B619">
        <f>SampleList[[#This Row],[Sample Description]]</f>
        <v>0</v>
      </c>
      <c r="C619" s="1">
        <f>SampleList[[#This Row],[Date Sampled]]</f>
        <v>0</v>
      </c>
      <c r="D619">
        <f>SampleList[[#This Row],[Duration (Days)]]</f>
        <v>0</v>
      </c>
      <c r="E619">
        <f>NMRResults[[#This Row],[Ammonium Concentration (mM)]]</f>
        <v>0</v>
      </c>
      <c r="F619" t="str">
        <f>GCResults[[#This Row],[H2 (ppm)]]</f>
        <v/>
      </c>
      <c r="G619">
        <f>GCResults[[#This Row],[Total Gas Volume (mL), gas cylinder = 3785mL]]</f>
        <v>0</v>
      </c>
      <c r="H619">
        <f>GCResults[[#This Row],[Pressure on Sampling (PSI), 145PSI=1MPa]]</f>
        <v>3552.5</v>
      </c>
      <c r="I619">
        <f>pHCondMod[[#This Row],[Sample pH]]</f>
        <v>0</v>
      </c>
      <c r="J619">
        <f>pHCondMod[[#This Row],[Sample Conductivity (mS/cm)]]</f>
        <v>0</v>
      </c>
      <c r="K619">
        <f>pHCondMod[[#This Row],[Modification Description]]</f>
        <v>0</v>
      </c>
      <c r="L619" s="1">
        <f>NMRResults[[#This Row],[Date Run]]</f>
        <v>0</v>
      </c>
      <c r="M619" s="1">
        <f>ICPList[[#This Row],[Date Run]]</f>
        <v>0</v>
      </c>
      <c r="N619" s="1">
        <f>GCResults[[#This Row],[Date Run ]]</f>
        <v>0</v>
      </c>
    </row>
    <row r="620" spans="1:14" ht="14.45" x14ac:dyDescent="0.25">
      <c r="A620">
        <f>SampleList[[#This Row],[Experiment ID]]</f>
        <v>0</v>
      </c>
      <c r="B620">
        <f>SampleList[[#This Row],[Sample Description]]</f>
        <v>0</v>
      </c>
      <c r="C620" s="1">
        <f>SampleList[[#This Row],[Date Sampled]]</f>
        <v>0</v>
      </c>
      <c r="D620">
        <f>SampleList[[#This Row],[Duration (Days)]]</f>
        <v>0</v>
      </c>
      <c r="E620">
        <f>NMRResults[[#This Row],[Ammonium Concentration (mM)]]</f>
        <v>0</v>
      </c>
      <c r="F620" t="str">
        <f>GCResults[[#This Row],[H2 (ppm)]]</f>
        <v/>
      </c>
      <c r="G620">
        <f>GCResults[[#This Row],[Total Gas Volume (mL), gas cylinder = 3785mL]]</f>
        <v>0</v>
      </c>
      <c r="H620">
        <f>GCResults[[#This Row],[Pressure on Sampling (PSI), 145PSI=1MPa]]</f>
        <v>3552.5</v>
      </c>
      <c r="I620">
        <f>pHCondMod[[#This Row],[Sample pH]]</f>
        <v>0</v>
      </c>
      <c r="J620">
        <f>pHCondMod[[#This Row],[Sample Conductivity (mS/cm)]]</f>
        <v>0</v>
      </c>
      <c r="K620">
        <f>pHCondMod[[#This Row],[Modification Description]]</f>
        <v>0</v>
      </c>
      <c r="L620" s="1">
        <f>NMRResults[[#This Row],[Date Run]]</f>
        <v>0</v>
      </c>
      <c r="M620" s="1">
        <f>ICPList[[#This Row],[Date Run]]</f>
        <v>0</v>
      </c>
      <c r="N620" s="1">
        <f>GCResults[[#This Row],[Date Run ]]</f>
        <v>0</v>
      </c>
    </row>
    <row r="621" spans="1:14" ht="14.45" x14ac:dyDescent="0.25">
      <c r="A621">
        <f>SampleList[[#This Row],[Experiment ID]]</f>
        <v>0</v>
      </c>
      <c r="B621">
        <f>SampleList[[#This Row],[Sample Description]]</f>
        <v>0</v>
      </c>
      <c r="C621" s="1">
        <f>SampleList[[#This Row],[Date Sampled]]</f>
        <v>0</v>
      </c>
      <c r="D621">
        <f>SampleList[[#This Row],[Duration (Days)]]</f>
        <v>0</v>
      </c>
      <c r="E621">
        <f>NMRResults[[#This Row],[Ammonium Concentration (mM)]]</f>
        <v>0</v>
      </c>
      <c r="F621" t="str">
        <f>GCResults[[#This Row],[H2 (ppm)]]</f>
        <v/>
      </c>
      <c r="G621">
        <f>GCResults[[#This Row],[Total Gas Volume (mL), gas cylinder = 3785mL]]</f>
        <v>0</v>
      </c>
      <c r="H621">
        <f>GCResults[[#This Row],[Pressure on Sampling (PSI), 145PSI=1MPa]]</f>
        <v>3552.5</v>
      </c>
      <c r="I621">
        <f>pHCondMod[[#This Row],[Sample pH]]</f>
        <v>0</v>
      </c>
      <c r="J621">
        <f>pHCondMod[[#This Row],[Sample Conductivity (mS/cm)]]</f>
        <v>0</v>
      </c>
      <c r="K621">
        <f>pHCondMod[[#This Row],[Modification Description]]</f>
        <v>0</v>
      </c>
      <c r="L621" s="1">
        <f>NMRResults[[#This Row],[Date Run]]</f>
        <v>0</v>
      </c>
      <c r="M621" s="1">
        <f>ICPList[[#This Row],[Date Run]]</f>
        <v>0</v>
      </c>
      <c r="N621" s="1">
        <f>GCResults[[#This Row],[Date Run ]]</f>
        <v>0</v>
      </c>
    </row>
    <row r="622" spans="1:14" ht="14.45" x14ac:dyDescent="0.25">
      <c r="A622">
        <f>SampleList[[#This Row],[Experiment ID]]</f>
        <v>0</v>
      </c>
      <c r="B622">
        <f>SampleList[[#This Row],[Sample Description]]</f>
        <v>0</v>
      </c>
      <c r="C622" s="1">
        <f>SampleList[[#This Row],[Date Sampled]]</f>
        <v>0</v>
      </c>
      <c r="D622">
        <f>SampleList[[#This Row],[Duration (Days)]]</f>
        <v>0</v>
      </c>
      <c r="E622">
        <f>NMRResults[[#This Row],[Ammonium Concentration (mM)]]</f>
        <v>0</v>
      </c>
      <c r="F622" t="str">
        <f>GCResults[[#This Row],[H2 (ppm)]]</f>
        <v/>
      </c>
      <c r="G622">
        <f>GCResults[[#This Row],[Total Gas Volume (mL), gas cylinder = 3785mL]]</f>
        <v>0</v>
      </c>
      <c r="H622">
        <f>GCResults[[#This Row],[Pressure on Sampling (PSI), 145PSI=1MPa]]</f>
        <v>3552.5</v>
      </c>
      <c r="I622">
        <f>pHCondMod[[#This Row],[Sample pH]]</f>
        <v>0</v>
      </c>
      <c r="J622">
        <f>pHCondMod[[#This Row],[Sample Conductivity (mS/cm)]]</f>
        <v>0</v>
      </c>
      <c r="K622">
        <f>pHCondMod[[#This Row],[Modification Description]]</f>
        <v>0</v>
      </c>
      <c r="L622" s="1">
        <f>NMRResults[[#This Row],[Date Run]]</f>
        <v>0</v>
      </c>
      <c r="M622" s="1">
        <f>ICPList[[#This Row],[Date Run]]</f>
        <v>0</v>
      </c>
      <c r="N622" s="1">
        <f>GCResults[[#This Row],[Date Run ]]</f>
        <v>0</v>
      </c>
    </row>
    <row r="623" spans="1:14" ht="14.45" x14ac:dyDescent="0.25">
      <c r="A623">
        <f>SampleList[[#This Row],[Experiment ID]]</f>
        <v>0</v>
      </c>
      <c r="B623">
        <f>SampleList[[#This Row],[Sample Description]]</f>
        <v>0</v>
      </c>
      <c r="C623" s="1">
        <f>SampleList[[#This Row],[Date Sampled]]</f>
        <v>0</v>
      </c>
      <c r="D623">
        <f>SampleList[[#This Row],[Duration (Days)]]</f>
        <v>0</v>
      </c>
      <c r="E623">
        <f>NMRResults[[#This Row],[Ammonium Concentration (mM)]]</f>
        <v>0</v>
      </c>
      <c r="F623" t="str">
        <f>GCResults[[#This Row],[H2 (ppm)]]</f>
        <v/>
      </c>
      <c r="G623">
        <f>GCResults[[#This Row],[Total Gas Volume (mL), gas cylinder = 3785mL]]</f>
        <v>0</v>
      </c>
      <c r="H623">
        <f>GCResults[[#This Row],[Pressure on Sampling (PSI), 145PSI=1MPa]]</f>
        <v>3552.5</v>
      </c>
      <c r="I623">
        <f>pHCondMod[[#This Row],[Sample pH]]</f>
        <v>0</v>
      </c>
      <c r="J623">
        <f>pHCondMod[[#This Row],[Sample Conductivity (mS/cm)]]</f>
        <v>0</v>
      </c>
      <c r="K623">
        <f>pHCondMod[[#This Row],[Modification Description]]</f>
        <v>0</v>
      </c>
      <c r="L623" s="1">
        <f>NMRResults[[#This Row],[Date Run]]</f>
        <v>0</v>
      </c>
      <c r="M623" s="1">
        <f>ICPList[[#This Row],[Date Run]]</f>
        <v>0</v>
      </c>
      <c r="N623" s="1">
        <f>GCResults[[#This Row],[Date Run ]]</f>
        <v>0</v>
      </c>
    </row>
    <row r="624" spans="1:14" ht="14.45" x14ac:dyDescent="0.25">
      <c r="A624">
        <f>SampleList[[#This Row],[Experiment ID]]</f>
        <v>0</v>
      </c>
      <c r="B624">
        <f>SampleList[[#This Row],[Sample Description]]</f>
        <v>0</v>
      </c>
      <c r="C624" s="1">
        <f>SampleList[[#This Row],[Date Sampled]]</f>
        <v>0</v>
      </c>
      <c r="D624">
        <f>SampleList[[#This Row],[Duration (Days)]]</f>
        <v>0</v>
      </c>
      <c r="E624">
        <f>NMRResults[[#This Row],[Ammonium Concentration (mM)]]</f>
        <v>0</v>
      </c>
      <c r="F624" t="str">
        <f>GCResults[[#This Row],[H2 (ppm)]]</f>
        <v/>
      </c>
      <c r="G624">
        <f>GCResults[[#This Row],[Total Gas Volume (mL), gas cylinder = 3785mL]]</f>
        <v>0</v>
      </c>
      <c r="H624">
        <f>GCResults[[#This Row],[Pressure on Sampling (PSI), 145PSI=1MPa]]</f>
        <v>3552.5</v>
      </c>
      <c r="I624">
        <f>pHCondMod[[#This Row],[Sample pH]]</f>
        <v>0</v>
      </c>
      <c r="J624">
        <f>pHCondMod[[#This Row],[Sample Conductivity (mS/cm)]]</f>
        <v>0</v>
      </c>
      <c r="K624">
        <f>pHCondMod[[#This Row],[Modification Description]]</f>
        <v>0</v>
      </c>
      <c r="L624" s="1">
        <f>NMRResults[[#This Row],[Date Run]]</f>
        <v>0</v>
      </c>
      <c r="M624" s="1">
        <f>ICPList[[#This Row],[Date Run]]</f>
        <v>0</v>
      </c>
      <c r="N624" s="1">
        <f>GCResults[[#This Row],[Date Run ]]</f>
        <v>0</v>
      </c>
    </row>
    <row r="625" spans="1:14" ht="14.45" x14ac:dyDescent="0.25">
      <c r="A625">
        <f>SampleList[[#This Row],[Experiment ID]]</f>
        <v>0</v>
      </c>
      <c r="B625">
        <f>SampleList[[#This Row],[Sample Description]]</f>
        <v>0</v>
      </c>
      <c r="C625" s="1">
        <f>SampleList[[#This Row],[Date Sampled]]</f>
        <v>0</v>
      </c>
      <c r="D625">
        <f>SampleList[[#This Row],[Duration (Days)]]</f>
        <v>0</v>
      </c>
      <c r="E625">
        <f>NMRResults[[#This Row],[Ammonium Concentration (mM)]]</f>
        <v>0</v>
      </c>
      <c r="F625" t="str">
        <f>GCResults[[#This Row],[H2 (ppm)]]</f>
        <v/>
      </c>
      <c r="G625">
        <f>GCResults[[#This Row],[Total Gas Volume (mL), gas cylinder = 3785mL]]</f>
        <v>0</v>
      </c>
      <c r="H625">
        <f>GCResults[[#This Row],[Pressure on Sampling (PSI), 145PSI=1MPa]]</f>
        <v>3552.5</v>
      </c>
      <c r="I625">
        <f>pHCondMod[[#This Row],[Sample pH]]</f>
        <v>0</v>
      </c>
      <c r="J625">
        <f>pHCondMod[[#This Row],[Sample Conductivity (mS/cm)]]</f>
        <v>0</v>
      </c>
      <c r="K625">
        <f>pHCondMod[[#This Row],[Modification Description]]</f>
        <v>0</v>
      </c>
      <c r="L625" s="1">
        <f>NMRResults[[#This Row],[Date Run]]</f>
        <v>0</v>
      </c>
      <c r="M625" s="1">
        <f>ICPList[[#This Row],[Date Run]]</f>
        <v>0</v>
      </c>
      <c r="N625" s="1">
        <f>GCResults[[#This Row],[Date Run ]]</f>
        <v>0</v>
      </c>
    </row>
    <row r="626" spans="1:14" ht="14.45" x14ac:dyDescent="0.25">
      <c r="A626">
        <f>SampleList[[#This Row],[Experiment ID]]</f>
        <v>0</v>
      </c>
      <c r="B626">
        <f>SampleList[[#This Row],[Sample Description]]</f>
        <v>0</v>
      </c>
      <c r="C626" s="1">
        <f>SampleList[[#This Row],[Date Sampled]]</f>
        <v>0</v>
      </c>
      <c r="D626">
        <f>SampleList[[#This Row],[Duration (Days)]]</f>
        <v>0</v>
      </c>
      <c r="E626">
        <f>NMRResults[[#This Row],[Ammonium Concentration (mM)]]</f>
        <v>0</v>
      </c>
      <c r="F626" t="str">
        <f>GCResults[[#This Row],[H2 (ppm)]]</f>
        <v/>
      </c>
      <c r="G626">
        <f>GCResults[[#This Row],[Total Gas Volume (mL), gas cylinder = 3785mL]]</f>
        <v>0</v>
      </c>
      <c r="H626">
        <f>GCResults[[#This Row],[Pressure on Sampling (PSI), 145PSI=1MPa]]</f>
        <v>3552.5</v>
      </c>
      <c r="I626">
        <f>pHCondMod[[#This Row],[Sample pH]]</f>
        <v>0</v>
      </c>
      <c r="J626">
        <f>pHCondMod[[#This Row],[Sample Conductivity (mS/cm)]]</f>
        <v>0</v>
      </c>
      <c r="K626">
        <f>pHCondMod[[#This Row],[Modification Description]]</f>
        <v>0</v>
      </c>
      <c r="L626" s="1">
        <f>NMRResults[[#This Row],[Date Run]]</f>
        <v>0</v>
      </c>
      <c r="M626" s="1">
        <f>ICPList[[#This Row],[Date Run]]</f>
        <v>0</v>
      </c>
      <c r="N626" s="1">
        <f>GCResults[[#This Row],[Date Run ]]</f>
        <v>0</v>
      </c>
    </row>
    <row r="627" spans="1:14" ht="14.45" x14ac:dyDescent="0.25">
      <c r="A627">
        <f>SampleList[[#This Row],[Experiment ID]]</f>
        <v>0</v>
      </c>
      <c r="B627">
        <f>SampleList[[#This Row],[Sample Description]]</f>
        <v>0</v>
      </c>
      <c r="C627" s="1">
        <f>SampleList[[#This Row],[Date Sampled]]</f>
        <v>0</v>
      </c>
      <c r="D627">
        <f>SampleList[[#This Row],[Duration (Days)]]</f>
        <v>0</v>
      </c>
      <c r="E627">
        <f>NMRResults[[#This Row],[Ammonium Concentration (mM)]]</f>
        <v>0</v>
      </c>
      <c r="F627" t="str">
        <f>GCResults[[#This Row],[H2 (ppm)]]</f>
        <v/>
      </c>
      <c r="G627">
        <f>GCResults[[#This Row],[Total Gas Volume (mL), gas cylinder = 3785mL]]</f>
        <v>0</v>
      </c>
      <c r="H627">
        <f>GCResults[[#This Row],[Pressure on Sampling (PSI), 145PSI=1MPa]]</f>
        <v>3552.5</v>
      </c>
      <c r="I627">
        <f>pHCondMod[[#This Row],[Sample pH]]</f>
        <v>0</v>
      </c>
      <c r="J627">
        <f>pHCondMod[[#This Row],[Sample Conductivity (mS/cm)]]</f>
        <v>0</v>
      </c>
      <c r="K627">
        <f>pHCondMod[[#This Row],[Modification Description]]</f>
        <v>0</v>
      </c>
      <c r="L627" s="1">
        <f>NMRResults[[#This Row],[Date Run]]</f>
        <v>0</v>
      </c>
      <c r="M627" s="1">
        <f>ICPList[[#This Row],[Date Run]]</f>
        <v>0</v>
      </c>
      <c r="N627" s="1">
        <f>GCResults[[#This Row],[Date Run ]]</f>
        <v>0</v>
      </c>
    </row>
    <row r="628" spans="1:14" ht="14.45" x14ac:dyDescent="0.25">
      <c r="A628">
        <f>SampleList[[#This Row],[Experiment ID]]</f>
        <v>0</v>
      </c>
      <c r="B628">
        <f>SampleList[[#This Row],[Sample Description]]</f>
        <v>0</v>
      </c>
      <c r="C628" s="1">
        <f>SampleList[[#This Row],[Date Sampled]]</f>
        <v>0</v>
      </c>
      <c r="D628">
        <f>SampleList[[#This Row],[Duration (Days)]]</f>
        <v>0</v>
      </c>
      <c r="E628">
        <f>NMRResults[[#This Row],[Ammonium Concentration (mM)]]</f>
        <v>0</v>
      </c>
      <c r="F628" t="str">
        <f>GCResults[[#This Row],[H2 (ppm)]]</f>
        <v/>
      </c>
      <c r="G628">
        <f>GCResults[[#This Row],[Total Gas Volume (mL), gas cylinder = 3785mL]]</f>
        <v>0</v>
      </c>
      <c r="H628">
        <f>GCResults[[#This Row],[Pressure on Sampling (PSI), 145PSI=1MPa]]</f>
        <v>3552.5</v>
      </c>
      <c r="I628">
        <f>pHCondMod[[#This Row],[Sample pH]]</f>
        <v>0</v>
      </c>
      <c r="J628">
        <f>pHCondMod[[#This Row],[Sample Conductivity (mS/cm)]]</f>
        <v>0</v>
      </c>
      <c r="K628">
        <f>pHCondMod[[#This Row],[Modification Description]]</f>
        <v>0</v>
      </c>
      <c r="L628" s="1">
        <f>NMRResults[[#This Row],[Date Run]]</f>
        <v>0</v>
      </c>
      <c r="M628" s="1">
        <f>ICPList[[#This Row],[Date Run]]</f>
        <v>0</v>
      </c>
      <c r="N628" s="1">
        <f>GCResults[[#This Row],[Date Run ]]</f>
        <v>0</v>
      </c>
    </row>
    <row r="629" spans="1:14" ht="14.45" x14ac:dyDescent="0.25">
      <c r="A629">
        <f>SampleList[[#This Row],[Experiment ID]]</f>
        <v>0</v>
      </c>
      <c r="B629">
        <f>SampleList[[#This Row],[Sample Description]]</f>
        <v>0</v>
      </c>
      <c r="C629" s="1">
        <f>SampleList[[#This Row],[Date Sampled]]</f>
        <v>0</v>
      </c>
      <c r="D629">
        <f>SampleList[[#This Row],[Duration (Days)]]</f>
        <v>0</v>
      </c>
      <c r="E629">
        <f>NMRResults[[#This Row],[Ammonium Concentration (mM)]]</f>
        <v>0</v>
      </c>
      <c r="F629" t="str">
        <f>GCResults[[#This Row],[H2 (ppm)]]</f>
        <v/>
      </c>
      <c r="G629">
        <f>GCResults[[#This Row],[Total Gas Volume (mL), gas cylinder = 3785mL]]</f>
        <v>0</v>
      </c>
      <c r="H629">
        <f>GCResults[[#This Row],[Pressure on Sampling (PSI), 145PSI=1MPa]]</f>
        <v>3552.5</v>
      </c>
      <c r="I629">
        <f>pHCondMod[[#This Row],[Sample pH]]</f>
        <v>0</v>
      </c>
      <c r="J629">
        <f>pHCondMod[[#This Row],[Sample Conductivity (mS/cm)]]</f>
        <v>0</v>
      </c>
      <c r="K629">
        <f>pHCondMod[[#This Row],[Modification Description]]</f>
        <v>0</v>
      </c>
      <c r="L629" s="1">
        <f>NMRResults[[#This Row],[Date Run]]</f>
        <v>0</v>
      </c>
      <c r="M629" s="1">
        <f>ICPList[[#This Row],[Date Run]]</f>
        <v>0</v>
      </c>
      <c r="N629" s="1">
        <f>GCResults[[#This Row],[Date Run ]]</f>
        <v>0</v>
      </c>
    </row>
    <row r="630" spans="1:14" ht="14.45" x14ac:dyDescent="0.25">
      <c r="A630">
        <f>SampleList[[#This Row],[Experiment ID]]</f>
        <v>0</v>
      </c>
      <c r="B630">
        <f>SampleList[[#This Row],[Sample Description]]</f>
        <v>0</v>
      </c>
      <c r="C630" s="1">
        <f>SampleList[[#This Row],[Date Sampled]]</f>
        <v>0</v>
      </c>
      <c r="D630">
        <f>SampleList[[#This Row],[Duration (Days)]]</f>
        <v>0</v>
      </c>
      <c r="E630">
        <f>NMRResults[[#This Row],[Ammonium Concentration (mM)]]</f>
        <v>0</v>
      </c>
      <c r="F630" t="str">
        <f>GCResults[[#This Row],[H2 (ppm)]]</f>
        <v/>
      </c>
      <c r="G630">
        <f>GCResults[[#This Row],[Total Gas Volume (mL), gas cylinder = 3785mL]]</f>
        <v>0</v>
      </c>
      <c r="H630">
        <f>GCResults[[#This Row],[Pressure on Sampling (PSI), 145PSI=1MPa]]</f>
        <v>3552.5</v>
      </c>
      <c r="I630">
        <f>pHCondMod[[#This Row],[Sample pH]]</f>
        <v>0</v>
      </c>
      <c r="J630">
        <f>pHCondMod[[#This Row],[Sample Conductivity (mS/cm)]]</f>
        <v>0</v>
      </c>
      <c r="K630">
        <f>pHCondMod[[#This Row],[Modification Description]]</f>
        <v>0</v>
      </c>
      <c r="L630" s="1">
        <f>NMRResults[[#This Row],[Date Run]]</f>
        <v>0</v>
      </c>
      <c r="M630" s="1">
        <f>ICPList[[#This Row],[Date Run]]</f>
        <v>0</v>
      </c>
      <c r="N630" s="1">
        <f>GCResults[[#This Row],[Date Run ]]</f>
        <v>0</v>
      </c>
    </row>
    <row r="631" spans="1:14" ht="14.45" x14ac:dyDescent="0.25">
      <c r="A631">
        <f>SampleList[[#This Row],[Experiment ID]]</f>
        <v>0</v>
      </c>
      <c r="B631">
        <f>SampleList[[#This Row],[Sample Description]]</f>
        <v>0</v>
      </c>
      <c r="C631" s="1">
        <f>SampleList[[#This Row],[Date Sampled]]</f>
        <v>0</v>
      </c>
      <c r="D631">
        <f>SampleList[[#This Row],[Duration (Days)]]</f>
        <v>0</v>
      </c>
      <c r="E631">
        <f>NMRResults[[#This Row],[Ammonium Concentration (mM)]]</f>
        <v>0</v>
      </c>
      <c r="F631" t="str">
        <f>GCResults[[#This Row],[H2 (ppm)]]</f>
        <v/>
      </c>
      <c r="G631">
        <f>GCResults[[#This Row],[Total Gas Volume (mL), gas cylinder = 3785mL]]</f>
        <v>0</v>
      </c>
      <c r="H631">
        <f>GCResults[[#This Row],[Pressure on Sampling (PSI), 145PSI=1MPa]]</f>
        <v>3552.5</v>
      </c>
      <c r="I631">
        <f>pHCondMod[[#This Row],[Sample pH]]</f>
        <v>0</v>
      </c>
      <c r="J631">
        <f>pHCondMod[[#This Row],[Sample Conductivity (mS/cm)]]</f>
        <v>0</v>
      </c>
      <c r="K631">
        <f>pHCondMod[[#This Row],[Modification Description]]</f>
        <v>0</v>
      </c>
      <c r="L631" s="1">
        <f>NMRResults[[#This Row],[Date Run]]</f>
        <v>0</v>
      </c>
      <c r="M631" s="1">
        <f>ICPList[[#This Row],[Date Run]]</f>
        <v>0</v>
      </c>
      <c r="N631" s="1">
        <f>GCResults[[#This Row],[Date Run ]]</f>
        <v>0</v>
      </c>
    </row>
    <row r="632" spans="1:14" ht="14.45" x14ac:dyDescent="0.25">
      <c r="A632">
        <f>SampleList[[#This Row],[Experiment ID]]</f>
        <v>0</v>
      </c>
      <c r="B632">
        <f>SampleList[[#This Row],[Sample Description]]</f>
        <v>0</v>
      </c>
      <c r="C632" s="1">
        <f>SampleList[[#This Row],[Date Sampled]]</f>
        <v>0</v>
      </c>
      <c r="D632">
        <f>SampleList[[#This Row],[Duration (Days)]]</f>
        <v>0</v>
      </c>
      <c r="E632">
        <f>NMRResults[[#This Row],[Ammonium Concentration (mM)]]</f>
        <v>0</v>
      </c>
      <c r="F632" t="str">
        <f>GCResults[[#This Row],[H2 (ppm)]]</f>
        <v/>
      </c>
      <c r="G632">
        <f>GCResults[[#This Row],[Total Gas Volume (mL), gas cylinder = 3785mL]]</f>
        <v>0</v>
      </c>
      <c r="H632">
        <f>GCResults[[#This Row],[Pressure on Sampling (PSI), 145PSI=1MPa]]</f>
        <v>3552.5</v>
      </c>
      <c r="I632">
        <f>pHCondMod[[#This Row],[Sample pH]]</f>
        <v>0</v>
      </c>
      <c r="J632">
        <f>pHCondMod[[#This Row],[Sample Conductivity (mS/cm)]]</f>
        <v>0</v>
      </c>
      <c r="K632">
        <f>pHCondMod[[#This Row],[Modification Description]]</f>
        <v>0</v>
      </c>
      <c r="L632" s="1">
        <f>NMRResults[[#This Row],[Date Run]]</f>
        <v>0</v>
      </c>
      <c r="M632" s="1">
        <f>ICPList[[#This Row],[Date Run]]</f>
        <v>0</v>
      </c>
      <c r="N632" s="1">
        <f>GCResults[[#This Row],[Date Run ]]</f>
        <v>0</v>
      </c>
    </row>
    <row r="633" spans="1:14" ht="14.45" x14ac:dyDescent="0.25">
      <c r="A633">
        <f>SampleList[[#This Row],[Experiment ID]]</f>
        <v>0</v>
      </c>
      <c r="B633">
        <f>SampleList[[#This Row],[Sample Description]]</f>
        <v>0</v>
      </c>
      <c r="C633" s="1">
        <f>SampleList[[#This Row],[Date Sampled]]</f>
        <v>0</v>
      </c>
      <c r="D633">
        <f>SampleList[[#This Row],[Duration (Days)]]</f>
        <v>0</v>
      </c>
      <c r="E633">
        <f>NMRResults[[#This Row],[Ammonium Concentration (mM)]]</f>
        <v>0</v>
      </c>
      <c r="F633" t="str">
        <f>GCResults[[#This Row],[H2 (ppm)]]</f>
        <v/>
      </c>
      <c r="G633">
        <f>GCResults[[#This Row],[Total Gas Volume (mL), gas cylinder = 3785mL]]</f>
        <v>0</v>
      </c>
      <c r="H633">
        <f>GCResults[[#This Row],[Pressure on Sampling (PSI), 145PSI=1MPa]]</f>
        <v>3552.5</v>
      </c>
      <c r="I633">
        <f>pHCondMod[[#This Row],[Sample pH]]</f>
        <v>0</v>
      </c>
      <c r="J633">
        <f>pHCondMod[[#This Row],[Sample Conductivity (mS/cm)]]</f>
        <v>0</v>
      </c>
      <c r="K633">
        <f>pHCondMod[[#This Row],[Modification Description]]</f>
        <v>0</v>
      </c>
      <c r="L633" s="1">
        <f>NMRResults[[#This Row],[Date Run]]</f>
        <v>0</v>
      </c>
      <c r="M633" s="1">
        <f>ICPList[[#This Row],[Date Run]]</f>
        <v>0</v>
      </c>
      <c r="N633" s="1">
        <f>GCResults[[#This Row],[Date Run ]]</f>
        <v>0</v>
      </c>
    </row>
    <row r="634" spans="1:14" ht="14.45" x14ac:dyDescent="0.25">
      <c r="A634">
        <f>SampleList[[#This Row],[Experiment ID]]</f>
        <v>0</v>
      </c>
      <c r="B634">
        <f>SampleList[[#This Row],[Sample Description]]</f>
        <v>0</v>
      </c>
      <c r="C634" s="1">
        <f>SampleList[[#This Row],[Date Sampled]]</f>
        <v>0</v>
      </c>
      <c r="D634">
        <f>SampleList[[#This Row],[Duration (Days)]]</f>
        <v>0</v>
      </c>
      <c r="E634">
        <f>NMRResults[[#This Row],[Ammonium Concentration (mM)]]</f>
        <v>0</v>
      </c>
      <c r="F634" t="str">
        <f>GCResults[[#This Row],[H2 (ppm)]]</f>
        <v/>
      </c>
      <c r="G634">
        <f>GCResults[[#This Row],[Total Gas Volume (mL), gas cylinder = 3785mL]]</f>
        <v>0</v>
      </c>
      <c r="H634">
        <f>GCResults[[#This Row],[Pressure on Sampling (PSI), 145PSI=1MPa]]</f>
        <v>3552.5</v>
      </c>
      <c r="I634">
        <f>pHCondMod[[#This Row],[Sample pH]]</f>
        <v>0</v>
      </c>
      <c r="J634">
        <f>pHCondMod[[#This Row],[Sample Conductivity (mS/cm)]]</f>
        <v>0</v>
      </c>
      <c r="K634">
        <f>pHCondMod[[#This Row],[Modification Description]]</f>
        <v>0</v>
      </c>
      <c r="L634" s="1">
        <f>NMRResults[[#This Row],[Date Run]]</f>
        <v>0</v>
      </c>
      <c r="M634" s="1">
        <f>ICPList[[#This Row],[Date Run]]</f>
        <v>0</v>
      </c>
      <c r="N634" s="1">
        <f>GCResults[[#This Row],[Date Run ]]</f>
        <v>0</v>
      </c>
    </row>
    <row r="635" spans="1:14" ht="14.45" x14ac:dyDescent="0.25">
      <c r="A635">
        <f>SampleList[[#This Row],[Experiment ID]]</f>
        <v>0</v>
      </c>
      <c r="B635">
        <f>SampleList[[#This Row],[Sample Description]]</f>
        <v>0</v>
      </c>
      <c r="C635" s="1">
        <f>SampleList[[#This Row],[Date Sampled]]</f>
        <v>0</v>
      </c>
      <c r="D635">
        <f>SampleList[[#This Row],[Duration (Days)]]</f>
        <v>0</v>
      </c>
      <c r="E635">
        <f>NMRResults[[#This Row],[Ammonium Concentration (mM)]]</f>
        <v>0</v>
      </c>
      <c r="F635" t="str">
        <f>GCResults[[#This Row],[H2 (ppm)]]</f>
        <v/>
      </c>
      <c r="G635">
        <f>GCResults[[#This Row],[Total Gas Volume (mL), gas cylinder = 3785mL]]</f>
        <v>0</v>
      </c>
      <c r="H635">
        <f>GCResults[[#This Row],[Pressure on Sampling (PSI), 145PSI=1MPa]]</f>
        <v>3552.5</v>
      </c>
      <c r="I635">
        <f>pHCondMod[[#This Row],[Sample pH]]</f>
        <v>0</v>
      </c>
      <c r="J635">
        <f>pHCondMod[[#This Row],[Sample Conductivity (mS/cm)]]</f>
        <v>0</v>
      </c>
      <c r="K635">
        <f>pHCondMod[[#This Row],[Modification Description]]</f>
        <v>0</v>
      </c>
      <c r="L635" s="1">
        <f>NMRResults[[#This Row],[Date Run]]</f>
        <v>0</v>
      </c>
      <c r="M635" s="1">
        <f>ICPList[[#This Row],[Date Run]]</f>
        <v>0</v>
      </c>
      <c r="N635" s="1">
        <f>GCResults[[#This Row],[Date Run ]]</f>
        <v>0</v>
      </c>
    </row>
    <row r="636" spans="1:14" ht="14.45" x14ac:dyDescent="0.25">
      <c r="A636">
        <f>SampleList[[#This Row],[Experiment ID]]</f>
        <v>0</v>
      </c>
      <c r="B636">
        <f>SampleList[[#This Row],[Sample Description]]</f>
        <v>0</v>
      </c>
      <c r="C636" s="1">
        <f>SampleList[[#This Row],[Date Sampled]]</f>
        <v>0</v>
      </c>
      <c r="D636">
        <f>SampleList[[#This Row],[Duration (Days)]]</f>
        <v>0</v>
      </c>
      <c r="E636">
        <f>NMRResults[[#This Row],[Ammonium Concentration (mM)]]</f>
        <v>0</v>
      </c>
      <c r="F636" t="str">
        <f>GCResults[[#This Row],[H2 (ppm)]]</f>
        <v/>
      </c>
      <c r="G636">
        <f>GCResults[[#This Row],[Total Gas Volume (mL), gas cylinder = 3785mL]]</f>
        <v>0</v>
      </c>
      <c r="H636">
        <f>GCResults[[#This Row],[Pressure on Sampling (PSI), 145PSI=1MPa]]</f>
        <v>3552.5</v>
      </c>
      <c r="I636">
        <f>pHCondMod[[#This Row],[Sample pH]]</f>
        <v>0</v>
      </c>
      <c r="J636">
        <f>pHCondMod[[#This Row],[Sample Conductivity (mS/cm)]]</f>
        <v>0</v>
      </c>
      <c r="K636">
        <f>pHCondMod[[#This Row],[Modification Description]]</f>
        <v>0</v>
      </c>
      <c r="L636" s="1">
        <f>NMRResults[[#This Row],[Date Run]]</f>
        <v>0</v>
      </c>
      <c r="M636" s="1">
        <f>ICPList[[#This Row],[Date Run]]</f>
        <v>0</v>
      </c>
      <c r="N636" s="1">
        <f>GCResults[[#This Row],[Date Run ]]</f>
        <v>0</v>
      </c>
    </row>
    <row r="637" spans="1:14" ht="14.45" x14ac:dyDescent="0.25">
      <c r="A637">
        <f>SampleList[[#This Row],[Experiment ID]]</f>
        <v>0</v>
      </c>
      <c r="B637">
        <f>SampleList[[#This Row],[Sample Description]]</f>
        <v>0</v>
      </c>
      <c r="C637" s="1">
        <f>SampleList[[#This Row],[Date Sampled]]</f>
        <v>0</v>
      </c>
      <c r="D637">
        <f>SampleList[[#This Row],[Duration (Days)]]</f>
        <v>0</v>
      </c>
      <c r="E637">
        <f>NMRResults[[#This Row],[Ammonium Concentration (mM)]]</f>
        <v>0</v>
      </c>
      <c r="F637" t="str">
        <f>GCResults[[#This Row],[H2 (ppm)]]</f>
        <v/>
      </c>
      <c r="G637">
        <f>GCResults[[#This Row],[Total Gas Volume (mL), gas cylinder = 3785mL]]</f>
        <v>0</v>
      </c>
      <c r="H637">
        <f>GCResults[[#This Row],[Pressure on Sampling (PSI), 145PSI=1MPa]]</f>
        <v>3552.5</v>
      </c>
      <c r="I637">
        <f>pHCondMod[[#This Row],[Sample pH]]</f>
        <v>0</v>
      </c>
      <c r="J637">
        <f>pHCondMod[[#This Row],[Sample Conductivity (mS/cm)]]</f>
        <v>0</v>
      </c>
      <c r="K637">
        <f>pHCondMod[[#This Row],[Modification Description]]</f>
        <v>0</v>
      </c>
      <c r="L637" s="1">
        <f>NMRResults[[#This Row],[Date Run]]</f>
        <v>0</v>
      </c>
      <c r="M637" s="1">
        <f>ICPList[[#This Row],[Date Run]]</f>
        <v>0</v>
      </c>
      <c r="N637" s="1">
        <f>GCResults[[#This Row],[Date Run ]]</f>
        <v>0</v>
      </c>
    </row>
    <row r="638" spans="1:14" ht="14.45" x14ac:dyDescent="0.25">
      <c r="A638">
        <f>SampleList[[#This Row],[Experiment ID]]</f>
        <v>0</v>
      </c>
      <c r="B638">
        <f>SampleList[[#This Row],[Sample Description]]</f>
        <v>0</v>
      </c>
      <c r="C638" s="1">
        <f>SampleList[[#This Row],[Date Sampled]]</f>
        <v>0</v>
      </c>
      <c r="D638">
        <f>SampleList[[#This Row],[Duration (Days)]]</f>
        <v>0</v>
      </c>
      <c r="E638">
        <f>NMRResults[[#This Row],[Ammonium Concentration (mM)]]</f>
        <v>0</v>
      </c>
      <c r="F638" t="str">
        <f>GCResults[[#This Row],[H2 (ppm)]]</f>
        <v/>
      </c>
      <c r="G638">
        <f>GCResults[[#This Row],[Total Gas Volume (mL), gas cylinder = 3785mL]]</f>
        <v>0</v>
      </c>
      <c r="H638">
        <f>GCResults[[#This Row],[Pressure on Sampling (PSI), 145PSI=1MPa]]</f>
        <v>3552.5</v>
      </c>
      <c r="I638">
        <f>pHCondMod[[#This Row],[Sample pH]]</f>
        <v>0</v>
      </c>
      <c r="J638">
        <f>pHCondMod[[#This Row],[Sample Conductivity (mS/cm)]]</f>
        <v>0</v>
      </c>
      <c r="K638">
        <f>pHCondMod[[#This Row],[Modification Description]]</f>
        <v>0</v>
      </c>
      <c r="L638" s="1">
        <f>NMRResults[[#This Row],[Date Run]]</f>
        <v>0</v>
      </c>
      <c r="M638" s="1">
        <f>ICPList[[#This Row],[Date Run]]</f>
        <v>0</v>
      </c>
      <c r="N638" s="1">
        <f>GCResults[[#This Row],[Date Run ]]</f>
        <v>0</v>
      </c>
    </row>
    <row r="639" spans="1:14" ht="14.45" x14ac:dyDescent="0.25">
      <c r="A639">
        <f>SampleList[[#This Row],[Experiment ID]]</f>
        <v>0</v>
      </c>
      <c r="B639">
        <f>SampleList[[#This Row],[Sample Description]]</f>
        <v>0</v>
      </c>
      <c r="C639" s="1">
        <f>SampleList[[#This Row],[Date Sampled]]</f>
        <v>0</v>
      </c>
      <c r="D639">
        <f>SampleList[[#This Row],[Duration (Days)]]</f>
        <v>0</v>
      </c>
      <c r="E639">
        <f>NMRResults[[#This Row],[Ammonium Concentration (mM)]]</f>
        <v>0</v>
      </c>
      <c r="F639" t="str">
        <f>GCResults[[#This Row],[H2 (ppm)]]</f>
        <v/>
      </c>
      <c r="G639">
        <f>GCResults[[#This Row],[Total Gas Volume (mL), gas cylinder = 3785mL]]</f>
        <v>0</v>
      </c>
      <c r="H639">
        <f>GCResults[[#This Row],[Pressure on Sampling (PSI), 145PSI=1MPa]]</f>
        <v>3552.5</v>
      </c>
      <c r="I639">
        <f>pHCondMod[[#This Row],[Sample pH]]</f>
        <v>0</v>
      </c>
      <c r="J639">
        <f>pHCondMod[[#This Row],[Sample Conductivity (mS/cm)]]</f>
        <v>0</v>
      </c>
      <c r="K639">
        <f>pHCondMod[[#This Row],[Modification Description]]</f>
        <v>0</v>
      </c>
      <c r="L639" s="1">
        <f>NMRResults[[#This Row],[Date Run]]</f>
        <v>0</v>
      </c>
      <c r="M639" s="1">
        <f>ICPList[[#This Row],[Date Run]]</f>
        <v>0</v>
      </c>
      <c r="N639" s="1">
        <f>GCResults[[#This Row],[Date Run ]]</f>
        <v>0</v>
      </c>
    </row>
    <row r="640" spans="1:14" ht="14.45" x14ac:dyDescent="0.25">
      <c r="A640">
        <f>SampleList[[#This Row],[Experiment ID]]</f>
        <v>0</v>
      </c>
      <c r="B640">
        <f>SampleList[[#This Row],[Sample Description]]</f>
        <v>0</v>
      </c>
      <c r="C640" s="1">
        <f>SampleList[[#This Row],[Date Sampled]]</f>
        <v>0</v>
      </c>
      <c r="D640">
        <f>SampleList[[#This Row],[Duration (Days)]]</f>
        <v>0</v>
      </c>
      <c r="E640">
        <f>NMRResults[[#This Row],[Ammonium Concentration (mM)]]</f>
        <v>0</v>
      </c>
      <c r="F640" t="str">
        <f>GCResults[[#This Row],[H2 (ppm)]]</f>
        <v/>
      </c>
      <c r="G640">
        <f>GCResults[[#This Row],[Total Gas Volume (mL), gas cylinder = 3785mL]]</f>
        <v>0</v>
      </c>
      <c r="H640">
        <f>GCResults[[#This Row],[Pressure on Sampling (PSI), 145PSI=1MPa]]</f>
        <v>3552.5</v>
      </c>
      <c r="I640">
        <f>pHCondMod[[#This Row],[Sample pH]]</f>
        <v>0</v>
      </c>
      <c r="J640">
        <f>pHCondMod[[#This Row],[Sample Conductivity (mS/cm)]]</f>
        <v>0</v>
      </c>
      <c r="K640">
        <f>pHCondMod[[#This Row],[Modification Description]]</f>
        <v>0</v>
      </c>
      <c r="L640" s="1">
        <f>NMRResults[[#This Row],[Date Run]]</f>
        <v>0</v>
      </c>
      <c r="M640" s="1">
        <f>ICPList[[#This Row],[Date Run]]</f>
        <v>0</v>
      </c>
      <c r="N640" s="1">
        <f>GCResults[[#This Row],[Date Run ]]</f>
        <v>0</v>
      </c>
    </row>
    <row r="641" spans="1:14" ht="14.45" x14ac:dyDescent="0.25">
      <c r="A641">
        <f>SampleList[[#This Row],[Experiment ID]]</f>
        <v>0</v>
      </c>
      <c r="B641">
        <f>SampleList[[#This Row],[Sample Description]]</f>
        <v>0</v>
      </c>
      <c r="C641" s="1">
        <f>SampleList[[#This Row],[Date Sampled]]</f>
        <v>0</v>
      </c>
      <c r="D641">
        <f>SampleList[[#This Row],[Duration (Days)]]</f>
        <v>0</v>
      </c>
      <c r="E641">
        <f>NMRResults[[#This Row],[Ammonium Concentration (mM)]]</f>
        <v>0</v>
      </c>
      <c r="F641" t="str">
        <f>GCResults[[#This Row],[H2 (ppm)]]</f>
        <v/>
      </c>
      <c r="G641">
        <f>GCResults[[#This Row],[Total Gas Volume (mL), gas cylinder = 3785mL]]</f>
        <v>0</v>
      </c>
      <c r="H641">
        <f>GCResults[[#This Row],[Pressure on Sampling (PSI), 145PSI=1MPa]]</f>
        <v>3552.5</v>
      </c>
      <c r="I641">
        <f>pHCondMod[[#This Row],[Sample pH]]</f>
        <v>0</v>
      </c>
      <c r="J641">
        <f>pHCondMod[[#This Row],[Sample Conductivity (mS/cm)]]</f>
        <v>0</v>
      </c>
      <c r="K641">
        <f>pHCondMod[[#This Row],[Modification Description]]</f>
        <v>0</v>
      </c>
      <c r="L641" s="1">
        <f>NMRResults[[#This Row],[Date Run]]</f>
        <v>0</v>
      </c>
      <c r="M641" s="1">
        <f>ICPList[[#This Row],[Date Run]]</f>
        <v>0</v>
      </c>
      <c r="N641" s="1">
        <f>GCResults[[#This Row],[Date Run ]]</f>
        <v>0</v>
      </c>
    </row>
    <row r="642" spans="1:14" ht="14.45" x14ac:dyDescent="0.25">
      <c r="A642">
        <f>SampleList[[#This Row],[Experiment ID]]</f>
        <v>0</v>
      </c>
      <c r="B642">
        <f>SampleList[[#This Row],[Sample Description]]</f>
        <v>0</v>
      </c>
      <c r="C642" s="1">
        <f>SampleList[[#This Row],[Date Sampled]]</f>
        <v>0</v>
      </c>
      <c r="D642">
        <f>SampleList[[#This Row],[Duration (Days)]]</f>
        <v>0</v>
      </c>
      <c r="E642">
        <f>NMRResults[[#This Row],[Ammonium Concentration (mM)]]</f>
        <v>0</v>
      </c>
      <c r="F642" t="str">
        <f>GCResults[[#This Row],[H2 (ppm)]]</f>
        <v/>
      </c>
      <c r="G642">
        <f>GCResults[[#This Row],[Total Gas Volume (mL), gas cylinder = 3785mL]]</f>
        <v>0</v>
      </c>
      <c r="H642">
        <f>GCResults[[#This Row],[Pressure on Sampling (PSI), 145PSI=1MPa]]</f>
        <v>3552.5</v>
      </c>
      <c r="I642">
        <f>pHCondMod[[#This Row],[Sample pH]]</f>
        <v>0</v>
      </c>
      <c r="J642">
        <f>pHCondMod[[#This Row],[Sample Conductivity (mS/cm)]]</f>
        <v>0</v>
      </c>
      <c r="K642">
        <f>pHCondMod[[#This Row],[Modification Description]]</f>
        <v>0</v>
      </c>
      <c r="L642" s="1">
        <f>NMRResults[[#This Row],[Date Run]]</f>
        <v>0</v>
      </c>
      <c r="M642" s="1">
        <f>ICPList[[#This Row],[Date Run]]</f>
        <v>0</v>
      </c>
      <c r="N642" s="1">
        <f>GCResults[[#This Row],[Date Run ]]</f>
        <v>0</v>
      </c>
    </row>
    <row r="643" spans="1:14" ht="14.45" x14ac:dyDescent="0.25">
      <c r="A643">
        <f>SampleList[[#This Row],[Experiment ID]]</f>
        <v>0</v>
      </c>
      <c r="B643">
        <f>SampleList[[#This Row],[Sample Description]]</f>
        <v>0</v>
      </c>
      <c r="C643" s="1">
        <f>SampleList[[#This Row],[Date Sampled]]</f>
        <v>0</v>
      </c>
      <c r="D643">
        <f>SampleList[[#This Row],[Duration (Days)]]</f>
        <v>0</v>
      </c>
      <c r="E643">
        <f>NMRResults[[#This Row],[Ammonium Concentration (mM)]]</f>
        <v>0</v>
      </c>
      <c r="F643" t="str">
        <f>GCResults[[#This Row],[H2 (ppm)]]</f>
        <v/>
      </c>
      <c r="G643">
        <f>GCResults[[#This Row],[Total Gas Volume (mL), gas cylinder = 3785mL]]</f>
        <v>0</v>
      </c>
      <c r="H643">
        <f>GCResults[[#This Row],[Pressure on Sampling (PSI), 145PSI=1MPa]]</f>
        <v>3552.5</v>
      </c>
      <c r="I643">
        <f>pHCondMod[[#This Row],[Sample pH]]</f>
        <v>0</v>
      </c>
      <c r="J643">
        <f>pHCondMod[[#This Row],[Sample Conductivity (mS/cm)]]</f>
        <v>0</v>
      </c>
      <c r="K643">
        <f>pHCondMod[[#This Row],[Modification Description]]</f>
        <v>0</v>
      </c>
      <c r="L643" s="1">
        <f>NMRResults[[#This Row],[Date Run]]</f>
        <v>0</v>
      </c>
      <c r="M643" s="1">
        <f>ICPList[[#This Row],[Date Run]]</f>
        <v>0</v>
      </c>
      <c r="N643" s="1">
        <f>GCResults[[#This Row],[Date Run ]]</f>
        <v>0</v>
      </c>
    </row>
    <row r="644" spans="1:14" ht="14.45" x14ac:dyDescent="0.25">
      <c r="A644">
        <f>SampleList[[#This Row],[Experiment ID]]</f>
        <v>0</v>
      </c>
      <c r="B644">
        <f>SampleList[[#This Row],[Sample Description]]</f>
        <v>0</v>
      </c>
      <c r="C644" s="1">
        <f>SampleList[[#This Row],[Date Sampled]]</f>
        <v>0</v>
      </c>
      <c r="D644">
        <f>SampleList[[#This Row],[Duration (Days)]]</f>
        <v>0</v>
      </c>
      <c r="E644">
        <f>NMRResults[[#This Row],[Ammonium Concentration (mM)]]</f>
        <v>0</v>
      </c>
      <c r="F644" t="str">
        <f>GCResults[[#This Row],[H2 (ppm)]]</f>
        <v/>
      </c>
      <c r="G644">
        <f>GCResults[[#This Row],[Total Gas Volume (mL), gas cylinder = 3785mL]]</f>
        <v>0</v>
      </c>
      <c r="H644">
        <f>GCResults[[#This Row],[Pressure on Sampling (PSI), 145PSI=1MPa]]</f>
        <v>3552.5</v>
      </c>
      <c r="I644">
        <f>pHCondMod[[#This Row],[Sample pH]]</f>
        <v>0</v>
      </c>
      <c r="J644">
        <f>pHCondMod[[#This Row],[Sample Conductivity (mS/cm)]]</f>
        <v>0</v>
      </c>
      <c r="K644">
        <f>pHCondMod[[#This Row],[Modification Description]]</f>
        <v>0</v>
      </c>
      <c r="L644" s="1">
        <f>NMRResults[[#This Row],[Date Run]]</f>
        <v>0</v>
      </c>
      <c r="M644" s="1">
        <f>ICPList[[#This Row],[Date Run]]</f>
        <v>0</v>
      </c>
      <c r="N644" s="1">
        <f>GCResults[[#This Row],[Date Run ]]</f>
        <v>0</v>
      </c>
    </row>
    <row r="645" spans="1:14" ht="14.45" x14ac:dyDescent="0.25">
      <c r="A645">
        <f>SampleList[[#This Row],[Experiment ID]]</f>
        <v>0</v>
      </c>
      <c r="B645">
        <f>SampleList[[#This Row],[Sample Description]]</f>
        <v>0</v>
      </c>
      <c r="C645" s="1">
        <f>SampleList[[#This Row],[Date Sampled]]</f>
        <v>0</v>
      </c>
      <c r="D645">
        <f>SampleList[[#This Row],[Duration (Days)]]</f>
        <v>0</v>
      </c>
      <c r="E645">
        <f>NMRResults[[#This Row],[Ammonium Concentration (mM)]]</f>
        <v>0</v>
      </c>
      <c r="F645" t="str">
        <f>GCResults[[#This Row],[H2 (ppm)]]</f>
        <v/>
      </c>
      <c r="G645">
        <f>GCResults[[#This Row],[Total Gas Volume (mL), gas cylinder = 3785mL]]</f>
        <v>0</v>
      </c>
      <c r="H645">
        <f>GCResults[[#This Row],[Pressure on Sampling (PSI), 145PSI=1MPa]]</f>
        <v>3552.5</v>
      </c>
      <c r="I645">
        <f>pHCondMod[[#This Row],[Sample pH]]</f>
        <v>0</v>
      </c>
      <c r="J645">
        <f>pHCondMod[[#This Row],[Sample Conductivity (mS/cm)]]</f>
        <v>0</v>
      </c>
      <c r="K645">
        <f>pHCondMod[[#This Row],[Modification Description]]</f>
        <v>0</v>
      </c>
      <c r="L645" s="1">
        <f>NMRResults[[#This Row],[Date Run]]</f>
        <v>0</v>
      </c>
      <c r="M645" s="1">
        <f>ICPList[[#This Row],[Date Run]]</f>
        <v>0</v>
      </c>
      <c r="N645" s="1">
        <f>GCResults[[#This Row],[Date Run ]]</f>
        <v>0</v>
      </c>
    </row>
    <row r="646" spans="1:14" ht="14.45" x14ac:dyDescent="0.25">
      <c r="A646">
        <f>SampleList[[#This Row],[Experiment ID]]</f>
        <v>0</v>
      </c>
      <c r="B646">
        <f>SampleList[[#This Row],[Sample Description]]</f>
        <v>0</v>
      </c>
      <c r="C646" s="1">
        <f>SampleList[[#This Row],[Date Sampled]]</f>
        <v>0</v>
      </c>
      <c r="D646">
        <f>SampleList[[#This Row],[Duration (Days)]]</f>
        <v>0</v>
      </c>
      <c r="E646">
        <f>NMRResults[[#This Row],[Ammonium Concentration (mM)]]</f>
        <v>0</v>
      </c>
      <c r="F646" t="str">
        <f>GCResults[[#This Row],[H2 (ppm)]]</f>
        <v/>
      </c>
      <c r="G646">
        <f>GCResults[[#This Row],[Total Gas Volume (mL), gas cylinder = 3785mL]]</f>
        <v>0</v>
      </c>
      <c r="H646">
        <f>GCResults[[#This Row],[Pressure on Sampling (PSI), 145PSI=1MPa]]</f>
        <v>3552.5</v>
      </c>
      <c r="I646">
        <f>pHCondMod[[#This Row],[Sample pH]]</f>
        <v>0</v>
      </c>
      <c r="J646">
        <f>pHCondMod[[#This Row],[Sample Conductivity (mS/cm)]]</f>
        <v>0</v>
      </c>
      <c r="K646">
        <f>pHCondMod[[#This Row],[Modification Description]]</f>
        <v>0</v>
      </c>
      <c r="L646" s="1">
        <f>NMRResults[[#This Row],[Date Run]]</f>
        <v>0</v>
      </c>
      <c r="M646" s="1">
        <f>ICPList[[#This Row],[Date Run]]</f>
        <v>0</v>
      </c>
      <c r="N646" s="1">
        <f>GCResults[[#This Row],[Date Run ]]</f>
        <v>0</v>
      </c>
    </row>
    <row r="647" spans="1:14" ht="14.45" x14ac:dyDescent="0.25">
      <c r="A647">
        <f>SampleList[[#This Row],[Experiment ID]]</f>
        <v>0</v>
      </c>
      <c r="B647">
        <f>SampleList[[#This Row],[Sample Description]]</f>
        <v>0</v>
      </c>
      <c r="C647" s="1">
        <f>SampleList[[#This Row],[Date Sampled]]</f>
        <v>0</v>
      </c>
      <c r="D647">
        <f>SampleList[[#This Row],[Duration (Days)]]</f>
        <v>0</v>
      </c>
      <c r="E647">
        <f>NMRResults[[#This Row],[Ammonium Concentration (mM)]]</f>
        <v>0</v>
      </c>
      <c r="F647" t="str">
        <f>GCResults[[#This Row],[H2 (ppm)]]</f>
        <v/>
      </c>
      <c r="G647">
        <f>GCResults[[#This Row],[Total Gas Volume (mL), gas cylinder = 3785mL]]</f>
        <v>0</v>
      </c>
      <c r="H647">
        <f>GCResults[[#This Row],[Pressure on Sampling (PSI), 145PSI=1MPa]]</f>
        <v>3552.5</v>
      </c>
      <c r="I647">
        <f>pHCondMod[[#This Row],[Sample pH]]</f>
        <v>0</v>
      </c>
      <c r="J647">
        <f>pHCondMod[[#This Row],[Sample Conductivity (mS/cm)]]</f>
        <v>0</v>
      </c>
      <c r="K647">
        <f>pHCondMod[[#This Row],[Modification Description]]</f>
        <v>0</v>
      </c>
      <c r="L647" s="1">
        <f>NMRResults[[#This Row],[Date Run]]</f>
        <v>0</v>
      </c>
      <c r="M647" s="1">
        <f>ICPList[[#This Row],[Date Run]]</f>
        <v>0</v>
      </c>
      <c r="N647" s="1">
        <f>GCResults[[#This Row],[Date Run ]]</f>
        <v>0</v>
      </c>
    </row>
    <row r="648" spans="1:14" ht="14.45" x14ac:dyDescent="0.25">
      <c r="A648">
        <f>SampleList[[#This Row],[Experiment ID]]</f>
        <v>0</v>
      </c>
      <c r="B648">
        <f>SampleList[[#This Row],[Sample Description]]</f>
        <v>0</v>
      </c>
      <c r="C648" s="1">
        <f>SampleList[[#This Row],[Date Sampled]]</f>
        <v>0</v>
      </c>
      <c r="D648">
        <f>SampleList[[#This Row],[Duration (Days)]]</f>
        <v>0</v>
      </c>
      <c r="E648">
        <f>NMRResults[[#This Row],[Ammonium Concentration (mM)]]</f>
        <v>0</v>
      </c>
      <c r="F648" t="str">
        <f>GCResults[[#This Row],[H2 (ppm)]]</f>
        <v/>
      </c>
      <c r="G648">
        <f>GCResults[[#This Row],[Total Gas Volume (mL), gas cylinder = 3785mL]]</f>
        <v>0</v>
      </c>
      <c r="H648">
        <f>GCResults[[#This Row],[Pressure on Sampling (PSI), 145PSI=1MPa]]</f>
        <v>3552.5</v>
      </c>
      <c r="I648">
        <f>pHCondMod[[#This Row],[Sample pH]]</f>
        <v>0</v>
      </c>
      <c r="J648">
        <f>pHCondMod[[#This Row],[Sample Conductivity (mS/cm)]]</f>
        <v>0</v>
      </c>
      <c r="K648">
        <f>pHCondMod[[#This Row],[Modification Description]]</f>
        <v>0</v>
      </c>
      <c r="L648" s="1">
        <f>NMRResults[[#This Row],[Date Run]]</f>
        <v>0</v>
      </c>
      <c r="M648" s="1">
        <f>ICPList[[#This Row],[Date Run]]</f>
        <v>0</v>
      </c>
      <c r="N648" s="1">
        <f>GCResults[[#This Row],[Date Run ]]</f>
        <v>0</v>
      </c>
    </row>
    <row r="649" spans="1:14" ht="14.45" x14ac:dyDescent="0.25">
      <c r="A649">
        <f>SampleList[[#This Row],[Experiment ID]]</f>
        <v>0</v>
      </c>
      <c r="B649">
        <f>SampleList[[#This Row],[Sample Description]]</f>
        <v>0</v>
      </c>
      <c r="C649" s="1">
        <f>SampleList[[#This Row],[Date Sampled]]</f>
        <v>0</v>
      </c>
      <c r="D649">
        <f>SampleList[[#This Row],[Duration (Days)]]</f>
        <v>0</v>
      </c>
      <c r="E649">
        <f>NMRResults[[#This Row],[Ammonium Concentration (mM)]]</f>
        <v>0</v>
      </c>
      <c r="F649" t="str">
        <f>GCResults[[#This Row],[H2 (ppm)]]</f>
        <v/>
      </c>
      <c r="G649">
        <f>GCResults[[#This Row],[Total Gas Volume (mL), gas cylinder = 3785mL]]</f>
        <v>0</v>
      </c>
      <c r="H649">
        <f>GCResults[[#This Row],[Pressure on Sampling (PSI), 145PSI=1MPa]]</f>
        <v>3552.5</v>
      </c>
      <c r="I649">
        <f>pHCondMod[[#This Row],[Sample pH]]</f>
        <v>0</v>
      </c>
      <c r="J649">
        <f>pHCondMod[[#This Row],[Sample Conductivity (mS/cm)]]</f>
        <v>0</v>
      </c>
      <c r="K649">
        <f>pHCondMod[[#This Row],[Modification Description]]</f>
        <v>0</v>
      </c>
      <c r="L649" s="1">
        <f>NMRResults[[#This Row],[Date Run]]</f>
        <v>0</v>
      </c>
      <c r="M649" s="1">
        <f>ICPList[[#This Row],[Date Run]]</f>
        <v>0</v>
      </c>
      <c r="N649" s="1">
        <f>GCResults[[#This Row],[Date Run ]]</f>
        <v>0</v>
      </c>
    </row>
    <row r="650" spans="1:14" ht="14.45" x14ac:dyDescent="0.25">
      <c r="A650">
        <f>SampleList[[#This Row],[Experiment ID]]</f>
        <v>0</v>
      </c>
      <c r="B650">
        <f>SampleList[[#This Row],[Sample Description]]</f>
        <v>0</v>
      </c>
      <c r="C650" s="1">
        <f>SampleList[[#This Row],[Date Sampled]]</f>
        <v>0</v>
      </c>
      <c r="D650">
        <f>SampleList[[#This Row],[Duration (Days)]]</f>
        <v>0</v>
      </c>
      <c r="E650">
        <f>NMRResults[[#This Row],[Ammonium Concentration (mM)]]</f>
        <v>0</v>
      </c>
      <c r="F650" t="str">
        <f>GCResults[[#This Row],[H2 (ppm)]]</f>
        <v/>
      </c>
      <c r="G650">
        <f>GCResults[[#This Row],[Total Gas Volume (mL), gas cylinder = 3785mL]]</f>
        <v>0</v>
      </c>
      <c r="H650">
        <f>GCResults[[#This Row],[Pressure on Sampling (PSI), 145PSI=1MPa]]</f>
        <v>3552.5</v>
      </c>
      <c r="I650">
        <f>pHCondMod[[#This Row],[Sample pH]]</f>
        <v>0</v>
      </c>
      <c r="J650">
        <f>pHCondMod[[#This Row],[Sample Conductivity (mS/cm)]]</f>
        <v>0</v>
      </c>
      <c r="K650">
        <f>pHCondMod[[#This Row],[Modification Description]]</f>
        <v>0</v>
      </c>
      <c r="L650" s="1">
        <f>NMRResults[[#This Row],[Date Run]]</f>
        <v>0</v>
      </c>
      <c r="M650" s="1">
        <f>ICPList[[#This Row],[Date Run]]</f>
        <v>0</v>
      </c>
      <c r="N650" s="1">
        <f>GCResults[[#This Row],[Date Run ]]</f>
        <v>0</v>
      </c>
    </row>
    <row r="651" spans="1:14" ht="14.45" x14ac:dyDescent="0.25">
      <c r="A651">
        <f>SampleList[[#This Row],[Experiment ID]]</f>
        <v>0</v>
      </c>
      <c r="B651">
        <f>SampleList[[#This Row],[Sample Description]]</f>
        <v>0</v>
      </c>
      <c r="C651" s="1">
        <f>SampleList[[#This Row],[Date Sampled]]</f>
        <v>0</v>
      </c>
      <c r="D651">
        <f>SampleList[[#This Row],[Duration (Days)]]</f>
        <v>0</v>
      </c>
      <c r="E651">
        <f>NMRResults[[#This Row],[Ammonium Concentration (mM)]]</f>
        <v>0</v>
      </c>
      <c r="F651" t="str">
        <f>GCResults[[#This Row],[H2 (ppm)]]</f>
        <v/>
      </c>
      <c r="G651">
        <f>GCResults[[#This Row],[Total Gas Volume (mL), gas cylinder = 3785mL]]</f>
        <v>0</v>
      </c>
      <c r="H651">
        <f>GCResults[[#This Row],[Pressure on Sampling (PSI), 145PSI=1MPa]]</f>
        <v>3552.5</v>
      </c>
      <c r="I651">
        <f>pHCondMod[[#This Row],[Sample pH]]</f>
        <v>0</v>
      </c>
      <c r="J651">
        <f>pHCondMod[[#This Row],[Sample Conductivity (mS/cm)]]</f>
        <v>0</v>
      </c>
      <c r="K651">
        <f>pHCondMod[[#This Row],[Modification Description]]</f>
        <v>0</v>
      </c>
      <c r="L651" s="1">
        <f>NMRResults[[#This Row],[Date Run]]</f>
        <v>0</v>
      </c>
      <c r="M651" s="1">
        <f>ICPList[[#This Row],[Date Run]]</f>
        <v>0</v>
      </c>
      <c r="N651" s="1">
        <f>GCResults[[#This Row],[Date Run ]]</f>
        <v>0</v>
      </c>
    </row>
    <row r="652" spans="1:14" ht="14.45" x14ac:dyDescent="0.25">
      <c r="A652">
        <f>SampleList[[#This Row],[Experiment ID]]</f>
        <v>0</v>
      </c>
      <c r="B652">
        <f>SampleList[[#This Row],[Sample Description]]</f>
        <v>0</v>
      </c>
      <c r="C652" s="1">
        <f>SampleList[[#This Row],[Date Sampled]]</f>
        <v>0</v>
      </c>
      <c r="D652">
        <f>SampleList[[#This Row],[Duration (Days)]]</f>
        <v>0</v>
      </c>
      <c r="E652">
        <f>NMRResults[[#This Row],[Ammonium Concentration (mM)]]</f>
        <v>0</v>
      </c>
      <c r="F652" t="str">
        <f>GCResults[[#This Row],[H2 (ppm)]]</f>
        <v/>
      </c>
      <c r="G652">
        <f>GCResults[[#This Row],[Total Gas Volume (mL), gas cylinder = 3785mL]]</f>
        <v>0</v>
      </c>
      <c r="H652">
        <f>GCResults[[#This Row],[Pressure on Sampling (PSI), 145PSI=1MPa]]</f>
        <v>3552.5</v>
      </c>
      <c r="I652">
        <f>pHCondMod[[#This Row],[Sample pH]]</f>
        <v>0</v>
      </c>
      <c r="J652">
        <f>pHCondMod[[#This Row],[Sample Conductivity (mS/cm)]]</f>
        <v>0</v>
      </c>
      <c r="K652">
        <f>pHCondMod[[#This Row],[Modification Description]]</f>
        <v>0</v>
      </c>
      <c r="L652" s="1">
        <f>NMRResults[[#This Row],[Date Run]]</f>
        <v>0</v>
      </c>
      <c r="M652" s="1">
        <f>ICPList[[#This Row],[Date Run]]</f>
        <v>0</v>
      </c>
      <c r="N652" s="1">
        <f>GCResults[[#This Row],[Date Run ]]</f>
        <v>0</v>
      </c>
    </row>
    <row r="653" spans="1:14" ht="14.45" x14ac:dyDescent="0.25">
      <c r="A653">
        <f>SampleList[[#This Row],[Experiment ID]]</f>
        <v>0</v>
      </c>
      <c r="B653">
        <f>SampleList[[#This Row],[Sample Description]]</f>
        <v>0</v>
      </c>
      <c r="C653" s="1">
        <f>SampleList[[#This Row],[Date Sampled]]</f>
        <v>0</v>
      </c>
      <c r="D653">
        <f>SampleList[[#This Row],[Duration (Days)]]</f>
        <v>0</v>
      </c>
      <c r="E653">
        <f>NMRResults[[#This Row],[Ammonium Concentration (mM)]]</f>
        <v>0</v>
      </c>
      <c r="F653" t="str">
        <f>GCResults[[#This Row],[H2 (ppm)]]</f>
        <v/>
      </c>
      <c r="G653">
        <f>GCResults[[#This Row],[Total Gas Volume (mL), gas cylinder = 3785mL]]</f>
        <v>0</v>
      </c>
      <c r="H653">
        <f>GCResults[[#This Row],[Pressure on Sampling (PSI), 145PSI=1MPa]]</f>
        <v>3552.5</v>
      </c>
      <c r="I653">
        <f>pHCondMod[[#This Row],[Sample pH]]</f>
        <v>0</v>
      </c>
      <c r="J653">
        <f>pHCondMod[[#This Row],[Sample Conductivity (mS/cm)]]</f>
        <v>0</v>
      </c>
      <c r="K653">
        <f>pHCondMod[[#This Row],[Modification Description]]</f>
        <v>0</v>
      </c>
      <c r="L653" s="1">
        <f>NMRResults[[#This Row],[Date Run]]</f>
        <v>0</v>
      </c>
      <c r="M653" s="1">
        <f>ICPList[[#This Row],[Date Run]]</f>
        <v>0</v>
      </c>
      <c r="N653" s="1">
        <f>GCResults[[#This Row],[Date Run ]]</f>
        <v>0</v>
      </c>
    </row>
    <row r="654" spans="1:14" ht="14.45" x14ac:dyDescent="0.25">
      <c r="A654">
        <f>SampleList[[#This Row],[Experiment ID]]</f>
        <v>0</v>
      </c>
      <c r="B654">
        <f>SampleList[[#This Row],[Sample Description]]</f>
        <v>0</v>
      </c>
      <c r="C654" s="1">
        <f>SampleList[[#This Row],[Date Sampled]]</f>
        <v>0</v>
      </c>
      <c r="D654">
        <f>SampleList[[#This Row],[Duration (Days)]]</f>
        <v>0</v>
      </c>
      <c r="E654">
        <f>NMRResults[[#This Row],[Ammonium Concentration (mM)]]</f>
        <v>0</v>
      </c>
      <c r="F654" t="str">
        <f>GCResults[[#This Row],[H2 (ppm)]]</f>
        <v/>
      </c>
      <c r="G654">
        <f>GCResults[[#This Row],[Total Gas Volume (mL), gas cylinder = 3785mL]]</f>
        <v>0</v>
      </c>
      <c r="H654">
        <f>GCResults[[#This Row],[Pressure on Sampling (PSI), 145PSI=1MPa]]</f>
        <v>3552.5</v>
      </c>
      <c r="I654">
        <f>pHCondMod[[#This Row],[Sample pH]]</f>
        <v>0</v>
      </c>
      <c r="J654">
        <f>pHCondMod[[#This Row],[Sample Conductivity (mS/cm)]]</f>
        <v>0</v>
      </c>
      <c r="K654">
        <f>pHCondMod[[#This Row],[Modification Description]]</f>
        <v>0</v>
      </c>
      <c r="L654" s="1">
        <f>NMRResults[[#This Row],[Date Run]]</f>
        <v>0</v>
      </c>
      <c r="M654" s="1">
        <f>ICPList[[#This Row],[Date Run]]</f>
        <v>0</v>
      </c>
      <c r="N654" s="1">
        <f>GCResults[[#This Row],[Date Run ]]</f>
        <v>0</v>
      </c>
    </row>
    <row r="655" spans="1:14" ht="14.45" x14ac:dyDescent="0.25">
      <c r="A655">
        <f>SampleList[[#This Row],[Experiment ID]]</f>
        <v>0</v>
      </c>
      <c r="B655">
        <f>SampleList[[#This Row],[Sample Description]]</f>
        <v>0</v>
      </c>
      <c r="C655" s="1">
        <f>SampleList[[#This Row],[Date Sampled]]</f>
        <v>0</v>
      </c>
      <c r="D655">
        <f>SampleList[[#This Row],[Duration (Days)]]</f>
        <v>0</v>
      </c>
      <c r="E655">
        <f>NMRResults[[#This Row],[Ammonium Concentration (mM)]]</f>
        <v>0</v>
      </c>
      <c r="F655" t="str">
        <f>GCResults[[#This Row],[H2 (ppm)]]</f>
        <v/>
      </c>
      <c r="G655">
        <f>GCResults[[#This Row],[Total Gas Volume (mL), gas cylinder = 3785mL]]</f>
        <v>0</v>
      </c>
      <c r="H655">
        <f>GCResults[[#This Row],[Pressure on Sampling (PSI), 145PSI=1MPa]]</f>
        <v>3552.5</v>
      </c>
      <c r="I655">
        <f>pHCondMod[[#This Row],[Sample pH]]</f>
        <v>0</v>
      </c>
      <c r="J655">
        <f>pHCondMod[[#This Row],[Sample Conductivity (mS/cm)]]</f>
        <v>0</v>
      </c>
      <c r="K655">
        <f>pHCondMod[[#This Row],[Modification Description]]</f>
        <v>0</v>
      </c>
      <c r="L655" s="1">
        <f>NMRResults[[#This Row],[Date Run]]</f>
        <v>0</v>
      </c>
      <c r="M655" s="1">
        <f>ICPList[[#This Row],[Date Run]]</f>
        <v>0</v>
      </c>
      <c r="N655" s="1">
        <f>GCResults[[#This Row],[Date Run ]]</f>
        <v>0</v>
      </c>
    </row>
    <row r="656" spans="1:14" ht="14.45" x14ac:dyDescent="0.25">
      <c r="A656">
        <f>SampleList[[#This Row],[Experiment ID]]</f>
        <v>0</v>
      </c>
      <c r="B656">
        <f>SampleList[[#This Row],[Sample Description]]</f>
        <v>0</v>
      </c>
      <c r="C656" s="1">
        <f>SampleList[[#This Row],[Date Sampled]]</f>
        <v>0</v>
      </c>
      <c r="D656">
        <f>SampleList[[#This Row],[Duration (Days)]]</f>
        <v>0</v>
      </c>
      <c r="E656">
        <f>NMRResults[[#This Row],[Ammonium Concentration (mM)]]</f>
        <v>0</v>
      </c>
      <c r="F656" t="str">
        <f>GCResults[[#This Row],[H2 (ppm)]]</f>
        <v/>
      </c>
      <c r="G656">
        <f>GCResults[[#This Row],[Total Gas Volume (mL), gas cylinder = 3785mL]]</f>
        <v>0</v>
      </c>
      <c r="H656">
        <f>GCResults[[#This Row],[Pressure on Sampling (PSI), 145PSI=1MPa]]</f>
        <v>3552.5</v>
      </c>
      <c r="I656">
        <f>pHCondMod[[#This Row],[Sample pH]]</f>
        <v>0</v>
      </c>
      <c r="J656">
        <f>pHCondMod[[#This Row],[Sample Conductivity (mS/cm)]]</f>
        <v>0</v>
      </c>
      <c r="K656">
        <f>pHCondMod[[#This Row],[Modification Description]]</f>
        <v>0</v>
      </c>
      <c r="L656" s="1">
        <f>NMRResults[[#This Row],[Date Run]]</f>
        <v>0</v>
      </c>
      <c r="M656" s="1">
        <f>ICPList[[#This Row],[Date Run]]</f>
        <v>0</v>
      </c>
      <c r="N656" s="1">
        <f>GCResults[[#This Row],[Date Run ]]</f>
        <v>0</v>
      </c>
    </row>
    <row r="657" spans="1:14" ht="14.45" x14ac:dyDescent="0.25">
      <c r="A657">
        <f>SampleList[[#This Row],[Experiment ID]]</f>
        <v>0</v>
      </c>
      <c r="B657">
        <f>SampleList[[#This Row],[Sample Description]]</f>
        <v>0</v>
      </c>
      <c r="C657" s="1">
        <f>SampleList[[#This Row],[Date Sampled]]</f>
        <v>0</v>
      </c>
      <c r="D657">
        <f>SampleList[[#This Row],[Duration (Days)]]</f>
        <v>0</v>
      </c>
      <c r="E657">
        <f>NMRResults[[#This Row],[Ammonium Concentration (mM)]]</f>
        <v>0</v>
      </c>
      <c r="F657" t="str">
        <f>GCResults[[#This Row],[H2 (ppm)]]</f>
        <v/>
      </c>
      <c r="G657">
        <f>GCResults[[#This Row],[Total Gas Volume (mL), gas cylinder = 3785mL]]</f>
        <v>0</v>
      </c>
      <c r="H657">
        <f>GCResults[[#This Row],[Pressure on Sampling (PSI), 145PSI=1MPa]]</f>
        <v>3552.5</v>
      </c>
      <c r="I657">
        <f>pHCondMod[[#This Row],[Sample pH]]</f>
        <v>0</v>
      </c>
      <c r="J657">
        <f>pHCondMod[[#This Row],[Sample Conductivity (mS/cm)]]</f>
        <v>0</v>
      </c>
      <c r="K657">
        <f>pHCondMod[[#This Row],[Modification Description]]</f>
        <v>0</v>
      </c>
      <c r="L657" s="1">
        <f>NMRResults[[#This Row],[Date Run]]</f>
        <v>0</v>
      </c>
      <c r="M657" s="1">
        <f>ICPList[[#This Row],[Date Run]]</f>
        <v>0</v>
      </c>
      <c r="N657" s="1">
        <f>GCResults[[#This Row],[Date Run ]]</f>
        <v>0</v>
      </c>
    </row>
    <row r="658" spans="1:14" ht="14.45" x14ac:dyDescent="0.25">
      <c r="A658">
        <f>SampleList[[#This Row],[Experiment ID]]</f>
        <v>0</v>
      </c>
      <c r="B658">
        <f>SampleList[[#This Row],[Sample Description]]</f>
        <v>0</v>
      </c>
      <c r="C658" s="1">
        <f>SampleList[[#This Row],[Date Sampled]]</f>
        <v>0</v>
      </c>
      <c r="D658">
        <f>SampleList[[#This Row],[Duration (Days)]]</f>
        <v>0</v>
      </c>
      <c r="E658">
        <f>NMRResults[[#This Row],[Ammonium Concentration (mM)]]</f>
        <v>0</v>
      </c>
      <c r="F658" t="str">
        <f>GCResults[[#This Row],[H2 (ppm)]]</f>
        <v/>
      </c>
      <c r="G658">
        <f>GCResults[[#This Row],[Total Gas Volume (mL), gas cylinder = 3785mL]]</f>
        <v>0</v>
      </c>
      <c r="H658">
        <f>GCResults[[#This Row],[Pressure on Sampling (PSI), 145PSI=1MPa]]</f>
        <v>3552.5</v>
      </c>
      <c r="I658">
        <f>pHCondMod[[#This Row],[Sample pH]]</f>
        <v>0</v>
      </c>
      <c r="J658">
        <f>pHCondMod[[#This Row],[Sample Conductivity (mS/cm)]]</f>
        <v>0</v>
      </c>
      <c r="K658">
        <f>pHCondMod[[#This Row],[Modification Description]]</f>
        <v>0</v>
      </c>
      <c r="L658" s="1">
        <f>NMRResults[[#This Row],[Date Run]]</f>
        <v>0</v>
      </c>
      <c r="M658" s="1">
        <f>ICPList[[#This Row],[Date Run]]</f>
        <v>0</v>
      </c>
      <c r="N658" s="1">
        <f>GCResults[[#This Row],[Date Run ]]</f>
        <v>0</v>
      </c>
    </row>
    <row r="659" spans="1:14" ht="14.45" x14ac:dyDescent="0.25">
      <c r="A659">
        <f>SampleList[[#This Row],[Experiment ID]]</f>
        <v>0</v>
      </c>
      <c r="B659">
        <f>SampleList[[#This Row],[Sample Description]]</f>
        <v>0</v>
      </c>
      <c r="C659" s="1">
        <f>SampleList[[#This Row],[Date Sampled]]</f>
        <v>0</v>
      </c>
      <c r="D659">
        <f>SampleList[[#This Row],[Duration (Days)]]</f>
        <v>0</v>
      </c>
      <c r="E659">
        <f>NMRResults[[#This Row],[Ammonium Concentration (mM)]]</f>
        <v>0</v>
      </c>
      <c r="F659" t="str">
        <f>GCResults[[#This Row],[H2 (ppm)]]</f>
        <v/>
      </c>
      <c r="G659">
        <f>GCResults[[#This Row],[Total Gas Volume (mL), gas cylinder = 3785mL]]</f>
        <v>0</v>
      </c>
      <c r="H659">
        <f>GCResults[[#This Row],[Pressure on Sampling (PSI), 145PSI=1MPa]]</f>
        <v>3552.5</v>
      </c>
      <c r="I659">
        <f>pHCondMod[[#This Row],[Sample pH]]</f>
        <v>0</v>
      </c>
      <c r="J659">
        <f>pHCondMod[[#This Row],[Sample Conductivity (mS/cm)]]</f>
        <v>0</v>
      </c>
      <c r="K659">
        <f>pHCondMod[[#This Row],[Modification Description]]</f>
        <v>0</v>
      </c>
      <c r="L659" s="1">
        <f>NMRResults[[#This Row],[Date Run]]</f>
        <v>0</v>
      </c>
      <c r="M659" s="1">
        <f>ICPList[[#This Row],[Date Run]]</f>
        <v>0</v>
      </c>
      <c r="N659" s="1">
        <f>GCResults[[#This Row],[Date Run ]]</f>
        <v>0</v>
      </c>
    </row>
    <row r="660" spans="1:14" ht="14.45" x14ac:dyDescent="0.25">
      <c r="A660">
        <f>SampleList[[#This Row],[Experiment ID]]</f>
        <v>0</v>
      </c>
      <c r="B660">
        <f>SampleList[[#This Row],[Sample Description]]</f>
        <v>0</v>
      </c>
      <c r="C660" s="1">
        <f>SampleList[[#This Row],[Date Sampled]]</f>
        <v>0</v>
      </c>
      <c r="D660">
        <f>SampleList[[#This Row],[Duration (Days)]]</f>
        <v>0</v>
      </c>
      <c r="E660">
        <f>NMRResults[[#This Row],[Ammonium Concentration (mM)]]</f>
        <v>0</v>
      </c>
      <c r="F660" t="str">
        <f>GCResults[[#This Row],[H2 (ppm)]]</f>
        <v/>
      </c>
      <c r="G660">
        <f>GCResults[[#This Row],[Total Gas Volume (mL), gas cylinder = 3785mL]]</f>
        <v>0</v>
      </c>
      <c r="H660">
        <f>GCResults[[#This Row],[Pressure on Sampling (PSI), 145PSI=1MPa]]</f>
        <v>3552.5</v>
      </c>
      <c r="I660">
        <f>pHCondMod[[#This Row],[Sample pH]]</f>
        <v>0</v>
      </c>
      <c r="J660">
        <f>pHCondMod[[#This Row],[Sample Conductivity (mS/cm)]]</f>
        <v>0</v>
      </c>
      <c r="K660">
        <f>pHCondMod[[#This Row],[Modification Description]]</f>
        <v>0</v>
      </c>
      <c r="L660" s="1">
        <f>NMRResults[[#This Row],[Date Run]]</f>
        <v>0</v>
      </c>
      <c r="M660" s="1">
        <f>ICPList[[#This Row],[Date Run]]</f>
        <v>0</v>
      </c>
      <c r="N660" s="1">
        <f>GCResults[[#This Row],[Date Run ]]</f>
        <v>0</v>
      </c>
    </row>
    <row r="661" spans="1:14" ht="14.45" x14ac:dyDescent="0.25">
      <c r="A661">
        <f>SampleList[[#This Row],[Experiment ID]]</f>
        <v>0</v>
      </c>
      <c r="B661">
        <f>SampleList[[#This Row],[Sample Description]]</f>
        <v>0</v>
      </c>
      <c r="C661" s="1">
        <f>SampleList[[#This Row],[Date Sampled]]</f>
        <v>0</v>
      </c>
      <c r="D661">
        <f>SampleList[[#This Row],[Duration (Days)]]</f>
        <v>0</v>
      </c>
      <c r="E661">
        <f>NMRResults[[#This Row],[Ammonium Concentration (mM)]]</f>
        <v>0</v>
      </c>
      <c r="F661" t="str">
        <f>GCResults[[#This Row],[H2 (ppm)]]</f>
        <v/>
      </c>
      <c r="G661">
        <f>GCResults[[#This Row],[Total Gas Volume (mL), gas cylinder = 3785mL]]</f>
        <v>0</v>
      </c>
      <c r="H661">
        <f>GCResults[[#This Row],[Pressure on Sampling (PSI), 145PSI=1MPa]]</f>
        <v>3552.5</v>
      </c>
      <c r="I661">
        <f>pHCondMod[[#This Row],[Sample pH]]</f>
        <v>0</v>
      </c>
      <c r="J661">
        <f>pHCondMod[[#This Row],[Sample Conductivity (mS/cm)]]</f>
        <v>0</v>
      </c>
      <c r="K661">
        <f>pHCondMod[[#This Row],[Modification Description]]</f>
        <v>0</v>
      </c>
      <c r="L661" s="1">
        <f>NMRResults[[#This Row],[Date Run]]</f>
        <v>0</v>
      </c>
      <c r="M661" s="1">
        <f>ICPList[[#This Row],[Date Run]]</f>
        <v>0</v>
      </c>
      <c r="N661" s="1">
        <f>GCResults[[#This Row],[Date Run ]]</f>
        <v>0</v>
      </c>
    </row>
    <row r="662" spans="1:14" ht="14.45" x14ac:dyDescent="0.25">
      <c r="A662">
        <f>SampleList[[#This Row],[Experiment ID]]</f>
        <v>0</v>
      </c>
      <c r="B662">
        <f>SampleList[[#This Row],[Sample Description]]</f>
        <v>0</v>
      </c>
      <c r="C662" s="1">
        <f>SampleList[[#This Row],[Date Sampled]]</f>
        <v>0</v>
      </c>
      <c r="D662">
        <f>SampleList[[#This Row],[Duration (Days)]]</f>
        <v>0</v>
      </c>
      <c r="E662">
        <f>NMRResults[[#This Row],[Ammonium Concentration (mM)]]</f>
        <v>0</v>
      </c>
      <c r="F662" t="str">
        <f>GCResults[[#This Row],[H2 (ppm)]]</f>
        <v/>
      </c>
      <c r="G662">
        <f>GCResults[[#This Row],[Total Gas Volume (mL), gas cylinder = 3785mL]]</f>
        <v>0</v>
      </c>
      <c r="H662">
        <f>GCResults[[#This Row],[Pressure on Sampling (PSI), 145PSI=1MPa]]</f>
        <v>3552.5</v>
      </c>
      <c r="I662">
        <f>pHCondMod[[#This Row],[Sample pH]]</f>
        <v>0</v>
      </c>
      <c r="J662">
        <f>pHCondMod[[#This Row],[Sample Conductivity (mS/cm)]]</f>
        <v>0</v>
      </c>
      <c r="K662">
        <f>pHCondMod[[#This Row],[Modification Description]]</f>
        <v>0</v>
      </c>
      <c r="L662" s="1">
        <f>NMRResults[[#This Row],[Date Run]]</f>
        <v>0</v>
      </c>
      <c r="M662" s="1">
        <f>ICPList[[#This Row],[Date Run]]</f>
        <v>0</v>
      </c>
      <c r="N662" s="1">
        <f>GCResults[[#This Row],[Date Run ]]</f>
        <v>0</v>
      </c>
    </row>
    <row r="663" spans="1:14" ht="14.45" x14ac:dyDescent="0.25">
      <c r="A663">
        <f>SampleList[[#This Row],[Experiment ID]]</f>
        <v>0</v>
      </c>
      <c r="B663">
        <f>SampleList[[#This Row],[Sample Description]]</f>
        <v>0</v>
      </c>
      <c r="C663" s="1">
        <f>SampleList[[#This Row],[Date Sampled]]</f>
        <v>0</v>
      </c>
      <c r="D663">
        <f>SampleList[[#This Row],[Duration (Days)]]</f>
        <v>0</v>
      </c>
      <c r="E663">
        <f>NMRResults[[#This Row],[Ammonium Concentration (mM)]]</f>
        <v>0</v>
      </c>
      <c r="F663" t="str">
        <f>GCResults[[#This Row],[H2 (ppm)]]</f>
        <v/>
      </c>
      <c r="G663">
        <f>GCResults[[#This Row],[Total Gas Volume (mL), gas cylinder = 3785mL]]</f>
        <v>0</v>
      </c>
      <c r="H663">
        <f>GCResults[[#This Row],[Pressure on Sampling (PSI), 145PSI=1MPa]]</f>
        <v>3552.5</v>
      </c>
      <c r="I663">
        <f>pHCondMod[[#This Row],[Sample pH]]</f>
        <v>0</v>
      </c>
      <c r="J663">
        <f>pHCondMod[[#This Row],[Sample Conductivity (mS/cm)]]</f>
        <v>0</v>
      </c>
      <c r="K663">
        <f>pHCondMod[[#This Row],[Modification Description]]</f>
        <v>0</v>
      </c>
      <c r="L663" s="1">
        <f>NMRResults[[#This Row],[Date Run]]</f>
        <v>0</v>
      </c>
      <c r="M663" s="1">
        <f>ICPList[[#This Row],[Date Run]]</f>
        <v>0</v>
      </c>
      <c r="N663" s="1">
        <f>GCResults[[#This Row],[Date Run ]]</f>
        <v>0</v>
      </c>
    </row>
    <row r="664" spans="1:14" ht="14.45" x14ac:dyDescent="0.25">
      <c r="A664">
        <f>SampleList[[#This Row],[Experiment ID]]</f>
        <v>0</v>
      </c>
      <c r="B664">
        <f>SampleList[[#This Row],[Sample Description]]</f>
        <v>0</v>
      </c>
      <c r="C664" s="1">
        <f>SampleList[[#This Row],[Date Sampled]]</f>
        <v>0</v>
      </c>
      <c r="D664">
        <f>SampleList[[#This Row],[Duration (Days)]]</f>
        <v>0</v>
      </c>
      <c r="E664">
        <f>NMRResults[[#This Row],[Ammonium Concentration (mM)]]</f>
        <v>0</v>
      </c>
      <c r="F664" t="str">
        <f>GCResults[[#This Row],[H2 (ppm)]]</f>
        <v/>
      </c>
      <c r="G664">
        <f>GCResults[[#This Row],[Total Gas Volume (mL), gas cylinder = 3785mL]]</f>
        <v>0</v>
      </c>
      <c r="H664">
        <f>GCResults[[#This Row],[Pressure on Sampling (PSI), 145PSI=1MPa]]</f>
        <v>3552.5</v>
      </c>
      <c r="I664">
        <f>pHCondMod[[#This Row],[Sample pH]]</f>
        <v>0</v>
      </c>
      <c r="J664">
        <f>pHCondMod[[#This Row],[Sample Conductivity (mS/cm)]]</f>
        <v>0</v>
      </c>
      <c r="K664">
        <f>pHCondMod[[#This Row],[Modification Description]]</f>
        <v>0</v>
      </c>
      <c r="L664" s="1">
        <f>NMRResults[[#This Row],[Date Run]]</f>
        <v>0</v>
      </c>
      <c r="M664" s="1">
        <f>ICPList[[#This Row],[Date Run]]</f>
        <v>0</v>
      </c>
      <c r="N664" s="1">
        <f>GCResults[[#This Row],[Date Run ]]</f>
        <v>0</v>
      </c>
    </row>
    <row r="665" spans="1:14" ht="14.45" x14ac:dyDescent="0.25">
      <c r="A665">
        <f>SampleList[[#This Row],[Experiment ID]]</f>
        <v>0</v>
      </c>
      <c r="B665">
        <f>SampleList[[#This Row],[Sample Description]]</f>
        <v>0</v>
      </c>
      <c r="C665" s="1">
        <f>SampleList[[#This Row],[Date Sampled]]</f>
        <v>0</v>
      </c>
      <c r="D665">
        <f>SampleList[[#This Row],[Duration (Days)]]</f>
        <v>0</v>
      </c>
      <c r="E665">
        <f>NMRResults[[#This Row],[Ammonium Concentration (mM)]]</f>
        <v>0</v>
      </c>
      <c r="F665" t="str">
        <f>GCResults[[#This Row],[H2 (ppm)]]</f>
        <v/>
      </c>
      <c r="G665">
        <f>GCResults[[#This Row],[Total Gas Volume (mL), gas cylinder = 3785mL]]</f>
        <v>0</v>
      </c>
      <c r="H665">
        <f>GCResults[[#This Row],[Pressure on Sampling (PSI), 145PSI=1MPa]]</f>
        <v>3552.5</v>
      </c>
      <c r="I665">
        <f>pHCondMod[[#This Row],[Sample pH]]</f>
        <v>0</v>
      </c>
      <c r="J665">
        <f>pHCondMod[[#This Row],[Sample Conductivity (mS/cm)]]</f>
        <v>0</v>
      </c>
      <c r="K665">
        <f>pHCondMod[[#This Row],[Modification Description]]</f>
        <v>0</v>
      </c>
      <c r="L665" s="1">
        <f>NMRResults[[#This Row],[Date Run]]</f>
        <v>0</v>
      </c>
      <c r="M665" s="1">
        <f>ICPList[[#This Row],[Date Run]]</f>
        <v>0</v>
      </c>
      <c r="N665" s="1">
        <f>GCResults[[#This Row],[Date Run ]]</f>
        <v>0</v>
      </c>
    </row>
    <row r="666" spans="1:14" ht="14.45" x14ac:dyDescent="0.25">
      <c r="A666">
        <f>SampleList[[#This Row],[Experiment ID]]</f>
        <v>0</v>
      </c>
      <c r="B666">
        <f>SampleList[[#This Row],[Sample Description]]</f>
        <v>0</v>
      </c>
      <c r="C666" s="1">
        <f>SampleList[[#This Row],[Date Sampled]]</f>
        <v>0</v>
      </c>
      <c r="D666">
        <f>SampleList[[#This Row],[Duration (Days)]]</f>
        <v>0</v>
      </c>
      <c r="E666">
        <f>NMRResults[[#This Row],[Ammonium Concentration (mM)]]</f>
        <v>0</v>
      </c>
      <c r="F666" t="str">
        <f>GCResults[[#This Row],[H2 (ppm)]]</f>
        <v/>
      </c>
      <c r="G666">
        <f>GCResults[[#This Row],[Total Gas Volume (mL), gas cylinder = 3785mL]]</f>
        <v>0</v>
      </c>
      <c r="H666">
        <f>GCResults[[#This Row],[Pressure on Sampling (PSI), 145PSI=1MPa]]</f>
        <v>3552.5</v>
      </c>
      <c r="I666">
        <f>pHCondMod[[#This Row],[Sample pH]]</f>
        <v>0</v>
      </c>
      <c r="J666">
        <f>pHCondMod[[#This Row],[Sample Conductivity (mS/cm)]]</f>
        <v>0</v>
      </c>
      <c r="K666">
        <f>pHCondMod[[#This Row],[Modification Description]]</f>
        <v>0</v>
      </c>
      <c r="L666" s="1">
        <f>NMRResults[[#This Row],[Date Run]]</f>
        <v>0</v>
      </c>
      <c r="M666" s="1">
        <f>ICPList[[#This Row],[Date Run]]</f>
        <v>0</v>
      </c>
      <c r="N666" s="1">
        <f>GCResults[[#This Row],[Date Run ]]</f>
        <v>0</v>
      </c>
    </row>
    <row r="667" spans="1:14" ht="14.45" x14ac:dyDescent="0.25">
      <c r="A667">
        <f>SampleList[[#This Row],[Experiment ID]]</f>
        <v>0</v>
      </c>
      <c r="B667">
        <f>SampleList[[#This Row],[Sample Description]]</f>
        <v>0</v>
      </c>
      <c r="C667" s="1">
        <f>SampleList[[#This Row],[Date Sampled]]</f>
        <v>0</v>
      </c>
      <c r="D667">
        <f>SampleList[[#This Row],[Duration (Days)]]</f>
        <v>0</v>
      </c>
      <c r="E667">
        <f>NMRResults[[#This Row],[Ammonium Concentration (mM)]]</f>
        <v>0</v>
      </c>
      <c r="F667" t="str">
        <f>GCResults[[#This Row],[H2 (ppm)]]</f>
        <v/>
      </c>
      <c r="G667">
        <f>GCResults[[#This Row],[Total Gas Volume (mL), gas cylinder = 3785mL]]</f>
        <v>0</v>
      </c>
      <c r="H667">
        <f>GCResults[[#This Row],[Pressure on Sampling (PSI), 145PSI=1MPa]]</f>
        <v>3552.5</v>
      </c>
      <c r="I667">
        <f>pHCondMod[[#This Row],[Sample pH]]</f>
        <v>0</v>
      </c>
      <c r="J667">
        <f>pHCondMod[[#This Row],[Sample Conductivity (mS/cm)]]</f>
        <v>0</v>
      </c>
      <c r="K667">
        <f>pHCondMod[[#This Row],[Modification Description]]</f>
        <v>0</v>
      </c>
      <c r="L667" s="1">
        <f>NMRResults[[#This Row],[Date Run]]</f>
        <v>0</v>
      </c>
      <c r="M667" s="1">
        <f>ICPList[[#This Row],[Date Run]]</f>
        <v>0</v>
      </c>
      <c r="N667" s="1">
        <f>GCResults[[#This Row],[Date Run ]]</f>
        <v>0</v>
      </c>
    </row>
    <row r="668" spans="1:14" ht="14.45" x14ac:dyDescent="0.25">
      <c r="A668">
        <f>SampleList[[#This Row],[Experiment ID]]</f>
        <v>0</v>
      </c>
      <c r="B668">
        <f>SampleList[[#This Row],[Sample Description]]</f>
        <v>0</v>
      </c>
      <c r="C668" s="1">
        <f>SampleList[[#This Row],[Date Sampled]]</f>
        <v>0</v>
      </c>
      <c r="D668">
        <f>SampleList[[#This Row],[Duration (Days)]]</f>
        <v>0</v>
      </c>
      <c r="E668">
        <f>NMRResults[[#This Row],[Ammonium Concentration (mM)]]</f>
        <v>0</v>
      </c>
      <c r="F668" t="str">
        <f>GCResults[[#This Row],[H2 (ppm)]]</f>
        <v/>
      </c>
      <c r="G668">
        <f>GCResults[[#This Row],[Total Gas Volume (mL), gas cylinder = 3785mL]]</f>
        <v>0</v>
      </c>
      <c r="H668">
        <f>GCResults[[#This Row],[Pressure on Sampling (PSI), 145PSI=1MPa]]</f>
        <v>3552.5</v>
      </c>
      <c r="I668">
        <f>pHCondMod[[#This Row],[Sample pH]]</f>
        <v>0</v>
      </c>
      <c r="J668">
        <f>pHCondMod[[#This Row],[Sample Conductivity (mS/cm)]]</f>
        <v>0</v>
      </c>
      <c r="K668">
        <f>pHCondMod[[#This Row],[Modification Description]]</f>
        <v>0</v>
      </c>
      <c r="L668" s="1">
        <f>NMRResults[[#This Row],[Date Run]]</f>
        <v>0</v>
      </c>
      <c r="M668" s="1">
        <f>ICPList[[#This Row],[Date Run]]</f>
        <v>0</v>
      </c>
      <c r="N668" s="1">
        <f>GCResults[[#This Row],[Date Run ]]</f>
        <v>0</v>
      </c>
    </row>
    <row r="669" spans="1:14" ht="14.45" x14ac:dyDescent="0.25">
      <c r="A669">
        <f>SampleList[[#This Row],[Experiment ID]]</f>
        <v>0</v>
      </c>
      <c r="B669">
        <f>SampleList[[#This Row],[Sample Description]]</f>
        <v>0</v>
      </c>
      <c r="C669" s="1">
        <f>SampleList[[#This Row],[Date Sampled]]</f>
        <v>0</v>
      </c>
      <c r="D669">
        <f>SampleList[[#This Row],[Duration (Days)]]</f>
        <v>0</v>
      </c>
      <c r="E669">
        <f>NMRResults[[#This Row],[Ammonium Concentration (mM)]]</f>
        <v>0</v>
      </c>
      <c r="F669" t="str">
        <f>GCResults[[#This Row],[H2 (ppm)]]</f>
        <v/>
      </c>
      <c r="G669">
        <f>GCResults[[#This Row],[Total Gas Volume (mL), gas cylinder = 3785mL]]</f>
        <v>0</v>
      </c>
      <c r="H669">
        <f>GCResults[[#This Row],[Pressure on Sampling (PSI), 145PSI=1MPa]]</f>
        <v>3552.5</v>
      </c>
      <c r="I669">
        <f>pHCondMod[[#This Row],[Sample pH]]</f>
        <v>0</v>
      </c>
      <c r="J669">
        <f>pHCondMod[[#This Row],[Sample Conductivity (mS/cm)]]</f>
        <v>0</v>
      </c>
      <c r="K669">
        <f>pHCondMod[[#This Row],[Modification Description]]</f>
        <v>0</v>
      </c>
      <c r="L669" s="1">
        <f>NMRResults[[#This Row],[Date Run]]</f>
        <v>0</v>
      </c>
      <c r="M669" s="1">
        <f>ICPList[[#This Row],[Date Run]]</f>
        <v>0</v>
      </c>
      <c r="N669" s="1">
        <f>GCResults[[#This Row],[Date Run ]]</f>
        <v>0</v>
      </c>
    </row>
    <row r="670" spans="1:14" ht="14.45" x14ac:dyDescent="0.25">
      <c r="A670">
        <f>SampleList[[#This Row],[Experiment ID]]</f>
        <v>0</v>
      </c>
      <c r="B670">
        <f>SampleList[[#This Row],[Sample Description]]</f>
        <v>0</v>
      </c>
      <c r="C670" s="1">
        <f>SampleList[[#This Row],[Date Sampled]]</f>
        <v>0</v>
      </c>
      <c r="D670">
        <f>SampleList[[#This Row],[Duration (Days)]]</f>
        <v>0</v>
      </c>
      <c r="E670">
        <f>NMRResults[[#This Row],[Ammonium Concentration (mM)]]</f>
        <v>0</v>
      </c>
      <c r="F670" t="str">
        <f>GCResults[[#This Row],[H2 (ppm)]]</f>
        <v/>
      </c>
      <c r="G670">
        <f>GCResults[[#This Row],[Total Gas Volume (mL), gas cylinder = 3785mL]]</f>
        <v>0</v>
      </c>
      <c r="H670">
        <f>GCResults[[#This Row],[Pressure on Sampling (PSI), 145PSI=1MPa]]</f>
        <v>3552.5</v>
      </c>
      <c r="I670">
        <f>pHCondMod[[#This Row],[Sample pH]]</f>
        <v>0</v>
      </c>
      <c r="J670">
        <f>pHCondMod[[#This Row],[Sample Conductivity (mS/cm)]]</f>
        <v>0</v>
      </c>
      <c r="K670">
        <f>pHCondMod[[#This Row],[Modification Description]]</f>
        <v>0</v>
      </c>
      <c r="L670" s="1">
        <f>NMRResults[[#This Row],[Date Run]]</f>
        <v>0</v>
      </c>
      <c r="M670" s="1">
        <f>ICPList[[#This Row],[Date Run]]</f>
        <v>0</v>
      </c>
      <c r="N670" s="1">
        <f>GCResults[[#This Row],[Date Run ]]</f>
        <v>0</v>
      </c>
    </row>
    <row r="671" spans="1:14" ht="14.45" x14ac:dyDescent="0.25">
      <c r="A671">
        <f>SampleList[[#This Row],[Experiment ID]]</f>
        <v>0</v>
      </c>
      <c r="B671">
        <f>SampleList[[#This Row],[Sample Description]]</f>
        <v>0</v>
      </c>
      <c r="C671" s="1">
        <f>SampleList[[#This Row],[Date Sampled]]</f>
        <v>0</v>
      </c>
      <c r="D671">
        <f>SampleList[[#This Row],[Duration (Days)]]</f>
        <v>0</v>
      </c>
      <c r="E671">
        <f>NMRResults[[#This Row],[Ammonium Concentration (mM)]]</f>
        <v>0</v>
      </c>
      <c r="F671" t="str">
        <f>GCResults[[#This Row],[H2 (ppm)]]</f>
        <v/>
      </c>
      <c r="G671">
        <f>GCResults[[#This Row],[Total Gas Volume (mL), gas cylinder = 3785mL]]</f>
        <v>0</v>
      </c>
      <c r="H671">
        <f>GCResults[[#This Row],[Pressure on Sampling (PSI), 145PSI=1MPa]]</f>
        <v>3552.5</v>
      </c>
      <c r="I671">
        <f>pHCondMod[[#This Row],[Sample pH]]</f>
        <v>0</v>
      </c>
      <c r="J671">
        <f>pHCondMod[[#This Row],[Sample Conductivity (mS/cm)]]</f>
        <v>0</v>
      </c>
      <c r="K671">
        <f>pHCondMod[[#This Row],[Modification Description]]</f>
        <v>0</v>
      </c>
      <c r="L671" s="1">
        <f>NMRResults[[#This Row],[Date Run]]</f>
        <v>0</v>
      </c>
      <c r="M671" s="1">
        <f>ICPList[[#This Row],[Date Run]]</f>
        <v>0</v>
      </c>
      <c r="N671" s="1">
        <f>GCResults[[#This Row],[Date Run ]]</f>
        <v>0</v>
      </c>
    </row>
    <row r="672" spans="1:14" ht="14.45" x14ac:dyDescent="0.25">
      <c r="A672">
        <f>SampleList[[#This Row],[Experiment ID]]</f>
        <v>0</v>
      </c>
      <c r="B672">
        <f>SampleList[[#This Row],[Sample Description]]</f>
        <v>0</v>
      </c>
      <c r="C672" s="1">
        <f>SampleList[[#This Row],[Date Sampled]]</f>
        <v>0</v>
      </c>
      <c r="D672">
        <f>SampleList[[#This Row],[Duration (Days)]]</f>
        <v>0</v>
      </c>
      <c r="E672">
        <f>NMRResults[[#This Row],[Ammonium Concentration (mM)]]</f>
        <v>0</v>
      </c>
      <c r="F672" t="str">
        <f>GCResults[[#This Row],[H2 (ppm)]]</f>
        <v/>
      </c>
      <c r="G672">
        <f>GCResults[[#This Row],[Total Gas Volume (mL), gas cylinder = 3785mL]]</f>
        <v>0</v>
      </c>
      <c r="H672">
        <f>GCResults[[#This Row],[Pressure on Sampling (PSI), 145PSI=1MPa]]</f>
        <v>3552.5</v>
      </c>
      <c r="I672">
        <f>pHCondMod[[#This Row],[Sample pH]]</f>
        <v>0</v>
      </c>
      <c r="J672">
        <f>pHCondMod[[#This Row],[Sample Conductivity (mS/cm)]]</f>
        <v>0</v>
      </c>
      <c r="K672">
        <f>pHCondMod[[#This Row],[Modification Description]]</f>
        <v>0</v>
      </c>
      <c r="L672" s="1">
        <f>NMRResults[[#This Row],[Date Run]]</f>
        <v>0</v>
      </c>
      <c r="M672" s="1">
        <f>ICPList[[#This Row],[Date Run]]</f>
        <v>0</v>
      </c>
      <c r="N672" s="1">
        <f>GCResults[[#This Row],[Date Run ]]</f>
        <v>0</v>
      </c>
    </row>
    <row r="673" spans="1:14" ht="14.45" x14ac:dyDescent="0.25">
      <c r="A673">
        <f>SampleList[[#This Row],[Experiment ID]]</f>
        <v>0</v>
      </c>
      <c r="B673">
        <f>SampleList[[#This Row],[Sample Description]]</f>
        <v>0</v>
      </c>
      <c r="C673" s="1">
        <f>SampleList[[#This Row],[Date Sampled]]</f>
        <v>0</v>
      </c>
      <c r="D673">
        <f>SampleList[[#This Row],[Duration (Days)]]</f>
        <v>0</v>
      </c>
      <c r="E673">
        <f>NMRResults[[#This Row],[Ammonium Concentration (mM)]]</f>
        <v>0</v>
      </c>
      <c r="F673" t="str">
        <f>GCResults[[#This Row],[H2 (ppm)]]</f>
        <v/>
      </c>
      <c r="G673">
        <f>GCResults[[#This Row],[Total Gas Volume (mL), gas cylinder = 3785mL]]</f>
        <v>0</v>
      </c>
      <c r="H673">
        <f>GCResults[[#This Row],[Pressure on Sampling (PSI), 145PSI=1MPa]]</f>
        <v>3552.5</v>
      </c>
      <c r="I673">
        <f>pHCondMod[[#This Row],[Sample pH]]</f>
        <v>0</v>
      </c>
      <c r="J673">
        <f>pHCondMod[[#This Row],[Sample Conductivity (mS/cm)]]</f>
        <v>0</v>
      </c>
      <c r="K673">
        <f>pHCondMod[[#This Row],[Modification Description]]</f>
        <v>0</v>
      </c>
      <c r="L673" s="1">
        <f>NMRResults[[#This Row],[Date Run]]</f>
        <v>0</v>
      </c>
      <c r="M673" s="1">
        <f>ICPList[[#This Row],[Date Run]]</f>
        <v>0</v>
      </c>
      <c r="N673" s="1">
        <f>GCResults[[#This Row],[Date Run ]]</f>
        <v>0</v>
      </c>
    </row>
    <row r="674" spans="1:14" ht="14.45" x14ac:dyDescent="0.25">
      <c r="A674">
        <f>SampleList[[#This Row],[Experiment ID]]</f>
        <v>0</v>
      </c>
      <c r="B674">
        <f>SampleList[[#This Row],[Sample Description]]</f>
        <v>0</v>
      </c>
      <c r="C674" s="1">
        <f>SampleList[[#This Row],[Date Sampled]]</f>
        <v>0</v>
      </c>
      <c r="D674">
        <f>SampleList[[#This Row],[Duration (Days)]]</f>
        <v>0</v>
      </c>
      <c r="E674">
        <f>NMRResults[[#This Row],[Ammonium Concentration (mM)]]</f>
        <v>0</v>
      </c>
      <c r="F674" t="str">
        <f>GCResults[[#This Row],[H2 (ppm)]]</f>
        <v/>
      </c>
      <c r="G674">
        <f>GCResults[[#This Row],[Total Gas Volume (mL), gas cylinder = 3785mL]]</f>
        <v>0</v>
      </c>
      <c r="H674">
        <f>GCResults[[#This Row],[Pressure on Sampling (PSI), 145PSI=1MPa]]</f>
        <v>3552.5</v>
      </c>
      <c r="I674">
        <f>pHCondMod[[#This Row],[Sample pH]]</f>
        <v>0</v>
      </c>
      <c r="J674">
        <f>pHCondMod[[#This Row],[Sample Conductivity (mS/cm)]]</f>
        <v>0</v>
      </c>
      <c r="K674">
        <f>pHCondMod[[#This Row],[Modification Description]]</f>
        <v>0</v>
      </c>
      <c r="L674" s="1">
        <f>NMRResults[[#This Row],[Date Run]]</f>
        <v>0</v>
      </c>
      <c r="M674" s="1">
        <f>ICPList[[#This Row],[Date Run]]</f>
        <v>0</v>
      </c>
      <c r="N674" s="1">
        <f>GCResults[[#This Row],[Date Run ]]</f>
        <v>0</v>
      </c>
    </row>
    <row r="675" spans="1:14" ht="14.45" x14ac:dyDescent="0.25">
      <c r="A675">
        <f>SampleList[[#This Row],[Experiment ID]]</f>
        <v>0</v>
      </c>
      <c r="B675">
        <f>SampleList[[#This Row],[Sample Description]]</f>
        <v>0</v>
      </c>
      <c r="C675" s="1">
        <f>SampleList[[#This Row],[Date Sampled]]</f>
        <v>0</v>
      </c>
      <c r="D675">
        <f>SampleList[[#This Row],[Duration (Days)]]</f>
        <v>0</v>
      </c>
      <c r="E675">
        <f>NMRResults[[#This Row],[Ammonium Concentration (mM)]]</f>
        <v>0</v>
      </c>
      <c r="F675" t="str">
        <f>GCResults[[#This Row],[H2 (ppm)]]</f>
        <v/>
      </c>
      <c r="G675">
        <f>GCResults[[#This Row],[Total Gas Volume (mL), gas cylinder = 3785mL]]</f>
        <v>0</v>
      </c>
      <c r="H675">
        <f>GCResults[[#This Row],[Pressure on Sampling (PSI), 145PSI=1MPa]]</f>
        <v>3552.5</v>
      </c>
      <c r="I675">
        <f>pHCondMod[[#This Row],[Sample pH]]</f>
        <v>0</v>
      </c>
      <c r="J675">
        <f>pHCondMod[[#This Row],[Sample Conductivity (mS/cm)]]</f>
        <v>0</v>
      </c>
      <c r="K675">
        <f>pHCondMod[[#This Row],[Modification Description]]</f>
        <v>0</v>
      </c>
      <c r="L675" s="1">
        <f>NMRResults[[#This Row],[Date Run]]</f>
        <v>0</v>
      </c>
      <c r="M675" s="1">
        <f>ICPList[[#This Row],[Date Run]]</f>
        <v>0</v>
      </c>
      <c r="N675" s="1">
        <f>GCResults[[#This Row],[Date Run ]]</f>
        <v>0</v>
      </c>
    </row>
    <row r="676" spans="1:14" ht="14.45" x14ac:dyDescent="0.25">
      <c r="A676">
        <f>SampleList[[#This Row],[Experiment ID]]</f>
        <v>0</v>
      </c>
      <c r="B676">
        <f>SampleList[[#This Row],[Sample Description]]</f>
        <v>0</v>
      </c>
      <c r="C676" s="1">
        <f>SampleList[[#This Row],[Date Sampled]]</f>
        <v>0</v>
      </c>
      <c r="D676">
        <f>SampleList[[#This Row],[Duration (Days)]]</f>
        <v>0</v>
      </c>
      <c r="E676">
        <f>NMRResults[[#This Row],[Ammonium Concentration (mM)]]</f>
        <v>0</v>
      </c>
      <c r="F676" t="str">
        <f>GCResults[[#This Row],[H2 (ppm)]]</f>
        <v/>
      </c>
      <c r="G676">
        <f>GCResults[[#This Row],[Total Gas Volume (mL), gas cylinder = 3785mL]]</f>
        <v>0</v>
      </c>
      <c r="H676">
        <f>GCResults[[#This Row],[Pressure on Sampling (PSI), 145PSI=1MPa]]</f>
        <v>3552.5</v>
      </c>
      <c r="I676">
        <f>pHCondMod[[#This Row],[Sample pH]]</f>
        <v>0</v>
      </c>
      <c r="J676">
        <f>pHCondMod[[#This Row],[Sample Conductivity (mS/cm)]]</f>
        <v>0</v>
      </c>
      <c r="K676">
        <f>pHCondMod[[#This Row],[Modification Description]]</f>
        <v>0</v>
      </c>
      <c r="L676" s="1">
        <f>NMRResults[[#This Row],[Date Run]]</f>
        <v>0</v>
      </c>
      <c r="M676" s="1">
        <f>ICPList[[#This Row],[Date Run]]</f>
        <v>0</v>
      </c>
      <c r="N676" s="1">
        <f>GCResults[[#This Row],[Date Run ]]</f>
        <v>0</v>
      </c>
    </row>
    <row r="677" spans="1:14" ht="14.45" x14ac:dyDescent="0.25">
      <c r="A677">
        <f>SampleList[[#This Row],[Experiment ID]]</f>
        <v>0</v>
      </c>
      <c r="B677">
        <f>SampleList[[#This Row],[Sample Description]]</f>
        <v>0</v>
      </c>
      <c r="C677" s="1">
        <f>SampleList[[#This Row],[Date Sampled]]</f>
        <v>0</v>
      </c>
      <c r="D677">
        <f>SampleList[[#This Row],[Duration (Days)]]</f>
        <v>0</v>
      </c>
      <c r="E677">
        <f>NMRResults[[#This Row],[Ammonium Concentration (mM)]]</f>
        <v>0</v>
      </c>
      <c r="F677" t="str">
        <f>GCResults[[#This Row],[H2 (ppm)]]</f>
        <v/>
      </c>
      <c r="G677">
        <f>GCResults[[#This Row],[Total Gas Volume (mL), gas cylinder = 3785mL]]</f>
        <v>0</v>
      </c>
      <c r="H677">
        <f>GCResults[[#This Row],[Pressure on Sampling (PSI), 145PSI=1MPa]]</f>
        <v>3552.5</v>
      </c>
      <c r="I677">
        <f>pHCondMod[[#This Row],[Sample pH]]</f>
        <v>0</v>
      </c>
      <c r="J677">
        <f>pHCondMod[[#This Row],[Sample Conductivity (mS/cm)]]</f>
        <v>0</v>
      </c>
      <c r="K677">
        <f>pHCondMod[[#This Row],[Modification Description]]</f>
        <v>0</v>
      </c>
      <c r="L677" s="1">
        <f>NMRResults[[#This Row],[Date Run]]</f>
        <v>0</v>
      </c>
      <c r="M677" s="1">
        <f>ICPList[[#This Row],[Date Run]]</f>
        <v>0</v>
      </c>
      <c r="N677" s="1">
        <f>GCResults[[#This Row],[Date Run ]]</f>
        <v>0</v>
      </c>
    </row>
    <row r="678" spans="1:14" ht="14.45" x14ac:dyDescent="0.25">
      <c r="A678">
        <f>SampleList[[#This Row],[Experiment ID]]</f>
        <v>0</v>
      </c>
      <c r="B678">
        <f>SampleList[[#This Row],[Sample Description]]</f>
        <v>0</v>
      </c>
      <c r="C678" s="1">
        <f>SampleList[[#This Row],[Date Sampled]]</f>
        <v>0</v>
      </c>
      <c r="D678">
        <f>SampleList[[#This Row],[Duration (Days)]]</f>
        <v>0</v>
      </c>
      <c r="E678">
        <f>NMRResults[[#This Row],[Ammonium Concentration (mM)]]</f>
        <v>0</v>
      </c>
      <c r="F678" t="str">
        <f>GCResults[[#This Row],[H2 (ppm)]]</f>
        <v/>
      </c>
      <c r="G678">
        <f>GCResults[[#This Row],[Total Gas Volume (mL), gas cylinder = 3785mL]]</f>
        <v>0</v>
      </c>
      <c r="H678">
        <f>GCResults[[#This Row],[Pressure on Sampling (PSI), 145PSI=1MPa]]</f>
        <v>3552.5</v>
      </c>
      <c r="I678">
        <f>pHCondMod[[#This Row],[Sample pH]]</f>
        <v>0</v>
      </c>
      <c r="J678">
        <f>pHCondMod[[#This Row],[Sample Conductivity (mS/cm)]]</f>
        <v>0</v>
      </c>
      <c r="K678">
        <f>pHCondMod[[#This Row],[Modification Description]]</f>
        <v>0</v>
      </c>
      <c r="L678" s="1">
        <f>NMRResults[[#This Row],[Date Run]]</f>
        <v>0</v>
      </c>
      <c r="M678" s="1">
        <f>ICPList[[#This Row],[Date Run]]</f>
        <v>0</v>
      </c>
      <c r="N678" s="1">
        <f>GCResults[[#This Row],[Date Run ]]</f>
        <v>0</v>
      </c>
    </row>
    <row r="679" spans="1:14" ht="14.45" x14ac:dyDescent="0.25">
      <c r="A679">
        <f>SampleList[[#This Row],[Experiment ID]]</f>
        <v>0</v>
      </c>
      <c r="B679">
        <f>SampleList[[#This Row],[Sample Description]]</f>
        <v>0</v>
      </c>
      <c r="C679" s="1">
        <f>SampleList[[#This Row],[Date Sampled]]</f>
        <v>0</v>
      </c>
      <c r="D679">
        <f>SampleList[[#This Row],[Duration (Days)]]</f>
        <v>0</v>
      </c>
      <c r="E679">
        <f>NMRResults[[#This Row],[Ammonium Concentration (mM)]]</f>
        <v>0</v>
      </c>
      <c r="F679" t="str">
        <f>GCResults[[#This Row],[H2 (ppm)]]</f>
        <v/>
      </c>
      <c r="G679">
        <f>GCResults[[#This Row],[Total Gas Volume (mL), gas cylinder = 3785mL]]</f>
        <v>0</v>
      </c>
      <c r="H679">
        <f>GCResults[[#This Row],[Pressure on Sampling (PSI), 145PSI=1MPa]]</f>
        <v>3552.5</v>
      </c>
      <c r="I679">
        <f>pHCondMod[[#This Row],[Sample pH]]</f>
        <v>0</v>
      </c>
      <c r="J679">
        <f>pHCondMod[[#This Row],[Sample Conductivity (mS/cm)]]</f>
        <v>0</v>
      </c>
      <c r="K679">
        <f>pHCondMod[[#This Row],[Modification Description]]</f>
        <v>0</v>
      </c>
      <c r="L679" s="1">
        <f>NMRResults[[#This Row],[Date Run]]</f>
        <v>0</v>
      </c>
      <c r="M679" s="1">
        <f>ICPList[[#This Row],[Date Run]]</f>
        <v>0</v>
      </c>
      <c r="N679" s="1">
        <f>GCResults[[#This Row],[Date Run ]]</f>
        <v>0</v>
      </c>
    </row>
    <row r="680" spans="1:14" ht="14.45" x14ac:dyDescent="0.25">
      <c r="A680">
        <f>SampleList[[#This Row],[Experiment ID]]</f>
        <v>0</v>
      </c>
      <c r="B680">
        <f>SampleList[[#This Row],[Sample Description]]</f>
        <v>0</v>
      </c>
      <c r="C680" s="1">
        <f>SampleList[[#This Row],[Date Sampled]]</f>
        <v>0</v>
      </c>
      <c r="D680">
        <f>SampleList[[#This Row],[Duration (Days)]]</f>
        <v>0</v>
      </c>
      <c r="E680">
        <f>NMRResults[[#This Row],[Ammonium Concentration (mM)]]</f>
        <v>0</v>
      </c>
      <c r="F680" t="str">
        <f>GCResults[[#This Row],[H2 (ppm)]]</f>
        <v/>
      </c>
      <c r="G680">
        <f>GCResults[[#This Row],[Total Gas Volume (mL), gas cylinder = 3785mL]]</f>
        <v>0</v>
      </c>
      <c r="H680">
        <f>GCResults[[#This Row],[Pressure on Sampling (PSI), 145PSI=1MPa]]</f>
        <v>3552.5</v>
      </c>
      <c r="I680">
        <f>pHCondMod[[#This Row],[Sample pH]]</f>
        <v>0</v>
      </c>
      <c r="J680">
        <f>pHCondMod[[#This Row],[Sample Conductivity (mS/cm)]]</f>
        <v>0</v>
      </c>
      <c r="K680">
        <f>pHCondMod[[#This Row],[Modification Description]]</f>
        <v>0</v>
      </c>
      <c r="L680" s="1">
        <f>NMRResults[[#This Row],[Date Run]]</f>
        <v>0</v>
      </c>
      <c r="M680" s="1">
        <f>ICPList[[#This Row],[Date Run]]</f>
        <v>0</v>
      </c>
      <c r="N680" s="1">
        <f>GCResults[[#This Row],[Date Run ]]</f>
        <v>0</v>
      </c>
    </row>
    <row r="681" spans="1:14" ht="14.45" x14ac:dyDescent="0.25">
      <c r="A681">
        <f>SampleList[[#This Row],[Experiment ID]]</f>
        <v>0</v>
      </c>
      <c r="B681">
        <f>SampleList[[#This Row],[Sample Description]]</f>
        <v>0</v>
      </c>
      <c r="C681" s="1">
        <f>SampleList[[#This Row],[Date Sampled]]</f>
        <v>0</v>
      </c>
      <c r="D681">
        <f>SampleList[[#This Row],[Duration (Days)]]</f>
        <v>0</v>
      </c>
      <c r="E681">
        <f>NMRResults[[#This Row],[Ammonium Concentration (mM)]]</f>
        <v>0</v>
      </c>
      <c r="F681" t="str">
        <f>GCResults[[#This Row],[H2 (ppm)]]</f>
        <v/>
      </c>
      <c r="G681">
        <f>GCResults[[#This Row],[Total Gas Volume (mL), gas cylinder = 3785mL]]</f>
        <v>0</v>
      </c>
      <c r="H681">
        <f>GCResults[[#This Row],[Pressure on Sampling (PSI), 145PSI=1MPa]]</f>
        <v>3552.5</v>
      </c>
      <c r="I681">
        <f>pHCondMod[[#This Row],[Sample pH]]</f>
        <v>0</v>
      </c>
      <c r="J681">
        <f>pHCondMod[[#This Row],[Sample Conductivity (mS/cm)]]</f>
        <v>0</v>
      </c>
      <c r="K681">
        <f>pHCondMod[[#This Row],[Modification Description]]</f>
        <v>0</v>
      </c>
      <c r="L681" s="1">
        <f>NMRResults[[#This Row],[Date Run]]</f>
        <v>0</v>
      </c>
      <c r="M681" s="1">
        <f>ICPList[[#This Row],[Date Run]]</f>
        <v>0</v>
      </c>
      <c r="N681" s="1">
        <f>GCResults[[#This Row],[Date Run ]]</f>
        <v>0</v>
      </c>
    </row>
    <row r="682" spans="1:14" ht="14.45" x14ac:dyDescent="0.25">
      <c r="A682">
        <f>SampleList[[#This Row],[Experiment ID]]</f>
        <v>0</v>
      </c>
      <c r="B682">
        <f>SampleList[[#This Row],[Sample Description]]</f>
        <v>0</v>
      </c>
      <c r="C682" s="1">
        <f>SampleList[[#This Row],[Date Sampled]]</f>
        <v>0</v>
      </c>
      <c r="D682">
        <f>SampleList[[#This Row],[Duration (Days)]]</f>
        <v>0</v>
      </c>
      <c r="E682">
        <f>NMRResults[[#This Row],[Ammonium Concentration (mM)]]</f>
        <v>0</v>
      </c>
      <c r="F682" t="str">
        <f>GCResults[[#This Row],[H2 (ppm)]]</f>
        <v/>
      </c>
      <c r="G682">
        <f>GCResults[[#This Row],[Total Gas Volume (mL), gas cylinder = 3785mL]]</f>
        <v>0</v>
      </c>
      <c r="H682">
        <f>GCResults[[#This Row],[Pressure on Sampling (PSI), 145PSI=1MPa]]</f>
        <v>3552.5</v>
      </c>
      <c r="I682">
        <f>pHCondMod[[#This Row],[Sample pH]]</f>
        <v>0</v>
      </c>
      <c r="J682">
        <f>pHCondMod[[#This Row],[Sample Conductivity (mS/cm)]]</f>
        <v>0</v>
      </c>
      <c r="K682">
        <f>pHCondMod[[#This Row],[Modification Description]]</f>
        <v>0</v>
      </c>
      <c r="L682" s="1">
        <f>NMRResults[[#This Row],[Date Run]]</f>
        <v>0</v>
      </c>
      <c r="M682" s="1">
        <f>ICPList[[#This Row],[Date Run]]</f>
        <v>0</v>
      </c>
      <c r="N682" s="1">
        <f>GCResults[[#This Row],[Date Run ]]</f>
        <v>0</v>
      </c>
    </row>
    <row r="683" spans="1:14" ht="14.45" x14ac:dyDescent="0.25">
      <c r="A683">
        <f>SampleList[[#This Row],[Experiment ID]]</f>
        <v>0</v>
      </c>
      <c r="B683">
        <f>SampleList[[#This Row],[Sample Description]]</f>
        <v>0</v>
      </c>
      <c r="C683" s="1">
        <f>SampleList[[#This Row],[Date Sampled]]</f>
        <v>0</v>
      </c>
      <c r="D683">
        <f>SampleList[[#This Row],[Duration (Days)]]</f>
        <v>0</v>
      </c>
      <c r="E683">
        <f>NMRResults[[#This Row],[Ammonium Concentration (mM)]]</f>
        <v>0</v>
      </c>
      <c r="F683" t="str">
        <f>GCResults[[#This Row],[H2 (ppm)]]</f>
        <v/>
      </c>
      <c r="G683">
        <f>GCResults[[#This Row],[Total Gas Volume (mL), gas cylinder = 3785mL]]</f>
        <v>0</v>
      </c>
      <c r="H683">
        <f>GCResults[[#This Row],[Pressure on Sampling (PSI), 145PSI=1MPa]]</f>
        <v>3552.5</v>
      </c>
      <c r="I683">
        <f>pHCondMod[[#This Row],[Sample pH]]</f>
        <v>0</v>
      </c>
      <c r="J683">
        <f>pHCondMod[[#This Row],[Sample Conductivity (mS/cm)]]</f>
        <v>0</v>
      </c>
      <c r="K683">
        <f>pHCondMod[[#This Row],[Modification Description]]</f>
        <v>0</v>
      </c>
      <c r="L683" s="1">
        <f>NMRResults[[#This Row],[Date Run]]</f>
        <v>0</v>
      </c>
      <c r="M683" s="1">
        <f>ICPList[[#This Row],[Date Run]]</f>
        <v>0</v>
      </c>
      <c r="N683" s="1">
        <f>GCResults[[#This Row],[Date Run ]]</f>
        <v>0</v>
      </c>
    </row>
    <row r="684" spans="1:14" ht="14.45" x14ac:dyDescent="0.25">
      <c r="A684">
        <f>SampleList[[#This Row],[Experiment ID]]</f>
        <v>0</v>
      </c>
      <c r="B684">
        <f>SampleList[[#This Row],[Sample Description]]</f>
        <v>0</v>
      </c>
      <c r="C684" s="1">
        <f>SampleList[[#This Row],[Date Sampled]]</f>
        <v>0</v>
      </c>
      <c r="D684">
        <f>SampleList[[#This Row],[Duration (Days)]]</f>
        <v>0</v>
      </c>
      <c r="E684">
        <f>NMRResults[[#This Row],[Ammonium Concentration (mM)]]</f>
        <v>0</v>
      </c>
      <c r="F684" t="str">
        <f>GCResults[[#This Row],[H2 (ppm)]]</f>
        <v/>
      </c>
      <c r="G684">
        <f>GCResults[[#This Row],[Total Gas Volume (mL), gas cylinder = 3785mL]]</f>
        <v>0</v>
      </c>
      <c r="H684">
        <f>GCResults[[#This Row],[Pressure on Sampling (PSI), 145PSI=1MPa]]</f>
        <v>3552.5</v>
      </c>
      <c r="I684">
        <f>pHCondMod[[#This Row],[Sample pH]]</f>
        <v>0</v>
      </c>
      <c r="J684">
        <f>pHCondMod[[#This Row],[Sample Conductivity (mS/cm)]]</f>
        <v>0</v>
      </c>
      <c r="K684">
        <f>pHCondMod[[#This Row],[Modification Description]]</f>
        <v>0</v>
      </c>
      <c r="L684" s="1">
        <f>NMRResults[[#This Row],[Date Run]]</f>
        <v>0</v>
      </c>
      <c r="M684" s="1">
        <f>ICPList[[#This Row],[Date Run]]</f>
        <v>0</v>
      </c>
      <c r="N684" s="1">
        <f>GCResults[[#This Row],[Date Run ]]</f>
        <v>0</v>
      </c>
    </row>
    <row r="685" spans="1:14" ht="14.45" x14ac:dyDescent="0.25">
      <c r="A685">
        <f>SampleList[[#This Row],[Experiment ID]]</f>
        <v>0</v>
      </c>
      <c r="B685">
        <f>SampleList[[#This Row],[Sample Description]]</f>
        <v>0</v>
      </c>
      <c r="C685" s="1">
        <f>SampleList[[#This Row],[Date Sampled]]</f>
        <v>0</v>
      </c>
      <c r="D685">
        <f>SampleList[[#This Row],[Duration (Days)]]</f>
        <v>0</v>
      </c>
      <c r="E685">
        <f>NMRResults[[#This Row],[Ammonium Concentration (mM)]]</f>
        <v>0</v>
      </c>
      <c r="F685" t="str">
        <f>GCResults[[#This Row],[H2 (ppm)]]</f>
        <v/>
      </c>
      <c r="G685">
        <f>GCResults[[#This Row],[Total Gas Volume (mL), gas cylinder = 3785mL]]</f>
        <v>0</v>
      </c>
      <c r="H685">
        <f>GCResults[[#This Row],[Pressure on Sampling (PSI), 145PSI=1MPa]]</f>
        <v>3552.5</v>
      </c>
      <c r="I685">
        <f>pHCondMod[[#This Row],[Sample pH]]</f>
        <v>0</v>
      </c>
      <c r="J685">
        <f>pHCondMod[[#This Row],[Sample Conductivity (mS/cm)]]</f>
        <v>0</v>
      </c>
      <c r="K685">
        <f>pHCondMod[[#This Row],[Modification Description]]</f>
        <v>0</v>
      </c>
      <c r="L685" s="1">
        <f>NMRResults[[#This Row],[Date Run]]</f>
        <v>0</v>
      </c>
      <c r="M685" s="1">
        <f>ICPList[[#This Row],[Date Run]]</f>
        <v>0</v>
      </c>
      <c r="N685" s="1">
        <f>GCResults[[#This Row],[Date Run ]]</f>
        <v>0</v>
      </c>
    </row>
    <row r="686" spans="1:14" ht="14.45" x14ac:dyDescent="0.25">
      <c r="A686">
        <f>SampleList[[#This Row],[Experiment ID]]</f>
        <v>0</v>
      </c>
      <c r="B686">
        <f>SampleList[[#This Row],[Sample Description]]</f>
        <v>0</v>
      </c>
      <c r="C686" s="1">
        <f>SampleList[[#This Row],[Date Sampled]]</f>
        <v>0</v>
      </c>
      <c r="D686">
        <f>SampleList[[#This Row],[Duration (Days)]]</f>
        <v>0</v>
      </c>
      <c r="E686">
        <f>NMRResults[[#This Row],[Ammonium Concentration (mM)]]</f>
        <v>0</v>
      </c>
      <c r="F686" t="str">
        <f>GCResults[[#This Row],[H2 (ppm)]]</f>
        <v/>
      </c>
      <c r="G686">
        <f>GCResults[[#This Row],[Total Gas Volume (mL), gas cylinder = 3785mL]]</f>
        <v>0</v>
      </c>
      <c r="H686">
        <f>GCResults[[#This Row],[Pressure on Sampling (PSI), 145PSI=1MPa]]</f>
        <v>3552.5</v>
      </c>
      <c r="I686">
        <f>pHCondMod[[#This Row],[Sample pH]]</f>
        <v>0</v>
      </c>
      <c r="J686">
        <f>pHCondMod[[#This Row],[Sample Conductivity (mS/cm)]]</f>
        <v>0</v>
      </c>
      <c r="K686">
        <f>pHCondMod[[#This Row],[Modification Description]]</f>
        <v>0</v>
      </c>
      <c r="L686" s="1">
        <f>NMRResults[[#This Row],[Date Run]]</f>
        <v>0</v>
      </c>
      <c r="M686" s="1">
        <f>ICPList[[#This Row],[Date Run]]</f>
        <v>0</v>
      </c>
      <c r="N686" s="1">
        <f>GCResults[[#This Row],[Date Run ]]</f>
        <v>0</v>
      </c>
    </row>
    <row r="687" spans="1:14" ht="14.45" x14ac:dyDescent="0.25">
      <c r="A687">
        <f>SampleList[[#This Row],[Experiment ID]]</f>
        <v>0</v>
      </c>
      <c r="B687">
        <f>SampleList[[#This Row],[Sample Description]]</f>
        <v>0</v>
      </c>
      <c r="C687" s="1">
        <f>SampleList[[#This Row],[Date Sampled]]</f>
        <v>0</v>
      </c>
      <c r="D687">
        <f>SampleList[[#This Row],[Duration (Days)]]</f>
        <v>0</v>
      </c>
      <c r="E687">
        <f>NMRResults[[#This Row],[Ammonium Concentration (mM)]]</f>
        <v>0</v>
      </c>
      <c r="F687" t="str">
        <f>GCResults[[#This Row],[H2 (ppm)]]</f>
        <v/>
      </c>
      <c r="G687">
        <f>GCResults[[#This Row],[Total Gas Volume (mL), gas cylinder = 3785mL]]</f>
        <v>0</v>
      </c>
      <c r="H687">
        <f>GCResults[[#This Row],[Pressure on Sampling (PSI), 145PSI=1MPa]]</f>
        <v>3552.5</v>
      </c>
      <c r="I687">
        <f>pHCondMod[[#This Row],[Sample pH]]</f>
        <v>0</v>
      </c>
      <c r="J687">
        <f>pHCondMod[[#This Row],[Sample Conductivity (mS/cm)]]</f>
        <v>0</v>
      </c>
      <c r="K687">
        <f>pHCondMod[[#This Row],[Modification Description]]</f>
        <v>0</v>
      </c>
      <c r="L687" s="1">
        <f>NMRResults[[#This Row],[Date Run]]</f>
        <v>0</v>
      </c>
      <c r="M687" s="1">
        <f>ICPList[[#This Row],[Date Run]]</f>
        <v>0</v>
      </c>
      <c r="N687" s="1">
        <f>GCResults[[#This Row],[Date Run ]]</f>
        <v>0</v>
      </c>
    </row>
    <row r="688" spans="1:14" ht="14.45" x14ac:dyDescent="0.25">
      <c r="A688">
        <f>SampleList[[#This Row],[Experiment ID]]</f>
        <v>0</v>
      </c>
      <c r="B688">
        <f>SampleList[[#This Row],[Sample Description]]</f>
        <v>0</v>
      </c>
      <c r="C688" s="1">
        <f>SampleList[[#This Row],[Date Sampled]]</f>
        <v>0</v>
      </c>
      <c r="D688">
        <f>SampleList[[#This Row],[Duration (Days)]]</f>
        <v>0</v>
      </c>
      <c r="E688">
        <f>NMRResults[[#This Row],[Ammonium Concentration (mM)]]</f>
        <v>0</v>
      </c>
      <c r="F688" t="str">
        <f>GCResults[[#This Row],[H2 (ppm)]]</f>
        <v/>
      </c>
      <c r="G688">
        <f>GCResults[[#This Row],[Total Gas Volume (mL), gas cylinder = 3785mL]]</f>
        <v>0</v>
      </c>
      <c r="H688">
        <f>GCResults[[#This Row],[Pressure on Sampling (PSI), 145PSI=1MPa]]</f>
        <v>3552.5</v>
      </c>
      <c r="I688">
        <f>pHCondMod[[#This Row],[Sample pH]]</f>
        <v>0</v>
      </c>
      <c r="J688">
        <f>pHCondMod[[#This Row],[Sample Conductivity (mS/cm)]]</f>
        <v>0</v>
      </c>
      <c r="K688">
        <f>pHCondMod[[#This Row],[Modification Description]]</f>
        <v>0</v>
      </c>
      <c r="L688" s="1">
        <f>NMRResults[[#This Row],[Date Run]]</f>
        <v>0</v>
      </c>
      <c r="M688" s="1">
        <f>ICPList[[#This Row],[Date Run]]</f>
        <v>0</v>
      </c>
      <c r="N688" s="1">
        <f>GCResults[[#This Row],[Date Run ]]</f>
        <v>0</v>
      </c>
    </row>
    <row r="689" spans="1:14" ht="14.45" x14ac:dyDescent="0.25">
      <c r="A689">
        <f>SampleList[[#This Row],[Experiment ID]]</f>
        <v>0</v>
      </c>
      <c r="B689">
        <f>SampleList[[#This Row],[Sample Description]]</f>
        <v>0</v>
      </c>
      <c r="C689" s="1">
        <f>SampleList[[#This Row],[Date Sampled]]</f>
        <v>0</v>
      </c>
      <c r="D689">
        <f>SampleList[[#This Row],[Duration (Days)]]</f>
        <v>0</v>
      </c>
      <c r="E689">
        <f>NMRResults[[#This Row],[Ammonium Concentration (mM)]]</f>
        <v>0</v>
      </c>
      <c r="F689" t="str">
        <f>GCResults[[#This Row],[H2 (ppm)]]</f>
        <v/>
      </c>
      <c r="G689">
        <f>GCResults[[#This Row],[Total Gas Volume (mL), gas cylinder = 3785mL]]</f>
        <v>0</v>
      </c>
      <c r="H689">
        <f>GCResults[[#This Row],[Pressure on Sampling (PSI), 145PSI=1MPa]]</f>
        <v>3552.5</v>
      </c>
      <c r="I689">
        <f>pHCondMod[[#This Row],[Sample pH]]</f>
        <v>0</v>
      </c>
      <c r="J689">
        <f>pHCondMod[[#This Row],[Sample Conductivity (mS/cm)]]</f>
        <v>0</v>
      </c>
      <c r="K689">
        <f>pHCondMod[[#This Row],[Modification Description]]</f>
        <v>0</v>
      </c>
      <c r="L689" s="1">
        <f>NMRResults[[#This Row],[Date Run]]</f>
        <v>0</v>
      </c>
      <c r="M689" s="1">
        <f>ICPList[[#This Row],[Date Run]]</f>
        <v>0</v>
      </c>
      <c r="N689" s="1">
        <f>GCResults[[#This Row],[Date Run ]]</f>
        <v>0</v>
      </c>
    </row>
    <row r="690" spans="1:14" ht="14.45" x14ac:dyDescent="0.25">
      <c r="A690">
        <f>SampleList[[#This Row],[Experiment ID]]</f>
        <v>0</v>
      </c>
      <c r="B690">
        <f>SampleList[[#This Row],[Sample Description]]</f>
        <v>0</v>
      </c>
      <c r="C690" s="1">
        <f>SampleList[[#This Row],[Date Sampled]]</f>
        <v>0</v>
      </c>
      <c r="D690">
        <f>SampleList[[#This Row],[Duration (Days)]]</f>
        <v>0</v>
      </c>
      <c r="E690">
        <f>NMRResults[[#This Row],[Ammonium Concentration (mM)]]</f>
        <v>0</v>
      </c>
      <c r="F690" t="str">
        <f>GCResults[[#This Row],[H2 (ppm)]]</f>
        <v/>
      </c>
      <c r="G690">
        <f>GCResults[[#This Row],[Total Gas Volume (mL), gas cylinder = 3785mL]]</f>
        <v>0</v>
      </c>
      <c r="H690">
        <f>GCResults[[#This Row],[Pressure on Sampling (PSI), 145PSI=1MPa]]</f>
        <v>3552.5</v>
      </c>
      <c r="I690">
        <f>pHCondMod[[#This Row],[Sample pH]]</f>
        <v>0</v>
      </c>
      <c r="J690">
        <f>pHCondMod[[#This Row],[Sample Conductivity (mS/cm)]]</f>
        <v>0</v>
      </c>
      <c r="K690">
        <f>pHCondMod[[#This Row],[Modification Description]]</f>
        <v>0</v>
      </c>
      <c r="L690" s="1">
        <f>NMRResults[[#This Row],[Date Run]]</f>
        <v>0</v>
      </c>
      <c r="M690" s="1">
        <f>ICPList[[#This Row],[Date Run]]</f>
        <v>0</v>
      </c>
      <c r="N690" s="1">
        <f>GCResults[[#This Row],[Date Run ]]</f>
        <v>0</v>
      </c>
    </row>
    <row r="691" spans="1:14" ht="14.45" x14ac:dyDescent="0.25">
      <c r="A691">
        <f>SampleList[[#This Row],[Experiment ID]]</f>
        <v>0</v>
      </c>
      <c r="B691">
        <f>SampleList[[#This Row],[Sample Description]]</f>
        <v>0</v>
      </c>
      <c r="C691" s="1">
        <f>SampleList[[#This Row],[Date Sampled]]</f>
        <v>0</v>
      </c>
      <c r="D691">
        <f>SampleList[[#This Row],[Duration (Days)]]</f>
        <v>0</v>
      </c>
      <c r="E691">
        <f>NMRResults[[#This Row],[Ammonium Concentration (mM)]]</f>
        <v>0</v>
      </c>
      <c r="F691" t="str">
        <f>GCResults[[#This Row],[H2 (ppm)]]</f>
        <v/>
      </c>
      <c r="G691">
        <f>GCResults[[#This Row],[Total Gas Volume (mL), gas cylinder = 3785mL]]</f>
        <v>0</v>
      </c>
      <c r="H691">
        <f>GCResults[[#This Row],[Pressure on Sampling (PSI), 145PSI=1MPa]]</f>
        <v>3552.5</v>
      </c>
      <c r="I691">
        <f>pHCondMod[[#This Row],[Sample pH]]</f>
        <v>0</v>
      </c>
      <c r="J691">
        <f>pHCondMod[[#This Row],[Sample Conductivity (mS/cm)]]</f>
        <v>0</v>
      </c>
      <c r="K691">
        <f>pHCondMod[[#This Row],[Modification Description]]</f>
        <v>0</v>
      </c>
      <c r="L691" s="1">
        <f>NMRResults[[#This Row],[Date Run]]</f>
        <v>0</v>
      </c>
      <c r="M691" s="1">
        <f>ICPList[[#This Row],[Date Run]]</f>
        <v>0</v>
      </c>
      <c r="N691" s="1">
        <f>GCResults[[#This Row],[Date Run ]]</f>
        <v>0</v>
      </c>
    </row>
    <row r="692" spans="1:14" ht="14.45" x14ac:dyDescent="0.25">
      <c r="A692">
        <f>SampleList[[#This Row],[Experiment ID]]</f>
        <v>0</v>
      </c>
      <c r="B692">
        <f>SampleList[[#This Row],[Sample Description]]</f>
        <v>0</v>
      </c>
      <c r="C692" s="1">
        <f>SampleList[[#This Row],[Date Sampled]]</f>
        <v>0</v>
      </c>
      <c r="D692">
        <f>SampleList[[#This Row],[Duration (Days)]]</f>
        <v>0</v>
      </c>
      <c r="E692">
        <f>NMRResults[[#This Row],[Ammonium Concentration (mM)]]</f>
        <v>0</v>
      </c>
      <c r="F692" t="str">
        <f>GCResults[[#This Row],[H2 (ppm)]]</f>
        <v/>
      </c>
      <c r="G692">
        <f>GCResults[[#This Row],[Total Gas Volume (mL), gas cylinder = 3785mL]]</f>
        <v>0</v>
      </c>
      <c r="H692">
        <f>GCResults[[#This Row],[Pressure on Sampling (PSI), 145PSI=1MPa]]</f>
        <v>3552.5</v>
      </c>
      <c r="I692">
        <f>pHCondMod[[#This Row],[Sample pH]]</f>
        <v>0</v>
      </c>
      <c r="J692">
        <f>pHCondMod[[#This Row],[Sample Conductivity (mS/cm)]]</f>
        <v>0</v>
      </c>
      <c r="K692">
        <f>pHCondMod[[#This Row],[Modification Description]]</f>
        <v>0</v>
      </c>
      <c r="L692" s="1">
        <f>NMRResults[[#This Row],[Date Run]]</f>
        <v>0</v>
      </c>
      <c r="M692" s="1">
        <f>ICPList[[#This Row],[Date Run]]</f>
        <v>0</v>
      </c>
      <c r="N692" s="1">
        <f>GCResults[[#This Row],[Date Run ]]</f>
        <v>0</v>
      </c>
    </row>
    <row r="693" spans="1:14" ht="14.45" x14ac:dyDescent="0.25">
      <c r="A693">
        <f>SampleList[[#This Row],[Experiment ID]]</f>
        <v>0</v>
      </c>
      <c r="B693">
        <f>SampleList[[#This Row],[Sample Description]]</f>
        <v>0</v>
      </c>
      <c r="C693" s="1">
        <f>SampleList[[#This Row],[Date Sampled]]</f>
        <v>0</v>
      </c>
      <c r="D693">
        <f>SampleList[[#This Row],[Duration (Days)]]</f>
        <v>0</v>
      </c>
      <c r="E693">
        <f>NMRResults[[#This Row],[Ammonium Concentration (mM)]]</f>
        <v>0</v>
      </c>
      <c r="F693" t="str">
        <f>GCResults[[#This Row],[H2 (ppm)]]</f>
        <v/>
      </c>
      <c r="G693">
        <f>GCResults[[#This Row],[Total Gas Volume (mL), gas cylinder = 3785mL]]</f>
        <v>0</v>
      </c>
      <c r="H693">
        <f>GCResults[[#This Row],[Pressure on Sampling (PSI), 145PSI=1MPa]]</f>
        <v>3552.5</v>
      </c>
      <c r="I693">
        <f>pHCondMod[[#This Row],[Sample pH]]</f>
        <v>0</v>
      </c>
      <c r="J693">
        <f>pHCondMod[[#This Row],[Sample Conductivity (mS/cm)]]</f>
        <v>0</v>
      </c>
      <c r="K693">
        <f>pHCondMod[[#This Row],[Modification Description]]</f>
        <v>0</v>
      </c>
      <c r="L693" s="1">
        <f>NMRResults[[#This Row],[Date Run]]</f>
        <v>0</v>
      </c>
      <c r="M693" s="1">
        <f>ICPList[[#This Row],[Date Run]]</f>
        <v>0</v>
      </c>
      <c r="N693" s="1">
        <f>GCResults[[#This Row],[Date Run ]]</f>
        <v>0</v>
      </c>
    </row>
    <row r="694" spans="1:14" ht="14.45" x14ac:dyDescent="0.25">
      <c r="A694">
        <f>SampleList[[#This Row],[Experiment ID]]</f>
        <v>0</v>
      </c>
      <c r="B694">
        <f>SampleList[[#This Row],[Sample Description]]</f>
        <v>0</v>
      </c>
      <c r="C694" s="1">
        <f>SampleList[[#This Row],[Date Sampled]]</f>
        <v>0</v>
      </c>
      <c r="D694">
        <f>SampleList[[#This Row],[Duration (Days)]]</f>
        <v>0</v>
      </c>
      <c r="E694">
        <f>NMRResults[[#This Row],[Ammonium Concentration (mM)]]</f>
        <v>0</v>
      </c>
      <c r="F694" t="str">
        <f>GCResults[[#This Row],[H2 (ppm)]]</f>
        <v/>
      </c>
      <c r="G694">
        <f>GCResults[[#This Row],[Total Gas Volume (mL), gas cylinder = 3785mL]]</f>
        <v>0</v>
      </c>
      <c r="H694">
        <f>GCResults[[#This Row],[Pressure on Sampling (PSI), 145PSI=1MPa]]</f>
        <v>3552.5</v>
      </c>
      <c r="I694">
        <f>pHCondMod[[#This Row],[Sample pH]]</f>
        <v>0</v>
      </c>
      <c r="J694">
        <f>pHCondMod[[#This Row],[Sample Conductivity (mS/cm)]]</f>
        <v>0</v>
      </c>
      <c r="K694">
        <f>pHCondMod[[#This Row],[Modification Description]]</f>
        <v>0</v>
      </c>
      <c r="L694" s="1">
        <f>NMRResults[[#This Row],[Date Run]]</f>
        <v>0</v>
      </c>
      <c r="M694" s="1">
        <f>ICPList[[#This Row],[Date Run]]</f>
        <v>0</v>
      </c>
      <c r="N694" s="1">
        <f>GCResults[[#This Row],[Date Run ]]</f>
        <v>0</v>
      </c>
    </row>
    <row r="695" spans="1:14" ht="14.45" x14ac:dyDescent="0.25">
      <c r="A695">
        <f>SampleList[[#This Row],[Experiment ID]]</f>
        <v>0</v>
      </c>
      <c r="B695">
        <f>SampleList[[#This Row],[Sample Description]]</f>
        <v>0</v>
      </c>
      <c r="C695" s="1">
        <f>SampleList[[#This Row],[Date Sampled]]</f>
        <v>0</v>
      </c>
      <c r="D695">
        <f>SampleList[[#This Row],[Duration (Days)]]</f>
        <v>0</v>
      </c>
      <c r="E695">
        <f>NMRResults[[#This Row],[Ammonium Concentration (mM)]]</f>
        <v>0</v>
      </c>
      <c r="F695" t="str">
        <f>GCResults[[#This Row],[H2 (ppm)]]</f>
        <v/>
      </c>
      <c r="G695">
        <f>GCResults[[#This Row],[Total Gas Volume (mL), gas cylinder = 3785mL]]</f>
        <v>0</v>
      </c>
      <c r="H695">
        <f>GCResults[[#This Row],[Pressure on Sampling (PSI), 145PSI=1MPa]]</f>
        <v>3552.5</v>
      </c>
      <c r="I695">
        <f>pHCondMod[[#This Row],[Sample pH]]</f>
        <v>0</v>
      </c>
      <c r="J695">
        <f>pHCondMod[[#This Row],[Sample Conductivity (mS/cm)]]</f>
        <v>0</v>
      </c>
      <c r="K695">
        <f>pHCondMod[[#This Row],[Modification Description]]</f>
        <v>0</v>
      </c>
      <c r="L695" s="1">
        <f>NMRResults[[#This Row],[Date Run]]</f>
        <v>0</v>
      </c>
      <c r="M695" s="1">
        <f>ICPList[[#This Row],[Date Run]]</f>
        <v>0</v>
      </c>
      <c r="N695" s="1">
        <f>GCResults[[#This Row],[Date Run ]]</f>
        <v>0</v>
      </c>
    </row>
    <row r="696" spans="1:14" ht="14.45" x14ac:dyDescent="0.25">
      <c r="A696">
        <f>SampleList[[#This Row],[Experiment ID]]</f>
        <v>0</v>
      </c>
      <c r="B696">
        <f>SampleList[[#This Row],[Sample Description]]</f>
        <v>0</v>
      </c>
      <c r="C696" s="1">
        <f>SampleList[[#This Row],[Date Sampled]]</f>
        <v>0</v>
      </c>
      <c r="D696">
        <f>SampleList[[#This Row],[Duration (Days)]]</f>
        <v>0</v>
      </c>
      <c r="E696">
        <f>NMRResults[[#This Row],[Ammonium Concentration (mM)]]</f>
        <v>0</v>
      </c>
      <c r="F696" t="str">
        <f>GCResults[[#This Row],[H2 (ppm)]]</f>
        <v/>
      </c>
      <c r="G696">
        <f>GCResults[[#This Row],[Total Gas Volume (mL), gas cylinder = 3785mL]]</f>
        <v>0</v>
      </c>
      <c r="H696">
        <f>GCResults[[#This Row],[Pressure on Sampling (PSI), 145PSI=1MPa]]</f>
        <v>3552.5</v>
      </c>
      <c r="I696">
        <f>pHCondMod[[#This Row],[Sample pH]]</f>
        <v>0</v>
      </c>
      <c r="J696">
        <f>pHCondMod[[#This Row],[Sample Conductivity (mS/cm)]]</f>
        <v>0</v>
      </c>
      <c r="K696">
        <f>pHCondMod[[#This Row],[Modification Description]]</f>
        <v>0</v>
      </c>
      <c r="L696" s="1">
        <f>NMRResults[[#This Row],[Date Run]]</f>
        <v>0</v>
      </c>
      <c r="M696" s="1">
        <f>ICPList[[#This Row],[Date Run]]</f>
        <v>0</v>
      </c>
      <c r="N696" s="1">
        <f>GCResults[[#This Row],[Date Run ]]</f>
        <v>0</v>
      </c>
    </row>
    <row r="697" spans="1:14" ht="14.45" x14ac:dyDescent="0.25">
      <c r="A697">
        <f>SampleList[[#This Row],[Experiment ID]]</f>
        <v>0</v>
      </c>
      <c r="B697">
        <f>SampleList[[#This Row],[Sample Description]]</f>
        <v>0</v>
      </c>
      <c r="C697" s="1">
        <f>SampleList[[#This Row],[Date Sampled]]</f>
        <v>0</v>
      </c>
      <c r="D697">
        <f>SampleList[[#This Row],[Duration (Days)]]</f>
        <v>0</v>
      </c>
      <c r="E697">
        <f>NMRResults[[#This Row],[Ammonium Concentration (mM)]]</f>
        <v>0</v>
      </c>
      <c r="F697" t="str">
        <f>GCResults[[#This Row],[H2 (ppm)]]</f>
        <v/>
      </c>
      <c r="G697">
        <f>GCResults[[#This Row],[Total Gas Volume (mL), gas cylinder = 3785mL]]</f>
        <v>0</v>
      </c>
      <c r="H697">
        <f>GCResults[[#This Row],[Pressure on Sampling (PSI), 145PSI=1MPa]]</f>
        <v>3552.5</v>
      </c>
      <c r="I697">
        <f>pHCondMod[[#This Row],[Sample pH]]</f>
        <v>0</v>
      </c>
      <c r="J697">
        <f>pHCondMod[[#This Row],[Sample Conductivity (mS/cm)]]</f>
        <v>0</v>
      </c>
      <c r="K697">
        <f>pHCondMod[[#This Row],[Modification Description]]</f>
        <v>0</v>
      </c>
      <c r="L697" s="1">
        <f>NMRResults[[#This Row],[Date Run]]</f>
        <v>0</v>
      </c>
      <c r="M697" s="1">
        <f>ICPList[[#This Row],[Date Run]]</f>
        <v>0</v>
      </c>
      <c r="N697" s="1">
        <f>GCResults[[#This Row],[Date Run ]]</f>
        <v>0</v>
      </c>
    </row>
    <row r="698" spans="1:14" ht="14.45" x14ac:dyDescent="0.25">
      <c r="A698">
        <f>SampleList[[#This Row],[Experiment ID]]</f>
        <v>0</v>
      </c>
      <c r="B698">
        <f>SampleList[[#This Row],[Sample Description]]</f>
        <v>0</v>
      </c>
      <c r="C698" s="1">
        <f>SampleList[[#This Row],[Date Sampled]]</f>
        <v>0</v>
      </c>
      <c r="D698">
        <f>SampleList[[#This Row],[Duration (Days)]]</f>
        <v>0</v>
      </c>
      <c r="E698">
        <f>NMRResults[[#This Row],[Ammonium Concentration (mM)]]</f>
        <v>0</v>
      </c>
      <c r="F698" t="str">
        <f>GCResults[[#This Row],[H2 (ppm)]]</f>
        <v/>
      </c>
      <c r="G698">
        <f>GCResults[[#This Row],[Total Gas Volume (mL), gas cylinder = 3785mL]]</f>
        <v>0</v>
      </c>
      <c r="H698">
        <f>GCResults[[#This Row],[Pressure on Sampling (PSI), 145PSI=1MPa]]</f>
        <v>3552.5</v>
      </c>
      <c r="I698">
        <f>pHCondMod[[#This Row],[Sample pH]]</f>
        <v>0</v>
      </c>
      <c r="J698">
        <f>pHCondMod[[#This Row],[Sample Conductivity (mS/cm)]]</f>
        <v>0</v>
      </c>
      <c r="K698">
        <f>pHCondMod[[#This Row],[Modification Description]]</f>
        <v>0</v>
      </c>
      <c r="L698" s="1">
        <f>NMRResults[[#This Row],[Date Run]]</f>
        <v>0</v>
      </c>
      <c r="M698" s="1">
        <f>ICPList[[#This Row],[Date Run]]</f>
        <v>0</v>
      </c>
      <c r="N698" s="1">
        <f>GCResults[[#This Row],[Date Run ]]</f>
        <v>0</v>
      </c>
    </row>
    <row r="699" spans="1:14" ht="14.45" x14ac:dyDescent="0.25">
      <c r="A699">
        <f>SampleList[[#This Row],[Experiment ID]]</f>
        <v>0</v>
      </c>
      <c r="B699">
        <f>SampleList[[#This Row],[Sample Description]]</f>
        <v>0</v>
      </c>
      <c r="C699" s="1">
        <f>SampleList[[#This Row],[Date Sampled]]</f>
        <v>0</v>
      </c>
      <c r="D699">
        <f>SampleList[[#This Row],[Duration (Days)]]</f>
        <v>0</v>
      </c>
      <c r="E699">
        <f>NMRResults[[#This Row],[Ammonium Concentration (mM)]]</f>
        <v>0</v>
      </c>
      <c r="F699" t="str">
        <f>GCResults[[#This Row],[H2 (ppm)]]</f>
        <v/>
      </c>
      <c r="G699">
        <f>GCResults[[#This Row],[Total Gas Volume (mL), gas cylinder = 3785mL]]</f>
        <v>0</v>
      </c>
      <c r="H699">
        <f>GCResults[[#This Row],[Pressure on Sampling (PSI), 145PSI=1MPa]]</f>
        <v>3552.5</v>
      </c>
      <c r="I699">
        <f>pHCondMod[[#This Row],[Sample pH]]</f>
        <v>0</v>
      </c>
      <c r="J699">
        <f>pHCondMod[[#This Row],[Sample Conductivity (mS/cm)]]</f>
        <v>0</v>
      </c>
      <c r="K699">
        <f>pHCondMod[[#This Row],[Modification Description]]</f>
        <v>0</v>
      </c>
      <c r="L699" s="1">
        <f>NMRResults[[#This Row],[Date Run]]</f>
        <v>0</v>
      </c>
      <c r="M699" s="1">
        <f>ICPList[[#This Row],[Date Run]]</f>
        <v>0</v>
      </c>
      <c r="N699" s="1">
        <f>GCResults[[#This Row],[Date Run ]]</f>
        <v>0</v>
      </c>
    </row>
    <row r="700" spans="1:14" ht="14.45" x14ac:dyDescent="0.25">
      <c r="A700">
        <f>SampleList[[#This Row],[Experiment ID]]</f>
        <v>0</v>
      </c>
      <c r="B700">
        <f>SampleList[[#This Row],[Sample Description]]</f>
        <v>0</v>
      </c>
      <c r="C700" s="1">
        <f>SampleList[[#This Row],[Date Sampled]]</f>
        <v>0</v>
      </c>
      <c r="D700">
        <f>SampleList[[#This Row],[Duration (Days)]]</f>
        <v>0</v>
      </c>
      <c r="E700">
        <f>NMRResults[[#This Row],[Ammonium Concentration (mM)]]</f>
        <v>0</v>
      </c>
      <c r="F700" t="str">
        <f>GCResults[[#This Row],[H2 (ppm)]]</f>
        <v/>
      </c>
      <c r="G700">
        <f>GCResults[[#This Row],[Total Gas Volume (mL), gas cylinder = 3785mL]]</f>
        <v>0</v>
      </c>
      <c r="H700">
        <f>GCResults[[#This Row],[Pressure on Sampling (PSI), 145PSI=1MPa]]</f>
        <v>3552.5</v>
      </c>
      <c r="I700">
        <f>pHCondMod[[#This Row],[Sample pH]]</f>
        <v>0</v>
      </c>
      <c r="J700">
        <f>pHCondMod[[#This Row],[Sample Conductivity (mS/cm)]]</f>
        <v>0</v>
      </c>
      <c r="K700">
        <f>pHCondMod[[#This Row],[Modification Description]]</f>
        <v>0</v>
      </c>
      <c r="L700" s="1">
        <f>NMRResults[[#This Row],[Date Run]]</f>
        <v>0</v>
      </c>
      <c r="M700" s="1">
        <f>ICPList[[#This Row],[Date Run]]</f>
        <v>0</v>
      </c>
      <c r="N700" s="1">
        <f>GCResults[[#This Row],[Date Run ]]</f>
        <v>0</v>
      </c>
    </row>
    <row r="701" spans="1:14" ht="14.45" x14ac:dyDescent="0.25">
      <c r="A701">
        <f>SampleList[[#This Row],[Experiment ID]]</f>
        <v>0</v>
      </c>
      <c r="B701">
        <f>SampleList[[#This Row],[Sample Description]]</f>
        <v>0</v>
      </c>
      <c r="C701" s="1">
        <f>SampleList[[#This Row],[Date Sampled]]</f>
        <v>0</v>
      </c>
      <c r="D701">
        <f>SampleList[[#This Row],[Duration (Days)]]</f>
        <v>0</v>
      </c>
      <c r="E701">
        <f>NMRResults[[#This Row],[Ammonium Concentration (mM)]]</f>
        <v>0</v>
      </c>
      <c r="F701" t="str">
        <f>GCResults[[#This Row],[H2 (ppm)]]</f>
        <v/>
      </c>
      <c r="G701">
        <f>GCResults[[#This Row],[Total Gas Volume (mL), gas cylinder = 3785mL]]</f>
        <v>0</v>
      </c>
      <c r="H701">
        <f>GCResults[[#This Row],[Pressure on Sampling (PSI), 145PSI=1MPa]]</f>
        <v>3552.5</v>
      </c>
      <c r="I701">
        <f>pHCondMod[[#This Row],[Sample pH]]</f>
        <v>0</v>
      </c>
      <c r="J701">
        <f>pHCondMod[[#This Row],[Sample Conductivity (mS/cm)]]</f>
        <v>0</v>
      </c>
      <c r="K701">
        <f>pHCondMod[[#This Row],[Modification Description]]</f>
        <v>0</v>
      </c>
      <c r="L701" s="1">
        <f>NMRResults[[#This Row],[Date Run]]</f>
        <v>0</v>
      </c>
      <c r="M701" s="1">
        <f>ICPList[[#This Row],[Date Run]]</f>
        <v>0</v>
      </c>
      <c r="N701" s="1">
        <f>GCResults[[#This Row],[Date Run ]]</f>
        <v>0</v>
      </c>
    </row>
    <row r="702" spans="1:14" ht="14.45" x14ac:dyDescent="0.25">
      <c r="A702">
        <f>SampleList[[#This Row],[Experiment ID]]</f>
        <v>0</v>
      </c>
      <c r="B702">
        <f>SampleList[[#This Row],[Sample Description]]</f>
        <v>0</v>
      </c>
      <c r="C702" s="1">
        <f>SampleList[[#This Row],[Date Sampled]]</f>
        <v>0</v>
      </c>
      <c r="D702">
        <f>SampleList[[#This Row],[Duration (Days)]]</f>
        <v>0</v>
      </c>
      <c r="E702">
        <f>NMRResults[[#This Row],[Ammonium Concentration (mM)]]</f>
        <v>0</v>
      </c>
      <c r="F702" t="str">
        <f>GCResults[[#This Row],[H2 (ppm)]]</f>
        <v/>
      </c>
      <c r="G702">
        <f>GCResults[[#This Row],[Total Gas Volume (mL), gas cylinder = 3785mL]]</f>
        <v>0</v>
      </c>
      <c r="H702">
        <f>GCResults[[#This Row],[Pressure on Sampling (PSI), 145PSI=1MPa]]</f>
        <v>3552.5</v>
      </c>
      <c r="I702">
        <f>pHCondMod[[#This Row],[Sample pH]]</f>
        <v>0</v>
      </c>
      <c r="J702">
        <f>pHCondMod[[#This Row],[Sample Conductivity (mS/cm)]]</f>
        <v>0</v>
      </c>
      <c r="K702">
        <f>pHCondMod[[#This Row],[Modification Description]]</f>
        <v>0</v>
      </c>
      <c r="L702" s="1">
        <f>NMRResults[[#This Row],[Date Run]]</f>
        <v>0</v>
      </c>
      <c r="M702" s="1">
        <f>ICPList[[#This Row],[Date Run]]</f>
        <v>0</v>
      </c>
      <c r="N702" s="1">
        <f>GCResults[[#This Row],[Date Run ]]</f>
        <v>0</v>
      </c>
    </row>
    <row r="703" spans="1:14" ht="14.45" x14ac:dyDescent="0.25">
      <c r="A703">
        <f>SampleList[[#This Row],[Experiment ID]]</f>
        <v>0</v>
      </c>
      <c r="B703">
        <f>SampleList[[#This Row],[Sample Description]]</f>
        <v>0</v>
      </c>
      <c r="C703" s="1">
        <f>SampleList[[#This Row],[Date Sampled]]</f>
        <v>0</v>
      </c>
      <c r="D703">
        <f>SampleList[[#This Row],[Duration (Days)]]</f>
        <v>0</v>
      </c>
      <c r="E703">
        <f>NMRResults[[#This Row],[Ammonium Concentration (mM)]]</f>
        <v>0</v>
      </c>
      <c r="F703" t="str">
        <f>GCResults[[#This Row],[H2 (ppm)]]</f>
        <v/>
      </c>
      <c r="G703">
        <f>GCResults[[#This Row],[Total Gas Volume (mL), gas cylinder = 3785mL]]</f>
        <v>0</v>
      </c>
      <c r="H703">
        <f>GCResults[[#This Row],[Pressure on Sampling (PSI), 145PSI=1MPa]]</f>
        <v>3552.5</v>
      </c>
      <c r="I703">
        <f>pHCondMod[[#This Row],[Sample pH]]</f>
        <v>0</v>
      </c>
      <c r="J703">
        <f>pHCondMod[[#This Row],[Sample Conductivity (mS/cm)]]</f>
        <v>0</v>
      </c>
      <c r="K703">
        <f>pHCondMod[[#This Row],[Modification Description]]</f>
        <v>0</v>
      </c>
      <c r="L703" s="1">
        <f>NMRResults[[#This Row],[Date Run]]</f>
        <v>0</v>
      </c>
      <c r="M703" s="1">
        <f>ICPList[[#This Row],[Date Run]]</f>
        <v>0</v>
      </c>
      <c r="N703" s="1">
        <f>GCResults[[#This Row],[Date Run ]]</f>
        <v>0</v>
      </c>
    </row>
    <row r="704" spans="1:14" ht="14.45" x14ac:dyDescent="0.25">
      <c r="A704">
        <f>SampleList[[#This Row],[Experiment ID]]</f>
        <v>0</v>
      </c>
      <c r="B704">
        <f>SampleList[[#This Row],[Sample Description]]</f>
        <v>0</v>
      </c>
      <c r="C704" s="1">
        <f>SampleList[[#This Row],[Date Sampled]]</f>
        <v>0</v>
      </c>
      <c r="D704">
        <f>SampleList[[#This Row],[Duration (Days)]]</f>
        <v>0</v>
      </c>
      <c r="E704">
        <f>NMRResults[[#This Row],[Ammonium Concentration (mM)]]</f>
        <v>0</v>
      </c>
      <c r="F704" t="str">
        <f>GCResults[[#This Row],[H2 (ppm)]]</f>
        <v/>
      </c>
      <c r="G704">
        <f>GCResults[[#This Row],[Total Gas Volume (mL), gas cylinder = 3785mL]]</f>
        <v>0</v>
      </c>
      <c r="H704">
        <f>GCResults[[#This Row],[Pressure on Sampling (PSI), 145PSI=1MPa]]</f>
        <v>3552.5</v>
      </c>
      <c r="I704">
        <f>pHCondMod[[#This Row],[Sample pH]]</f>
        <v>0</v>
      </c>
      <c r="J704">
        <f>pHCondMod[[#This Row],[Sample Conductivity (mS/cm)]]</f>
        <v>0</v>
      </c>
      <c r="K704">
        <f>pHCondMod[[#This Row],[Modification Description]]</f>
        <v>0</v>
      </c>
      <c r="L704" s="1">
        <f>NMRResults[[#This Row],[Date Run]]</f>
        <v>0</v>
      </c>
      <c r="M704" s="1">
        <f>ICPList[[#This Row],[Date Run]]</f>
        <v>0</v>
      </c>
      <c r="N704" s="1">
        <f>GCResults[[#This Row],[Date Run ]]</f>
        <v>0</v>
      </c>
    </row>
    <row r="705" spans="1:14" ht="14.45" x14ac:dyDescent="0.25">
      <c r="A705">
        <f>SampleList[[#This Row],[Experiment ID]]</f>
        <v>0</v>
      </c>
      <c r="B705">
        <f>SampleList[[#This Row],[Sample Description]]</f>
        <v>0</v>
      </c>
      <c r="C705" s="1">
        <f>SampleList[[#This Row],[Date Sampled]]</f>
        <v>0</v>
      </c>
      <c r="D705">
        <f>SampleList[[#This Row],[Duration (Days)]]</f>
        <v>0</v>
      </c>
      <c r="E705">
        <f>NMRResults[[#This Row],[Ammonium Concentration (mM)]]</f>
        <v>0</v>
      </c>
      <c r="F705" t="str">
        <f>GCResults[[#This Row],[H2 (ppm)]]</f>
        <v/>
      </c>
      <c r="G705">
        <f>GCResults[[#This Row],[Total Gas Volume (mL), gas cylinder = 3785mL]]</f>
        <v>0</v>
      </c>
      <c r="H705">
        <f>GCResults[[#This Row],[Pressure on Sampling (PSI), 145PSI=1MPa]]</f>
        <v>3552.5</v>
      </c>
      <c r="I705">
        <f>pHCondMod[[#This Row],[Sample pH]]</f>
        <v>0</v>
      </c>
      <c r="J705">
        <f>pHCondMod[[#This Row],[Sample Conductivity (mS/cm)]]</f>
        <v>0</v>
      </c>
      <c r="K705">
        <f>pHCondMod[[#This Row],[Modification Description]]</f>
        <v>0</v>
      </c>
      <c r="L705" s="1">
        <f>NMRResults[[#This Row],[Date Run]]</f>
        <v>0</v>
      </c>
      <c r="M705" s="1">
        <f>ICPList[[#This Row],[Date Run]]</f>
        <v>0</v>
      </c>
      <c r="N705" s="1">
        <f>GCResults[[#This Row],[Date Run ]]</f>
        <v>0</v>
      </c>
    </row>
    <row r="706" spans="1:14" ht="14.45" x14ac:dyDescent="0.25">
      <c r="A706">
        <f>SampleList[[#This Row],[Experiment ID]]</f>
        <v>0</v>
      </c>
      <c r="B706">
        <f>SampleList[[#This Row],[Sample Description]]</f>
        <v>0</v>
      </c>
      <c r="C706" s="1">
        <f>SampleList[[#This Row],[Date Sampled]]</f>
        <v>0</v>
      </c>
      <c r="D706">
        <f>SampleList[[#This Row],[Duration (Days)]]</f>
        <v>0</v>
      </c>
      <c r="E706">
        <f>NMRResults[[#This Row],[Ammonium Concentration (mM)]]</f>
        <v>0</v>
      </c>
      <c r="F706" t="str">
        <f>GCResults[[#This Row],[H2 (ppm)]]</f>
        <v/>
      </c>
      <c r="G706">
        <f>GCResults[[#This Row],[Total Gas Volume (mL), gas cylinder = 3785mL]]</f>
        <v>0</v>
      </c>
      <c r="H706">
        <f>GCResults[[#This Row],[Pressure on Sampling (PSI), 145PSI=1MPa]]</f>
        <v>3552.5</v>
      </c>
      <c r="I706">
        <f>pHCondMod[[#This Row],[Sample pH]]</f>
        <v>0</v>
      </c>
      <c r="J706">
        <f>pHCondMod[[#This Row],[Sample Conductivity (mS/cm)]]</f>
        <v>0</v>
      </c>
      <c r="K706">
        <f>pHCondMod[[#This Row],[Modification Description]]</f>
        <v>0</v>
      </c>
      <c r="L706" s="1">
        <f>NMRResults[[#This Row],[Date Run]]</f>
        <v>0</v>
      </c>
      <c r="M706" s="1">
        <f>ICPList[[#This Row],[Date Run]]</f>
        <v>0</v>
      </c>
      <c r="N706" s="1">
        <f>GCResults[[#This Row],[Date Run ]]</f>
        <v>0</v>
      </c>
    </row>
    <row r="707" spans="1:14" ht="14.45" x14ac:dyDescent="0.25">
      <c r="A707">
        <f>SampleList[[#This Row],[Experiment ID]]</f>
        <v>0</v>
      </c>
      <c r="B707">
        <f>SampleList[[#This Row],[Sample Description]]</f>
        <v>0</v>
      </c>
      <c r="C707" s="1">
        <f>SampleList[[#This Row],[Date Sampled]]</f>
        <v>0</v>
      </c>
      <c r="D707">
        <f>SampleList[[#This Row],[Duration (Days)]]</f>
        <v>0</v>
      </c>
      <c r="E707">
        <f>NMRResults[[#This Row],[Ammonium Concentration (mM)]]</f>
        <v>0</v>
      </c>
      <c r="F707" t="str">
        <f>GCResults[[#This Row],[H2 (ppm)]]</f>
        <v/>
      </c>
      <c r="G707">
        <f>GCResults[[#This Row],[Total Gas Volume (mL), gas cylinder = 3785mL]]</f>
        <v>0</v>
      </c>
      <c r="H707">
        <f>GCResults[[#This Row],[Pressure on Sampling (PSI), 145PSI=1MPa]]</f>
        <v>3552.5</v>
      </c>
      <c r="I707">
        <f>pHCondMod[[#This Row],[Sample pH]]</f>
        <v>0</v>
      </c>
      <c r="J707">
        <f>pHCondMod[[#This Row],[Sample Conductivity (mS/cm)]]</f>
        <v>0</v>
      </c>
      <c r="K707">
        <f>pHCondMod[[#This Row],[Modification Description]]</f>
        <v>0</v>
      </c>
      <c r="L707" s="1">
        <f>NMRResults[[#This Row],[Date Run]]</f>
        <v>0</v>
      </c>
      <c r="M707" s="1">
        <f>ICPList[[#This Row],[Date Run]]</f>
        <v>0</v>
      </c>
      <c r="N707" s="1">
        <f>GCResults[[#This Row],[Date Run ]]</f>
        <v>0</v>
      </c>
    </row>
    <row r="708" spans="1:14" ht="14.45" x14ac:dyDescent="0.25">
      <c r="A708">
        <f>SampleList[[#This Row],[Experiment ID]]</f>
        <v>0</v>
      </c>
      <c r="B708">
        <f>SampleList[[#This Row],[Sample Description]]</f>
        <v>0</v>
      </c>
      <c r="C708" s="1">
        <f>SampleList[[#This Row],[Date Sampled]]</f>
        <v>0</v>
      </c>
      <c r="D708">
        <f>SampleList[[#This Row],[Duration (Days)]]</f>
        <v>0</v>
      </c>
      <c r="E708">
        <f>NMRResults[[#This Row],[Ammonium Concentration (mM)]]</f>
        <v>0</v>
      </c>
      <c r="F708" t="str">
        <f>GCResults[[#This Row],[H2 (ppm)]]</f>
        <v/>
      </c>
      <c r="G708">
        <f>GCResults[[#This Row],[Total Gas Volume (mL), gas cylinder = 3785mL]]</f>
        <v>0</v>
      </c>
      <c r="H708">
        <f>GCResults[[#This Row],[Pressure on Sampling (PSI), 145PSI=1MPa]]</f>
        <v>3552.5</v>
      </c>
      <c r="I708">
        <f>pHCondMod[[#This Row],[Sample pH]]</f>
        <v>0</v>
      </c>
      <c r="J708">
        <f>pHCondMod[[#This Row],[Sample Conductivity (mS/cm)]]</f>
        <v>0</v>
      </c>
      <c r="K708">
        <f>pHCondMod[[#This Row],[Modification Description]]</f>
        <v>0</v>
      </c>
      <c r="L708" s="1">
        <f>NMRResults[[#This Row],[Date Run]]</f>
        <v>0</v>
      </c>
      <c r="M708" s="1">
        <f>ICPList[[#This Row],[Date Run]]</f>
        <v>0</v>
      </c>
      <c r="N708" s="1">
        <f>GCResults[[#This Row],[Date Run ]]</f>
        <v>0</v>
      </c>
    </row>
    <row r="709" spans="1:14" ht="14.45" x14ac:dyDescent="0.25">
      <c r="A709">
        <f>SampleList[[#This Row],[Experiment ID]]</f>
        <v>0</v>
      </c>
      <c r="B709">
        <f>SampleList[[#This Row],[Sample Description]]</f>
        <v>0</v>
      </c>
      <c r="C709" s="1">
        <f>SampleList[[#This Row],[Date Sampled]]</f>
        <v>0</v>
      </c>
      <c r="D709">
        <f>SampleList[[#This Row],[Duration (Days)]]</f>
        <v>0</v>
      </c>
      <c r="E709">
        <f>NMRResults[[#This Row],[Ammonium Concentration (mM)]]</f>
        <v>0</v>
      </c>
      <c r="F709" t="str">
        <f>GCResults[[#This Row],[H2 (ppm)]]</f>
        <v/>
      </c>
      <c r="G709">
        <f>GCResults[[#This Row],[Total Gas Volume (mL), gas cylinder = 3785mL]]</f>
        <v>0</v>
      </c>
      <c r="H709">
        <f>GCResults[[#This Row],[Pressure on Sampling (PSI), 145PSI=1MPa]]</f>
        <v>3552.5</v>
      </c>
      <c r="I709">
        <f>pHCondMod[[#This Row],[Sample pH]]</f>
        <v>0</v>
      </c>
      <c r="J709">
        <f>pHCondMod[[#This Row],[Sample Conductivity (mS/cm)]]</f>
        <v>0</v>
      </c>
      <c r="K709">
        <f>pHCondMod[[#This Row],[Modification Description]]</f>
        <v>0</v>
      </c>
      <c r="L709" s="1">
        <f>NMRResults[[#This Row],[Date Run]]</f>
        <v>0</v>
      </c>
      <c r="M709" s="1">
        <f>ICPList[[#This Row],[Date Run]]</f>
        <v>0</v>
      </c>
      <c r="N709" s="1">
        <f>GCResults[[#This Row],[Date Run ]]</f>
        <v>0</v>
      </c>
    </row>
    <row r="710" spans="1:14" ht="14.45" x14ac:dyDescent="0.25">
      <c r="A710">
        <f>SampleList[[#This Row],[Experiment ID]]</f>
        <v>0</v>
      </c>
      <c r="B710">
        <f>SampleList[[#This Row],[Sample Description]]</f>
        <v>0</v>
      </c>
      <c r="C710" s="1">
        <f>SampleList[[#This Row],[Date Sampled]]</f>
        <v>0</v>
      </c>
      <c r="D710">
        <f>SampleList[[#This Row],[Duration (Days)]]</f>
        <v>0</v>
      </c>
      <c r="E710">
        <f>NMRResults[[#This Row],[Ammonium Concentration (mM)]]</f>
        <v>0</v>
      </c>
      <c r="F710" t="str">
        <f>GCResults[[#This Row],[H2 (ppm)]]</f>
        <v/>
      </c>
      <c r="G710">
        <f>GCResults[[#This Row],[Total Gas Volume (mL), gas cylinder = 3785mL]]</f>
        <v>0</v>
      </c>
      <c r="H710">
        <f>GCResults[[#This Row],[Pressure on Sampling (PSI), 145PSI=1MPa]]</f>
        <v>3552.5</v>
      </c>
      <c r="I710">
        <f>pHCondMod[[#This Row],[Sample pH]]</f>
        <v>0</v>
      </c>
      <c r="J710">
        <f>pHCondMod[[#This Row],[Sample Conductivity (mS/cm)]]</f>
        <v>0</v>
      </c>
      <c r="K710">
        <f>pHCondMod[[#This Row],[Modification Description]]</f>
        <v>0</v>
      </c>
      <c r="L710" s="1">
        <f>NMRResults[[#This Row],[Date Run]]</f>
        <v>0</v>
      </c>
      <c r="M710" s="1">
        <f>ICPList[[#This Row],[Date Run]]</f>
        <v>0</v>
      </c>
      <c r="N710" s="1">
        <f>GCResults[[#This Row],[Date Run ]]</f>
        <v>0</v>
      </c>
    </row>
    <row r="711" spans="1:14" ht="14.45" x14ac:dyDescent="0.25">
      <c r="A711">
        <f>SampleList[[#This Row],[Experiment ID]]</f>
        <v>0</v>
      </c>
      <c r="B711">
        <f>SampleList[[#This Row],[Sample Description]]</f>
        <v>0</v>
      </c>
      <c r="C711" s="1">
        <f>SampleList[[#This Row],[Date Sampled]]</f>
        <v>0</v>
      </c>
      <c r="D711">
        <f>SampleList[[#This Row],[Duration (Days)]]</f>
        <v>0</v>
      </c>
      <c r="E711">
        <f>NMRResults[[#This Row],[Ammonium Concentration (mM)]]</f>
        <v>0</v>
      </c>
      <c r="F711" t="str">
        <f>GCResults[[#This Row],[H2 (ppm)]]</f>
        <v/>
      </c>
      <c r="G711">
        <f>GCResults[[#This Row],[Total Gas Volume (mL), gas cylinder = 3785mL]]</f>
        <v>0</v>
      </c>
      <c r="H711">
        <f>GCResults[[#This Row],[Pressure on Sampling (PSI), 145PSI=1MPa]]</f>
        <v>3552.5</v>
      </c>
      <c r="I711">
        <f>pHCondMod[[#This Row],[Sample pH]]</f>
        <v>0</v>
      </c>
      <c r="J711">
        <f>pHCondMod[[#This Row],[Sample Conductivity (mS/cm)]]</f>
        <v>0</v>
      </c>
      <c r="K711">
        <f>pHCondMod[[#This Row],[Modification Description]]</f>
        <v>0</v>
      </c>
      <c r="L711" s="1">
        <f>NMRResults[[#This Row],[Date Run]]</f>
        <v>0</v>
      </c>
      <c r="M711" s="1">
        <f>ICPList[[#This Row],[Date Run]]</f>
        <v>0</v>
      </c>
      <c r="N711" s="1">
        <f>GCResults[[#This Row],[Date Run ]]</f>
        <v>0</v>
      </c>
    </row>
    <row r="712" spans="1:14" ht="14.45" x14ac:dyDescent="0.25">
      <c r="A712">
        <f>SampleList[[#This Row],[Experiment ID]]</f>
        <v>0</v>
      </c>
      <c r="B712">
        <f>SampleList[[#This Row],[Sample Description]]</f>
        <v>0</v>
      </c>
      <c r="C712" s="1">
        <f>SampleList[[#This Row],[Date Sampled]]</f>
        <v>0</v>
      </c>
      <c r="D712">
        <f>SampleList[[#This Row],[Duration (Days)]]</f>
        <v>0</v>
      </c>
      <c r="E712">
        <f>NMRResults[[#This Row],[Ammonium Concentration (mM)]]</f>
        <v>0</v>
      </c>
      <c r="F712" t="str">
        <f>GCResults[[#This Row],[H2 (ppm)]]</f>
        <v/>
      </c>
      <c r="G712">
        <f>GCResults[[#This Row],[Total Gas Volume (mL), gas cylinder = 3785mL]]</f>
        <v>0</v>
      </c>
      <c r="H712">
        <f>GCResults[[#This Row],[Pressure on Sampling (PSI), 145PSI=1MPa]]</f>
        <v>3552.5</v>
      </c>
      <c r="I712">
        <f>pHCondMod[[#This Row],[Sample pH]]</f>
        <v>0</v>
      </c>
      <c r="J712">
        <f>pHCondMod[[#This Row],[Sample Conductivity (mS/cm)]]</f>
        <v>0</v>
      </c>
      <c r="K712">
        <f>pHCondMod[[#This Row],[Modification Description]]</f>
        <v>0</v>
      </c>
      <c r="L712" s="1">
        <f>NMRResults[[#This Row],[Date Run]]</f>
        <v>0</v>
      </c>
      <c r="M712" s="1">
        <f>ICPList[[#This Row],[Date Run]]</f>
        <v>0</v>
      </c>
      <c r="N712" s="1">
        <f>GCResults[[#This Row],[Date Run ]]</f>
        <v>0</v>
      </c>
    </row>
    <row r="713" spans="1:14" ht="14.45" x14ac:dyDescent="0.25">
      <c r="A713">
        <f>SampleList[[#This Row],[Experiment ID]]</f>
        <v>0</v>
      </c>
      <c r="B713">
        <f>SampleList[[#This Row],[Sample Description]]</f>
        <v>0</v>
      </c>
      <c r="C713" s="1">
        <f>SampleList[[#This Row],[Date Sampled]]</f>
        <v>0</v>
      </c>
      <c r="D713">
        <f>SampleList[[#This Row],[Duration (Days)]]</f>
        <v>0</v>
      </c>
      <c r="E713">
        <f>NMRResults[[#This Row],[Ammonium Concentration (mM)]]</f>
        <v>0</v>
      </c>
      <c r="F713" t="str">
        <f>GCResults[[#This Row],[H2 (ppm)]]</f>
        <v/>
      </c>
      <c r="G713">
        <f>GCResults[[#This Row],[Total Gas Volume (mL), gas cylinder = 3785mL]]</f>
        <v>0</v>
      </c>
      <c r="H713">
        <f>GCResults[[#This Row],[Pressure on Sampling (PSI), 145PSI=1MPa]]</f>
        <v>3552.5</v>
      </c>
      <c r="I713">
        <f>pHCondMod[[#This Row],[Sample pH]]</f>
        <v>0</v>
      </c>
      <c r="J713">
        <f>pHCondMod[[#This Row],[Sample Conductivity (mS/cm)]]</f>
        <v>0</v>
      </c>
      <c r="K713">
        <f>pHCondMod[[#This Row],[Modification Description]]</f>
        <v>0</v>
      </c>
      <c r="L713" s="1">
        <f>NMRResults[[#This Row],[Date Run]]</f>
        <v>0</v>
      </c>
      <c r="M713" s="1">
        <f>ICPList[[#This Row],[Date Run]]</f>
        <v>0</v>
      </c>
      <c r="N713" s="1">
        <f>GCResults[[#This Row],[Date Run ]]</f>
        <v>0</v>
      </c>
    </row>
    <row r="714" spans="1:14" ht="14.45" x14ac:dyDescent="0.25">
      <c r="A714">
        <f>SampleList[[#This Row],[Experiment ID]]</f>
        <v>0</v>
      </c>
      <c r="B714">
        <f>SampleList[[#This Row],[Sample Description]]</f>
        <v>0</v>
      </c>
      <c r="C714" s="1">
        <f>SampleList[[#This Row],[Date Sampled]]</f>
        <v>0</v>
      </c>
      <c r="D714">
        <f>SampleList[[#This Row],[Duration (Days)]]</f>
        <v>0</v>
      </c>
      <c r="E714">
        <f>NMRResults[[#This Row],[Ammonium Concentration (mM)]]</f>
        <v>0</v>
      </c>
      <c r="F714" t="str">
        <f>GCResults[[#This Row],[H2 (ppm)]]</f>
        <v/>
      </c>
      <c r="G714">
        <f>GCResults[[#This Row],[Total Gas Volume (mL), gas cylinder = 3785mL]]</f>
        <v>0</v>
      </c>
      <c r="H714">
        <f>GCResults[[#This Row],[Pressure on Sampling (PSI), 145PSI=1MPa]]</f>
        <v>3552.5</v>
      </c>
      <c r="I714">
        <f>pHCondMod[[#This Row],[Sample pH]]</f>
        <v>0</v>
      </c>
      <c r="J714">
        <f>pHCondMod[[#This Row],[Sample Conductivity (mS/cm)]]</f>
        <v>0</v>
      </c>
      <c r="K714">
        <f>pHCondMod[[#This Row],[Modification Description]]</f>
        <v>0</v>
      </c>
      <c r="L714" s="1">
        <f>NMRResults[[#This Row],[Date Run]]</f>
        <v>0</v>
      </c>
      <c r="M714" s="1">
        <f>ICPList[[#This Row],[Date Run]]</f>
        <v>0</v>
      </c>
      <c r="N714" s="1">
        <f>GCResults[[#This Row],[Date Run ]]</f>
        <v>0</v>
      </c>
    </row>
    <row r="715" spans="1:14" ht="14.45" x14ac:dyDescent="0.25">
      <c r="A715">
        <f>SampleList[[#This Row],[Experiment ID]]</f>
        <v>0</v>
      </c>
      <c r="B715">
        <f>SampleList[[#This Row],[Sample Description]]</f>
        <v>0</v>
      </c>
      <c r="C715" s="1">
        <f>SampleList[[#This Row],[Date Sampled]]</f>
        <v>0</v>
      </c>
      <c r="D715">
        <f>SampleList[[#This Row],[Duration (Days)]]</f>
        <v>0</v>
      </c>
      <c r="E715">
        <f>NMRResults[[#This Row],[Ammonium Concentration (mM)]]</f>
        <v>0</v>
      </c>
      <c r="F715" t="str">
        <f>GCResults[[#This Row],[H2 (ppm)]]</f>
        <v/>
      </c>
      <c r="G715">
        <f>GCResults[[#This Row],[Total Gas Volume (mL), gas cylinder = 3785mL]]</f>
        <v>0</v>
      </c>
      <c r="H715">
        <f>GCResults[[#This Row],[Pressure on Sampling (PSI), 145PSI=1MPa]]</f>
        <v>3552.5</v>
      </c>
      <c r="I715">
        <f>pHCondMod[[#This Row],[Sample pH]]</f>
        <v>0</v>
      </c>
      <c r="J715">
        <f>pHCondMod[[#This Row],[Sample Conductivity (mS/cm)]]</f>
        <v>0</v>
      </c>
      <c r="K715">
        <f>pHCondMod[[#This Row],[Modification Description]]</f>
        <v>0</v>
      </c>
      <c r="L715" s="1">
        <f>NMRResults[[#This Row],[Date Run]]</f>
        <v>0</v>
      </c>
      <c r="M715" s="1">
        <f>ICPList[[#This Row],[Date Run]]</f>
        <v>0</v>
      </c>
      <c r="N715" s="1">
        <f>GCResults[[#This Row],[Date Run ]]</f>
        <v>0</v>
      </c>
    </row>
    <row r="716" spans="1:14" ht="14.45" x14ac:dyDescent="0.25">
      <c r="A716">
        <f>SampleList[[#This Row],[Experiment ID]]</f>
        <v>0</v>
      </c>
      <c r="B716">
        <f>SampleList[[#This Row],[Sample Description]]</f>
        <v>0</v>
      </c>
      <c r="C716" s="1">
        <f>SampleList[[#This Row],[Date Sampled]]</f>
        <v>0</v>
      </c>
      <c r="D716">
        <f>SampleList[[#This Row],[Duration (Days)]]</f>
        <v>0</v>
      </c>
      <c r="E716">
        <f>NMRResults[[#This Row],[Ammonium Concentration (mM)]]</f>
        <v>0</v>
      </c>
      <c r="F716" t="str">
        <f>GCResults[[#This Row],[H2 (ppm)]]</f>
        <v/>
      </c>
      <c r="G716">
        <f>GCResults[[#This Row],[Total Gas Volume (mL), gas cylinder = 3785mL]]</f>
        <v>0</v>
      </c>
      <c r="H716">
        <f>GCResults[[#This Row],[Pressure on Sampling (PSI), 145PSI=1MPa]]</f>
        <v>3552.5</v>
      </c>
      <c r="I716">
        <f>pHCondMod[[#This Row],[Sample pH]]</f>
        <v>0</v>
      </c>
      <c r="J716">
        <f>pHCondMod[[#This Row],[Sample Conductivity (mS/cm)]]</f>
        <v>0</v>
      </c>
      <c r="K716">
        <f>pHCondMod[[#This Row],[Modification Description]]</f>
        <v>0</v>
      </c>
      <c r="L716" s="1">
        <f>NMRResults[[#This Row],[Date Run]]</f>
        <v>0</v>
      </c>
      <c r="M716" s="1">
        <f>ICPList[[#This Row],[Date Run]]</f>
        <v>0</v>
      </c>
      <c r="N716" s="1">
        <f>GCResults[[#This Row],[Date Run ]]</f>
        <v>0</v>
      </c>
    </row>
    <row r="717" spans="1:14" ht="14.45" x14ac:dyDescent="0.25">
      <c r="A717">
        <f>SampleList[[#This Row],[Experiment ID]]</f>
        <v>0</v>
      </c>
      <c r="B717">
        <f>SampleList[[#This Row],[Sample Description]]</f>
        <v>0</v>
      </c>
      <c r="C717" s="1">
        <f>SampleList[[#This Row],[Date Sampled]]</f>
        <v>0</v>
      </c>
      <c r="D717">
        <f>SampleList[[#This Row],[Duration (Days)]]</f>
        <v>0</v>
      </c>
      <c r="E717">
        <f>NMRResults[[#This Row],[Ammonium Concentration (mM)]]</f>
        <v>0</v>
      </c>
      <c r="F717" t="str">
        <f>GCResults[[#This Row],[H2 (ppm)]]</f>
        <v/>
      </c>
      <c r="G717">
        <f>GCResults[[#This Row],[Total Gas Volume (mL), gas cylinder = 3785mL]]</f>
        <v>0</v>
      </c>
      <c r="H717">
        <f>GCResults[[#This Row],[Pressure on Sampling (PSI), 145PSI=1MPa]]</f>
        <v>3552.5</v>
      </c>
      <c r="I717">
        <f>pHCondMod[[#This Row],[Sample pH]]</f>
        <v>0</v>
      </c>
      <c r="J717">
        <f>pHCondMod[[#This Row],[Sample Conductivity (mS/cm)]]</f>
        <v>0</v>
      </c>
      <c r="K717">
        <f>pHCondMod[[#This Row],[Modification Description]]</f>
        <v>0</v>
      </c>
      <c r="L717" s="1">
        <f>NMRResults[[#This Row],[Date Run]]</f>
        <v>0</v>
      </c>
      <c r="M717" s="1">
        <f>ICPList[[#This Row],[Date Run]]</f>
        <v>0</v>
      </c>
      <c r="N717" s="1">
        <f>GCResults[[#This Row],[Date Run ]]</f>
        <v>0</v>
      </c>
    </row>
    <row r="718" spans="1:14" ht="14.45" x14ac:dyDescent="0.25">
      <c r="A718">
        <f>SampleList[[#This Row],[Experiment ID]]</f>
        <v>0</v>
      </c>
      <c r="B718">
        <f>SampleList[[#This Row],[Sample Description]]</f>
        <v>0</v>
      </c>
      <c r="C718" s="1">
        <f>SampleList[[#This Row],[Date Sampled]]</f>
        <v>0</v>
      </c>
      <c r="D718">
        <f>SampleList[[#This Row],[Duration (Days)]]</f>
        <v>0</v>
      </c>
      <c r="E718">
        <f>NMRResults[[#This Row],[Ammonium Concentration (mM)]]</f>
        <v>0</v>
      </c>
      <c r="F718" t="str">
        <f>GCResults[[#This Row],[H2 (ppm)]]</f>
        <v/>
      </c>
      <c r="G718">
        <f>GCResults[[#This Row],[Total Gas Volume (mL), gas cylinder = 3785mL]]</f>
        <v>0</v>
      </c>
      <c r="H718">
        <f>GCResults[[#This Row],[Pressure on Sampling (PSI), 145PSI=1MPa]]</f>
        <v>3552.5</v>
      </c>
      <c r="I718">
        <f>pHCondMod[[#This Row],[Sample pH]]</f>
        <v>0</v>
      </c>
      <c r="J718">
        <f>pHCondMod[[#This Row],[Sample Conductivity (mS/cm)]]</f>
        <v>0</v>
      </c>
      <c r="K718">
        <f>pHCondMod[[#This Row],[Modification Description]]</f>
        <v>0</v>
      </c>
      <c r="L718" s="1">
        <f>NMRResults[[#This Row],[Date Run]]</f>
        <v>0</v>
      </c>
      <c r="M718" s="1">
        <f>ICPList[[#This Row],[Date Run]]</f>
        <v>0</v>
      </c>
      <c r="N718" s="1">
        <f>GCResults[[#This Row],[Date Run ]]</f>
        <v>0</v>
      </c>
    </row>
    <row r="719" spans="1:14" ht="14.45" x14ac:dyDescent="0.25">
      <c r="A719">
        <f>SampleList[[#This Row],[Experiment ID]]</f>
        <v>0</v>
      </c>
      <c r="B719">
        <f>SampleList[[#This Row],[Sample Description]]</f>
        <v>0</v>
      </c>
      <c r="C719" s="1">
        <f>SampleList[[#This Row],[Date Sampled]]</f>
        <v>0</v>
      </c>
      <c r="D719">
        <f>SampleList[[#This Row],[Duration (Days)]]</f>
        <v>0</v>
      </c>
      <c r="E719">
        <f>NMRResults[[#This Row],[Ammonium Concentration (mM)]]</f>
        <v>0</v>
      </c>
      <c r="F719" t="str">
        <f>GCResults[[#This Row],[H2 (ppm)]]</f>
        <v/>
      </c>
      <c r="G719">
        <f>GCResults[[#This Row],[Total Gas Volume (mL), gas cylinder = 3785mL]]</f>
        <v>0</v>
      </c>
      <c r="H719">
        <f>GCResults[[#This Row],[Pressure on Sampling (PSI), 145PSI=1MPa]]</f>
        <v>3552.5</v>
      </c>
      <c r="I719">
        <f>pHCondMod[[#This Row],[Sample pH]]</f>
        <v>0</v>
      </c>
      <c r="J719">
        <f>pHCondMod[[#This Row],[Sample Conductivity (mS/cm)]]</f>
        <v>0</v>
      </c>
      <c r="K719">
        <f>pHCondMod[[#This Row],[Modification Description]]</f>
        <v>0</v>
      </c>
      <c r="L719" s="1">
        <f>NMRResults[[#This Row],[Date Run]]</f>
        <v>0</v>
      </c>
      <c r="M719" s="1">
        <f>ICPList[[#This Row],[Date Run]]</f>
        <v>0</v>
      </c>
      <c r="N719" s="1">
        <f>GCResults[[#This Row],[Date Run ]]</f>
        <v>0</v>
      </c>
    </row>
    <row r="720" spans="1:14" ht="14.45" x14ac:dyDescent="0.25">
      <c r="A720">
        <f>SampleList[[#This Row],[Experiment ID]]</f>
        <v>0</v>
      </c>
      <c r="B720">
        <f>SampleList[[#This Row],[Sample Description]]</f>
        <v>0</v>
      </c>
      <c r="C720" s="1">
        <f>SampleList[[#This Row],[Date Sampled]]</f>
        <v>0</v>
      </c>
      <c r="D720">
        <f>SampleList[[#This Row],[Duration (Days)]]</f>
        <v>0</v>
      </c>
      <c r="E720">
        <f>NMRResults[[#This Row],[Ammonium Concentration (mM)]]</f>
        <v>0</v>
      </c>
      <c r="F720" t="str">
        <f>GCResults[[#This Row],[H2 (ppm)]]</f>
        <v/>
      </c>
      <c r="G720">
        <f>GCResults[[#This Row],[Total Gas Volume (mL), gas cylinder = 3785mL]]</f>
        <v>0</v>
      </c>
      <c r="H720">
        <f>GCResults[[#This Row],[Pressure on Sampling (PSI), 145PSI=1MPa]]</f>
        <v>3552.5</v>
      </c>
      <c r="I720">
        <f>pHCondMod[[#This Row],[Sample pH]]</f>
        <v>0</v>
      </c>
      <c r="J720">
        <f>pHCondMod[[#This Row],[Sample Conductivity (mS/cm)]]</f>
        <v>0</v>
      </c>
      <c r="K720">
        <f>pHCondMod[[#This Row],[Modification Description]]</f>
        <v>0</v>
      </c>
      <c r="L720" s="1">
        <f>NMRResults[[#This Row],[Date Run]]</f>
        <v>0</v>
      </c>
      <c r="M720" s="1">
        <f>ICPList[[#This Row],[Date Run]]</f>
        <v>0</v>
      </c>
      <c r="N720" s="1">
        <f>GCResults[[#This Row],[Date Run ]]</f>
        <v>0</v>
      </c>
    </row>
    <row r="721" spans="1:14" ht="14.45" x14ac:dyDescent="0.25">
      <c r="A721">
        <f>SampleList[[#This Row],[Experiment ID]]</f>
        <v>0</v>
      </c>
      <c r="B721">
        <f>SampleList[[#This Row],[Sample Description]]</f>
        <v>0</v>
      </c>
      <c r="C721" s="1">
        <f>SampleList[[#This Row],[Date Sampled]]</f>
        <v>0</v>
      </c>
      <c r="D721">
        <f>SampleList[[#This Row],[Duration (Days)]]</f>
        <v>0</v>
      </c>
      <c r="E721">
        <f>NMRResults[[#This Row],[Ammonium Concentration (mM)]]</f>
        <v>0</v>
      </c>
      <c r="F721" t="str">
        <f>GCResults[[#This Row],[H2 (ppm)]]</f>
        <v/>
      </c>
      <c r="G721">
        <f>GCResults[[#This Row],[Total Gas Volume (mL), gas cylinder = 3785mL]]</f>
        <v>0</v>
      </c>
      <c r="H721">
        <f>GCResults[[#This Row],[Pressure on Sampling (PSI), 145PSI=1MPa]]</f>
        <v>3552.5</v>
      </c>
      <c r="I721">
        <f>pHCondMod[[#This Row],[Sample pH]]</f>
        <v>0</v>
      </c>
      <c r="J721">
        <f>pHCondMod[[#This Row],[Sample Conductivity (mS/cm)]]</f>
        <v>0</v>
      </c>
      <c r="K721">
        <f>pHCondMod[[#This Row],[Modification Description]]</f>
        <v>0</v>
      </c>
      <c r="L721" s="1">
        <f>NMRResults[[#This Row],[Date Run]]</f>
        <v>0</v>
      </c>
      <c r="M721" s="1">
        <f>ICPList[[#This Row],[Date Run]]</f>
        <v>0</v>
      </c>
      <c r="N721" s="1">
        <f>GCResults[[#This Row],[Date Run ]]</f>
        <v>0</v>
      </c>
    </row>
    <row r="722" spans="1:14" ht="14.45" x14ac:dyDescent="0.25">
      <c r="A722">
        <f>SampleList[[#This Row],[Experiment ID]]</f>
        <v>0</v>
      </c>
      <c r="B722">
        <f>SampleList[[#This Row],[Sample Description]]</f>
        <v>0</v>
      </c>
      <c r="C722" s="1">
        <f>SampleList[[#This Row],[Date Sampled]]</f>
        <v>0</v>
      </c>
      <c r="D722">
        <f>SampleList[[#This Row],[Duration (Days)]]</f>
        <v>0</v>
      </c>
      <c r="E722">
        <f>NMRResults[[#This Row],[Ammonium Concentration (mM)]]</f>
        <v>0</v>
      </c>
      <c r="F722" t="str">
        <f>GCResults[[#This Row],[H2 (ppm)]]</f>
        <v/>
      </c>
      <c r="G722">
        <f>GCResults[[#This Row],[Total Gas Volume (mL), gas cylinder = 3785mL]]</f>
        <v>0</v>
      </c>
      <c r="H722">
        <f>GCResults[[#This Row],[Pressure on Sampling (PSI), 145PSI=1MPa]]</f>
        <v>3552.5</v>
      </c>
      <c r="I722">
        <f>pHCondMod[[#This Row],[Sample pH]]</f>
        <v>0</v>
      </c>
      <c r="J722">
        <f>pHCondMod[[#This Row],[Sample Conductivity (mS/cm)]]</f>
        <v>0</v>
      </c>
      <c r="K722">
        <f>pHCondMod[[#This Row],[Modification Description]]</f>
        <v>0</v>
      </c>
      <c r="L722" s="1">
        <f>NMRResults[[#This Row],[Date Run]]</f>
        <v>0</v>
      </c>
      <c r="M722" s="1">
        <f>ICPList[[#This Row],[Date Run]]</f>
        <v>0</v>
      </c>
      <c r="N722" s="1">
        <f>GCResults[[#This Row],[Date Run ]]</f>
        <v>0</v>
      </c>
    </row>
    <row r="723" spans="1:14" ht="14.45" x14ac:dyDescent="0.25">
      <c r="A723">
        <f>SampleList[[#This Row],[Experiment ID]]</f>
        <v>0</v>
      </c>
      <c r="B723">
        <f>SampleList[[#This Row],[Sample Description]]</f>
        <v>0</v>
      </c>
      <c r="C723" s="1">
        <f>SampleList[[#This Row],[Date Sampled]]</f>
        <v>0</v>
      </c>
      <c r="D723">
        <f>SampleList[[#This Row],[Duration (Days)]]</f>
        <v>0</v>
      </c>
      <c r="E723">
        <f>NMRResults[[#This Row],[Ammonium Concentration (mM)]]</f>
        <v>0</v>
      </c>
      <c r="F723" t="str">
        <f>GCResults[[#This Row],[H2 (ppm)]]</f>
        <v/>
      </c>
      <c r="G723">
        <f>GCResults[[#This Row],[Total Gas Volume (mL), gas cylinder = 3785mL]]</f>
        <v>0</v>
      </c>
      <c r="H723">
        <f>GCResults[[#This Row],[Pressure on Sampling (PSI), 145PSI=1MPa]]</f>
        <v>3552.5</v>
      </c>
      <c r="I723">
        <f>pHCondMod[[#This Row],[Sample pH]]</f>
        <v>0</v>
      </c>
      <c r="J723">
        <f>pHCondMod[[#This Row],[Sample Conductivity (mS/cm)]]</f>
        <v>0</v>
      </c>
      <c r="K723">
        <f>pHCondMod[[#This Row],[Modification Description]]</f>
        <v>0</v>
      </c>
      <c r="L723" s="1">
        <f>NMRResults[[#This Row],[Date Run]]</f>
        <v>0</v>
      </c>
      <c r="M723" s="1">
        <f>ICPList[[#This Row],[Date Run]]</f>
        <v>0</v>
      </c>
      <c r="N723" s="1">
        <f>GCResults[[#This Row],[Date Run ]]</f>
        <v>0</v>
      </c>
    </row>
    <row r="724" spans="1:14" ht="14.45" x14ac:dyDescent="0.25">
      <c r="A724">
        <f>SampleList[[#This Row],[Experiment ID]]</f>
        <v>0</v>
      </c>
      <c r="B724">
        <f>SampleList[[#This Row],[Sample Description]]</f>
        <v>0</v>
      </c>
      <c r="C724" s="1">
        <f>SampleList[[#This Row],[Date Sampled]]</f>
        <v>0</v>
      </c>
      <c r="D724">
        <f>SampleList[[#This Row],[Duration (Days)]]</f>
        <v>0</v>
      </c>
      <c r="E724">
        <f>NMRResults[[#This Row],[Ammonium Concentration (mM)]]</f>
        <v>0</v>
      </c>
      <c r="F724" t="str">
        <f>GCResults[[#This Row],[H2 (ppm)]]</f>
        <v/>
      </c>
      <c r="G724">
        <f>GCResults[[#This Row],[Total Gas Volume (mL), gas cylinder = 3785mL]]</f>
        <v>0</v>
      </c>
      <c r="H724">
        <f>GCResults[[#This Row],[Pressure on Sampling (PSI), 145PSI=1MPa]]</f>
        <v>3552.5</v>
      </c>
      <c r="I724">
        <f>pHCondMod[[#This Row],[Sample pH]]</f>
        <v>0</v>
      </c>
      <c r="J724">
        <f>pHCondMod[[#This Row],[Sample Conductivity (mS/cm)]]</f>
        <v>0</v>
      </c>
      <c r="K724">
        <f>pHCondMod[[#This Row],[Modification Description]]</f>
        <v>0</v>
      </c>
      <c r="L724" s="1">
        <f>NMRResults[[#This Row],[Date Run]]</f>
        <v>0</v>
      </c>
      <c r="M724" s="1">
        <f>ICPList[[#This Row],[Date Run]]</f>
        <v>0</v>
      </c>
      <c r="N724" s="1">
        <f>GCResults[[#This Row],[Date Run ]]</f>
        <v>0</v>
      </c>
    </row>
    <row r="725" spans="1:14" ht="14.45" x14ac:dyDescent="0.25">
      <c r="A725">
        <f>SampleList[[#This Row],[Experiment ID]]</f>
        <v>0</v>
      </c>
      <c r="B725">
        <f>SampleList[[#This Row],[Sample Description]]</f>
        <v>0</v>
      </c>
      <c r="C725" s="1">
        <f>SampleList[[#This Row],[Date Sampled]]</f>
        <v>0</v>
      </c>
      <c r="D725">
        <f>SampleList[[#This Row],[Duration (Days)]]</f>
        <v>0</v>
      </c>
      <c r="E725">
        <f>NMRResults[[#This Row],[Ammonium Concentration (mM)]]</f>
        <v>0</v>
      </c>
      <c r="F725" t="str">
        <f>GCResults[[#This Row],[H2 (ppm)]]</f>
        <v/>
      </c>
      <c r="G725">
        <f>GCResults[[#This Row],[Total Gas Volume (mL), gas cylinder = 3785mL]]</f>
        <v>0</v>
      </c>
      <c r="H725">
        <f>GCResults[[#This Row],[Pressure on Sampling (PSI), 145PSI=1MPa]]</f>
        <v>3552.5</v>
      </c>
      <c r="I725">
        <f>pHCondMod[[#This Row],[Sample pH]]</f>
        <v>0</v>
      </c>
      <c r="J725">
        <f>pHCondMod[[#This Row],[Sample Conductivity (mS/cm)]]</f>
        <v>0</v>
      </c>
      <c r="K725">
        <f>pHCondMod[[#This Row],[Modification Description]]</f>
        <v>0</v>
      </c>
      <c r="L725" s="1">
        <f>NMRResults[[#This Row],[Date Run]]</f>
        <v>0</v>
      </c>
      <c r="M725" s="1">
        <f>ICPList[[#This Row],[Date Run]]</f>
        <v>0</v>
      </c>
      <c r="N725" s="1">
        <f>GCResults[[#This Row],[Date Run ]]</f>
        <v>0</v>
      </c>
    </row>
    <row r="726" spans="1:14" ht="14.45" x14ac:dyDescent="0.25">
      <c r="A726">
        <f>SampleList[[#This Row],[Experiment ID]]</f>
        <v>0</v>
      </c>
      <c r="B726">
        <f>SampleList[[#This Row],[Sample Description]]</f>
        <v>0</v>
      </c>
      <c r="C726" s="1">
        <f>SampleList[[#This Row],[Date Sampled]]</f>
        <v>0</v>
      </c>
      <c r="D726">
        <f>SampleList[[#This Row],[Duration (Days)]]</f>
        <v>0</v>
      </c>
      <c r="E726">
        <f>NMRResults[[#This Row],[Ammonium Concentration (mM)]]</f>
        <v>0</v>
      </c>
      <c r="F726" t="str">
        <f>GCResults[[#This Row],[H2 (ppm)]]</f>
        <v/>
      </c>
      <c r="G726">
        <f>GCResults[[#This Row],[Total Gas Volume (mL), gas cylinder = 3785mL]]</f>
        <v>0</v>
      </c>
      <c r="H726">
        <f>GCResults[[#This Row],[Pressure on Sampling (PSI), 145PSI=1MPa]]</f>
        <v>3552.5</v>
      </c>
      <c r="I726">
        <f>pHCondMod[[#This Row],[Sample pH]]</f>
        <v>0</v>
      </c>
      <c r="J726">
        <f>pHCondMod[[#This Row],[Sample Conductivity (mS/cm)]]</f>
        <v>0</v>
      </c>
      <c r="K726">
        <f>pHCondMod[[#This Row],[Modification Description]]</f>
        <v>0</v>
      </c>
      <c r="L726" s="1">
        <f>NMRResults[[#This Row],[Date Run]]</f>
        <v>0</v>
      </c>
      <c r="M726" s="1">
        <f>ICPList[[#This Row],[Date Run]]</f>
        <v>0</v>
      </c>
      <c r="N726" s="1">
        <f>GCResults[[#This Row],[Date Run ]]</f>
        <v>0</v>
      </c>
    </row>
    <row r="727" spans="1:14" ht="14.45" x14ac:dyDescent="0.25">
      <c r="A727">
        <f>SampleList[[#This Row],[Experiment ID]]</f>
        <v>0</v>
      </c>
      <c r="B727">
        <f>SampleList[[#This Row],[Sample Description]]</f>
        <v>0</v>
      </c>
      <c r="C727" s="1">
        <f>SampleList[[#This Row],[Date Sampled]]</f>
        <v>0</v>
      </c>
      <c r="D727">
        <f>SampleList[[#This Row],[Duration (Days)]]</f>
        <v>0</v>
      </c>
      <c r="E727">
        <f>NMRResults[[#This Row],[Ammonium Concentration (mM)]]</f>
        <v>0</v>
      </c>
      <c r="F727" t="str">
        <f>GCResults[[#This Row],[H2 (ppm)]]</f>
        <v/>
      </c>
      <c r="G727">
        <f>GCResults[[#This Row],[Total Gas Volume (mL), gas cylinder = 3785mL]]</f>
        <v>0</v>
      </c>
      <c r="H727">
        <f>GCResults[[#This Row],[Pressure on Sampling (PSI), 145PSI=1MPa]]</f>
        <v>3552.5</v>
      </c>
      <c r="I727">
        <f>pHCondMod[[#This Row],[Sample pH]]</f>
        <v>0</v>
      </c>
      <c r="J727">
        <f>pHCondMod[[#This Row],[Sample Conductivity (mS/cm)]]</f>
        <v>0</v>
      </c>
      <c r="K727">
        <f>pHCondMod[[#This Row],[Modification Description]]</f>
        <v>0</v>
      </c>
      <c r="L727" s="1">
        <f>NMRResults[[#This Row],[Date Run]]</f>
        <v>0</v>
      </c>
      <c r="M727" s="1">
        <f>ICPList[[#This Row],[Date Run]]</f>
        <v>0</v>
      </c>
      <c r="N727" s="1">
        <f>GCResults[[#This Row],[Date Run ]]</f>
        <v>0</v>
      </c>
    </row>
    <row r="728" spans="1:14" ht="14.45" x14ac:dyDescent="0.25">
      <c r="A728">
        <f>SampleList[[#This Row],[Experiment ID]]</f>
        <v>0</v>
      </c>
      <c r="B728">
        <f>SampleList[[#This Row],[Sample Description]]</f>
        <v>0</v>
      </c>
      <c r="C728" s="1">
        <f>SampleList[[#This Row],[Date Sampled]]</f>
        <v>0</v>
      </c>
      <c r="D728">
        <f>SampleList[[#This Row],[Duration (Days)]]</f>
        <v>0</v>
      </c>
      <c r="E728">
        <f>NMRResults[[#This Row],[Ammonium Concentration (mM)]]</f>
        <v>0</v>
      </c>
      <c r="F728" t="str">
        <f>GCResults[[#This Row],[H2 (ppm)]]</f>
        <v/>
      </c>
      <c r="G728">
        <f>GCResults[[#This Row],[Total Gas Volume (mL), gas cylinder = 3785mL]]</f>
        <v>0</v>
      </c>
      <c r="H728">
        <f>GCResults[[#This Row],[Pressure on Sampling (PSI), 145PSI=1MPa]]</f>
        <v>3552.5</v>
      </c>
      <c r="I728">
        <f>pHCondMod[[#This Row],[Sample pH]]</f>
        <v>0</v>
      </c>
      <c r="J728">
        <f>pHCondMod[[#This Row],[Sample Conductivity (mS/cm)]]</f>
        <v>0</v>
      </c>
      <c r="K728">
        <f>pHCondMod[[#This Row],[Modification Description]]</f>
        <v>0</v>
      </c>
      <c r="L728" s="1">
        <f>NMRResults[[#This Row],[Date Run]]</f>
        <v>0</v>
      </c>
      <c r="M728" s="1">
        <f>ICPList[[#This Row],[Date Run]]</f>
        <v>0</v>
      </c>
      <c r="N728" s="1">
        <f>GCResults[[#This Row],[Date Run ]]</f>
        <v>0</v>
      </c>
    </row>
    <row r="729" spans="1:14" ht="14.45" x14ac:dyDescent="0.25">
      <c r="A729">
        <f>SampleList[[#This Row],[Experiment ID]]</f>
        <v>0</v>
      </c>
      <c r="B729">
        <f>SampleList[[#This Row],[Sample Description]]</f>
        <v>0</v>
      </c>
      <c r="C729" s="1">
        <f>SampleList[[#This Row],[Date Sampled]]</f>
        <v>0</v>
      </c>
      <c r="D729">
        <f>SampleList[[#This Row],[Duration (Days)]]</f>
        <v>0</v>
      </c>
      <c r="E729">
        <f>NMRResults[[#This Row],[Ammonium Concentration (mM)]]</f>
        <v>0</v>
      </c>
      <c r="F729" t="str">
        <f>GCResults[[#This Row],[H2 (ppm)]]</f>
        <v/>
      </c>
      <c r="G729">
        <f>GCResults[[#This Row],[Total Gas Volume (mL), gas cylinder = 3785mL]]</f>
        <v>0</v>
      </c>
      <c r="H729">
        <f>GCResults[[#This Row],[Pressure on Sampling (PSI), 145PSI=1MPa]]</f>
        <v>3552.5</v>
      </c>
      <c r="I729">
        <f>pHCondMod[[#This Row],[Sample pH]]</f>
        <v>0</v>
      </c>
      <c r="J729">
        <f>pHCondMod[[#This Row],[Sample Conductivity (mS/cm)]]</f>
        <v>0</v>
      </c>
      <c r="K729">
        <f>pHCondMod[[#This Row],[Modification Description]]</f>
        <v>0</v>
      </c>
      <c r="L729" s="1">
        <f>NMRResults[[#This Row],[Date Run]]</f>
        <v>0</v>
      </c>
      <c r="M729" s="1">
        <f>ICPList[[#This Row],[Date Run]]</f>
        <v>0</v>
      </c>
      <c r="N729" s="1">
        <f>GCResults[[#This Row],[Date Run ]]</f>
        <v>0</v>
      </c>
    </row>
    <row r="730" spans="1:14" ht="14.45" x14ac:dyDescent="0.25">
      <c r="A730">
        <f>SampleList[[#This Row],[Experiment ID]]</f>
        <v>0</v>
      </c>
      <c r="B730">
        <f>SampleList[[#This Row],[Sample Description]]</f>
        <v>0</v>
      </c>
      <c r="C730" s="1">
        <f>SampleList[[#This Row],[Date Sampled]]</f>
        <v>0</v>
      </c>
      <c r="D730">
        <f>SampleList[[#This Row],[Duration (Days)]]</f>
        <v>0</v>
      </c>
      <c r="E730">
        <f>NMRResults[[#This Row],[Ammonium Concentration (mM)]]</f>
        <v>0</v>
      </c>
      <c r="F730" t="str">
        <f>GCResults[[#This Row],[H2 (ppm)]]</f>
        <v/>
      </c>
      <c r="G730">
        <f>GCResults[[#This Row],[Total Gas Volume (mL), gas cylinder = 3785mL]]</f>
        <v>0</v>
      </c>
      <c r="H730">
        <f>GCResults[[#This Row],[Pressure on Sampling (PSI), 145PSI=1MPa]]</f>
        <v>3552.5</v>
      </c>
      <c r="I730">
        <f>pHCondMod[[#This Row],[Sample pH]]</f>
        <v>0</v>
      </c>
      <c r="J730">
        <f>pHCondMod[[#This Row],[Sample Conductivity (mS/cm)]]</f>
        <v>0</v>
      </c>
      <c r="K730">
        <f>pHCondMod[[#This Row],[Modification Description]]</f>
        <v>0</v>
      </c>
      <c r="L730" s="1">
        <f>NMRResults[[#This Row],[Date Run]]</f>
        <v>0</v>
      </c>
      <c r="M730" s="1">
        <f>ICPList[[#This Row],[Date Run]]</f>
        <v>0</v>
      </c>
      <c r="N730" s="1">
        <f>GCResults[[#This Row],[Date Run ]]</f>
        <v>0</v>
      </c>
    </row>
    <row r="731" spans="1:14" ht="14.45" x14ac:dyDescent="0.25">
      <c r="A731">
        <f>SampleList[[#This Row],[Experiment ID]]</f>
        <v>0</v>
      </c>
      <c r="B731">
        <f>SampleList[[#This Row],[Sample Description]]</f>
        <v>0</v>
      </c>
      <c r="C731" s="1">
        <f>SampleList[[#This Row],[Date Sampled]]</f>
        <v>0</v>
      </c>
      <c r="D731">
        <f>SampleList[[#This Row],[Duration (Days)]]</f>
        <v>0</v>
      </c>
      <c r="E731">
        <f>NMRResults[[#This Row],[Ammonium Concentration (mM)]]</f>
        <v>0</v>
      </c>
      <c r="F731" t="str">
        <f>GCResults[[#This Row],[H2 (ppm)]]</f>
        <v/>
      </c>
      <c r="G731">
        <f>GCResults[[#This Row],[Total Gas Volume (mL), gas cylinder = 3785mL]]</f>
        <v>0</v>
      </c>
      <c r="H731">
        <f>GCResults[[#This Row],[Pressure on Sampling (PSI), 145PSI=1MPa]]</f>
        <v>3552.5</v>
      </c>
      <c r="I731">
        <f>pHCondMod[[#This Row],[Sample pH]]</f>
        <v>0</v>
      </c>
      <c r="J731">
        <f>pHCondMod[[#This Row],[Sample Conductivity (mS/cm)]]</f>
        <v>0</v>
      </c>
      <c r="K731">
        <f>pHCondMod[[#This Row],[Modification Description]]</f>
        <v>0</v>
      </c>
      <c r="L731" s="1">
        <f>NMRResults[[#This Row],[Date Run]]</f>
        <v>0</v>
      </c>
      <c r="M731" s="1">
        <f>ICPList[[#This Row],[Date Run]]</f>
        <v>0</v>
      </c>
      <c r="N731" s="1">
        <f>GCResults[[#This Row],[Date Run ]]</f>
        <v>0</v>
      </c>
    </row>
    <row r="732" spans="1:14" ht="14.45" x14ac:dyDescent="0.25">
      <c r="A732">
        <f>SampleList[[#This Row],[Experiment ID]]</f>
        <v>0</v>
      </c>
      <c r="B732">
        <f>SampleList[[#This Row],[Sample Description]]</f>
        <v>0</v>
      </c>
      <c r="C732" s="1">
        <f>SampleList[[#This Row],[Date Sampled]]</f>
        <v>0</v>
      </c>
      <c r="D732">
        <f>SampleList[[#This Row],[Duration (Days)]]</f>
        <v>0</v>
      </c>
      <c r="E732">
        <f>NMRResults[[#This Row],[Ammonium Concentration (mM)]]</f>
        <v>0</v>
      </c>
      <c r="F732" t="str">
        <f>GCResults[[#This Row],[H2 (ppm)]]</f>
        <v/>
      </c>
      <c r="G732">
        <f>GCResults[[#This Row],[Total Gas Volume (mL), gas cylinder = 3785mL]]</f>
        <v>0</v>
      </c>
      <c r="H732">
        <f>GCResults[[#This Row],[Pressure on Sampling (PSI), 145PSI=1MPa]]</f>
        <v>3552.5</v>
      </c>
      <c r="I732">
        <f>pHCondMod[[#This Row],[Sample pH]]</f>
        <v>0</v>
      </c>
      <c r="J732">
        <f>pHCondMod[[#This Row],[Sample Conductivity (mS/cm)]]</f>
        <v>0</v>
      </c>
      <c r="K732">
        <f>pHCondMod[[#This Row],[Modification Description]]</f>
        <v>0</v>
      </c>
      <c r="L732" s="1">
        <f>NMRResults[[#This Row],[Date Run]]</f>
        <v>0</v>
      </c>
      <c r="M732" s="1">
        <f>ICPList[[#This Row],[Date Run]]</f>
        <v>0</v>
      </c>
      <c r="N732" s="1">
        <f>GCResults[[#This Row],[Date Run ]]</f>
        <v>0</v>
      </c>
    </row>
    <row r="733" spans="1:14" ht="14.45" x14ac:dyDescent="0.25">
      <c r="A733">
        <f>SampleList[[#This Row],[Experiment ID]]</f>
        <v>0</v>
      </c>
      <c r="B733">
        <f>SampleList[[#This Row],[Sample Description]]</f>
        <v>0</v>
      </c>
      <c r="C733" s="1">
        <f>SampleList[[#This Row],[Date Sampled]]</f>
        <v>0</v>
      </c>
      <c r="D733">
        <f>SampleList[[#This Row],[Duration (Days)]]</f>
        <v>0</v>
      </c>
      <c r="E733">
        <f>NMRResults[[#This Row],[Ammonium Concentration (mM)]]</f>
        <v>0</v>
      </c>
      <c r="F733" t="str">
        <f>GCResults[[#This Row],[H2 (ppm)]]</f>
        <v/>
      </c>
      <c r="G733">
        <f>GCResults[[#This Row],[Total Gas Volume (mL), gas cylinder = 3785mL]]</f>
        <v>0</v>
      </c>
      <c r="H733">
        <f>GCResults[[#This Row],[Pressure on Sampling (PSI), 145PSI=1MPa]]</f>
        <v>3552.5</v>
      </c>
      <c r="I733">
        <f>pHCondMod[[#This Row],[Sample pH]]</f>
        <v>0</v>
      </c>
      <c r="J733">
        <f>pHCondMod[[#This Row],[Sample Conductivity (mS/cm)]]</f>
        <v>0</v>
      </c>
      <c r="K733">
        <f>pHCondMod[[#This Row],[Modification Description]]</f>
        <v>0</v>
      </c>
      <c r="L733" s="1">
        <f>NMRResults[[#This Row],[Date Run]]</f>
        <v>0</v>
      </c>
      <c r="M733" s="1">
        <f>ICPList[[#This Row],[Date Run]]</f>
        <v>0</v>
      </c>
      <c r="N733" s="1">
        <f>GCResults[[#This Row],[Date Run ]]</f>
        <v>0</v>
      </c>
    </row>
    <row r="734" spans="1:14" ht="14.45" x14ac:dyDescent="0.25">
      <c r="A734">
        <f>SampleList[[#This Row],[Experiment ID]]</f>
        <v>0</v>
      </c>
      <c r="B734">
        <f>SampleList[[#This Row],[Sample Description]]</f>
        <v>0</v>
      </c>
      <c r="C734" s="1">
        <f>SampleList[[#This Row],[Date Sampled]]</f>
        <v>0</v>
      </c>
      <c r="D734">
        <f>SampleList[[#This Row],[Duration (Days)]]</f>
        <v>0</v>
      </c>
      <c r="E734">
        <f>NMRResults[[#This Row],[Ammonium Concentration (mM)]]</f>
        <v>0</v>
      </c>
      <c r="F734" t="str">
        <f>GCResults[[#This Row],[H2 (ppm)]]</f>
        <v/>
      </c>
      <c r="G734">
        <f>GCResults[[#This Row],[Total Gas Volume (mL), gas cylinder = 3785mL]]</f>
        <v>0</v>
      </c>
      <c r="H734">
        <f>GCResults[[#This Row],[Pressure on Sampling (PSI), 145PSI=1MPa]]</f>
        <v>3552.5</v>
      </c>
      <c r="I734">
        <f>pHCondMod[[#This Row],[Sample pH]]</f>
        <v>0</v>
      </c>
      <c r="J734">
        <f>pHCondMod[[#This Row],[Sample Conductivity (mS/cm)]]</f>
        <v>0</v>
      </c>
      <c r="K734">
        <f>pHCondMod[[#This Row],[Modification Description]]</f>
        <v>0</v>
      </c>
      <c r="L734" s="1">
        <f>NMRResults[[#This Row],[Date Run]]</f>
        <v>0</v>
      </c>
      <c r="M734" s="1">
        <f>ICPList[[#This Row],[Date Run]]</f>
        <v>0</v>
      </c>
      <c r="N734" s="1">
        <f>GCResults[[#This Row],[Date Run ]]</f>
        <v>0</v>
      </c>
    </row>
    <row r="735" spans="1:14" ht="14.45" x14ac:dyDescent="0.25">
      <c r="A735">
        <f>SampleList[[#This Row],[Experiment ID]]</f>
        <v>0</v>
      </c>
      <c r="B735">
        <f>SampleList[[#This Row],[Sample Description]]</f>
        <v>0</v>
      </c>
      <c r="C735" s="1">
        <f>SampleList[[#This Row],[Date Sampled]]</f>
        <v>0</v>
      </c>
      <c r="D735">
        <f>SampleList[[#This Row],[Duration (Days)]]</f>
        <v>0</v>
      </c>
      <c r="E735">
        <f>NMRResults[[#This Row],[Ammonium Concentration (mM)]]</f>
        <v>0</v>
      </c>
      <c r="F735" t="str">
        <f>GCResults[[#This Row],[H2 (ppm)]]</f>
        <v/>
      </c>
      <c r="G735">
        <f>GCResults[[#This Row],[Total Gas Volume (mL), gas cylinder = 3785mL]]</f>
        <v>0</v>
      </c>
      <c r="H735">
        <f>GCResults[[#This Row],[Pressure on Sampling (PSI), 145PSI=1MPa]]</f>
        <v>3552.5</v>
      </c>
      <c r="I735">
        <f>pHCondMod[[#This Row],[Sample pH]]</f>
        <v>0</v>
      </c>
      <c r="J735">
        <f>pHCondMod[[#This Row],[Sample Conductivity (mS/cm)]]</f>
        <v>0</v>
      </c>
      <c r="K735">
        <f>pHCondMod[[#This Row],[Modification Description]]</f>
        <v>0</v>
      </c>
      <c r="L735" s="1">
        <f>NMRResults[[#This Row],[Date Run]]</f>
        <v>0</v>
      </c>
      <c r="M735" s="1">
        <f>ICPList[[#This Row],[Date Run]]</f>
        <v>0</v>
      </c>
      <c r="N735" s="1">
        <f>GCResults[[#This Row],[Date Run ]]</f>
        <v>0</v>
      </c>
    </row>
    <row r="736" spans="1:14" ht="14.45" x14ac:dyDescent="0.25">
      <c r="A736">
        <f>SampleList[[#This Row],[Experiment ID]]</f>
        <v>0</v>
      </c>
      <c r="B736">
        <f>SampleList[[#This Row],[Sample Description]]</f>
        <v>0</v>
      </c>
      <c r="C736" s="1">
        <f>SampleList[[#This Row],[Date Sampled]]</f>
        <v>0</v>
      </c>
      <c r="D736">
        <f>SampleList[[#This Row],[Duration (Days)]]</f>
        <v>0</v>
      </c>
      <c r="E736">
        <f>NMRResults[[#This Row],[Ammonium Concentration (mM)]]</f>
        <v>0</v>
      </c>
      <c r="F736" t="str">
        <f>GCResults[[#This Row],[H2 (ppm)]]</f>
        <v/>
      </c>
      <c r="G736">
        <f>GCResults[[#This Row],[Total Gas Volume (mL), gas cylinder = 3785mL]]</f>
        <v>0</v>
      </c>
      <c r="H736">
        <f>GCResults[[#This Row],[Pressure on Sampling (PSI), 145PSI=1MPa]]</f>
        <v>3552.5</v>
      </c>
      <c r="I736">
        <f>pHCondMod[[#This Row],[Sample pH]]</f>
        <v>0</v>
      </c>
      <c r="J736">
        <f>pHCondMod[[#This Row],[Sample Conductivity (mS/cm)]]</f>
        <v>0</v>
      </c>
      <c r="K736">
        <f>pHCondMod[[#This Row],[Modification Description]]</f>
        <v>0</v>
      </c>
      <c r="L736" s="1">
        <f>NMRResults[[#This Row],[Date Run]]</f>
        <v>0</v>
      </c>
      <c r="M736" s="1">
        <f>ICPList[[#This Row],[Date Run]]</f>
        <v>0</v>
      </c>
      <c r="N736" s="1">
        <f>GCResults[[#This Row],[Date Run ]]</f>
        <v>0</v>
      </c>
    </row>
    <row r="737" spans="1:14" ht="14.45" x14ac:dyDescent="0.25">
      <c r="A737">
        <f>SampleList[[#This Row],[Experiment ID]]</f>
        <v>0</v>
      </c>
      <c r="B737">
        <f>SampleList[[#This Row],[Sample Description]]</f>
        <v>0</v>
      </c>
      <c r="C737" s="1">
        <f>SampleList[[#This Row],[Date Sampled]]</f>
        <v>0</v>
      </c>
      <c r="D737">
        <f>SampleList[[#This Row],[Duration (Days)]]</f>
        <v>0</v>
      </c>
      <c r="E737">
        <f>NMRResults[[#This Row],[Ammonium Concentration (mM)]]</f>
        <v>0</v>
      </c>
      <c r="F737" t="str">
        <f>GCResults[[#This Row],[H2 (ppm)]]</f>
        <v/>
      </c>
      <c r="G737">
        <f>GCResults[[#This Row],[Total Gas Volume (mL), gas cylinder = 3785mL]]</f>
        <v>0</v>
      </c>
      <c r="H737">
        <f>GCResults[[#This Row],[Pressure on Sampling (PSI), 145PSI=1MPa]]</f>
        <v>3552.5</v>
      </c>
      <c r="I737">
        <f>pHCondMod[[#This Row],[Sample pH]]</f>
        <v>0</v>
      </c>
      <c r="J737">
        <f>pHCondMod[[#This Row],[Sample Conductivity (mS/cm)]]</f>
        <v>0</v>
      </c>
      <c r="K737">
        <f>pHCondMod[[#This Row],[Modification Description]]</f>
        <v>0</v>
      </c>
      <c r="L737" s="1">
        <f>NMRResults[[#This Row],[Date Run]]</f>
        <v>0</v>
      </c>
      <c r="M737" s="1">
        <f>ICPList[[#This Row],[Date Run]]</f>
        <v>0</v>
      </c>
      <c r="N737" s="1">
        <f>GCResults[[#This Row],[Date Run ]]</f>
        <v>0</v>
      </c>
    </row>
    <row r="738" spans="1:14" ht="14.45" x14ac:dyDescent="0.25">
      <c r="A738">
        <f>SampleList[[#This Row],[Experiment ID]]</f>
        <v>0</v>
      </c>
      <c r="B738">
        <f>SampleList[[#This Row],[Sample Description]]</f>
        <v>0</v>
      </c>
      <c r="C738" s="1">
        <f>SampleList[[#This Row],[Date Sampled]]</f>
        <v>0</v>
      </c>
      <c r="D738">
        <f>SampleList[[#This Row],[Duration (Days)]]</f>
        <v>0</v>
      </c>
      <c r="E738">
        <f>NMRResults[[#This Row],[Ammonium Concentration (mM)]]</f>
        <v>0</v>
      </c>
      <c r="F738" t="str">
        <f>GCResults[[#This Row],[H2 (ppm)]]</f>
        <v/>
      </c>
      <c r="G738">
        <f>GCResults[[#This Row],[Total Gas Volume (mL), gas cylinder = 3785mL]]</f>
        <v>0</v>
      </c>
      <c r="H738">
        <f>GCResults[[#This Row],[Pressure on Sampling (PSI), 145PSI=1MPa]]</f>
        <v>3552.5</v>
      </c>
      <c r="I738">
        <f>pHCondMod[[#This Row],[Sample pH]]</f>
        <v>0</v>
      </c>
      <c r="J738">
        <f>pHCondMod[[#This Row],[Sample Conductivity (mS/cm)]]</f>
        <v>0</v>
      </c>
      <c r="K738">
        <f>pHCondMod[[#This Row],[Modification Description]]</f>
        <v>0</v>
      </c>
      <c r="L738" s="1">
        <f>NMRResults[[#This Row],[Date Run]]</f>
        <v>0</v>
      </c>
      <c r="M738" s="1">
        <f>ICPList[[#This Row],[Date Run]]</f>
        <v>0</v>
      </c>
      <c r="N738" s="1">
        <f>GCResults[[#This Row],[Date Run ]]</f>
        <v>0</v>
      </c>
    </row>
    <row r="739" spans="1:14" ht="14.45" x14ac:dyDescent="0.25">
      <c r="A739">
        <f>SampleList[[#This Row],[Experiment ID]]</f>
        <v>0</v>
      </c>
      <c r="B739">
        <f>SampleList[[#This Row],[Sample Description]]</f>
        <v>0</v>
      </c>
      <c r="C739" s="1">
        <f>SampleList[[#This Row],[Date Sampled]]</f>
        <v>0</v>
      </c>
      <c r="D739">
        <f>SampleList[[#This Row],[Duration (Days)]]</f>
        <v>0</v>
      </c>
      <c r="E739">
        <f>NMRResults[[#This Row],[Ammonium Concentration (mM)]]</f>
        <v>0</v>
      </c>
      <c r="F739" t="str">
        <f>GCResults[[#This Row],[H2 (ppm)]]</f>
        <v/>
      </c>
      <c r="G739">
        <f>GCResults[[#This Row],[Total Gas Volume (mL), gas cylinder = 3785mL]]</f>
        <v>0</v>
      </c>
      <c r="H739">
        <f>GCResults[[#This Row],[Pressure on Sampling (PSI), 145PSI=1MPa]]</f>
        <v>3552.5</v>
      </c>
      <c r="I739">
        <f>pHCondMod[[#This Row],[Sample pH]]</f>
        <v>0</v>
      </c>
      <c r="J739">
        <f>pHCondMod[[#This Row],[Sample Conductivity (mS/cm)]]</f>
        <v>0</v>
      </c>
      <c r="K739">
        <f>pHCondMod[[#This Row],[Modification Description]]</f>
        <v>0</v>
      </c>
      <c r="L739" s="1">
        <f>NMRResults[[#This Row],[Date Run]]</f>
        <v>0</v>
      </c>
      <c r="M739" s="1">
        <f>ICPList[[#This Row],[Date Run]]</f>
        <v>0</v>
      </c>
      <c r="N739" s="1">
        <f>GCResults[[#This Row],[Date Run ]]</f>
        <v>0</v>
      </c>
    </row>
    <row r="740" spans="1:14" ht="14.45" x14ac:dyDescent="0.25">
      <c r="A740">
        <f>SampleList[[#This Row],[Experiment ID]]</f>
        <v>0</v>
      </c>
      <c r="B740">
        <f>SampleList[[#This Row],[Sample Description]]</f>
        <v>0</v>
      </c>
      <c r="C740" s="1">
        <f>SampleList[[#This Row],[Date Sampled]]</f>
        <v>0</v>
      </c>
      <c r="D740">
        <f>SampleList[[#This Row],[Duration (Days)]]</f>
        <v>0</v>
      </c>
      <c r="E740">
        <f>NMRResults[[#This Row],[Ammonium Concentration (mM)]]</f>
        <v>0</v>
      </c>
      <c r="F740" t="str">
        <f>GCResults[[#This Row],[H2 (ppm)]]</f>
        <v/>
      </c>
      <c r="G740">
        <f>GCResults[[#This Row],[Total Gas Volume (mL), gas cylinder = 3785mL]]</f>
        <v>0</v>
      </c>
      <c r="H740">
        <f>GCResults[[#This Row],[Pressure on Sampling (PSI), 145PSI=1MPa]]</f>
        <v>3552.5</v>
      </c>
      <c r="I740">
        <f>pHCondMod[[#This Row],[Sample pH]]</f>
        <v>0</v>
      </c>
      <c r="J740">
        <f>pHCondMod[[#This Row],[Sample Conductivity (mS/cm)]]</f>
        <v>0</v>
      </c>
      <c r="K740">
        <f>pHCondMod[[#This Row],[Modification Description]]</f>
        <v>0</v>
      </c>
      <c r="L740" s="1">
        <f>NMRResults[[#This Row],[Date Run]]</f>
        <v>0</v>
      </c>
      <c r="M740" s="1">
        <f>ICPList[[#This Row],[Date Run]]</f>
        <v>0</v>
      </c>
      <c r="N740" s="1">
        <f>GCResults[[#This Row],[Date Run ]]</f>
        <v>0</v>
      </c>
    </row>
    <row r="741" spans="1:14" ht="14.45" x14ac:dyDescent="0.25">
      <c r="A741">
        <f>SampleList[[#This Row],[Experiment ID]]</f>
        <v>0</v>
      </c>
      <c r="B741">
        <f>SampleList[[#This Row],[Sample Description]]</f>
        <v>0</v>
      </c>
      <c r="C741" s="1">
        <f>SampleList[[#This Row],[Date Sampled]]</f>
        <v>0</v>
      </c>
      <c r="D741">
        <f>SampleList[[#This Row],[Duration (Days)]]</f>
        <v>0</v>
      </c>
      <c r="E741">
        <f>NMRResults[[#This Row],[Ammonium Concentration (mM)]]</f>
        <v>0</v>
      </c>
      <c r="F741" t="str">
        <f>GCResults[[#This Row],[H2 (ppm)]]</f>
        <v/>
      </c>
      <c r="G741">
        <f>GCResults[[#This Row],[Total Gas Volume (mL), gas cylinder = 3785mL]]</f>
        <v>0</v>
      </c>
      <c r="H741">
        <f>GCResults[[#This Row],[Pressure on Sampling (PSI), 145PSI=1MPa]]</f>
        <v>3552.5</v>
      </c>
      <c r="I741">
        <f>pHCondMod[[#This Row],[Sample pH]]</f>
        <v>0</v>
      </c>
      <c r="J741">
        <f>pHCondMod[[#This Row],[Sample Conductivity (mS/cm)]]</f>
        <v>0</v>
      </c>
      <c r="K741">
        <f>pHCondMod[[#This Row],[Modification Description]]</f>
        <v>0</v>
      </c>
      <c r="L741" s="1">
        <f>NMRResults[[#This Row],[Date Run]]</f>
        <v>0</v>
      </c>
      <c r="M741" s="1">
        <f>ICPList[[#This Row],[Date Run]]</f>
        <v>0</v>
      </c>
      <c r="N741" s="1">
        <f>GCResults[[#This Row],[Date Run ]]</f>
        <v>0</v>
      </c>
    </row>
    <row r="742" spans="1:14" ht="14.45" x14ac:dyDescent="0.25">
      <c r="A742">
        <f>SampleList[[#This Row],[Experiment ID]]</f>
        <v>0</v>
      </c>
      <c r="B742">
        <f>SampleList[[#This Row],[Sample Description]]</f>
        <v>0</v>
      </c>
      <c r="C742" s="1">
        <f>SampleList[[#This Row],[Date Sampled]]</f>
        <v>0</v>
      </c>
      <c r="D742">
        <f>SampleList[[#This Row],[Duration (Days)]]</f>
        <v>0</v>
      </c>
      <c r="E742">
        <f>NMRResults[[#This Row],[Ammonium Concentration (mM)]]</f>
        <v>0</v>
      </c>
      <c r="F742" t="str">
        <f>GCResults[[#This Row],[H2 (ppm)]]</f>
        <v/>
      </c>
      <c r="G742">
        <f>GCResults[[#This Row],[Total Gas Volume (mL), gas cylinder = 3785mL]]</f>
        <v>0</v>
      </c>
      <c r="H742">
        <f>GCResults[[#This Row],[Pressure on Sampling (PSI), 145PSI=1MPa]]</f>
        <v>3552.5</v>
      </c>
      <c r="I742">
        <f>pHCondMod[[#This Row],[Sample pH]]</f>
        <v>0</v>
      </c>
      <c r="J742">
        <f>pHCondMod[[#This Row],[Sample Conductivity (mS/cm)]]</f>
        <v>0</v>
      </c>
      <c r="K742">
        <f>pHCondMod[[#This Row],[Modification Description]]</f>
        <v>0</v>
      </c>
      <c r="L742" s="1">
        <f>NMRResults[[#This Row],[Date Run]]</f>
        <v>0</v>
      </c>
      <c r="M742" s="1">
        <f>ICPList[[#This Row],[Date Run]]</f>
        <v>0</v>
      </c>
      <c r="N742" s="1">
        <f>GCResults[[#This Row],[Date Run ]]</f>
        <v>0</v>
      </c>
    </row>
    <row r="743" spans="1:14" ht="14.45" x14ac:dyDescent="0.25">
      <c r="A743">
        <f>SampleList[[#This Row],[Experiment ID]]</f>
        <v>0</v>
      </c>
      <c r="B743">
        <f>SampleList[[#This Row],[Sample Description]]</f>
        <v>0</v>
      </c>
      <c r="C743" s="1">
        <f>SampleList[[#This Row],[Date Sampled]]</f>
        <v>0</v>
      </c>
      <c r="D743">
        <f>SampleList[[#This Row],[Duration (Days)]]</f>
        <v>0</v>
      </c>
      <c r="E743">
        <f>NMRResults[[#This Row],[Ammonium Concentration (mM)]]</f>
        <v>0</v>
      </c>
      <c r="F743" t="str">
        <f>GCResults[[#This Row],[H2 (ppm)]]</f>
        <v/>
      </c>
      <c r="G743">
        <f>GCResults[[#This Row],[Total Gas Volume (mL), gas cylinder = 3785mL]]</f>
        <v>0</v>
      </c>
      <c r="H743">
        <f>GCResults[[#This Row],[Pressure on Sampling (PSI), 145PSI=1MPa]]</f>
        <v>3552.5</v>
      </c>
      <c r="I743">
        <f>pHCondMod[[#This Row],[Sample pH]]</f>
        <v>0</v>
      </c>
      <c r="J743">
        <f>pHCondMod[[#This Row],[Sample Conductivity (mS/cm)]]</f>
        <v>0</v>
      </c>
      <c r="K743">
        <f>pHCondMod[[#This Row],[Modification Description]]</f>
        <v>0</v>
      </c>
      <c r="L743" s="1">
        <f>NMRResults[[#This Row],[Date Run]]</f>
        <v>0</v>
      </c>
      <c r="M743" s="1">
        <f>ICPList[[#This Row],[Date Run]]</f>
        <v>0</v>
      </c>
      <c r="N743" s="1">
        <f>GCResults[[#This Row],[Date Run ]]</f>
        <v>0</v>
      </c>
    </row>
    <row r="744" spans="1:14" ht="14.45" x14ac:dyDescent="0.25">
      <c r="A744">
        <f>SampleList[[#This Row],[Experiment ID]]</f>
        <v>0</v>
      </c>
      <c r="B744">
        <f>SampleList[[#This Row],[Sample Description]]</f>
        <v>0</v>
      </c>
      <c r="C744" s="1">
        <f>SampleList[[#This Row],[Date Sampled]]</f>
        <v>0</v>
      </c>
      <c r="D744">
        <f>SampleList[[#This Row],[Duration (Days)]]</f>
        <v>0</v>
      </c>
      <c r="E744">
        <f>NMRResults[[#This Row],[Ammonium Concentration (mM)]]</f>
        <v>0</v>
      </c>
      <c r="F744" t="str">
        <f>GCResults[[#This Row],[H2 (ppm)]]</f>
        <v/>
      </c>
      <c r="G744">
        <f>GCResults[[#This Row],[Total Gas Volume (mL), gas cylinder = 3785mL]]</f>
        <v>0</v>
      </c>
      <c r="H744">
        <f>GCResults[[#This Row],[Pressure on Sampling (PSI), 145PSI=1MPa]]</f>
        <v>3552.5</v>
      </c>
      <c r="I744">
        <f>pHCondMod[[#This Row],[Sample pH]]</f>
        <v>0</v>
      </c>
      <c r="J744">
        <f>pHCondMod[[#This Row],[Sample Conductivity (mS/cm)]]</f>
        <v>0</v>
      </c>
      <c r="K744">
        <f>pHCondMod[[#This Row],[Modification Description]]</f>
        <v>0</v>
      </c>
      <c r="L744" s="1">
        <f>NMRResults[[#This Row],[Date Run]]</f>
        <v>0</v>
      </c>
      <c r="M744" s="1">
        <f>ICPList[[#This Row],[Date Run]]</f>
        <v>0</v>
      </c>
      <c r="N744" s="1">
        <f>GCResults[[#This Row],[Date Run ]]</f>
        <v>0</v>
      </c>
    </row>
    <row r="745" spans="1:14" ht="14.45" x14ac:dyDescent="0.25">
      <c r="A745">
        <f>SampleList[[#This Row],[Experiment ID]]</f>
        <v>0</v>
      </c>
      <c r="B745">
        <f>SampleList[[#This Row],[Sample Description]]</f>
        <v>0</v>
      </c>
      <c r="C745" s="1">
        <f>SampleList[[#This Row],[Date Sampled]]</f>
        <v>0</v>
      </c>
      <c r="D745">
        <f>SampleList[[#This Row],[Duration (Days)]]</f>
        <v>0</v>
      </c>
      <c r="E745">
        <f>NMRResults[[#This Row],[Ammonium Concentration (mM)]]</f>
        <v>0</v>
      </c>
      <c r="F745" t="str">
        <f>GCResults[[#This Row],[H2 (ppm)]]</f>
        <v/>
      </c>
      <c r="G745">
        <f>GCResults[[#This Row],[Total Gas Volume (mL), gas cylinder = 3785mL]]</f>
        <v>0</v>
      </c>
      <c r="H745">
        <f>GCResults[[#This Row],[Pressure on Sampling (PSI), 145PSI=1MPa]]</f>
        <v>3552.5</v>
      </c>
      <c r="I745">
        <f>pHCondMod[[#This Row],[Sample pH]]</f>
        <v>0</v>
      </c>
      <c r="J745">
        <f>pHCondMod[[#This Row],[Sample Conductivity (mS/cm)]]</f>
        <v>0</v>
      </c>
      <c r="K745">
        <f>pHCondMod[[#This Row],[Modification Description]]</f>
        <v>0</v>
      </c>
      <c r="L745" s="1">
        <f>NMRResults[[#This Row],[Date Run]]</f>
        <v>0</v>
      </c>
      <c r="M745" s="1">
        <f>ICPList[[#This Row],[Date Run]]</f>
        <v>0</v>
      </c>
      <c r="N745" s="1">
        <f>GCResults[[#This Row],[Date Run ]]</f>
        <v>0</v>
      </c>
    </row>
    <row r="746" spans="1:14" ht="14.45" x14ac:dyDescent="0.25">
      <c r="A746">
        <f>SampleList[[#This Row],[Experiment ID]]</f>
        <v>0</v>
      </c>
      <c r="B746">
        <f>SampleList[[#This Row],[Sample Description]]</f>
        <v>0</v>
      </c>
      <c r="C746" s="1">
        <f>SampleList[[#This Row],[Date Sampled]]</f>
        <v>0</v>
      </c>
      <c r="D746">
        <f>SampleList[[#This Row],[Duration (Days)]]</f>
        <v>0</v>
      </c>
      <c r="E746">
        <f>NMRResults[[#This Row],[Ammonium Concentration (mM)]]</f>
        <v>0</v>
      </c>
      <c r="F746" t="str">
        <f>GCResults[[#This Row],[H2 (ppm)]]</f>
        <v/>
      </c>
      <c r="G746">
        <f>GCResults[[#This Row],[Total Gas Volume (mL), gas cylinder = 3785mL]]</f>
        <v>0</v>
      </c>
      <c r="H746">
        <f>GCResults[[#This Row],[Pressure on Sampling (PSI), 145PSI=1MPa]]</f>
        <v>3552.5</v>
      </c>
      <c r="I746">
        <f>pHCondMod[[#This Row],[Sample pH]]</f>
        <v>0</v>
      </c>
      <c r="J746">
        <f>pHCondMod[[#This Row],[Sample Conductivity (mS/cm)]]</f>
        <v>0</v>
      </c>
      <c r="K746">
        <f>pHCondMod[[#This Row],[Modification Description]]</f>
        <v>0</v>
      </c>
      <c r="L746" s="1">
        <f>NMRResults[[#This Row],[Date Run]]</f>
        <v>0</v>
      </c>
      <c r="M746" s="1">
        <f>ICPList[[#This Row],[Date Run]]</f>
        <v>0</v>
      </c>
      <c r="N746" s="1">
        <f>GCResults[[#This Row],[Date Run ]]</f>
        <v>0</v>
      </c>
    </row>
    <row r="747" spans="1:14" ht="14.45" x14ac:dyDescent="0.25">
      <c r="A747">
        <f>SampleList[[#This Row],[Experiment ID]]</f>
        <v>0</v>
      </c>
      <c r="B747">
        <f>SampleList[[#This Row],[Sample Description]]</f>
        <v>0</v>
      </c>
      <c r="C747" s="1">
        <f>SampleList[[#This Row],[Date Sampled]]</f>
        <v>0</v>
      </c>
      <c r="D747">
        <f>SampleList[[#This Row],[Duration (Days)]]</f>
        <v>0</v>
      </c>
      <c r="E747">
        <f>NMRResults[[#This Row],[Ammonium Concentration (mM)]]</f>
        <v>0</v>
      </c>
      <c r="F747" t="str">
        <f>GCResults[[#This Row],[H2 (ppm)]]</f>
        <v/>
      </c>
      <c r="G747">
        <f>GCResults[[#This Row],[Total Gas Volume (mL), gas cylinder = 3785mL]]</f>
        <v>0</v>
      </c>
      <c r="H747">
        <f>GCResults[[#This Row],[Pressure on Sampling (PSI), 145PSI=1MPa]]</f>
        <v>3552.5</v>
      </c>
      <c r="I747">
        <f>pHCondMod[[#This Row],[Sample pH]]</f>
        <v>0</v>
      </c>
      <c r="J747">
        <f>pHCondMod[[#This Row],[Sample Conductivity (mS/cm)]]</f>
        <v>0</v>
      </c>
      <c r="K747">
        <f>pHCondMod[[#This Row],[Modification Description]]</f>
        <v>0</v>
      </c>
      <c r="L747" s="1">
        <f>NMRResults[[#This Row],[Date Run]]</f>
        <v>0</v>
      </c>
      <c r="M747" s="1">
        <f>ICPList[[#This Row],[Date Run]]</f>
        <v>0</v>
      </c>
      <c r="N747" s="1">
        <f>GCResults[[#This Row],[Date Run ]]</f>
        <v>0</v>
      </c>
    </row>
    <row r="748" spans="1:14" ht="14.45" x14ac:dyDescent="0.25">
      <c r="A748">
        <f>SampleList[[#This Row],[Experiment ID]]</f>
        <v>0</v>
      </c>
      <c r="B748">
        <f>SampleList[[#This Row],[Sample Description]]</f>
        <v>0</v>
      </c>
      <c r="C748" s="1">
        <f>SampleList[[#This Row],[Date Sampled]]</f>
        <v>0</v>
      </c>
      <c r="D748">
        <f>SampleList[[#This Row],[Duration (Days)]]</f>
        <v>0</v>
      </c>
      <c r="E748">
        <f>NMRResults[[#This Row],[Ammonium Concentration (mM)]]</f>
        <v>0</v>
      </c>
      <c r="F748" t="str">
        <f>GCResults[[#This Row],[H2 (ppm)]]</f>
        <v/>
      </c>
      <c r="G748">
        <f>GCResults[[#This Row],[Total Gas Volume (mL), gas cylinder = 3785mL]]</f>
        <v>0</v>
      </c>
      <c r="H748">
        <f>GCResults[[#This Row],[Pressure on Sampling (PSI), 145PSI=1MPa]]</f>
        <v>3552.5</v>
      </c>
      <c r="I748">
        <f>pHCondMod[[#This Row],[Sample pH]]</f>
        <v>0</v>
      </c>
      <c r="J748">
        <f>pHCondMod[[#This Row],[Sample Conductivity (mS/cm)]]</f>
        <v>0</v>
      </c>
      <c r="K748">
        <f>pHCondMod[[#This Row],[Modification Description]]</f>
        <v>0</v>
      </c>
      <c r="L748" s="1">
        <f>NMRResults[[#This Row],[Date Run]]</f>
        <v>0</v>
      </c>
      <c r="M748" s="1">
        <f>ICPList[[#This Row],[Date Run]]</f>
        <v>0</v>
      </c>
      <c r="N748" s="1">
        <f>GCResults[[#This Row],[Date Run ]]</f>
        <v>0</v>
      </c>
    </row>
    <row r="749" spans="1:14" ht="14.45" x14ac:dyDescent="0.25">
      <c r="A749">
        <f>SampleList[[#This Row],[Experiment ID]]</f>
        <v>0</v>
      </c>
      <c r="B749">
        <f>SampleList[[#This Row],[Sample Description]]</f>
        <v>0</v>
      </c>
      <c r="C749" s="1">
        <f>SampleList[[#This Row],[Date Sampled]]</f>
        <v>0</v>
      </c>
      <c r="D749">
        <f>SampleList[[#This Row],[Duration (Days)]]</f>
        <v>0</v>
      </c>
      <c r="E749">
        <f>NMRResults[[#This Row],[Ammonium Concentration (mM)]]</f>
        <v>0</v>
      </c>
      <c r="F749" t="str">
        <f>GCResults[[#This Row],[H2 (ppm)]]</f>
        <v/>
      </c>
      <c r="G749">
        <f>GCResults[[#This Row],[Total Gas Volume (mL), gas cylinder = 3785mL]]</f>
        <v>0</v>
      </c>
      <c r="H749">
        <f>GCResults[[#This Row],[Pressure on Sampling (PSI), 145PSI=1MPa]]</f>
        <v>3552.5</v>
      </c>
      <c r="I749">
        <f>pHCondMod[[#This Row],[Sample pH]]</f>
        <v>0</v>
      </c>
      <c r="J749">
        <f>pHCondMod[[#This Row],[Sample Conductivity (mS/cm)]]</f>
        <v>0</v>
      </c>
      <c r="K749">
        <f>pHCondMod[[#This Row],[Modification Description]]</f>
        <v>0</v>
      </c>
      <c r="L749" s="1">
        <f>NMRResults[[#This Row],[Date Run]]</f>
        <v>0</v>
      </c>
      <c r="M749" s="1">
        <f>ICPList[[#This Row],[Date Run]]</f>
        <v>0</v>
      </c>
      <c r="N749" s="1">
        <f>GCResults[[#This Row],[Date Run ]]</f>
        <v>0</v>
      </c>
    </row>
    <row r="750" spans="1:14" ht="14.45" x14ac:dyDescent="0.25">
      <c r="A750">
        <f>SampleList[[#This Row],[Experiment ID]]</f>
        <v>0</v>
      </c>
      <c r="B750">
        <f>SampleList[[#This Row],[Sample Description]]</f>
        <v>0</v>
      </c>
      <c r="C750" s="1">
        <f>SampleList[[#This Row],[Date Sampled]]</f>
        <v>0</v>
      </c>
      <c r="D750">
        <f>SampleList[[#This Row],[Duration (Days)]]</f>
        <v>0</v>
      </c>
      <c r="E750">
        <f>NMRResults[[#This Row],[Ammonium Concentration (mM)]]</f>
        <v>0</v>
      </c>
      <c r="F750" t="str">
        <f>GCResults[[#This Row],[H2 (ppm)]]</f>
        <v/>
      </c>
      <c r="G750">
        <f>GCResults[[#This Row],[Total Gas Volume (mL), gas cylinder = 3785mL]]</f>
        <v>0</v>
      </c>
      <c r="H750">
        <f>GCResults[[#This Row],[Pressure on Sampling (PSI), 145PSI=1MPa]]</f>
        <v>3552.5</v>
      </c>
      <c r="I750">
        <f>pHCondMod[[#This Row],[Sample pH]]</f>
        <v>0</v>
      </c>
      <c r="J750">
        <f>pHCondMod[[#This Row],[Sample Conductivity (mS/cm)]]</f>
        <v>0</v>
      </c>
      <c r="K750">
        <f>pHCondMod[[#This Row],[Modification Description]]</f>
        <v>0</v>
      </c>
      <c r="L750" s="1">
        <f>NMRResults[[#This Row],[Date Run]]</f>
        <v>0</v>
      </c>
      <c r="M750" s="1">
        <f>ICPList[[#This Row],[Date Run]]</f>
        <v>0</v>
      </c>
      <c r="N750" s="1">
        <f>GCResults[[#This Row],[Date Run ]]</f>
        <v>0</v>
      </c>
    </row>
    <row r="751" spans="1:14" ht="14.45" x14ac:dyDescent="0.25">
      <c r="A751">
        <f>SampleList[[#This Row],[Experiment ID]]</f>
        <v>0</v>
      </c>
      <c r="B751">
        <f>SampleList[[#This Row],[Sample Description]]</f>
        <v>0</v>
      </c>
      <c r="C751" s="1">
        <f>SampleList[[#This Row],[Date Sampled]]</f>
        <v>0</v>
      </c>
      <c r="D751">
        <f>SampleList[[#This Row],[Duration (Days)]]</f>
        <v>0</v>
      </c>
      <c r="E751">
        <f>NMRResults[[#This Row],[Ammonium Concentration (mM)]]</f>
        <v>0</v>
      </c>
      <c r="F751" t="str">
        <f>GCResults[[#This Row],[H2 (ppm)]]</f>
        <v/>
      </c>
      <c r="G751">
        <f>GCResults[[#This Row],[Total Gas Volume (mL), gas cylinder = 3785mL]]</f>
        <v>0</v>
      </c>
      <c r="H751">
        <f>GCResults[[#This Row],[Pressure on Sampling (PSI), 145PSI=1MPa]]</f>
        <v>3552.5</v>
      </c>
      <c r="I751">
        <f>pHCondMod[[#This Row],[Sample pH]]</f>
        <v>0</v>
      </c>
      <c r="J751">
        <f>pHCondMod[[#This Row],[Sample Conductivity (mS/cm)]]</f>
        <v>0</v>
      </c>
      <c r="K751">
        <f>pHCondMod[[#This Row],[Modification Description]]</f>
        <v>0</v>
      </c>
      <c r="L751" s="1">
        <f>NMRResults[[#This Row],[Date Run]]</f>
        <v>0</v>
      </c>
      <c r="M751" s="1">
        <f>ICPList[[#This Row],[Date Run]]</f>
        <v>0</v>
      </c>
      <c r="N751" s="1">
        <f>GCResults[[#This Row],[Date Run ]]</f>
        <v>0</v>
      </c>
    </row>
    <row r="752" spans="1:14" ht="14.45" x14ac:dyDescent="0.25">
      <c r="A752">
        <f>SampleList[[#This Row],[Experiment ID]]</f>
        <v>0</v>
      </c>
      <c r="B752">
        <f>SampleList[[#This Row],[Sample Description]]</f>
        <v>0</v>
      </c>
      <c r="C752" s="1">
        <f>SampleList[[#This Row],[Date Sampled]]</f>
        <v>0</v>
      </c>
      <c r="D752">
        <f>SampleList[[#This Row],[Duration (Days)]]</f>
        <v>0</v>
      </c>
      <c r="E752">
        <f>NMRResults[[#This Row],[Ammonium Concentration (mM)]]</f>
        <v>0</v>
      </c>
      <c r="F752" t="str">
        <f>GCResults[[#This Row],[H2 (ppm)]]</f>
        <v/>
      </c>
      <c r="G752">
        <f>GCResults[[#This Row],[Total Gas Volume (mL), gas cylinder = 3785mL]]</f>
        <v>0</v>
      </c>
      <c r="H752">
        <f>GCResults[[#This Row],[Pressure on Sampling (PSI), 145PSI=1MPa]]</f>
        <v>3552.5</v>
      </c>
      <c r="I752">
        <f>pHCondMod[[#This Row],[Sample pH]]</f>
        <v>0</v>
      </c>
      <c r="J752">
        <f>pHCondMod[[#This Row],[Sample Conductivity (mS/cm)]]</f>
        <v>0</v>
      </c>
      <c r="K752">
        <f>pHCondMod[[#This Row],[Modification Description]]</f>
        <v>0</v>
      </c>
      <c r="L752" s="1">
        <f>NMRResults[[#This Row],[Date Run]]</f>
        <v>0</v>
      </c>
      <c r="M752" s="1">
        <f>ICPList[[#This Row],[Date Run]]</f>
        <v>0</v>
      </c>
      <c r="N752" s="1">
        <f>GCResults[[#This Row],[Date Run ]]</f>
        <v>0</v>
      </c>
    </row>
    <row r="753" spans="1:14" ht="14.45" x14ac:dyDescent="0.25">
      <c r="A753">
        <f>SampleList[[#This Row],[Experiment ID]]</f>
        <v>0</v>
      </c>
      <c r="B753">
        <f>SampleList[[#This Row],[Sample Description]]</f>
        <v>0</v>
      </c>
      <c r="C753" s="1">
        <f>SampleList[[#This Row],[Date Sampled]]</f>
        <v>0</v>
      </c>
      <c r="D753">
        <f>SampleList[[#This Row],[Duration (Days)]]</f>
        <v>0</v>
      </c>
      <c r="E753">
        <f>NMRResults[[#This Row],[Ammonium Concentration (mM)]]</f>
        <v>0</v>
      </c>
      <c r="F753" t="str">
        <f>GCResults[[#This Row],[H2 (ppm)]]</f>
        <v/>
      </c>
      <c r="G753">
        <f>GCResults[[#This Row],[Total Gas Volume (mL), gas cylinder = 3785mL]]</f>
        <v>0</v>
      </c>
      <c r="H753">
        <f>GCResults[[#This Row],[Pressure on Sampling (PSI), 145PSI=1MPa]]</f>
        <v>3552.5</v>
      </c>
      <c r="I753">
        <f>pHCondMod[[#This Row],[Sample pH]]</f>
        <v>0</v>
      </c>
      <c r="J753">
        <f>pHCondMod[[#This Row],[Sample Conductivity (mS/cm)]]</f>
        <v>0</v>
      </c>
      <c r="K753">
        <f>pHCondMod[[#This Row],[Modification Description]]</f>
        <v>0</v>
      </c>
      <c r="L753" s="1">
        <f>NMRResults[[#This Row],[Date Run]]</f>
        <v>0</v>
      </c>
      <c r="M753" s="1">
        <f>ICPList[[#This Row],[Date Run]]</f>
        <v>0</v>
      </c>
      <c r="N753" s="1">
        <f>GCResults[[#This Row],[Date Run ]]</f>
        <v>0</v>
      </c>
    </row>
    <row r="754" spans="1:14" ht="14.45" x14ac:dyDescent="0.25">
      <c r="A754">
        <f>SampleList[[#This Row],[Experiment ID]]</f>
        <v>0</v>
      </c>
      <c r="B754">
        <f>SampleList[[#This Row],[Sample Description]]</f>
        <v>0</v>
      </c>
      <c r="C754" s="1">
        <f>SampleList[[#This Row],[Date Sampled]]</f>
        <v>0</v>
      </c>
      <c r="D754">
        <f>SampleList[[#This Row],[Duration (Days)]]</f>
        <v>0</v>
      </c>
      <c r="E754">
        <f>NMRResults[[#This Row],[Ammonium Concentration (mM)]]</f>
        <v>0</v>
      </c>
      <c r="F754" t="str">
        <f>GCResults[[#This Row],[H2 (ppm)]]</f>
        <v/>
      </c>
      <c r="G754">
        <f>GCResults[[#This Row],[Total Gas Volume (mL), gas cylinder = 3785mL]]</f>
        <v>0</v>
      </c>
      <c r="H754">
        <f>GCResults[[#This Row],[Pressure on Sampling (PSI), 145PSI=1MPa]]</f>
        <v>3552.5</v>
      </c>
      <c r="I754">
        <f>pHCondMod[[#This Row],[Sample pH]]</f>
        <v>0</v>
      </c>
      <c r="J754">
        <f>pHCondMod[[#This Row],[Sample Conductivity (mS/cm)]]</f>
        <v>0</v>
      </c>
      <c r="K754">
        <f>pHCondMod[[#This Row],[Modification Description]]</f>
        <v>0</v>
      </c>
      <c r="L754" s="1">
        <f>NMRResults[[#This Row],[Date Run]]</f>
        <v>0</v>
      </c>
      <c r="M754" s="1">
        <f>ICPList[[#This Row],[Date Run]]</f>
        <v>0</v>
      </c>
      <c r="N754" s="1">
        <f>GCResults[[#This Row],[Date Run ]]</f>
        <v>0</v>
      </c>
    </row>
    <row r="755" spans="1:14" ht="14.45" x14ac:dyDescent="0.25">
      <c r="A755">
        <f>SampleList[[#This Row],[Experiment ID]]</f>
        <v>0</v>
      </c>
      <c r="B755">
        <f>SampleList[[#This Row],[Sample Description]]</f>
        <v>0</v>
      </c>
      <c r="C755" s="1">
        <f>SampleList[[#This Row],[Date Sampled]]</f>
        <v>0</v>
      </c>
      <c r="D755">
        <f>SampleList[[#This Row],[Duration (Days)]]</f>
        <v>0</v>
      </c>
      <c r="E755">
        <f>NMRResults[[#This Row],[Ammonium Concentration (mM)]]</f>
        <v>0</v>
      </c>
      <c r="F755" t="str">
        <f>GCResults[[#This Row],[H2 (ppm)]]</f>
        <v/>
      </c>
      <c r="G755">
        <f>GCResults[[#This Row],[Total Gas Volume (mL), gas cylinder = 3785mL]]</f>
        <v>0</v>
      </c>
      <c r="H755">
        <f>GCResults[[#This Row],[Pressure on Sampling (PSI), 145PSI=1MPa]]</f>
        <v>3552.5</v>
      </c>
      <c r="I755">
        <f>pHCondMod[[#This Row],[Sample pH]]</f>
        <v>0</v>
      </c>
      <c r="J755">
        <f>pHCondMod[[#This Row],[Sample Conductivity (mS/cm)]]</f>
        <v>0</v>
      </c>
      <c r="K755">
        <f>pHCondMod[[#This Row],[Modification Description]]</f>
        <v>0</v>
      </c>
      <c r="L755" s="1">
        <f>NMRResults[[#This Row],[Date Run]]</f>
        <v>0</v>
      </c>
      <c r="M755" s="1">
        <f>ICPList[[#This Row],[Date Run]]</f>
        <v>0</v>
      </c>
      <c r="N755" s="1">
        <f>GCResults[[#This Row],[Date Run ]]</f>
        <v>0</v>
      </c>
    </row>
    <row r="756" spans="1:14" ht="14.45" x14ac:dyDescent="0.25">
      <c r="A756">
        <f>SampleList[[#This Row],[Experiment ID]]</f>
        <v>0</v>
      </c>
      <c r="B756">
        <f>SampleList[[#This Row],[Sample Description]]</f>
        <v>0</v>
      </c>
      <c r="C756" s="1">
        <f>SampleList[[#This Row],[Date Sampled]]</f>
        <v>0</v>
      </c>
      <c r="D756">
        <f>SampleList[[#This Row],[Duration (Days)]]</f>
        <v>0</v>
      </c>
      <c r="E756">
        <f>NMRResults[[#This Row],[Ammonium Concentration (mM)]]</f>
        <v>0</v>
      </c>
      <c r="F756" t="str">
        <f>GCResults[[#This Row],[H2 (ppm)]]</f>
        <v/>
      </c>
      <c r="G756">
        <f>GCResults[[#This Row],[Total Gas Volume (mL), gas cylinder = 3785mL]]</f>
        <v>0</v>
      </c>
      <c r="H756">
        <f>GCResults[[#This Row],[Pressure on Sampling (PSI), 145PSI=1MPa]]</f>
        <v>3552.5</v>
      </c>
      <c r="I756">
        <f>pHCondMod[[#This Row],[Sample pH]]</f>
        <v>0</v>
      </c>
      <c r="J756">
        <f>pHCondMod[[#This Row],[Sample Conductivity (mS/cm)]]</f>
        <v>0</v>
      </c>
      <c r="K756">
        <f>pHCondMod[[#This Row],[Modification Description]]</f>
        <v>0</v>
      </c>
      <c r="L756" s="1">
        <f>NMRResults[[#This Row],[Date Run]]</f>
        <v>0</v>
      </c>
      <c r="M756" s="1">
        <f>ICPList[[#This Row],[Date Run]]</f>
        <v>0</v>
      </c>
      <c r="N756" s="1">
        <f>GCResults[[#This Row],[Date Run ]]</f>
        <v>0</v>
      </c>
    </row>
    <row r="757" spans="1:14" ht="14.45" x14ac:dyDescent="0.25">
      <c r="A757">
        <f>SampleList[[#This Row],[Experiment ID]]</f>
        <v>0</v>
      </c>
      <c r="B757">
        <f>SampleList[[#This Row],[Sample Description]]</f>
        <v>0</v>
      </c>
      <c r="C757" s="1">
        <f>SampleList[[#This Row],[Date Sampled]]</f>
        <v>0</v>
      </c>
      <c r="D757">
        <f>SampleList[[#This Row],[Duration (Days)]]</f>
        <v>0</v>
      </c>
      <c r="E757">
        <f>NMRResults[[#This Row],[Ammonium Concentration (mM)]]</f>
        <v>0</v>
      </c>
      <c r="F757" t="str">
        <f>GCResults[[#This Row],[H2 (ppm)]]</f>
        <v/>
      </c>
      <c r="G757">
        <f>GCResults[[#This Row],[Total Gas Volume (mL), gas cylinder = 3785mL]]</f>
        <v>0</v>
      </c>
      <c r="H757">
        <f>GCResults[[#This Row],[Pressure on Sampling (PSI), 145PSI=1MPa]]</f>
        <v>3552.5</v>
      </c>
      <c r="I757">
        <f>pHCondMod[[#This Row],[Sample pH]]</f>
        <v>0</v>
      </c>
      <c r="J757">
        <f>pHCondMod[[#This Row],[Sample Conductivity (mS/cm)]]</f>
        <v>0</v>
      </c>
      <c r="K757">
        <f>pHCondMod[[#This Row],[Modification Description]]</f>
        <v>0</v>
      </c>
      <c r="L757" s="1">
        <f>NMRResults[[#This Row],[Date Run]]</f>
        <v>0</v>
      </c>
      <c r="M757" s="1">
        <f>ICPList[[#This Row],[Date Run]]</f>
        <v>0</v>
      </c>
      <c r="N757" s="1">
        <f>GCResults[[#This Row],[Date Run ]]</f>
        <v>0</v>
      </c>
    </row>
    <row r="758" spans="1:14" ht="14.45" x14ac:dyDescent="0.25">
      <c r="A758">
        <f>SampleList[[#This Row],[Experiment ID]]</f>
        <v>0</v>
      </c>
      <c r="B758">
        <f>SampleList[[#This Row],[Sample Description]]</f>
        <v>0</v>
      </c>
      <c r="C758" s="1">
        <f>SampleList[[#This Row],[Date Sampled]]</f>
        <v>0</v>
      </c>
      <c r="D758">
        <f>SampleList[[#This Row],[Duration (Days)]]</f>
        <v>0</v>
      </c>
      <c r="E758">
        <f>NMRResults[[#This Row],[Ammonium Concentration (mM)]]</f>
        <v>0</v>
      </c>
      <c r="F758" t="str">
        <f>GCResults[[#This Row],[H2 (ppm)]]</f>
        <v/>
      </c>
      <c r="G758">
        <f>GCResults[[#This Row],[Total Gas Volume (mL), gas cylinder = 3785mL]]</f>
        <v>0</v>
      </c>
      <c r="H758">
        <f>GCResults[[#This Row],[Pressure on Sampling (PSI), 145PSI=1MPa]]</f>
        <v>3552.5</v>
      </c>
      <c r="I758">
        <f>pHCondMod[[#This Row],[Sample pH]]</f>
        <v>0</v>
      </c>
      <c r="J758">
        <f>pHCondMod[[#This Row],[Sample Conductivity (mS/cm)]]</f>
        <v>0</v>
      </c>
      <c r="K758">
        <f>pHCondMod[[#This Row],[Modification Description]]</f>
        <v>0</v>
      </c>
      <c r="L758" s="1">
        <f>NMRResults[[#This Row],[Date Run]]</f>
        <v>0</v>
      </c>
      <c r="M758" s="1">
        <f>ICPList[[#This Row],[Date Run]]</f>
        <v>0</v>
      </c>
      <c r="N758" s="1">
        <f>GCResults[[#This Row],[Date Run ]]</f>
        <v>0</v>
      </c>
    </row>
    <row r="759" spans="1:14" ht="14.45" x14ac:dyDescent="0.25">
      <c r="A759">
        <f>SampleList[[#This Row],[Experiment ID]]</f>
        <v>0</v>
      </c>
      <c r="B759">
        <f>SampleList[[#This Row],[Sample Description]]</f>
        <v>0</v>
      </c>
      <c r="C759" s="1">
        <f>SampleList[[#This Row],[Date Sampled]]</f>
        <v>0</v>
      </c>
      <c r="D759">
        <f>SampleList[[#This Row],[Duration (Days)]]</f>
        <v>0</v>
      </c>
      <c r="E759">
        <f>NMRResults[[#This Row],[Ammonium Concentration (mM)]]</f>
        <v>0</v>
      </c>
      <c r="F759" t="str">
        <f>GCResults[[#This Row],[H2 (ppm)]]</f>
        <v/>
      </c>
      <c r="G759">
        <f>GCResults[[#This Row],[Total Gas Volume (mL), gas cylinder = 3785mL]]</f>
        <v>0</v>
      </c>
      <c r="H759">
        <f>GCResults[[#This Row],[Pressure on Sampling (PSI), 145PSI=1MPa]]</f>
        <v>3552.5</v>
      </c>
      <c r="I759">
        <f>pHCondMod[[#This Row],[Sample pH]]</f>
        <v>0</v>
      </c>
      <c r="J759">
        <f>pHCondMod[[#This Row],[Sample Conductivity (mS/cm)]]</f>
        <v>0</v>
      </c>
      <c r="K759">
        <f>pHCondMod[[#This Row],[Modification Description]]</f>
        <v>0</v>
      </c>
      <c r="L759" s="1">
        <f>NMRResults[[#This Row],[Date Run]]</f>
        <v>0</v>
      </c>
      <c r="M759" s="1">
        <f>ICPList[[#This Row],[Date Run]]</f>
        <v>0</v>
      </c>
      <c r="N759" s="1">
        <f>GCResults[[#This Row],[Date Run ]]</f>
        <v>0</v>
      </c>
    </row>
    <row r="760" spans="1:14" ht="14.45" x14ac:dyDescent="0.25">
      <c r="A760">
        <f>SampleList[[#This Row],[Experiment ID]]</f>
        <v>0</v>
      </c>
      <c r="B760">
        <f>SampleList[[#This Row],[Sample Description]]</f>
        <v>0</v>
      </c>
      <c r="C760" s="1">
        <f>SampleList[[#This Row],[Date Sampled]]</f>
        <v>0</v>
      </c>
      <c r="D760">
        <f>SampleList[[#This Row],[Duration (Days)]]</f>
        <v>0</v>
      </c>
      <c r="E760">
        <f>NMRResults[[#This Row],[Ammonium Concentration (mM)]]</f>
        <v>0</v>
      </c>
      <c r="F760" t="str">
        <f>GCResults[[#This Row],[H2 (ppm)]]</f>
        <v/>
      </c>
      <c r="G760">
        <f>GCResults[[#This Row],[Total Gas Volume (mL), gas cylinder = 3785mL]]</f>
        <v>0</v>
      </c>
      <c r="H760">
        <f>GCResults[[#This Row],[Pressure on Sampling (PSI), 145PSI=1MPa]]</f>
        <v>3552.5</v>
      </c>
      <c r="I760">
        <f>pHCondMod[[#This Row],[Sample pH]]</f>
        <v>0</v>
      </c>
      <c r="J760">
        <f>pHCondMod[[#This Row],[Sample Conductivity (mS/cm)]]</f>
        <v>0</v>
      </c>
      <c r="K760">
        <f>pHCondMod[[#This Row],[Modification Description]]</f>
        <v>0</v>
      </c>
      <c r="L760" s="1">
        <f>NMRResults[[#This Row],[Date Run]]</f>
        <v>0</v>
      </c>
      <c r="M760" s="1">
        <f>ICPList[[#This Row],[Date Run]]</f>
        <v>0</v>
      </c>
      <c r="N760" s="1">
        <f>GCResults[[#This Row],[Date Run ]]</f>
        <v>0</v>
      </c>
    </row>
    <row r="761" spans="1:14" ht="14.45" x14ac:dyDescent="0.25">
      <c r="A761">
        <f>SampleList[[#This Row],[Experiment ID]]</f>
        <v>0</v>
      </c>
      <c r="B761">
        <f>SampleList[[#This Row],[Sample Description]]</f>
        <v>0</v>
      </c>
      <c r="C761" s="1">
        <f>SampleList[[#This Row],[Date Sampled]]</f>
        <v>0</v>
      </c>
      <c r="D761">
        <f>SampleList[[#This Row],[Duration (Days)]]</f>
        <v>0</v>
      </c>
      <c r="E761">
        <f>NMRResults[[#This Row],[Ammonium Concentration (mM)]]</f>
        <v>0</v>
      </c>
      <c r="F761" t="str">
        <f>GCResults[[#This Row],[H2 (ppm)]]</f>
        <v/>
      </c>
      <c r="G761">
        <f>GCResults[[#This Row],[Total Gas Volume (mL), gas cylinder = 3785mL]]</f>
        <v>0</v>
      </c>
      <c r="H761">
        <f>GCResults[[#This Row],[Pressure on Sampling (PSI), 145PSI=1MPa]]</f>
        <v>3552.5</v>
      </c>
      <c r="I761">
        <f>pHCondMod[[#This Row],[Sample pH]]</f>
        <v>0</v>
      </c>
      <c r="J761">
        <f>pHCondMod[[#This Row],[Sample Conductivity (mS/cm)]]</f>
        <v>0</v>
      </c>
      <c r="K761">
        <f>pHCondMod[[#This Row],[Modification Description]]</f>
        <v>0</v>
      </c>
      <c r="L761" s="1">
        <f>NMRResults[[#This Row],[Date Run]]</f>
        <v>0</v>
      </c>
      <c r="M761" s="1">
        <f>ICPList[[#This Row],[Date Run]]</f>
        <v>0</v>
      </c>
      <c r="N761" s="1">
        <f>GCResults[[#This Row],[Date Run ]]</f>
        <v>0</v>
      </c>
    </row>
    <row r="762" spans="1:14" ht="14.45" x14ac:dyDescent="0.25">
      <c r="A762">
        <f>SampleList[[#This Row],[Experiment ID]]</f>
        <v>0</v>
      </c>
      <c r="B762">
        <f>SampleList[[#This Row],[Sample Description]]</f>
        <v>0</v>
      </c>
      <c r="C762" s="1">
        <f>SampleList[[#This Row],[Date Sampled]]</f>
        <v>0</v>
      </c>
      <c r="D762">
        <f>SampleList[[#This Row],[Duration (Days)]]</f>
        <v>0</v>
      </c>
      <c r="E762">
        <f>NMRResults[[#This Row],[Ammonium Concentration (mM)]]</f>
        <v>0</v>
      </c>
      <c r="F762" t="str">
        <f>GCResults[[#This Row],[H2 (ppm)]]</f>
        <v/>
      </c>
      <c r="G762">
        <f>GCResults[[#This Row],[Total Gas Volume (mL), gas cylinder = 3785mL]]</f>
        <v>0</v>
      </c>
      <c r="H762">
        <f>GCResults[[#This Row],[Pressure on Sampling (PSI), 145PSI=1MPa]]</f>
        <v>3552.5</v>
      </c>
      <c r="I762">
        <f>pHCondMod[[#This Row],[Sample pH]]</f>
        <v>0</v>
      </c>
      <c r="J762">
        <f>pHCondMod[[#This Row],[Sample Conductivity (mS/cm)]]</f>
        <v>0</v>
      </c>
      <c r="K762">
        <f>pHCondMod[[#This Row],[Modification Description]]</f>
        <v>0</v>
      </c>
      <c r="L762" s="1">
        <f>NMRResults[[#This Row],[Date Run]]</f>
        <v>0</v>
      </c>
      <c r="M762" s="1">
        <f>ICPList[[#This Row],[Date Run]]</f>
        <v>0</v>
      </c>
      <c r="N762" s="1">
        <f>GCResults[[#This Row],[Date Run ]]</f>
        <v>0</v>
      </c>
    </row>
    <row r="763" spans="1:14" ht="14.45" x14ac:dyDescent="0.25">
      <c r="A763">
        <f>SampleList[[#This Row],[Experiment ID]]</f>
        <v>0</v>
      </c>
      <c r="B763">
        <f>SampleList[[#This Row],[Sample Description]]</f>
        <v>0</v>
      </c>
      <c r="C763" s="1">
        <f>SampleList[[#This Row],[Date Sampled]]</f>
        <v>0</v>
      </c>
      <c r="D763">
        <f>SampleList[[#This Row],[Duration (Days)]]</f>
        <v>0</v>
      </c>
      <c r="E763">
        <f>NMRResults[[#This Row],[Ammonium Concentration (mM)]]</f>
        <v>0</v>
      </c>
      <c r="F763" t="str">
        <f>GCResults[[#This Row],[H2 (ppm)]]</f>
        <v/>
      </c>
      <c r="G763">
        <f>GCResults[[#This Row],[Total Gas Volume (mL), gas cylinder = 3785mL]]</f>
        <v>0</v>
      </c>
      <c r="H763">
        <f>GCResults[[#This Row],[Pressure on Sampling (PSI), 145PSI=1MPa]]</f>
        <v>3552.5</v>
      </c>
      <c r="I763">
        <f>pHCondMod[[#This Row],[Sample pH]]</f>
        <v>0</v>
      </c>
      <c r="J763">
        <f>pHCondMod[[#This Row],[Sample Conductivity (mS/cm)]]</f>
        <v>0</v>
      </c>
      <c r="K763">
        <f>pHCondMod[[#This Row],[Modification Description]]</f>
        <v>0</v>
      </c>
      <c r="L763" s="1">
        <f>NMRResults[[#This Row],[Date Run]]</f>
        <v>0</v>
      </c>
      <c r="M763" s="1">
        <f>ICPList[[#This Row],[Date Run]]</f>
        <v>0</v>
      </c>
      <c r="N763" s="1">
        <f>GCResults[[#This Row],[Date Run ]]</f>
        <v>0</v>
      </c>
    </row>
    <row r="764" spans="1:14" ht="14.45" x14ac:dyDescent="0.25">
      <c r="A764">
        <f>SampleList[[#This Row],[Experiment ID]]</f>
        <v>0</v>
      </c>
      <c r="B764">
        <f>SampleList[[#This Row],[Sample Description]]</f>
        <v>0</v>
      </c>
      <c r="C764" s="1">
        <f>SampleList[[#This Row],[Date Sampled]]</f>
        <v>0</v>
      </c>
      <c r="D764">
        <f>SampleList[[#This Row],[Duration (Days)]]</f>
        <v>0</v>
      </c>
      <c r="E764">
        <f>NMRResults[[#This Row],[Ammonium Concentration (mM)]]</f>
        <v>0</v>
      </c>
      <c r="F764" t="str">
        <f>GCResults[[#This Row],[H2 (ppm)]]</f>
        <v/>
      </c>
      <c r="G764">
        <f>GCResults[[#This Row],[Total Gas Volume (mL), gas cylinder = 3785mL]]</f>
        <v>0</v>
      </c>
      <c r="H764">
        <f>GCResults[[#This Row],[Pressure on Sampling (PSI), 145PSI=1MPa]]</f>
        <v>3552.5</v>
      </c>
      <c r="I764">
        <f>pHCondMod[[#This Row],[Sample pH]]</f>
        <v>0</v>
      </c>
      <c r="J764">
        <f>pHCondMod[[#This Row],[Sample Conductivity (mS/cm)]]</f>
        <v>0</v>
      </c>
      <c r="K764">
        <f>pHCondMod[[#This Row],[Modification Description]]</f>
        <v>0</v>
      </c>
      <c r="L764" s="1">
        <f>NMRResults[[#This Row],[Date Run]]</f>
        <v>0</v>
      </c>
      <c r="M764" s="1">
        <f>ICPList[[#This Row],[Date Run]]</f>
        <v>0</v>
      </c>
      <c r="N764" s="1">
        <f>GCResults[[#This Row],[Date Run ]]</f>
        <v>0</v>
      </c>
    </row>
    <row r="765" spans="1:14" ht="14.45" x14ac:dyDescent="0.25">
      <c r="A765">
        <f>SampleList[[#This Row],[Experiment ID]]</f>
        <v>0</v>
      </c>
      <c r="B765">
        <f>SampleList[[#This Row],[Sample Description]]</f>
        <v>0</v>
      </c>
      <c r="C765" s="1">
        <f>SampleList[[#This Row],[Date Sampled]]</f>
        <v>0</v>
      </c>
      <c r="D765">
        <f>SampleList[[#This Row],[Duration (Days)]]</f>
        <v>0</v>
      </c>
      <c r="E765">
        <f>NMRResults[[#This Row],[Ammonium Concentration (mM)]]</f>
        <v>0</v>
      </c>
      <c r="F765" t="str">
        <f>GCResults[[#This Row],[H2 (ppm)]]</f>
        <v/>
      </c>
      <c r="G765">
        <f>GCResults[[#This Row],[Total Gas Volume (mL), gas cylinder = 3785mL]]</f>
        <v>0</v>
      </c>
      <c r="H765">
        <f>GCResults[[#This Row],[Pressure on Sampling (PSI), 145PSI=1MPa]]</f>
        <v>3552.5</v>
      </c>
      <c r="I765">
        <f>pHCondMod[[#This Row],[Sample pH]]</f>
        <v>0</v>
      </c>
      <c r="J765">
        <f>pHCondMod[[#This Row],[Sample Conductivity (mS/cm)]]</f>
        <v>0</v>
      </c>
      <c r="K765">
        <f>pHCondMod[[#This Row],[Modification Description]]</f>
        <v>0</v>
      </c>
      <c r="L765" s="1">
        <f>NMRResults[[#This Row],[Date Run]]</f>
        <v>0</v>
      </c>
      <c r="M765" s="1">
        <f>ICPList[[#This Row],[Date Run]]</f>
        <v>0</v>
      </c>
      <c r="N765" s="1">
        <f>GCResults[[#This Row],[Date Run ]]</f>
        <v>0</v>
      </c>
    </row>
    <row r="766" spans="1:14" ht="14.45" x14ac:dyDescent="0.25">
      <c r="A766">
        <f>SampleList[[#This Row],[Experiment ID]]</f>
        <v>0</v>
      </c>
      <c r="B766">
        <f>SampleList[[#This Row],[Sample Description]]</f>
        <v>0</v>
      </c>
      <c r="C766" s="1">
        <f>SampleList[[#This Row],[Date Sampled]]</f>
        <v>0</v>
      </c>
      <c r="D766">
        <f>SampleList[[#This Row],[Duration (Days)]]</f>
        <v>0</v>
      </c>
      <c r="E766">
        <f>NMRResults[[#This Row],[Ammonium Concentration (mM)]]</f>
        <v>0</v>
      </c>
      <c r="F766" t="str">
        <f>GCResults[[#This Row],[H2 (ppm)]]</f>
        <v/>
      </c>
      <c r="G766">
        <f>GCResults[[#This Row],[Total Gas Volume (mL), gas cylinder = 3785mL]]</f>
        <v>0</v>
      </c>
      <c r="H766">
        <f>GCResults[[#This Row],[Pressure on Sampling (PSI), 145PSI=1MPa]]</f>
        <v>3552.5</v>
      </c>
      <c r="I766">
        <f>pHCondMod[[#This Row],[Sample pH]]</f>
        <v>0</v>
      </c>
      <c r="J766">
        <f>pHCondMod[[#This Row],[Sample Conductivity (mS/cm)]]</f>
        <v>0</v>
      </c>
      <c r="K766">
        <f>pHCondMod[[#This Row],[Modification Description]]</f>
        <v>0</v>
      </c>
      <c r="L766" s="1">
        <f>NMRResults[[#This Row],[Date Run]]</f>
        <v>0</v>
      </c>
      <c r="M766" s="1">
        <f>ICPList[[#This Row],[Date Run]]</f>
        <v>0</v>
      </c>
      <c r="N766" s="1">
        <f>GCResults[[#This Row],[Date Run ]]</f>
        <v>0</v>
      </c>
    </row>
    <row r="767" spans="1:14" ht="14.45" x14ac:dyDescent="0.25">
      <c r="A767">
        <f>SampleList[[#This Row],[Experiment ID]]</f>
        <v>0</v>
      </c>
      <c r="B767">
        <f>SampleList[[#This Row],[Sample Description]]</f>
        <v>0</v>
      </c>
      <c r="C767" s="1">
        <f>SampleList[[#This Row],[Date Sampled]]</f>
        <v>0</v>
      </c>
      <c r="D767">
        <f>SampleList[[#This Row],[Duration (Days)]]</f>
        <v>0</v>
      </c>
      <c r="E767">
        <f>NMRResults[[#This Row],[Ammonium Concentration (mM)]]</f>
        <v>0</v>
      </c>
      <c r="F767" t="str">
        <f>GCResults[[#This Row],[H2 (ppm)]]</f>
        <v/>
      </c>
      <c r="G767">
        <f>GCResults[[#This Row],[Total Gas Volume (mL), gas cylinder = 3785mL]]</f>
        <v>0</v>
      </c>
      <c r="H767">
        <f>GCResults[[#This Row],[Pressure on Sampling (PSI), 145PSI=1MPa]]</f>
        <v>3552.5</v>
      </c>
      <c r="I767">
        <f>pHCondMod[[#This Row],[Sample pH]]</f>
        <v>0</v>
      </c>
      <c r="J767">
        <f>pHCondMod[[#This Row],[Sample Conductivity (mS/cm)]]</f>
        <v>0</v>
      </c>
      <c r="K767">
        <f>pHCondMod[[#This Row],[Modification Description]]</f>
        <v>0</v>
      </c>
      <c r="L767" s="1">
        <f>NMRResults[[#This Row],[Date Run]]</f>
        <v>0</v>
      </c>
      <c r="M767" s="1">
        <f>ICPList[[#This Row],[Date Run]]</f>
        <v>0</v>
      </c>
      <c r="N767" s="1">
        <f>GCResults[[#This Row],[Date Run ]]</f>
        <v>0</v>
      </c>
    </row>
    <row r="768" spans="1:14" ht="14.45" x14ac:dyDescent="0.25">
      <c r="A768">
        <f>SampleList[[#This Row],[Experiment ID]]</f>
        <v>0</v>
      </c>
      <c r="B768">
        <f>SampleList[[#This Row],[Sample Description]]</f>
        <v>0</v>
      </c>
      <c r="C768" s="1">
        <f>SampleList[[#This Row],[Date Sampled]]</f>
        <v>0</v>
      </c>
      <c r="D768">
        <f>SampleList[[#This Row],[Duration (Days)]]</f>
        <v>0</v>
      </c>
      <c r="E768">
        <f>NMRResults[[#This Row],[Ammonium Concentration (mM)]]</f>
        <v>0</v>
      </c>
      <c r="F768" t="str">
        <f>GCResults[[#This Row],[H2 (ppm)]]</f>
        <v/>
      </c>
      <c r="G768">
        <f>GCResults[[#This Row],[Total Gas Volume (mL), gas cylinder = 3785mL]]</f>
        <v>0</v>
      </c>
      <c r="H768">
        <f>GCResults[[#This Row],[Pressure on Sampling (PSI), 145PSI=1MPa]]</f>
        <v>3552.5</v>
      </c>
      <c r="I768">
        <f>pHCondMod[[#This Row],[Sample pH]]</f>
        <v>0</v>
      </c>
      <c r="J768">
        <f>pHCondMod[[#This Row],[Sample Conductivity (mS/cm)]]</f>
        <v>0</v>
      </c>
      <c r="K768">
        <f>pHCondMod[[#This Row],[Modification Description]]</f>
        <v>0</v>
      </c>
      <c r="L768" s="1">
        <f>NMRResults[[#This Row],[Date Run]]</f>
        <v>0</v>
      </c>
      <c r="M768" s="1">
        <f>ICPList[[#This Row],[Date Run]]</f>
        <v>0</v>
      </c>
      <c r="N768" s="1">
        <f>GCResults[[#This Row],[Date Run ]]</f>
        <v>0</v>
      </c>
    </row>
    <row r="769" spans="1:14" ht="14.45" x14ac:dyDescent="0.25">
      <c r="A769">
        <f>SampleList[[#This Row],[Experiment ID]]</f>
        <v>0</v>
      </c>
      <c r="B769">
        <f>SampleList[[#This Row],[Sample Description]]</f>
        <v>0</v>
      </c>
      <c r="C769" s="1">
        <f>SampleList[[#This Row],[Date Sampled]]</f>
        <v>0</v>
      </c>
      <c r="D769">
        <f>SampleList[[#This Row],[Duration (Days)]]</f>
        <v>0</v>
      </c>
      <c r="E769">
        <f>NMRResults[[#This Row],[Ammonium Concentration (mM)]]</f>
        <v>0</v>
      </c>
      <c r="F769" t="str">
        <f>GCResults[[#This Row],[H2 (ppm)]]</f>
        <v/>
      </c>
      <c r="G769">
        <f>GCResults[[#This Row],[Total Gas Volume (mL), gas cylinder = 3785mL]]</f>
        <v>0</v>
      </c>
      <c r="H769">
        <f>GCResults[[#This Row],[Pressure on Sampling (PSI), 145PSI=1MPa]]</f>
        <v>3552.5</v>
      </c>
      <c r="I769">
        <f>pHCondMod[[#This Row],[Sample pH]]</f>
        <v>0</v>
      </c>
      <c r="J769">
        <f>pHCondMod[[#This Row],[Sample Conductivity (mS/cm)]]</f>
        <v>0</v>
      </c>
      <c r="K769">
        <f>pHCondMod[[#This Row],[Modification Description]]</f>
        <v>0</v>
      </c>
      <c r="L769" s="1">
        <f>NMRResults[[#This Row],[Date Run]]</f>
        <v>0</v>
      </c>
      <c r="M769" s="1">
        <f>ICPList[[#This Row],[Date Run]]</f>
        <v>0</v>
      </c>
      <c r="N769" s="1">
        <f>GCResults[[#This Row],[Date Run ]]</f>
        <v>0</v>
      </c>
    </row>
    <row r="770" spans="1:14" ht="14.45" x14ac:dyDescent="0.25">
      <c r="A770">
        <f>SampleList[[#This Row],[Experiment ID]]</f>
        <v>0</v>
      </c>
      <c r="B770">
        <f>SampleList[[#This Row],[Sample Description]]</f>
        <v>0</v>
      </c>
      <c r="C770" s="1">
        <f>SampleList[[#This Row],[Date Sampled]]</f>
        <v>0</v>
      </c>
      <c r="D770">
        <f>SampleList[[#This Row],[Duration (Days)]]</f>
        <v>0</v>
      </c>
      <c r="E770">
        <f>NMRResults[[#This Row],[Ammonium Concentration (mM)]]</f>
        <v>0</v>
      </c>
      <c r="F770" t="str">
        <f>GCResults[[#This Row],[H2 (ppm)]]</f>
        <v/>
      </c>
      <c r="G770">
        <f>GCResults[[#This Row],[Total Gas Volume (mL), gas cylinder = 3785mL]]</f>
        <v>0</v>
      </c>
      <c r="H770">
        <f>GCResults[[#This Row],[Pressure on Sampling (PSI), 145PSI=1MPa]]</f>
        <v>3552.5</v>
      </c>
      <c r="I770">
        <f>pHCondMod[[#This Row],[Sample pH]]</f>
        <v>0</v>
      </c>
      <c r="J770">
        <f>pHCondMod[[#This Row],[Sample Conductivity (mS/cm)]]</f>
        <v>0</v>
      </c>
      <c r="K770">
        <f>pHCondMod[[#This Row],[Modification Description]]</f>
        <v>0</v>
      </c>
      <c r="L770" s="1">
        <f>NMRResults[[#This Row],[Date Run]]</f>
        <v>0</v>
      </c>
      <c r="M770" s="1">
        <f>ICPList[[#This Row],[Date Run]]</f>
        <v>0</v>
      </c>
      <c r="N770" s="1">
        <f>GCResults[[#This Row],[Date Run ]]</f>
        <v>0</v>
      </c>
    </row>
    <row r="771" spans="1:14" ht="14.45" x14ac:dyDescent="0.25">
      <c r="A771">
        <f>SampleList[[#This Row],[Experiment ID]]</f>
        <v>0</v>
      </c>
      <c r="B771">
        <f>SampleList[[#This Row],[Sample Description]]</f>
        <v>0</v>
      </c>
      <c r="C771" s="1">
        <f>SampleList[[#This Row],[Date Sampled]]</f>
        <v>0</v>
      </c>
      <c r="D771">
        <f>SampleList[[#This Row],[Duration (Days)]]</f>
        <v>0</v>
      </c>
      <c r="E771">
        <f>NMRResults[[#This Row],[Ammonium Concentration (mM)]]</f>
        <v>0</v>
      </c>
      <c r="F771" t="str">
        <f>GCResults[[#This Row],[H2 (ppm)]]</f>
        <v/>
      </c>
      <c r="G771">
        <f>GCResults[[#This Row],[Total Gas Volume (mL), gas cylinder = 3785mL]]</f>
        <v>0</v>
      </c>
      <c r="H771">
        <f>GCResults[[#This Row],[Pressure on Sampling (PSI), 145PSI=1MPa]]</f>
        <v>3552.5</v>
      </c>
      <c r="I771">
        <f>pHCondMod[[#This Row],[Sample pH]]</f>
        <v>0</v>
      </c>
      <c r="J771">
        <f>pHCondMod[[#This Row],[Sample Conductivity (mS/cm)]]</f>
        <v>0</v>
      </c>
      <c r="K771">
        <f>pHCondMod[[#This Row],[Modification Description]]</f>
        <v>0</v>
      </c>
      <c r="L771" s="1">
        <f>NMRResults[[#This Row],[Date Run]]</f>
        <v>0</v>
      </c>
      <c r="M771" s="1">
        <f>ICPList[[#This Row],[Date Run]]</f>
        <v>0</v>
      </c>
      <c r="N771" s="1">
        <f>GCResults[[#This Row],[Date Run ]]</f>
        <v>0</v>
      </c>
    </row>
    <row r="772" spans="1:14" ht="14.45" x14ac:dyDescent="0.25">
      <c r="A772">
        <f>SampleList[[#This Row],[Experiment ID]]</f>
        <v>0</v>
      </c>
      <c r="B772">
        <f>SampleList[[#This Row],[Sample Description]]</f>
        <v>0</v>
      </c>
      <c r="C772" s="1">
        <f>SampleList[[#This Row],[Date Sampled]]</f>
        <v>0</v>
      </c>
      <c r="D772">
        <f>SampleList[[#This Row],[Duration (Days)]]</f>
        <v>0</v>
      </c>
      <c r="E772">
        <f>NMRResults[[#This Row],[Ammonium Concentration (mM)]]</f>
        <v>0</v>
      </c>
      <c r="F772" t="str">
        <f>GCResults[[#This Row],[H2 (ppm)]]</f>
        <v/>
      </c>
      <c r="G772">
        <f>GCResults[[#This Row],[Total Gas Volume (mL), gas cylinder = 3785mL]]</f>
        <v>0</v>
      </c>
      <c r="H772">
        <f>GCResults[[#This Row],[Pressure on Sampling (PSI), 145PSI=1MPa]]</f>
        <v>3552.5</v>
      </c>
      <c r="I772">
        <f>pHCondMod[[#This Row],[Sample pH]]</f>
        <v>0</v>
      </c>
      <c r="J772">
        <f>pHCondMod[[#This Row],[Sample Conductivity (mS/cm)]]</f>
        <v>0</v>
      </c>
      <c r="K772">
        <f>pHCondMod[[#This Row],[Modification Description]]</f>
        <v>0</v>
      </c>
      <c r="L772" s="1">
        <f>NMRResults[[#This Row],[Date Run]]</f>
        <v>0</v>
      </c>
      <c r="M772" s="1">
        <f>ICPList[[#This Row],[Date Run]]</f>
        <v>0</v>
      </c>
      <c r="N772" s="1">
        <f>GCResults[[#This Row],[Date Run ]]</f>
        <v>0</v>
      </c>
    </row>
    <row r="773" spans="1:14" ht="14.45" x14ac:dyDescent="0.25">
      <c r="A773">
        <f>SampleList[[#This Row],[Experiment ID]]</f>
        <v>0</v>
      </c>
      <c r="B773">
        <f>SampleList[[#This Row],[Sample Description]]</f>
        <v>0</v>
      </c>
      <c r="C773" s="1">
        <f>SampleList[[#This Row],[Date Sampled]]</f>
        <v>0</v>
      </c>
      <c r="D773">
        <f>SampleList[[#This Row],[Duration (Days)]]</f>
        <v>0</v>
      </c>
      <c r="E773">
        <f>NMRResults[[#This Row],[Ammonium Concentration (mM)]]</f>
        <v>0</v>
      </c>
      <c r="F773" t="str">
        <f>GCResults[[#This Row],[H2 (ppm)]]</f>
        <v/>
      </c>
      <c r="G773">
        <f>GCResults[[#This Row],[Total Gas Volume (mL), gas cylinder = 3785mL]]</f>
        <v>0</v>
      </c>
      <c r="H773">
        <f>GCResults[[#This Row],[Pressure on Sampling (PSI), 145PSI=1MPa]]</f>
        <v>3552.5</v>
      </c>
      <c r="I773">
        <f>pHCondMod[[#This Row],[Sample pH]]</f>
        <v>0</v>
      </c>
      <c r="J773">
        <f>pHCondMod[[#This Row],[Sample Conductivity (mS/cm)]]</f>
        <v>0</v>
      </c>
      <c r="K773">
        <f>pHCondMod[[#This Row],[Modification Description]]</f>
        <v>0</v>
      </c>
      <c r="L773" s="1">
        <f>NMRResults[[#This Row],[Date Run]]</f>
        <v>0</v>
      </c>
      <c r="M773" s="1">
        <f>ICPList[[#This Row],[Date Run]]</f>
        <v>0</v>
      </c>
      <c r="N773" s="1">
        <f>GCResults[[#This Row],[Date Run ]]</f>
        <v>0</v>
      </c>
    </row>
    <row r="774" spans="1:14" ht="14.45" x14ac:dyDescent="0.25">
      <c r="A774">
        <f>SampleList[[#This Row],[Experiment ID]]</f>
        <v>0</v>
      </c>
      <c r="B774">
        <f>SampleList[[#This Row],[Sample Description]]</f>
        <v>0</v>
      </c>
      <c r="C774" s="1">
        <f>SampleList[[#This Row],[Date Sampled]]</f>
        <v>0</v>
      </c>
      <c r="D774">
        <f>SampleList[[#This Row],[Duration (Days)]]</f>
        <v>0</v>
      </c>
      <c r="E774">
        <f>NMRResults[[#This Row],[Ammonium Concentration (mM)]]</f>
        <v>0</v>
      </c>
      <c r="F774" t="str">
        <f>GCResults[[#This Row],[H2 (ppm)]]</f>
        <v/>
      </c>
      <c r="G774">
        <f>GCResults[[#This Row],[Total Gas Volume (mL), gas cylinder = 3785mL]]</f>
        <v>0</v>
      </c>
      <c r="H774">
        <f>GCResults[[#This Row],[Pressure on Sampling (PSI), 145PSI=1MPa]]</f>
        <v>3552.5</v>
      </c>
      <c r="I774">
        <f>pHCondMod[[#This Row],[Sample pH]]</f>
        <v>0</v>
      </c>
      <c r="J774">
        <f>pHCondMod[[#This Row],[Sample Conductivity (mS/cm)]]</f>
        <v>0</v>
      </c>
      <c r="K774">
        <f>pHCondMod[[#This Row],[Modification Description]]</f>
        <v>0</v>
      </c>
      <c r="L774" s="1">
        <f>NMRResults[[#This Row],[Date Run]]</f>
        <v>0</v>
      </c>
      <c r="M774" s="1">
        <f>ICPList[[#This Row],[Date Run]]</f>
        <v>0</v>
      </c>
      <c r="N774" s="1">
        <f>GCResults[[#This Row],[Date Run ]]</f>
        <v>0</v>
      </c>
    </row>
    <row r="775" spans="1:14" ht="14.45" x14ac:dyDescent="0.25">
      <c r="A775">
        <f>SampleList[[#This Row],[Experiment ID]]</f>
        <v>0</v>
      </c>
      <c r="B775">
        <f>SampleList[[#This Row],[Sample Description]]</f>
        <v>0</v>
      </c>
      <c r="C775" s="1">
        <f>SampleList[[#This Row],[Date Sampled]]</f>
        <v>0</v>
      </c>
      <c r="D775">
        <f>SampleList[[#This Row],[Duration (Days)]]</f>
        <v>0</v>
      </c>
      <c r="E775">
        <f>NMRResults[[#This Row],[Ammonium Concentration (mM)]]</f>
        <v>0</v>
      </c>
      <c r="F775" t="str">
        <f>GCResults[[#This Row],[H2 (ppm)]]</f>
        <v/>
      </c>
      <c r="G775">
        <f>GCResults[[#This Row],[Total Gas Volume (mL), gas cylinder = 3785mL]]</f>
        <v>0</v>
      </c>
      <c r="H775">
        <f>GCResults[[#This Row],[Pressure on Sampling (PSI), 145PSI=1MPa]]</f>
        <v>3552.5</v>
      </c>
      <c r="I775">
        <f>pHCondMod[[#This Row],[Sample pH]]</f>
        <v>0</v>
      </c>
      <c r="J775">
        <f>pHCondMod[[#This Row],[Sample Conductivity (mS/cm)]]</f>
        <v>0</v>
      </c>
      <c r="K775">
        <f>pHCondMod[[#This Row],[Modification Description]]</f>
        <v>0</v>
      </c>
      <c r="L775" s="1">
        <f>NMRResults[[#This Row],[Date Run]]</f>
        <v>0</v>
      </c>
      <c r="M775" s="1">
        <f>ICPList[[#This Row],[Date Run]]</f>
        <v>0</v>
      </c>
      <c r="N775" s="1">
        <f>GCResults[[#This Row],[Date Run ]]</f>
        <v>0</v>
      </c>
    </row>
    <row r="776" spans="1:14" ht="14.45" x14ac:dyDescent="0.25">
      <c r="A776">
        <f>SampleList[[#This Row],[Experiment ID]]</f>
        <v>0</v>
      </c>
      <c r="B776">
        <f>SampleList[[#This Row],[Sample Description]]</f>
        <v>0</v>
      </c>
      <c r="C776" s="1">
        <f>SampleList[[#This Row],[Date Sampled]]</f>
        <v>0</v>
      </c>
      <c r="D776">
        <f>SampleList[[#This Row],[Duration (Days)]]</f>
        <v>0</v>
      </c>
      <c r="E776">
        <f>NMRResults[[#This Row],[Ammonium Concentration (mM)]]</f>
        <v>0</v>
      </c>
      <c r="F776" t="str">
        <f>GCResults[[#This Row],[H2 (ppm)]]</f>
        <v/>
      </c>
      <c r="G776">
        <f>GCResults[[#This Row],[Total Gas Volume (mL), gas cylinder = 3785mL]]</f>
        <v>0</v>
      </c>
      <c r="H776">
        <f>GCResults[[#This Row],[Pressure on Sampling (PSI), 145PSI=1MPa]]</f>
        <v>3552.5</v>
      </c>
      <c r="I776">
        <f>pHCondMod[[#This Row],[Sample pH]]</f>
        <v>0</v>
      </c>
      <c r="J776">
        <f>pHCondMod[[#This Row],[Sample Conductivity (mS/cm)]]</f>
        <v>0</v>
      </c>
      <c r="K776">
        <f>pHCondMod[[#This Row],[Modification Description]]</f>
        <v>0</v>
      </c>
      <c r="L776" s="1">
        <f>NMRResults[[#This Row],[Date Run]]</f>
        <v>0</v>
      </c>
      <c r="M776" s="1">
        <f>ICPList[[#This Row],[Date Run]]</f>
        <v>0</v>
      </c>
      <c r="N776" s="1">
        <f>GCResults[[#This Row],[Date Run ]]</f>
        <v>0</v>
      </c>
    </row>
    <row r="777" spans="1:14" ht="14.45" x14ac:dyDescent="0.25">
      <c r="A777">
        <f>SampleList[[#This Row],[Experiment ID]]</f>
        <v>0</v>
      </c>
      <c r="B777">
        <f>SampleList[[#This Row],[Sample Description]]</f>
        <v>0</v>
      </c>
      <c r="C777" s="1">
        <f>SampleList[[#This Row],[Date Sampled]]</f>
        <v>0</v>
      </c>
      <c r="D777">
        <f>SampleList[[#This Row],[Duration (Days)]]</f>
        <v>0</v>
      </c>
      <c r="E777">
        <f>NMRResults[[#This Row],[Ammonium Concentration (mM)]]</f>
        <v>0</v>
      </c>
      <c r="F777" t="str">
        <f>GCResults[[#This Row],[H2 (ppm)]]</f>
        <v/>
      </c>
      <c r="G777">
        <f>GCResults[[#This Row],[Total Gas Volume (mL), gas cylinder = 3785mL]]</f>
        <v>0</v>
      </c>
      <c r="H777">
        <f>GCResults[[#This Row],[Pressure on Sampling (PSI), 145PSI=1MPa]]</f>
        <v>3552.5</v>
      </c>
      <c r="I777">
        <f>pHCondMod[[#This Row],[Sample pH]]</f>
        <v>0</v>
      </c>
      <c r="J777">
        <f>pHCondMod[[#This Row],[Sample Conductivity (mS/cm)]]</f>
        <v>0</v>
      </c>
      <c r="K777">
        <f>pHCondMod[[#This Row],[Modification Description]]</f>
        <v>0</v>
      </c>
      <c r="L777" s="1">
        <f>NMRResults[[#This Row],[Date Run]]</f>
        <v>0</v>
      </c>
      <c r="M777" s="1">
        <f>ICPList[[#This Row],[Date Run]]</f>
        <v>0</v>
      </c>
      <c r="N777" s="1">
        <f>GCResults[[#This Row],[Date Run ]]</f>
        <v>0</v>
      </c>
    </row>
    <row r="778" spans="1:14" ht="14.45" x14ac:dyDescent="0.25">
      <c r="A778">
        <f>SampleList[[#This Row],[Experiment ID]]</f>
        <v>0</v>
      </c>
      <c r="B778">
        <f>SampleList[[#This Row],[Sample Description]]</f>
        <v>0</v>
      </c>
      <c r="C778" s="1">
        <f>SampleList[[#This Row],[Date Sampled]]</f>
        <v>0</v>
      </c>
      <c r="D778">
        <f>SampleList[[#This Row],[Duration (Days)]]</f>
        <v>0</v>
      </c>
      <c r="E778">
        <f>NMRResults[[#This Row],[Ammonium Concentration (mM)]]</f>
        <v>0</v>
      </c>
      <c r="F778" t="str">
        <f>GCResults[[#This Row],[H2 (ppm)]]</f>
        <v/>
      </c>
      <c r="G778">
        <f>GCResults[[#This Row],[Total Gas Volume (mL), gas cylinder = 3785mL]]</f>
        <v>0</v>
      </c>
      <c r="H778">
        <f>GCResults[[#This Row],[Pressure on Sampling (PSI), 145PSI=1MPa]]</f>
        <v>3552.5</v>
      </c>
      <c r="I778">
        <f>pHCondMod[[#This Row],[Sample pH]]</f>
        <v>0</v>
      </c>
      <c r="J778">
        <f>pHCondMod[[#This Row],[Sample Conductivity (mS/cm)]]</f>
        <v>0</v>
      </c>
      <c r="K778">
        <f>pHCondMod[[#This Row],[Modification Description]]</f>
        <v>0</v>
      </c>
      <c r="L778" s="1">
        <f>NMRResults[[#This Row],[Date Run]]</f>
        <v>0</v>
      </c>
      <c r="M778" s="1">
        <f>ICPList[[#This Row],[Date Run]]</f>
        <v>0</v>
      </c>
      <c r="N778" s="1">
        <f>GCResults[[#This Row],[Date Run ]]</f>
        <v>0</v>
      </c>
    </row>
    <row r="779" spans="1:14" ht="14.45" x14ac:dyDescent="0.25">
      <c r="A779">
        <f>SampleList[[#This Row],[Experiment ID]]</f>
        <v>0</v>
      </c>
      <c r="B779">
        <f>SampleList[[#This Row],[Sample Description]]</f>
        <v>0</v>
      </c>
      <c r="C779" s="1">
        <f>SampleList[[#This Row],[Date Sampled]]</f>
        <v>0</v>
      </c>
      <c r="D779">
        <f>SampleList[[#This Row],[Duration (Days)]]</f>
        <v>0</v>
      </c>
      <c r="E779">
        <f>NMRResults[[#This Row],[Ammonium Concentration (mM)]]</f>
        <v>0</v>
      </c>
      <c r="F779" t="str">
        <f>GCResults[[#This Row],[H2 (ppm)]]</f>
        <v/>
      </c>
      <c r="G779">
        <f>GCResults[[#This Row],[Total Gas Volume (mL), gas cylinder = 3785mL]]</f>
        <v>0</v>
      </c>
      <c r="H779">
        <f>GCResults[[#This Row],[Pressure on Sampling (PSI), 145PSI=1MPa]]</f>
        <v>3552.5</v>
      </c>
      <c r="I779">
        <f>pHCondMod[[#This Row],[Sample pH]]</f>
        <v>0</v>
      </c>
      <c r="J779">
        <f>pHCondMod[[#This Row],[Sample Conductivity (mS/cm)]]</f>
        <v>0</v>
      </c>
      <c r="K779">
        <f>pHCondMod[[#This Row],[Modification Description]]</f>
        <v>0</v>
      </c>
      <c r="L779" s="1">
        <f>NMRResults[[#This Row],[Date Run]]</f>
        <v>0</v>
      </c>
      <c r="M779" s="1">
        <f>ICPList[[#This Row],[Date Run]]</f>
        <v>0</v>
      </c>
      <c r="N779" s="1">
        <f>GCResults[[#This Row],[Date Run ]]</f>
        <v>0</v>
      </c>
    </row>
    <row r="780" spans="1:14" ht="14.45" x14ac:dyDescent="0.25">
      <c r="A780">
        <f>SampleList[[#This Row],[Experiment ID]]</f>
        <v>0</v>
      </c>
      <c r="B780">
        <f>SampleList[[#This Row],[Sample Description]]</f>
        <v>0</v>
      </c>
      <c r="C780" s="1">
        <f>SampleList[[#This Row],[Date Sampled]]</f>
        <v>0</v>
      </c>
      <c r="D780">
        <f>SampleList[[#This Row],[Duration (Days)]]</f>
        <v>0</v>
      </c>
      <c r="E780">
        <f>NMRResults[[#This Row],[Ammonium Concentration (mM)]]</f>
        <v>0</v>
      </c>
      <c r="F780" t="str">
        <f>GCResults[[#This Row],[H2 (ppm)]]</f>
        <v/>
      </c>
      <c r="G780">
        <f>GCResults[[#This Row],[Total Gas Volume (mL), gas cylinder = 3785mL]]</f>
        <v>0</v>
      </c>
      <c r="H780">
        <f>GCResults[[#This Row],[Pressure on Sampling (PSI), 145PSI=1MPa]]</f>
        <v>3552.5</v>
      </c>
      <c r="I780">
        <f>pHCondMod[[#This Row],[Sample pH]]</f>
        <v>0</v>
      </c>
      <c r="J780">
        <f>pHCondMod[[#This Row],[Sample Conductivity (mS/cm)]]</f>
        <v>0</v>
      </c>
      <c r="K780">
        <f>pHCondMod[[#This Row],[Modification Description]]</f>
        <v>0</v>
      </c>
      <c r="L780" s="1">
        <f>NMRResults[[#This Row],[Date Run]]</f>
        <v>0</v>
      </c>
      <c r="M780" s="1">
        <f>ICPList[[#This Row],[Date Run]]</f>
        <v>0</v>
      </c>
      <c r="N780" s="1">
        <f>GCResults[[#This Row],[Date Run ]]</f>
        <v>0</v>
      </c>
    </row>
    <row r="781" spans="1:14" ht="14.45" x14ac:dyDescent="0.25">
      <c r="A781">
        <f>SampleList[[#This Row],[Experiment ID]]</f>
        <v>0</v>
      </c>
      <c r="B781">
        <f>SampleList[[#This Row],[Sample Description]]</f>
        <v>0</v>
      </c>
      <c r="C781" s="1">
        <f>SampleList[[#This Row],[Date Sampled]]</f>
        <v>0</v>
      </c>
      <c r="D781">
        <f>SampleList[[#This Row],[Duration (Days)]]</f>
        <v>0</v>
      </c>
      <c r="E781">
        <f>NMRResults[[#This Row],[Ammonium Concentration (mM)]]</f>
        <v>0</v>
      </c>
      <c r="F781" t="str">
        <f>GCResults[[#This Row],[H2 (ppm)]]</f>
        <v/>
      </c>
      <c r="G781">
        <f>GCResults[[#This Row],[Total Gas Volume (mL), gas cylinder = 3785mL]]</f>
        <v>0</v>
      </c>
      <c r="H781">
        <f>GCResults[[#This Row],[Pressure on Sampling (PSI), 145PSI=1MPa]]</f>
        <v>3552.5</v>
      </c>
      <c r="I781">
        <f>pHCondMod[[#This Row],[Sample pH]]</f>
        <v>0</v>
      </c>
      <c r="J781">
        <f>pHCondMod[[#This Row],[Sample Conductivity (mS/cm)]]</f>
        <v>0</v>
      </c>
      <c r="K781">
        <f>pHCondMod[[#This Row],[Modification Description]]</f>
        <v>0</v>
      </c>
      <c r="L781" s="1">
        <f>NMRResults[[#This Row],[Date Run]]</f>
        <v>0</v>
      </c>
      <c r="M781" s="1">
        <f>ICPList[[#This Row],[Date Run]]</f>
        <v>0</v>
      </c>
      <c r="N781" s="1">
        <f>GCResults[[#This Row],[Date Run ]]</f>
        <v>0</v>
      </c>
    </row>
    <row r="782" spans="1:14" ht="14.45" x14ac:dyDescent="0.25">
      <c r="A782">
        <f>SampleList[[#This Row],[Experiment ID]]</f>
        <v>0</v>
      </c>
      <c r="B782">
        <f>SampleList[[#This Row],[Sample Description]]</f>
        <v>0</v>
      </c>
      <c r="C782" s="1">
        <f>SampleList[[#This Row],[Date Sampled]]</f>
        <v>0</v>
      </c>
      <c r="D782">
        <f>SampleList[[#This Row],[Duration (Days)]]</f>
        <v>0</v>
      </c>
      <c r="E782">
        <f>NMRResults[[#This Row],[Ammonium Concentration (mM)]]</f>
        <v>0</v>
      </c>
      <c r="F782" t="str">
        <f>GCResults[[#This Row],[H2 (ppm)]]</f>
        <v/>
      </c>
      <c r="G782">
        <f>GCResults[[#This Row],[Total Gas Volume (mL), gas cylinder = 3785mL]]</f>
        <v>0</v>
      </c>
      <c r="H782">
        <f>GCResults[[#This Row],[Pressure on Sampling (PSI), 145PSI=1MPa]]</f>
        <v>3552.5</v>
      </c>
      <c r="I782">
        <f>pHCondMod[[#This Row],[Sample pH]]</f>
        <v>0</v>
      </c>
      <c r="J782">
        <f>pHCondMod[[#This Row],[Sample Conductivity (mS/cm)]]</f>
        <v>0</v>
      </c>
      <c r="K782">
        <f>pHCondMod[[#This Row],[Modification Description]]</f>
        <v>0</v>
      </c>
      <c r="L782" s="1">
        <f>NMRResults[[#This Row],[Date Run]]</f>
        <v>0</v>
      </c>
      <c r="M782" s="1">
        <f>ICPList[[#This Row],[Date Run]]</f>
        <v>0</v>
      </c>
      <c r="N782" s="1">
        <f>GCResults[[#This Row],[Date Run ]]</f>
        <v>0</v>
      </c>
    </row>
    <row r="783" spans="1:14" ht="14.45" x14ac:dyDescent="0.25">
      <c r="A783">
        <f>SampleList[[#This Row],[Experiment ID]]</f>
        <v>0</v>
      </c>
      <c r="B783">
        <f>SampleList[[#This Row],[Sample Description]]</f>
        <v>0</v>
      </c>
      <c r="C783" s="1">
        <f>SampleList[[#This Row],[Date Sampled]]</f>
        <v>0</v>
      </c>
      <c r="D783">
        <f>SampleList[[#This Row],[Duration (Days)]]</f>
        <v>0</v>
      </c>
      <c r="E783">
        <f>NMRResults[[#This Row],[Ammonium Concentration (mM)]]</f>
        <v>0</v>
      </c>
      <c r="F783" t="str">
        <f>GCResults[[#This Row],[H2 (ppm)]]</f>
        <v/>
      </c>
      <c r="G783">
        <f>GCResults[[#This Row],[Total Gas Volume (mL), gas cylinder = 3785mL]]</f>
        <v>0</v>
      </c>
      <c r="H783">
        <f>GCResults[[#This Row],[Pressure on Sampling (PSI), 145PSI=1MPa]]</f>
        <v>3552.5</v>
      </c>
      <c r="I783">
        <f>pHCondMod[[#This Row],[Sample pH]]</f>
        <v>0</v>
      </c>
      <c r="J783">
        <f>pHCondMod[[#This Row],[Sample Conductivity (mS/cm)]]</f>
        <v>0</v>
      </c>
      <c r="K783">
        <f>pHCondMod[[#This Row],[Modification Description]]</f>
        <v>0</v>
      </c>
      <c r="L783" s="1">
        <f>NMRResults[[#This Row],[Date Run]]</f>
        <v>0</v>
      </c>
      <c r="M783" s="1">
        <f>ICPList[[#This Row],[Date Run]]</f>
        <v>0</v>
      </c>
      <c r="N783" s="1">
        <f>GCResults[[#This Row],[Date Run ]]</f>
        <v>0</v>
      </c>
    </row>
    <row r="784" spans="1:14" ht="14.45" x14ac:dyDescent="0.25">
      <c r="A784">
        <f>SampleList[[#This Row],[Experiment ID]]</f>
        <v>0</v>
      </c>
      <c r="B784">
        <f>SampleList[[#This Row],[Sample Description]]</f>
        <v>0</v>
      </c>
      <c r="C784" s="1">
        <f>SampleList[[#This Row],[Date Sampled]]</f>
        <v>0</v>
      </c>
      <c r="D784">
        <f>SampleList[[#This Row],[Duration (Days)]]</f>
        <v>0</v>
      </c>
      <c r="E784">
        <f>NMRResults[[#This Row],[Ammonium Concentration (mM)]]</f>
        <v>0</v>
      </c>
      <c r="F784" t="str">
        <f>GCResults[[#This Row],[H2 (ppm)]]</f>
        <v/>
      </c>
      <c r="G784">
        <f>GCResults[[#This Row],[Total Gas Volume (mL), gas cylinder = 3785mL]]</f>
        <v>0</v>
      </c>
      <c r="H784">
        <f>GCResults[[#This Row],[Pressure on Sampling (PSI), 145PSI=1MPa]]</f>
        <v>3552.5</v>
      </c>
      <c r="I784">
        <f>pHCondMod[[#This Row],[Sample pH]]</f>
        <v>0</v>
      </c>
      <c r="J784">
        <f>pHCondMod[[#This Row],[Sample Conductivity (mS/cm)]]</f>
        <v>0</v>
      </c>
      <c r="K784">
        <f>pHCondMod[[#This Row],[Modification Description]]</f>
        <v>0</v>
      </c>
      <c r="L784" s="1">
        <f>NMRResults[[#This Row],[Date Run]]</f>
        <v>0</v>
      </c>
      <c r="M784" s="1">
        <f>ICPList[[#This Row],[Date Run]]</f>
        <v>0</v>
      </c>
      <c r="N784" s="1">
        <f>GCResults[[#This Row],[Date Run ]]</f>
        <v>0</v>
      </c>
    </row>
    <row r="785" spans="1:14" ht="14.45" x14ac:dyDescent="0.25">
      <c r="A785">
        <f>SampleList[[#This Row],[Experiment ID]]</f>
        <v>0</v>
      </c>
      <c r="B785">
        <f>SampleList[[#This Row],[Sample Description]]</f>
        <v>0</v>
      </c>
      <c r="C785" s="1">
        <f>SampleList[[#This Row],[Date Sampled]]</f>
        <v>0</v>
      </c>
      <c r="D785">
        <f>SampleList[[#This Row],[Duration (Days)]]</f>
        <v>0</v>
      </c>
      <c r="E785">
        <f>NMRResults[[#This Row],[Ammonium Concentration (mM)]]</f>
        <v>0</v>
      </c>
      <c r="F785" t="str">
        <f>GCResults[[#This Row],[H2 (ppm)]]</f>
        <v/>
      </c>
      <c r="G785">
        <f>GCResults[[#This Row],[Total Gas Volume (mL), gas cylinder = 3785mL]]</f>
        <v>0</v>
      </c>
      <c r="H785">
        <f>GCResults[[#This Row],[Pressure on Sampling (PSI), 145PSI=1MPa]]</f>
        <v>3552.5</v>
      </c>
      <c r="I785">
        <f>pHCondMod[[#This Row],[Sample pH]]</f>
        <v>0</v>
      </c>
      <c r="J785">
        <f>pHCondMod[[#This Row],[Sample Conductivity (mS/cm)]]</f>
        <v>0</v>
      </c>
      <c r="K785">
        <f>pHCondMod[[#This Row],[Modification Description]]</f>
        <v>0</v>
      </c>
      <c r="L785" s="1">
        <f>NMRResults[[#This Row],[Date Run]]</f>
        <v>0</v>
      </c>
      <c r="M785" s="1">
        <f>ICPList[[#This Row],[Date Run]]</f>
        <v>0</v>
      </c>
      <c r="N785" s="1">
        <f>GCResults[[#This Row],[Date Run ]]</f>
        <v>0</v>
      </c>
    </row>
    <row r="786" spans="1:14" ht="14.45" x14ac:dyDescent="0.25">
      <c r="A786">
        <f>SampleList[[#This Row],[Experiment ID]]</f>
        <v>0</v>
      </c>
      <c r="B786">
        <f>SampleList[[#This Row],[Sample Description]]</f>
        <v>0</v>
      </c>
      <c r="C786" s="1">
        <f>SampleList[[#This Row],[Date Sampled]]</f>
        <v>0</v>
      </c>
      <c r="D786">
        <f>SampleList[[#This Row],[Duration (Days)]]</f>
        <v>0</v>
      </c>
      <c r="E786">
        <f>NMRResults[[#This Row],[Ammonium Concentration (mM)]]</f>
        <v>0</v>
      </c>
      <c r="F786" t="str">
        <f>GCResults[[#This Row],[H2 (ppm)]]</f>
        <v/>
      </c>
      <c r="G786">
        <f>GCResults[[#This Row],[Total Gas Volume (mL), gas cylinder = 3785mL]]</f>
        <v>0</v>
      </c>
      <c r="H786">
        <f>GCResults[[#This Row],[Pressure on Sampling (PSI), 145PSI=1MPa]]</f>
        <v>3552.5</v>
      </c>
      <c r="I786">
        <f>pHCondMod[[#This Row],[Sample pH]]</f>
        <v>0</v>
      </c>
      <c r="J786">
        <f>pHCondMod[[#This Row],[Sample Conductivity (mS/cm)]]</f>
        <v>0</v>
      </c>
      <c r="K786">
        <f>pHCondMod[[#This Row],[Modification Description]]</f>
        <v>0</v>
      </c>
      <c r="L786" s="1">
        <f>NMRResults[[#This Row],[Date Run]]</f>
        <v>0</v>
      </c>
      <c r="M786" s="1">
        <f>ICPList[[#This Row],[Date Run]]</f>
        <v>0</v>
      </c>
      <c r="N786" s="1">
        <f>GCResults[[#This Row],[Date Run ]]</f>
        <v>0</v>
      </c>
    </row>
    <row r="787" spans="1:14" ht="14.45" x14ac:dyDescent="0.25">
      <c r="A787">
        <f>SampleList[[#This Row],[Experiment ID]]</f>
        <v>0</v>
      </c>
      <c r="B787">
        <f>SampleList[[#This Row],[Sample Description]]</f>
        <v>0</v>
      </c>
      <c r="C787" s="1">
        <f>SampleList[[#This Row],[Date Sampled]]</f>
        <v>0</v>
      </c>
      <c r="D787">
        <f>SampleList[[#This Row],[Duration (Days)]]</f>
        <v>0</v>
      </c>
      <c r="E787">
        <f>NMRResults[[#This Row],[Ammonium Concentration (mM)]]</f>
        <v>0</v>
      </c>
      <c r="F787" t="str">
        <f>GCResults[[#This Row],[H2 (ppm)]]</f>
        <v/>
      </c>
      <c r="G787">
        <f>GCResults[[#This Row],[Total Gas Volume (mL), gas cylinder = 3785mL]]</f>
        <v>0</v>
      </c>
      <c r="H787">
        <f>GCResults[[#This Row],[Pressure on Sampling (PSI), 145PSI=1MPa]]</f>
        <v>3552.5</v>
      </c>
      <c r="I787">
        <f>pHCondMod[[#This Row],[Sample pH]]</f>
        <v>0</v>
      </c>
      <c r="J787">
        <f>pHCondMod[[#This Row],[Sample Conductivity (mS/cm)]]</f>
        <v>0</v>
      </c>
      <c r="K787">
        <f>pHCondMod[[#This Row],[Modification Description]]</f>
        <v>0</v>
      </c>
      <c r="L787" s="1">
        <f>NMRResults[[#This Row],[Date Run]]</f>
        <v>0</v>
      </c>
      <c r="M787" s="1">
        <f>ICPList[[#This Row],[Date Run]]</f>
        <v>0</v>
      </c>
      <c r="N787" s="1">
        <f>GCResults[[#This Row],[Date Run ]]</f>
        <v>0</v>
      </c>
    </row>
    <row r="788" spans="1:14" ht="14.45" x14ac:dyDescent="0.25">
      <c r="A788">
        <f>SampleList[[#This Row],[Experiment ID]]</f>
        <v>0</v>
      </c>
      <c r="B788">
        <f>SampleList[[#This Row],[Sample Description]]</f>
        <v>0</v>
      </c>
      <c r="C788" s="1">
        <f>SampleList[[#This Row],[Date Sampled]]</f>
        <v>0</v>
      </c>
      <c r="D788">
        <f>SampleList[[#This Row],[Duration (Days)]]</f>
        <v>0</v>
      </c>
      <c r="E788">
        <f>NMRResults[[#This Row],[Ammonium Concentration (mM)]]</f>
        <v>0</v>
      </c>
      <c r="F788" t="str">
        <f>GCResults[[#This Row],[H2 (ppm)]]</f>
        <v/>
      </c>
      <c r="G788">
        <f>GCResults[[#This Row],[Total Gas Volume (mL), gas cylinder = 3785mL]]</f>
        <v>0</v>
      </c>
      <c r="H788">
        <f>GCResults[[#This Row],[Pressure on Sampling (PSI), 145PSI=1MPa]]</f>
        <v>3552.5</v>
      </c>
      <c r="I788">
        <f>pHCondMod[[#This Row],[Sample pH]]</f>
        <v>0</v>
      </c>
      <c r="J788">
        <f>pHCondMod[[#This Row],[Sample Conductivity (mS/cm)]]</f>
        <v>0</v>
      </c>
      <c r="K788">
        <f>pHCondMod[[#This Row],[Modification Description]]</f>
        <v>0</v>
      </c>
      <c r="L788" s="1">
        <f>NMRResults[[#This Row],[Date Run]]</f>
        <v>0</v>
      </c>
      <c r="M788" s="1">
        <f>ICPList[[#This Row],[Date Run]]</f>
        <v>0</v>
      </c>
      <c r="N788" s="1">
        <f>GCResults[[#This Row],[Date Run ]]</f>
        <v>0</v>
      </c>
    </row>
    <row r="789" spans="1:14" ht="14.45" x14ac:dyDescent="0.25">
      <c r="A789">
        <f>SampleList[[#This Row],[Experiment ID]]</f>
        <v>0</v>
      </c>
      <c r="B789">
        <f>SampleList[[#This Row],[Sample Description]]</f>
        <v>0</v>
      </c>
      <c r="C789" s="1">
        <f>SampleList[[#This Row],[Date Sampled]]</f>
        <v>0</v>
      </c>
      <c r="D789">
        <f>SampleList[[#This Row],[Duration (Days)]]</f>
        <v>0</v>
      </c>
      <c r="E789">
        <f>NMRResults[[#This Row],[Ammonium Concentration (mM)]]</f>
        <v>0</v>
      </c>
      <c r="F789" t="str">
        <f>GCResults[[#This Row],[H2 (ppm)]]</f>
        <v/>
      </c>
      <c r="G789">
        <f>GCResults[[#This Row],[Total Gas Volume (mL), gas cylinder = 3785mL]]</f>
        <v>0</v>
      </c>
      <c r="H789">
        <f>GCResults[[#This Row],[Pressure on Sampling (PSI), 145PSI=1MPa]]</f>
        <v>3552.5</v>
      </c>
      <c r="I789">
        <f>pHCondMod[[#This Row],[Sample pH]]</f>
        <v>0</v>
      </c>
      <c r="J789">
        <f>pHCondMod[[#This Row],[Sample Conductivity (mS/cm)]]</f>
        <v>0</v>
      </c>
      <c r="K789">
        <f>pHCondMod[[#This Row],[Modification Description]]</f>
        <v>0</v>
      </c>
      <c r="L789" s="1">
        <f>NMRResults[[#This Row],[Date Run]]</f>
        <v>0</v>
      </c>
      <c r="M789" s="1">
        <f>ICPList[[#This Row],[Date Run]]</f>
        <v>0</v>
      </c>
      <c r="N789" s="1">
        <f>GCResults[[#This Row],[Date Run ]]</f>
        <v>0</v>
      </c>
    </row>
    <row r="790" spans="1:14" ht="14.45" x14ac:dyDescent="0.25">
      <c r="A790">
        <f>SampleList[[#This Row],[Experiment ID]]</f>
        <v>0</v>
      </c>
      <c r="B790">
        <f>SampleList[[#This Row],[Sample Description]]</f>
        <v>0</v>
      </c>
      <c r="C790" s="1">
        <f>SampleList[[#This Row],[Date Sampled]]</f>
        <v>0</v>
      </c>
      <c r="D790">
        <f>SampleList[[#This Row],[Duration (Days)]]</f>
        <v>0</v>
      </c>
      <c r="E790">
        <f>NMRResults[[#This Row],[Ammonium Concentration (mM)]]</f>
        <v>0</v>
      </c>
      <c r="F790" t="str">
        <f>GCResults[[#This Row],[H2 (ppm)]]</f>
        <v/>
      </c>
      <c r="G790">
        <f>GCResults[[#This Row],[Total Gas Volume (mL), gas cylinder = 3785mL]]</f>
        <v>0</v>
      </c>
      <c r="H790">
        <f>GCResults[[#This Row],[Pressure on Sampling (PSI), 145PSI=1MPa]]</f>
        <v>3552.5</v>
      </c>
      <c r="I790">
        <f>pHCondMod[[#This Row],[Sample pH]]</f>
        <v>0</v>
      </c>
      <c r="J790">
        <f>pHCondMod[[#This Row],[Sample Conductivity (mS/cm)]]</f>
        <v>0</v>
      </c>
      <c r="K790">
        <f>pHCondMod[[#This Row],[Modification Description]]</f>
        <v>0</v>
      </c>
      <c r="L790" s="1">
        <f>NMRResults[[#This Row],[Date Run]]</f>
        <v>0</v>
      </c>
      <c r="M790" s="1">
        <f>ICPList[[#This Row],[Date Run]]</f>
        <v>0</v>
      </c>
      <c r="N790" s="1">
        <f>GCResults[[#This Row],[Date Run ]]</f>
        <v>0</v>
      </c>
    </row>
    <row r="791" spans="1:14" ht="14.45" x14ac:dyDescent="0.25">
      <c r="A791">
        <f>SampleList[[#This Row],[Experiment ID]]</f>
        <v>0</v>
      </c>
      <c r="B791">
        <f>SampleList[[#This Row],[Sample Description]]</f>
        <v>0</v>
      </c>
      <c r="C791" s="1">
        <f>SampleList[[#This Row],[Date Sampled]]</f>
        <v>0</v>
      </c>
      <c r="D791">
        <f>SampleList[[#This Row],[Duration (Days)]]</f>
        <v>0</v>
      </c>
      <c r="E791">
        <f>NMRResults[[#This Row],[Ammonium Concentration (mM)]]</f>
        <v>0</v>
      </c>
      <c r="F791" t="str">
        <f>GCResults[[#This Row],[H2 (ppm)]]</f>
        <v/>
      </c>
      <c r="G791">
        <f>GCResults[[#This Row],[Total Gas Volume (mL), gas cylinder = 3785mL]]</f>
        <v>0</v>
      </c>
      <c r="H791">
        <f>GCResults[[#This Row],[Pressure on Sampling (PSI), 145PSI=1MPa]]</f>
        <v>3552.5</v>
      </c>
      <c r="I791">
        <f>pHCondMod[[#This Row],[Sample pH]]</f>
        <v>0</v>
      </c>
      <c r="J791">
        <f>pHCondMod[[#This Row],[Sample Conductivity (mS/cm)]]</f>
        <v>0</v>
      </c>
      <c r="K791">
        <f>pHCondMod[[#This Row],[Modification Description]]</f>
        <v>0</v>
      </c>
      <c r="L791" s="1">
        <f>NMRResults[[#This Row],[Date Run]]</f>
        <v>0</v>
      </c>
      <c r="M791" s="1">
        <f>ICPList[[#This Row],[Date Run]]</f>
        <v>0</v>
      </c>
      <c r="N791" s="1">
        <f>GCResults[[#This Row],[Date Run ]]</f>
        <v>0</v>
      </c>
    </row>
    <row r="792" spans="1:14" ht="14.45" x14ac:dyDescent="0.25">
      <c r="A792">
        <f>SampleList[[#This Row],[Experiment ID]]</f>
        <v>0</v>
      </c>
      <c r="B792">
        <f>SampleList[[#This Row],[Sample Description]]</f>
        <v>0</v>
      </c>
      <c r="C792" s="1">
        <f>SampleList[[#This Row],[Date Sampled]]</f>
        <v>0</v>
      </c>
      <c r="D792">
        <f>SampleList[[#This Row],[Duration (Days)]]</f>
        <v>0</v>
      </c>
      <c r="E792">
        <f>NMRResults[[#This Row],[Ammonium Concentration (mM)]]</f>
        <v>0</v>
      </c>
      <c r="F792" t="str">
        <f>GCResults[[#This Row],[H2 (ppm)]]</f>
        <v/>
      </c>
      <c r="G792">
        <f>GCResults[[#This Row],[Total Gas Volume (mL), gas cylinder = 3785mL]]</f>
        <v>0</v>
      </c>
      <c r="H792">
        <f>GCResults[[#This Row],[Pressure on Sampling (PSI), 145PSI=1MPa]]</f>
        <v>3552.5</v>
      </c>
      <c r="I792">
        <f>pHCondMod[[#This Row],[Sample pH]]</f>
        <v>0</v>
      </c>
      <c r="J792">
        <f>pHCondMod[[#This Row],[Sample Conductivity (mS/cm)]]</f>
        <v>0</v>
      </c>
      <c r="K792">
        <f>pHCondMod[[#This Row],[Modification Description]]</f>
        <v>0</v>
      </c>
      <c r="L792" s="1">
        <f>NMRResults[[#This Row],[Date Run]]</f>
        <v>0</v>
      </c>
      <c r="M792" s="1">
        <f>ICPList[[#This Row],[Date Run]]</f>
        <v>0</v>
      </c>
      <c r="N792" s="1">
        <f>GCResults[[#This Row],[Date Run ]]</f>
        <v>0</v>
      </c>
    </row>
    <row r="793" spans="1:14" ht="14.45" x14ac:dyDescent="0.25">
      <c r="A793">
        <f>SampleList[[#This Row],[Experiment ID]]</f>
        <v>0</v>
      </c>
      <c r="B793">
        <f>SampleList[[#This Row],[Sample Description]]</f>
        <v>0</v>
      </c>
      <c r="C793" s="1">
        <f>SampleList[[#This Row],[Date Sampled]]</f>
        <v>0</v>
      </c>
      <c r="D793">
        <f>SampleList[[#This Row],[Duration (Days)]]</f>
        <v>0</v>
      </c>
      <c r="E793">
        <f>NMRResults[[#This Row],[Ammonium Concentration (mM)]]</f>
        <v>0</v>
      </c>
      <c r="F793" t="str">
        <f>GCResults[[#This Row],[H2 (ppm)]]</f>
        <v/>
      </c>
      <c r="G793">
        <f>GCResults[[#This Row],[Total Gas Volume (mL), gas cylinder = 3785mL]]</f>
        <v>0</v>
      </c>
      <c r="H793">
        <f>GCResults[[#This Row],[Pressure on Sampling (PSI), 145PSI=1MPa]]</f>
        <v>3552.5</v>
      </c>
      <c r="I793">
        <f>pHCondMod[[#This Row],[Sample pH]]</f>
        <v>0</v>
      </c>
      <c r="J793">
        <f>pHCondMod[[#This Row],[Sample Conductivity (mS/cm)]]</f>
        <v>0</v>
      </c>
      <c r="K793">
        <f>pHCondMod[[#This Row],[Modification Description]]</f>
        <v>0</v>
      </c>
      <c r="L793" s="1">
        <f>NMRResults[[#This Row],[Date Run]]</f>
        <v>0</v>
      </c>
      <c r="M793" s="1">
        <f>ICPList[[#This Row],[Date Run]]</f>
        <v>0</v>
      </c>
      <c r="N793" s="1">
        <f>GCResults[[#This Row],[Date Run ]]</f>
        <v>0</v>
      </c>
    </row>
    <row r="794" spans="1:14" ht="14.45" x14ac:dyDescent="0.25">
      <c r="A794">
        <f>SampleList[[#This Row],[Experiment ID]]</f>
        <v>0</v>
      </c>
      <c r="B794">
        <f>SampleList[[#This Row],[Sample Description]]</f>
        <v>0</v>
      </c>
      <c r="C794" s="1">
        <f>SampleList[[#This Row],[Date Sampled]]</f>
        <v>0</v>
      </c>
      <c r="D794">
        <f>SampleList[[#This Row],[Duration (Days)]]</f>
        <v>0</v>
      </c>
      <c r="E794">
        <f>NMRResults[[#This Row],[Ammonium Concentration (mM)]]</f>
        <v>0</v>
      </c>
      <c r="F794" t="str">
        <f>GCResults[[#This Row],[H2 (ppm)]]</f>
        <v/>
      </c>
      <c r="G794">
        <f>GCResults[[#This Row],[Total Gas Volume (mL), gas cylinder = 3785mL]]</f>
        <v>0</v>
      </c>
      <c r="H794">
        <f>GCResults[[#This Row],[Pressure on Sampling (PSI), 145PSI=1MPa]]</f>
        <v>3552.5</v>
      </c>
      <c r="I794">
        <f>pHCondMod[[#This Row],[Sample pH]]</f>
        <v>0</v>
      </c>
      <c r="J794">
        <f>pHCondMod[[#This Row],[Sample Conductivity (mS/cm)]]</f>
        <v>0</v>
      </c>
      <c r="K794">
        <f>pHCondMod[[#This Row],[Modification Description]]</f>
        <v>0</v>
      </c>
      <c r="L794" s="1">
        <f>NMRResults[[#This Row],[Date Run]]</f>
        <v>0</v>
      </c>
      <c r="M794" s="1">
        <f>ICPList[[#This Row],[Date Run]]</f>
        <v>0</v>
      </c>
      <c r="N794" s="1">
        <f>GCResults[[#This Row],[Date Run ]]</f>
        <v>0</v>
      </c>
    </row>
    <row r="795" spans="1:14" ht="14.45" x14ac:dyDescent="0.25">
      <c r="A795">
        <f>SampleList[[#This Row],[Experiment ID]]</f>
        <v>0</v>
      </c>
      <c r="B795">
        <f>SampleList[[#This Row],[Sample Description]]</f>
        <v>0</v>
      </c>
      <c r="C795" s="1">
        <f>SampleList[[#This Row],[Date Sampled]]</f>
        <v>0</v>
      </c>
      <c r="D795">
        <f>SampleList[[#This Row],[Duration (Days)]]</f>
        <v>0</v>
      </c>
      <c r="E795">
        <f>NMRResults[[#This Row],[Ammonium Concentration (mM)]]</f>
        <v>0</v>
      </c>
      <c r="F795" t="str">
        <f>GCResults[[#This Row],[H2 (ppm)]]</f>
        <v/>
      </c>
      <c r="G795">
        <f>GCResults[[#This Row],[Total Gas Volume (mL), gas cylinder = 3785mL]]</f>
        <v>0</v>
      </c>
      <c r="H795">
        <f>GCResults[[#This Row],[Pressure on Sampling (PSI), 145PSI=1MPa]]</f>
        <v>3552.5</v>
      </c>
      <c r="I795">
        <f>pHCondMod[[#This Row],[Sample pH]]</f>
        <v>0</v>
      </c>
      <c r="J795">
        <f>pHCondMod[[#This Row],[Sample Conductivity (mS/cm)]]</f>
        <v>0</v>
      </c>
      <c r="K795">
        <f>pHCondMod[[#This Row],[Modification Description]]</f>
        <v>0</v>
      </c>
      <c r="L795" s="1">
        <f>NMRResults[[#This Row],[Date Run]]</f>
        <v>0</v>
      </c>
      <c r="M795" s="1">
        <f>ICPList[[#This Row],[Date Run]]</f>
        <v>0</v>
      </c>
      <c r="N795" s="1">
        <f>GCResults[[#This Row],[Date Run ]]</f>
        <v>0</v>
      </c>
    </row>
    <row r="796" spans="1:14" ht="14.45" x14ac:dyDescent="0.25">
      <c r="A796">
        <f>SampleList[[#This Row],[Experiment ID]]</f>
        <v>0</v>
      </c>
      <c r="B796">
        <f>SampleList[[#This Row],[Sample Description]]</f>
        <v>0</v>
      </c>
      <c r="C796" s="1">
        <f>SampleList[[#This Row],[Date Sampled]]</f>
        <v>0</v>
      </c>
      <c r="D796">
        <f>SampleList[[#This Row],[Duration (Days)]]</f>
        <v>0</v>
      </c>
      <c r="E796">
        <f>NMRResults[[#This Row],[Ammonium Concentration (mM)]]</f>
        <v>0</v>
      </c>
      <c r="F796" t="str">
        <f>GCResults[[#This Row],[H2 (ppm)]]</f>
        <v/>
      </c>
      <c r="G796">
        <f>GCResults[[#This Row],[Total Gas Volume (mL), gas cylinder = 3785mL]]</f>
        <v>0</v>
      </c>
      <c r="H796">
        <f>GCResults[[#This Row],[Pressure on Sampling (PSI), 145PSI=1MPa]]</f>
        <v>3552.5</v>
      </c>
      <c r="I796">
        <f>pHCondMod[[#This Row],[Sample pH]]</f>
        <v>0</v>
      </c>
      <c r="J796">
        <f>pHCondMod[[#This Row],[Sample Conductivity (mS/cm)]]</f>
        <v>0</v>
      </c>
      <c r="K796">
        <f>pHCondMod[[#This Row],[Modification Description]]</f>
        <v>0</v>
      </c>
      <c r="L796" s="1">
        <f>NMRResults[[#This Row],[Date Run]]</f>
        <v>0</v>
      </c>
      <c r="M796" s="1">
        <f>ICPList[[#This Row],[Date Run]]</f>
        <v>0</v>
      </c>
      <c r="N796" s="1">
        <f>GCResults[[#This Row],[Date Run ]]</f>
        <v>0</v>
      </c>
    </row>
    <row r="797" spans="1:14" ht="14.45" x14ac:dyDescent="0.25">
      <c r="A797">
        <f>SampleList[[#This Row],[Experiment ID]]</f>
        <v>0</v>
      </c>
      <c r="B797">
        <f>SampleList[[#This Row],[Sample Description]]</f>
        <v>0</v>
      </c>
      <c r="C797" s="1">
        <f>SampleList[[#This Row],[Date Sampled]]</f>
        <v>0</v>
      </c>
      <c r="D797">
        <f>SampleList[[#This Row],[Duration (Days)]]</f>
        <v>0</v>
      </c>
      <c r="E797">
        <f>NMRResults[[#This Row],[Ammonium Concentration (mM)]]</f>
        <v>0</v>
      </c>
      <c r="F797" t="str">
        <f>GCResults[[#This Row],[H2 (ppm)]]</f>
        <v/>
      </c>
      <c r="G797">
        <f>GCResults[[#This Row],[Total Gas Volume (mL), gas cylinder = 3785mL]]</f>
        <v>0</v>
      </c>
      <c r="H797">
        <f>GCResults[[#This Row],[Pressure on Sampling (PSI), 145PSI=1MPa]]</f>
        <v>3552.5</v>
      </c>
      <c r="I797">
        <f>pHCondMod[[#This Row],[Sample pH]]</f>
        <v>0</v>
      </c>
      <c r="J797">
        <f>pHCondMod[[#This Row],[Sample Conductivity (mS/cm)]]</f>
        <v>0</v>
      </c>
      <c r="K797">
        <f>pHCondMod[[#This Row],[Modification Description]]</f>
        <v>0</v>
      </c>
      <c r="L797" s="1">
        <f>NMRResults[[#This Row],[Date Run]]</f>
        <v>0</v>
      </c>
      <c r="M797" s="1">
        <f>ICPList[[#This Row],[Date Run]]</f>
        <v>0</v>
      </c>
      <c r="N797" s="1">
        <f>GCResults[[#This Row],[Date Run ]]</f>
        <v>0</v>
      </c>
    </row>
    <row r="798" spans="1:14" ht="14.45" x14ac:dyDescent="0.25">
      <c r="A798">
        <f>SampleList[[#This Row],[Experiment ID]]</f>
        <v>0</v>
      </c>
      <c r="B798">
        <f>SampleList[[#This Row],[Sample Description]]</f>
        <v>0</v>
      </c>
      <c r="C798" s="1">
        <f>SampleList[[#This Row],[Date Sampled]]</f>
        <v>0</v>
      </c>
      <c r="D798">
        <f>SampleList[[#This Row],[Duration (Days)]]</f>
        <v>0</v>
      </c>
      <c r="E798">
        <f>NMRResults[[#This Row],[Ammonium Concentration (mM)]]</f>
        <v>0</v>
      </c>
      <c r="F798" t="str">
        <f>GCResults[[#This Row],[H2 (ppm)]]</f>
        <v/>
      </c>
      <c r="G798">
        <f>GCResults[[#This Row],[Total Gas Volume (mL), gas cylinder = 3785mL]]</f>
        <v>0</v>
      </c>
      <c r="H798">
        <f>GCResults[[#This Row],[Pressure on Sampling (PSI), 145PSI=1MPa]]</f>
        <v>3552.5</v>
      </c>
      <c r="I798">
        <f>pHCondMod[[#This Row],[Sample pH]]</f>
        <v>0</v>
      </c>
      <c r="J798">
        <f>pHCondMod[[#This Row],[Sample Conductivity (mS/cm)]]</f>
        <v>0</v>
      </c>
      <c r="K798">
        <f>pHCondMod[[#This Row],[Modification Description]]</f>
        <v>0</v>
      </c>
      <c r="L798" s="1">
        <f>NMRResults[[#This Row],[Date Run]]</f>
        <v>0</v>
      </c>
      <c r="M798" s="1">
        <f>ICPList[[#This Row],[Date Run]]</f>
        <v>0</v>
      </c>
      <c r="N798" s="1">
        <f>GCResults[[#This Row],[Date Run ]]</f>
        <v>0</v>
      </c>
    </row>
    <row r="799" spans="1:14" ht="14.45" x14ac:dyDescent="0.25">
      <c r="A799">
        <f>SampleList[[#This Row],[Experiment ID]]</f>
        <v>0</v>
      </c>
      <c r="B799">
        <f>SampleList[[#This Row],[Sample Description]]</f>
        <v>0</v>
      </c>
      <c r="C799" s="1">
        <f>SampleList[[#This Row],[Date Sampled]]</f>
        <v>0</v>
      </c>
      <c r="D799">
        <f>SampleList[[#This Row],[Duration (Days)]]</f>
        <v>0</v>
      </c>
      <c r="E799">
        <f>NMRResults[[#This Row],[Ammonium Concentration (mM)]]</f>
        <v>0</v>
      </c>
      <c r="F799" t="str">
        <f>GCResults[[#This Row],[H2 (ppm)]]</f>
        <v/>
      </c>
      <c r="G799">
        <f>GCResults[[#This Row],[Total Gas Volume (mL), gas cylinder = 3785mL]]</f>
        <v>0</v>
      </c>
      <c r="H799">
        <f>GCResults[[#This Row],[Pressure on Sampling (PSI), 145PSI=1MPa]]</f>
        <v>3552.5</v>
      </c>
      <c r="I799">
        <f>pHCondMod[[#This Row],[Sample pH]]</f>
        <v>0</v>
      </c>
      <c r="J799">
        <f>pHCondMod[[#This Row],[Sample Conductivity (mS/cm)]]</f>
        <v>0</v>
      </c>
      <c r="K799">
        <f>pHCondMod[[#This Row],[Modification Description]]</f>
        <v>0</v>
      </c>
      <c r="L799" s="1">
        <f>NMRResults[[#This Row],[Date Run]]</f>
        <v>0</v>
      </c>
      <c r="M799" s="1">
        <f>ICPList[[#This Row],[Date Run]]</f>
        <v>0</v>
      </c>
      <c r="N799" s="1">
        <f>GCResults[[#This Row],[Date Run ]]</f>
        <v>0</v>
      </c>
    </row>
    <row r="800" spans="1:14" ht="14.45" x14ac:dyDescent="0.25">
      <c r="A800">
        <f>SampleList[[#This Row],[Experiment ID]]</f>
        <v>0</v>
      </c>
      <c r="B800">
        <f>SampleList[[#This Row],[Sample Description]]</f>
        <v>0</v>
      </c>
      <c r="C800" s="1">
        <f>SampleList[[#This Row],[Date Sampled]]</f>
        <v>0</v>
      </c>
      <c r="D800">
        <f>SampleList[[#This Row],[Duration (Days)]]</f>
        <v>0</v>
      </c>
      <c r="E800">
        <f>NMRResults[[#This Row],[Ammonium Concentration (mM)]]</f>
        <v>0</v>
      </c>
      <c r="F800" t="str">
        <f>GCResults[[#This Row],[H2 (ppm)]]</f>
        <v/>
      </c>
      <c r="G800">
        <f>GCResults[[#This Row],[Total Gas Volume (mL), gas cylinder = 3785mL]]</f>
        <v>0</v>
      </c>
      <c r="H800">
        <f>GCResults[[#This Row],[Pressure on Sampling (PSI), 145PSI=1MPa]]</f>
        <v>3552.5</v>
      </c>
      <c r="I800">
        <f>pHCondMod[[#This Row],[Sample pH]]</f>
        <v>0</v>
      </c>
      <c r="J800">
        <f>pHCondMod[[#This Row],[Sample Conductivity (mS/cm)]]</f>
        <v>0</v>
      </c>
      <c r="K800">
        <f>pHCondMod[[#This Row],[Modification Description]]</f>
        <v>0</v>
      </c>
      <c r="L800" s="1">
        <f>NMRResults[[#This Row],[Date Run]]</f>
        <v>0</v>
      </c>
      <c r="M800" s="1">
        <f>ICPList[[#This Row],[Date Run]]</f>
        <v>0</v>
      </c>
      <c r="N800" s="1">
        <f>GCResults[[#This Row],[Date Run ]]</f>
        <v>0</v>
      </c>
    </row>
    <row r="801" spans="1:14" ht="14.45" x14ac:dyDescent="0.25">
      <c r="A801">
        <f>SampleList[[#This Row],[Experiment ID]]</f>
        <v>0</v>
      </c>
      <c r="B801">
        <f>SampleList[[#This Row],[Sample Description]]</f>
        <v>0</v>
      </c>
      <c r="C801" s="1">
        <f>SampleList[[#This Row],[Date Sampled]]</f>
        <v>0</v>
      </c>
      <c r="D801">
        <f>SampleList[[#This Row],[Duration (Days)]]</f>
        <v>0</v>
      </c>
      <c r="E801">
        <f>NMRResults[[#This Row],[Ammonium Concentration (mM)]]</f>
        <v>0</v>
      </c>
      <c r="F801" t="str">
        <f>GCResults[[#This Row],[H2 (ppm)]]</f>
        <v/>
      </c>
      <c r="G801">
        <f>GCResults[[#This Row],[Total Gas Volume (mL), gas cylinder = 3785mL]]</f>
        <v>0</v>
      </c>
      <c r="H801">
        <f>GCResults[[#This Row],[Pressure on Sampling (PSI), 145PSI=1MPa]]</f>
        <v>3552.5</v>
      </c>
      <c r="I801">
        <f>pHCondMod[[#This Row],[Sample pH]]</f>
        <v>0</v>
      </c>
      <c r="J801">
        <f>pHCondMod[[#This Row],[Sample Conductivity (mS/cm)]]</f>
        <v>0</v>
      </c>
      <c r="K801">
        <f>pHCondMod[[#This Row],[Modification Description]]</f>
        <v>0</v>
      </c>
      <c r="L801" s="1">
        <f>NMRResults[[#This Row],[Date Run]]</f>
        <v>0</v>
      </c>
      <c r="M801" s="1">
        <f>ICPList[[#This Row],[Date Run]]</f>
        <v>0</v>
      </c>
      <c r="N801" s="1">
        <f>GCResults[[#This Row],[Date Run ]]</f>
        <v>0</v>
      </c>
    </row>
    <row r="802" spans="1:14" ht="14.45" x14ac:dyDescent="0.25">
      <c r="A802">
        <f>SampleList[[#This Row],[Experiment ID]]</f>
        <v>0</v>
      </c>
      <c r="B802">
        <f>SampleList[[#This Row],[Sample Description]]</f>
        <v>0</v>
      </c>
      <c r="C802" s="1">
        <f>SampleList[[#This Row],[Date Sampled]]</f>
        <v>0</v>
      </c>
      <c r="D802">
        <f>SampleList[[#This Row],[Duration (Days)]]</f>
        <v>0</v>
      </c>
      <c r="E802">
        <f>NMRResults[[#This Row],[Ammonium Concentration (mM)]]</f>
        <v>0</v>
      </c>
      <c r="F802" t="str">
        <f>GCResults[[#This Row],[H2 (ppm)]]</f>
        <v/>
      </c>
      <c r="G802">
        <f>GCResults[[#This Row],[Total Gas Volume (mL), gas cylinder = 3785mL]]</f>
        <v>0</v>
      </c>
      <c r="H802">
        <f>GCResults[[#This Row],[Pressure on Sampling (PSI), 145PSI=1MPa]]</f>
        <v>3552.5</v>
      </c>
      <c r="I802">
        <f>pHCondMod[[#This Row],[Sample pH]]</f>
        <v>0</v>
      </c>
      <c r="J802">
        <f>pHCondMod[[#This Row],[Sample Conductivity (mS/cm)]]</f>
        <v>0</v>
      </c>
      <c r="K802">
        <f>pHCondMod[[#This Row],[Modification Description]]</f>
        <v>0</v>
      </c>
      <c r="L802" s="1">
        <f>NMRResults[[#This Row],[Date Run]]</f>
        <v>0</v>
      </c>
      <c r="M802" s="1">
        <f>ICPList[[#This Row],[Date Run]]</f>
        <v>0</v>
      </c>
      <c r="N802" s="1">
        <f>GCResults[[#This Row],[Date Run ]]</f>
        <v>0</v>
      </c>
    </row>
    <row r="803" spans="1:14" ht="14.45" x14ac:dyDescent="0.25">
      <c r="A803">
        <f>SampleList[[#This Row],[Experiment ID]]</f>
        <v>0</v>
      </c>
      <c r="B803">
        <f>SampleList[[#This Row],[Sample Description]]</f>
        <v>0</v>
      </c>
      <c r="C803" s="1">
        <f>SampleList[[#This Row],[Date Sampled]]</f>
        <v>0</v>
      </c>
      <c r="D803">
        <f>SampleList[[#This Row],[Duration (Days)]]</f>
        <v>0</v>
      </c>
      <c r="E803">
        <f>NMRResults[[#This Row],[Ammonium Concentration (mM)]]</f>
        <v>0</v>
      </c>
      <c r="F803" t="str">
        <f>GCResults[[#This Row],[H2 (ppm)]]</f>
        <v/>
      </c>
      <c r="G803">
        <f>GCResults[[#This Row],[Total Gas Volume (mL), gas cylinder = 3785mL]]</f>
        <v>0</v>
      </c>
      <c r="H803">
        <f>GCResults[[#This Row],[Pressure on Sampling (PSI), 145PSI=1MPa]]</f>
        <v>3552.5</v>
      </c>
      <c r="I803">
        <f>pHCondMod[[#This Row],[Sample pH]]</f>
        <v>0</v>
      </c>
      <c r="J803">
        <f>pHCondMod[[#This Row],[Sample Conductivity (mS/cm)]]</f>
        <v>0</v>
      </c>
      <c r="K803">
        <f>pHCondMod[[#This Row],[Modification Description]]</f>
        <v>0</v>
      </c>
      <c r="L803" s="1">
        <f>NMRResults[[#This Row],[Date Run]]</f>
        <v>0</v>
      </c>
      <c r="M803" s="1">
        <f>ICPList[[#This Row],[Date Run]]</f>
        <v>0</v>
      </c>
      <c r="N803" s="1">
        <f>GCResults[[#This Row],[Date Run ]]</f>
        <v>0</v>
      </c>
    </row>
    <row r="804" spans="1:14" ht="14.45" x14ac:dyDescent="0.25">
      <c r="A804">
        <f>SampleList[[#This Row],[Experiment ID]]</f>
        <v>0</v>
      </c>
      <c r="B804">
        <f>SampleList[[#This Row],[Sample Description]]</f>
        <v>0</v>
      </c>
      <c r="C804" s="1">
        <f>SampleList[[#This Row],[Date Sampled]]</f>
        <v>0</v>
      </c>
      <c r="D804">
        <f>SampleList[[#This Row],[Duration (Days)]]</f>
        <v>0</v>
      </c>
      <c r="E804">
        <f>NMRResults[[#This Row],[Ammonium Concentration (mM)]]</f>
        <v>0</v>
      </c>
      <c r="F804" t="str">
        <f>GCResults[[#This Row],[H2 (ppm)]]</f>
        <v/>
      </c>
      <c r="G804">
        <f>GCResults[[#This Row],[Total Gas Volume (mL), gas cylinder = 3785mL]]</f>
        <v>0</v>
      </c>
      <c r="H804">
        <f>GCResults[[#This Row],[Pressure on Sampling (PSI), 145PSI=1MPa]]</f>
        <v>3552.5</v>
      </c>
      <c r="I804">
        <f>pHCondMod[[#This Row],[Sample pH]]</f>
        <v>0</v>
      </c>
      <c r="J804">
        <f>pHCondMod[[#This Row],[Sample Conductivity (mS/cm)]]</f>
        <v>0</v>
      </c>
      <c r="K804">
        <f>pHCondMod[[#This Row],[Modification Description]]</f>
        <v>0</v>
      </c>
      <c r="L804" s="1">
        <f>NMRResults[[#This Row],[Date Run]]</f>
        <v>0</v>
      </c>
      <c r="M804" s="1">
        <f>ICPList[[#This Row],[Date Run]]</f>
        <v>0</v>
      </c>
      <c r="N804" s="1">
        <f>GCResults[[#This Row],[Date Run ]]</f>
        <v>0</v>
      </c>
    </row>
    <row r="805" spans="1:14" ht="14.45" x14ac:dyDescent="0.25">
      <c r="A805">
        <f>SampleList[[#This Row],[Experiment ID]]</f>
        <v>0</v>
      </c>
      <c r="B805">
        <f>SampleList[[#This Row],[Sample Description]]</f>
        <v>0</v>
      </c>
      <c r="C805" s="1">
        <f>SampleList[[#This Row],[Date Sampled]]</f>
        <v>0</v>
      </c>
      <c r="D805">
        <f>SampleList[[#This Row],[Duration (Days)]]</f>
        <v>0</v>
      </c>
      <c r="E805">
        <f>NMRResults[[#This Row],[Ammonium Concentration (mM)]]</f>
        <v>0</v>
      </c>
      <c r="F805" t="str">
        <f>GCResults[[#This Row],[H2 (ppm)]]</f>
        <v/>
      </c>
      <c r="G805">
        <f>GCResults[[#This Row],[Total Gas Volume (mL), gas cylinder = 3785mL]]</f>
        <v>0</v>
      </c>
      <c r="H805">
        <f>GCResults[[#This Row],[Pressure on Sampling (PSI), 145PSI=1MPa]]</f>
        <v>3552.5</v>
      </c>
      <c r="I805">
        <f>pHCondMod[[#This Row],[Sample pH]]</f>
        <v>0</v>
      </c>
      <c r="J805">
        <f>pHCondMod[[#This Row],[Sample Conductivity (mS/cm)]]</f>
        <v>0</v>
      </c>
      <c r="K805">
        <f>pHCondMod[[#This Row],[Modification Description]]</f>
        <v>0</v>
      </c>
      <c r="L805" s="1">
        <f>NMRResults[[#This Row],[Date Run]]</f>
        <v>0</v>
      </c>
      <c r="M805" s="1">
        <f>ICPList[[#This Row],[Date Run]]</f>
        <v>0</v>
      </c>
      <c r="N805" s="1">
        <f>GCResults[[#This Row],[Date Run ]]</f>
        <v>0</v>
      </c>
    </row>
    <row r="806" spans="1:14" ht="14.45" x14ac:dyDescent="0.25">
      <c r="A806">
        <f>SampleList[[#This Row],[Experiment ID]]</f>
        <v>0</v>
      </c>
      <c r="B806">
        <f>SampleList[[#This Row],[Sample Description]]</f>
        <v>0</v>
      </c>
      <c r="C806" s="1">
        <f>SampleList[[#This Row],[Date Sampled]]</f>
        <v>0</v>
      </c>
      <c r="D806">
        <f>SampleList[[#This Row],[Duration (Days)]]</f>
        <v>0</v>
      </c>
      <c r="E806">
        <f>NMRResults[[#This Row],[Ammonium Concentration (mM)]]</f>
        <v>0</v>
      </c>
      <c r="F806" t="str">
        <f>GCResults[[#This Row],[H2 (ppm)]]</f>
        <v/>
      </c>
      <c r="G806">
        <f>GCResults[[#This Row],[Total Gas Volume (mL), gas cylinder = 3785mL]]</f>
        <v>0</v>
      </c>
      <c r="H806">
        <f>GCResults[[#This Row],[Pressure on Sampling (PSI), 145PSI=1MPa]]</f>
        <v>3552.5</v>
      </c>
      <c r="I806">
        <f>pHCondMod[[#This Row],[Sample pH]]</f>
        <v>0</v>
      </c>
      <c r="J806">
        <f>pHCondMod[[#This Row],[Sample Conductivity (mS/cm)]]</f>
        <v>0</v>
      </c>
      <c r="K806">
        <f>pHCondMod[[#This Row],[Modification Description]]</f>
        <v>0</v>
      </c>
      <c r="L806" s="1">
        <f>NMRResults[[#This Row],[Date Run]]</f>
        <v>0</v>
      </c>
      <c r="M806" s="1">
        <f>ICPList[[#This Row],[Date Run]]</f>
        <v>0</v>
      </c>
      <c r="N806" s="1">
        <f>GCResults[[#This Row],[Date Run ]]</f>
        <v>0</v>
      </c>
    </row>
    <row r="807" spans="1:14" ht="14.45" x14ac:dyDescent="0.25">
      <c r="A807">
        <f>SampleList[[#This Row],[Experiment ID]]</f>
        <v>0</v>
      </c>
      <c r="B807">
        <f>SampleList[[#This Row],[Sample Description]]</f>
        <v>0</v>
      </c>
      <c r="C807" s="1">
        <f>SampleList[[#This Row],[Date Sampled]]</f>
        <v>0</v>
      </c>
      <c r="D807">
        <f>SampleList[[#This Row],[Duration (Days)]]</f>
        <v>0</v>
      </c>
      <c r="E807">
        <f>NMRResults[[#This Row],[Ammonium Concentration (mM)]]</f>
        <v>0</v>
      </c>
      <c r="F807" t="str">
        <f>GCResults[[#This Row],[H2 (ppm)]]</f>
        <v/>
      </c>
      <c r="G807">
        <f>GCResults[[#This Row],[Total Gas Volume (mL), gas cylinder = 3785mL]]</f>
        <v>0</v>
      </c>
      <c r="H807">
        <f>GCResults[[#This Row],[Pressure on Sampling (PSI), 145PSI=1MPa]]</f>
        <v>3552.5</v>
      </c>
      <c r="I807">
        <f>pHCondMod[[#This Row],[Sample pH]]</f>
        <v>0</v>
      </c>
      <c r="J807">
        <f>pHCondMod[[#This Row],[Sample Conductivity (mS/cm)]]</f>
        <v>0</v>
      </c>
      <c r="K807">
        <f>pHCondMod[[#This Row],[Modification Description]]</f>
        <v>0</v>
      </c>
      <c r="L807" s="1">
        <f>NMRResults[[#This Row],[Date Run]]</f>
        <v>0</v>
      </c>
      <c r="M807" s="1">
        <f>ICPList[[#This Row],[Date Run]]</f>
        <v>0</v>
      </c>
      <c r="N807" s="1">
        <f>GCResults[[#This Row],[Date Run ]]</f>
        <v>0</v>
      </c>
    </row>
    <row r="808" spans="1:14" ht="14.45" x14ac:dyDescent="0.25">
      <c r="A808">
        <f>SampleList[[#This Row],[Experiment ID]]</f>
        <v>0</v>
      </c>
      <c r="B808">
        <f>SampleList[[#This Row],[Sample Description]]</f>
        <v>0</v>
      </c>
      <c r="C808" s="1">
        <f>SampleList[[#This Row],[Date Sampled]]</f>
        <v>0</v>
      </c>
      <c r="D808">
        <f>SampleList[[#This Row],[Duration (Days)]]</f>
        <v>0</v>
      </c>
      <c r="E808">
        <f>NMRResults[[#This Row],[Ammonium Concentration (mM)]]</f>
        <v>0</v>
      </c>
      <c r="F808" t="str">
        <f>GCResults[[#This Row],[H2 (ppm)]]</f>
        <v/>
      </c>
      <c r="G808">
        <f>GCResults[[#This Row],[Total Gas Volume (mL), gas cylinder = 3785mL]]</f>
        <v>0</v>
      </c>
      <c r="H808">
        <f>GCResults[[#This Row],[Pressure on Sampling (PSI), 145PSI=1MPa]]</f>
        <v>3552.5</v>
      </c>
      <c r="I808">
        <f>pHCondMod[[#This Row],[Sample pH]]</f>
        <v>0</v>
      </c>
      <c r="J808">
        <f>pHCondMod[[#This Row],[Sample Conductivity (mS/cm)]]</f>
        <v>0</v>
      </c>
      <c r="K808">
        <f>pHCondMod[[#This Row],[Modification Description]]</f>
        <v>0</v>
      </c>
      <c r="L808" s="1">
        <f>NMRResults[[#This Row],[Date Run]]</f>
        <v>0</v>
      </c>
      <c r="M808" s="1">
        <f>ICPList[[#This Row],[Date Run]]</f>
        <v>0</v>
      </c>
      <c r="N808" s="1">
        <f>GCResults[[#This Row],[Date Run ]]</f>
        <v>0</v>
      </c>
    </row>
    <row r="809" spans="1:14" ht="14.45" x14ac:dyDescent="0.25">
      <c r="A809">
        <f>SampleList[[#This Row],[Experiment ID]]</f>
        <v>0</v>
      </c>
      <c r="B809">
        <f>SampleList[[#This Row],[Sample Description]]</f>
        <v>0</v>
      </c>
      <c r="C809" s="1">
        <f>SampleList[[#This Row],[Date Sampled]]</f>
        <v>0</v>
      </c>
      <c r="D809">
        <f>SampleList[[#This Row],[Duration (Days)]]</f>
        <v>0</v>
      </c>
      <c r="E809">
        <f>NMRResults[[#This Row],[Ammonium Concentration (mM)]]</f>
        <v>0</v>
      </c>
      <c r="F809" t="str">
        <f>GCResults[[#This Row],[H2 (ppm)]]</f>
        <v/>
      </c>
      <c r="G809">
        <f>GCResults[[#This Row],[Total Gas Volume (mL), gas cylinder = 3785mL]]</f>
        <v>0</v>
      </c>
      <c r="H809">
        <f>GCResults[[#This Row],[Pressure on Sampling (PSI), 145PSI=1MPa]]</f>
        <v>3552.5</v>
      </c>
      <c r="I809">
        <f>pHCondMod[[#This Row],[Sample pH]]</f>
        <v>0</v>
      </c>
      <c r="J809">
        <f>pHCondMod[[#This Row],[Sample Conductivity (mS/cm)]]</f>
        <v>0</v>
      </c>
      <c r="K809">
        <f>pHCondMod[[#This Row],[Modification Description]]</f>
        <v>0</v>
      </c>
      <c r="L809" s="1">
        <f>NMRResults[[#This Row],[Date Run]]</f>
        <v>0</v>
      </c>
      <c r="M809" s="1">
        <f>ICPList[[#This Row],[Date Run]]</f>
        <v>0</v>
      </c>
      <c r="N809" s="1">
        <f>GCResults[[#This Row],[Date Run ]]</f>
        <v>0</v>
      </c>
    </row>
    <row r="810" spans="1:14" ht="14.45" x14ac:dyDescent="0.25">
      <c r="A810">
        <f>SampleList[[#This Row],[Experiment ID]]</f>
        <v>0</v>
      </c>
      <c r="B810">
        <f>SampleList[[#This Row],[Sample Description]]</f>
        <v>0</v>
      </c>
      <c r="C810" s="1">
        <f>SampleList[[#This Row],[Date Sampled]]</f>
        <v>0</v>
      </c>
      <c r="D810">
        <f>SampleList[[#This Row],[Duration (Days)]]</f>
        <v>0</v>
      </c>
      <c r="E810">
        <f>NMRResults[[#This Row],[Ammonium Concentration (mM)]]</f>
        <v>0</v>
      </c>
      <c r="F810" t="str">
        <f>GCResults[[#This Row],[H2 (ppm)]]</f>
        <v/>
      </c>
      <c r="G810">
        <f>GCResults[[#This Row],[Total Gas Volume (mL), gas cylinder = 3785mL]]</f>
        <v>0</v>
      </c>
      <c r="H810">
        <f>GCResults[[#This Row],[Pressure on Sampling (PSI), 145PSI=1MPa]]</f>
        <v>3552.5</v>
      </c>
      <c r="I810">
        <f>pHCondMod[[#This Row],[Sample pH]]</f>
        <v>0</v>
      </c>
      <c r="J810">
        <f>pHCondMod[[#This Row],[Sample Conductivity (mS/cm)]]</f>
        <v>0</v>
      </c>
      <c r="K810">
        <f>pHCondMod[[#This Row],[Modification Description]]</f>
        <v>0</v>
      </c>
      <c r="L810" s="1">
        <f>NMRResults[[#This Row],[Date Run]]</f>
        <v>0</v>
      </c>
      <c r="M810" s="1">
        <f>ICPList[[#This Row],[Date Run]]</f>
        <v>0</v>
      </c>
      <c r="N810" s="1">
        <f>GCResults[[#This Row],[Date Run ]]</f>
        <v>0</v>
      </c>
    </row>
    <row r="811" spans="1:14" ht="14.45" x14ac:dyDescent="0.25">
      <c r="A811">
        <f>SampleList[[#This Row],[Experiment ID]]</f>
        <v>0</v>
      </c>
      <c r="B811">
        <f>SampleList[[#This Row],[Sample Description]]</f>
        <v>0</v>
      </c>
      <c r="C811" s="1">
        <f>SampleList[[#This Row],[Date Sampled]]</f>
        <v>0</v>
      </c>
      <c r="D811">
        <f>SampleList[[#This Row],[Duration (Days)]]</f>
        <v>0</v>
      </c>
      <c r="E811">
        <f>NMRResults[[#This Row],[Ammonium Concentration (mM)]]</f>
        <v>0</v>
      </c>
      <c r="F811" t="str">
        <f>GCResults[[#This Row],[H2 (ppm)]]</f>
        <v/>
      </c>
      <c r="G811">
        <f>GCResults[[#This Row],[Total Gas Volume (mL), gas cylinder = 3785mL]]</f>
        <v>0</v>
      </c>
      <c r="H811">
        <f>GCResults[[#This Row],[Pressure on Sampling (PSI), 145PSI=1MPa]]</f>
        <v>3552.5</v>
      </c>
      <c r="I811">
        <f>pHCondMod[[#This Row],[Sample pH]]</f>
        <v>0</v>
      </c>
      <c r="J811">
        <f>pHCondMod[[#This Row],[Sample Conductivity (mS/cm)]]</f>
        <v>0</v>
      </c>
      <c r="K811">
        <f>pHCondMod[[#This Row],[Modification Description]]</f>
        <v>0</v>
      </c>
      <c r="L811" s="1">
        <f>NMRResults[[#This Row],[Date Run]]</f>
        <v>0</v>
      </c>
      <c r="M811" s="1">
        <f>ICPList[[#This Row],[Date Run]]</f>
        <v>0</v>
      </c>
      <c r="N811" s="1">
        <f>GCResults[[#This Row],[Date Run ]]</f>
        <v>0</v>
      </c>
    </row>
    <row r="812" spans="1:14" ht="14.45" x14ac:dyDescent="0.25">
      <c r="A812">
        <f>SampleList[[#This Row],[Experiment ID]]</f>
        <v>0</v>
      </c>
      <c r="B812">
        <f>SampleList[[#This Row],[Sample Description]]</f>
        <v>0</v>
      </c>
      <c r="C812" s="1">
        <f>SampleList[[#This Row],[Date Sampled]]</f>
        <v>0</v>
      </c>
      <c r="D812">
        <f>SampleList[[#This Row],[Duration (Days)]]</f>
        <v>0</v>
      </c>
      <c r="E812">
        <f>NMRResults[[#This Row],[Ammonium Concentration (mM)]]</f>
        <v>0</v>
      </c>
      <c r="F812" t="str">
        <f>GCResults[[#This Row],[H2 (ppm)]]</f>
        <v/>
      </c>
      <c r="G812">
        <f>GCResults[[#This Row],[Total Gas Volume (mL), gas cylinder = 3785mL]]</f>
        <v>0</v>
      </c>
      <c r="H812">
        <f>GCResults[[#This Row],[Pressure on Sampling (PSI), 145PSI=1MPa]]</f>
        <v>3552.5</v>
      </c>
      <c r="I812">
        <f>pHCondMod[[#This Row],[Sample pH]]</f>
        <v>0</v>
      </c>
      <c r="J812">
        <f>pHCondMod[[#This Row],[Sample Conductivity (mS/cm)]]</f>
        <v>0</v>
      </c>
      <c r="K812">
        <f>pHCondMod[[#This Row],[Modification Description]]</f>
        <v>0</v>
      </c>
      <c r="L812" s="1">
        <f>NMRResults[[#This Row],[Date Run]]</f>
        <v>0</v>
      </c>
      <c r="M812" s="1">
        <f>ICPList[[#This Row],[Date Run]]</f>
        <v>0</v>
      </c>
      <c r="N812" s="1">
        <f>GCResults[[#This Row],[Date Run ]]</f>
        <v>0</v>
      </c>
    </row>
    <row r="813" spans="1:14" ht="14.45" x14ac:dyDescent="0.25">
      <c r="A813">
        <f>SampleList[[#This Row],[Experiment ID]]</f>
        <v>0</v>
      </c>
      <c r="B813">
        <f>SampleList[[#This Row],[Sample Description]]</f>
        <v>0</v>
      </c>
      <c r="C813" s="1">
        <f>SampleList[[#This Row],[Date Sampled]]</f>
        <v>0</v>
      </c>
      <c r="D813">
        <f>SampleList[[#This Row],[Duration (Days)]]</f>
        <v>0</v>
      </c>
      <c r="E813">
        <f>NMRResults[[#This Row],[Ammonium Concentration (mM)]]</f>
        <v>0</v>
      </c>
      <c r="F813" t="str">
        <f>GCResults[[#This Row],[H2 (ppm)]]</f>
        <v/>
      </c>
      <c r="G813">
        <f>GCResults[[#This Row],[Total Gas Volume (mL), gas cylinder = 3785mL]]</f>
        <v>0</v>
      </c>
      <c r="H813">
        <f>GCResults[[#This Row],[Pressure on Sampling (PSI), 145PSI=1MPa]]</f>
        <v>3552.5</v>
      </c>
      <c r="I813">
        <f>pHCondMod[[#This Row],[Sample pH]]</f>
        <v>0</v>
      </c>
      <c r="J813">
        <f>pHCondMod[[#This Row],[Sample Conductivity (mS/cm)]]</f>
        <v>0</v>
      </c>
      <c r="K813">
        <f>pHCondMod[[#This Row],[Modification Description]]</f>
        <v>0</v>
      </c>
      <c r="L813" s="1">
        <f>NMRResults[[#This Row],[Date Run]]</f>
        <v>0</v>
      </c>
      <c r="M813" s="1">
        <f>ICPList[[#This Row],[Date Run]]</f>
        <v>0</v>
      </c>
      <c r="N813" s="1">
        <f>GCResults[[#This Row],[Date Run ]]</f>
        <v>0</v>
      </c>
    </row>
    <row r="814" spans="1:14" ht="14.45" x14ac:dyDescent="0.25">
      <c r="A814">
        <f>SampleList[[#This Row],[Experiment ID]]</f>
        <v>0</v>
      </c>
      <c r="B814">
        <f>SampleList[[#This Row],[Sample Description]]</f>
        <v>0</v>
      </c>
      <c r="C814" s="1">
        <f>SampleList[[#This Row],[Date Sampled]]</f>
        <v>0</v>
      </c>
      <c r="D814">
        <f>SampleList[[#This Row],[Duration (Days)]]</f>
        <v>0</v>
      </c>
      <c r="E814">
        <f>NMRResults[[#This Row],[Ammonium Concentration (mM)]]</f>
        <v>0</v>
      </c>
      <c r="F814" t="str">
        <f>GCResults[[#This Row],[H2 (ppm)]]</f>
        <v/>
      </c>
      <c r="G814">
        <f>GCResults[[#This Row],[Total Gas Volume (mL), gas cylinder = 3785mL]]</f>
        <v>0</v>
      </c>
      <c r="H814">
        <f>GCResults[[#This Row],[Pressure on Sampling (PSI), 145PSI=1MPa]]</f>
        <v>3552.5</v>
      </c>
      <c r="I814">
        <f>pHCondMod[[#This Row],[Sample pH]]</f>
        <v>0</v>
      </c>
      <c r="J814">
        <f>pHCondMod[[#This Row],[Sample Conductivity (mS/cm)]]</f>
        <v>0</v>
      </c>
      <c r="K814">
        <f>pHCondMod[[#This Row],[Modification Description]]</f>
        <v>0</v>
      </c>
      <c r="L814" s="1">
        <f>NMRResults[[#This Row],[Date Run]]</f>
        <v>0</v>
      </c>
      <c r="M814" s="1">
        <f>ICPList[[#This Row],[Date Run]]</f>
        <v>0</v>
      </c>
      <c r="N814" s="1">
        <f>GCResults[[#This Row],[Date Run ]]</f>
        <v>0</v>
      </c>
    </row>
    <row r="815" spans="1:14" ht="14.45" x14ac:dyDescent="0.25">
      <c r="A815">
        <f>SampleList[[#This Row],[Experiment ID]]</f>
        <v>0</v>
      </c>
      <c r="B815">
        <f>SampleList[[#This Row],[Sample Description]]</f>
        <v>0</v>
      </c>
      <c r="C815" s="1">
        <f>SampleList[[#This Row],[Date Sampled]]</f>
        <v>0</v>
      </c>
      <c r="D815">
        <f>SampleList[[#This Row],[Duration (Days)]]</f>
        <v>0</v>
      </c>
      <c r="E815">
        <f>NMRResults[[#This Row],[Ammonium Concentration (mM)]]</f>
        <v>0</v>
      </c>
      <c r="F815" t="str">
        <f>GCResults[[#This Row],[H2 (ppm)]]</f>
        <v/>
      </c>
      <c r="G815">
        <f>GCResults[[#This Row],[Total Gas Volume (mL), gas cylinder = 3785mL]]</f>
        <v>0</v>
      </c>
      <c r="H815">
        <f>GCResults[[#This Row],[Pressure on Sampling (PSI), 145PSI=1MPa]]</f>
        <v>3552.5</v>
      </c>
      <c r="I815">
        <f>pHCondMod[[#This Row],[Sample pH]]</f>
        <v>0</v>
      </c>
      <c r="J815">
        <f>pHCondMod[[#This Row],[Sample Conductivity (mS/cm)]]</f>
        <v>0</v>
      </c>
      <c r="K815">
        <f>pHCondMod[[#This Row],[Modification Description]]</f>
        <v>0</v>
      </c>
      <c r="L815" s="1">
        <f>NMRResults[[#This Row],[Date Run]]</f>
        <v>0</v>
      </c>
      <c r="M815" s="1">
        <f>ICPList[[#This Row],[Date Run]]</f>
        <v>0</v>
      </c>
      <c r="N815" s="1">
        <f>GCResults[[#This Row],[Date Run ]]</f>
        <v>0</v>
      </c>
    </row>
    <row r="816" spans="1:14" ht="14.45" x14ac:dyDescent="0.25">
      <c r="A816">
        <f>SampleList[[#This Row],[Experiment ID]]</f>
        <v>0</v>
      </c>
      <c r="B816">
        <f>SampleList[[#This Row],[Sample Description]]</f>
        <v>0</v>
      </c>
      <c r="C816" s="1">
        <f>SampleList[[#This Row],[Date Sampled]]</f>
        <v>0</v>
      </c>
      <c r="D816">
        <f>SampleList[[#This Row],[Duration (Days)]]</f>
        <v>0</v>
      </c>
      <c r="E816">
        <f>NMRResults[[#This Row],[Ammonium Concentration (mM)]]</f>
        <v>0</v>
      </c>
      <c r="F816" t="str">
        <f>GCResults[[#This Row],[H2 (ppm)]]</f>
        <v/>
      </c>
      <c r="G816">
        <f>GCResults[[#This Row],[Total Gas Volume (mL), gas cylinder = 3785mL]]</f>
        <v>0</v>
      </c>
      <c r="H816">
        <f>GCResults[[#This Row],[Pressure on Sampling (PSI), 145PSI=1MPa]]</f>
        <v>3552.5</v>
      </c>
      <c r="I816">
        <f>pHCondMod[[#This Row],[Sample pH]]</f>
        <v>0</v>
      </c>
      <c r="J816">
        <f>pHCondMod[[#This Row],[Sample Conductivity (mS/cm)]]</f>
        <v>0</v>
      </c>
      <c r="K816">
        <f>pHCondMod[[#This Row],[Modification Description]]</f>
        <v>0</v>
      </c>
      <c r="L816" s="1">
        <f>NMRResults[[#This Row],[Date Run]]</f>
        <v>0</v>
      </c>
      <c r="M816" s="1">
        <f>ICPList[[#This Row],[Date Run]]</f>
        <v>0</v>
      </c>
      <c r="N816" s="1">
        <f>GCResults[[#This Row],[Date Run ]]</f>
        <v>0</v>
      </c>
    </row>
    <row r="817" spans="1:14" ht="14.45" x14ac:dyDescent="0.25">
      <c r="A817">
        <f>SampleList[[#This Row],[Experiment ID]]</f>
        <v>0</v>
      </c>
      <c r="B817">
        <f>SampleList[[#This Row],[Sample Description]]</f>
        <v>0</v>
      </c>
      <c r="C817" s="1">
        <f>SampleList[[#This Row],[Date Sampled]]</f>
        <v>0</v>
      </c>
      <c r="D817">
        <f>SampleList[[#This Row],[Duration (Days)]]</f>
        <v>0</v>
      </c>
      <c r="E817">
        <f>NMRResults[[#This Row],[Ammonium Concentration (mM)]]</f>
        <v>0</v>
      </c>
      <c r="F817" t="str">
        <f>GCResults[[#This Row],[H2 (ppm)]]</f>
        <v/>
      </c>
      <c r="G817">
        <f>GCResults[[#This Row],[Total Gas Volume (mL), gas cylinder = 3785mL]]</f>
        <v>0</v>
      </c>
      <c r="H817">
        <f>GCResults[[#This Row],[Pressure on Sampling (PSI), 145PSI=1MPa]]</f>
        <v>3552.5</v>
      </c>
      <c r="I817">
        <f>pHCondMod[[#This Row],[Sample pH]]</f>
        <v>0</v>
      </c>
      <c r="J817">
        <f>pHCondMod[[#This Row],[Sample Conductivity (mS/cm)]]</f>
        <v>0</v>
      </c>
      <c r="K817">
        <f>pHCondMod[[#This Row],[Modification Description]]</f>
        <v>0</v>
      </c>
      <c r="L817" s="1">
        <f>NMRResults[[#This Row],[Date Run]]</f>
        <v>0</v>
      </c>
      <c r="M817" s="1">
        <f>ICPList[[#This Row],[Date Run]]</f>
        <v>0</v>
      </c>
      <c r="N817" s="1">
        <f>GCResults[[#This Row],[Date Run ]]</f>
        <v>0</v>
      </c>
    </row>
    <row r="818" spans="1:14" ht="14.45" x14ac:dyDescent="0.25">
      <c r="A818">
        <f>SampleList[[#This Row],[Experiment ID]]</f>
        <v>0</v>
      </c>
      <c r="B818">
        <f>SampleList[[#This Row],[Sample Description]]</f>
        <v>0</v>
      </c>
      <c r="C818" s="1">
        <f>SampleList[[#This Row],[Date Sampled]]</f>
        <v>0</v>
      </c>
      <c r="D818">
        <f>SampleList[[#This Row],[Duration (Days)]]</f>
        <v>0</v>
      </c>
      <c r="E818">
        <f>NMRResults[[#This Row],[Ammonium Concentration (mM)]]</f>
        <v>0</v>
      </c>
      <c r="F818" t="str">
        <f>GCResults[[#This Row],[H2 (ppm)]]</f>
        <v/>
      </c>
      <c r="G818">
        <f>GCResults[[#This Row],[Total Gas Volume (mL), gas cylinder = 3785mL]]</f>
        <v>0</v>
      </c>
      <c r="H818">
        <f>GCResults[[#This Row],[Pressure on Sampling (PSI), 145PSI=1MPa]]</f>
        <v>3552.5</v>
      </c>
      <c r="I818">
        <f>pHCondMod[[#This Row],[Sample pH]]</f>
        <v>0</v>
      </c>
      <c r="J818">
        <f>pHCondMod[[#This Row],[Sample Conductivity (mS/cm)]]</f>
        <v>0</v>
      </c>
      <c r="K818">
        <f>pHCondMod[[#This Row],[Modification Description]]</f>
        <v>0</v>
      </c>
      <c r="L818" s="1">
        <f>NMRResults[[#This Row],[Date Run]]</f>
        <v>0</v>
      </c>
      <c r="M818" s="1">
        <f>ICPList[[#This Row],[Date Run]]</f>
        <v>0</v>
      </c>
      <c r="N818" s="1">
        <f>GCResults[[#This Row],[Date Run ]]</f>
        <v>0</v>
      </c>
    </row>
    <row r="819" spans="1:14" ht="14.45" x14ac:dyDescent="0.25">
      <c r="A819">
        <f>SampleList[[#This Row],[Experiment ID]]</f>
        <v>0</v>
      </c>
      <c r="B819">
        <f>SampleList[[#This Row],[Sample Description]]</f>
        <v>0</v>
      </c>
      <c r="C819" s="1">
        <f>SampleList[[#This Row],[Date Sampled]]</f>
        <v>0</v>
      </c>
      <c r="D819">
        <f>SampleList[[#This Row],[Duration (Days)]]</f>
        <v>0</v>
      </c>
      <c r="E819">
        <f>NMRResults[[#This Row],[Ammonium Concentration (mM)]]</f>
        <v>0</v>
      </c>
      <c r="F819" t="str">
        <f>GCResults[[#This Row],[H2 (ppm)]]</f>
        <v/>
      </c>
      <c r="G819">
        <f>GCResults[[#This Row],[Total Gas Volume (mL), gas cylinder = 3785mL]]</f>
        <v>0</v>
      </c>
      <c r="H819">
        <f>GCResults[[#This Row],[Pressure on Sampling (PSI), 145PSI=1MPa]]</f>
        <v>3552.5</v>
      </c>
      <c r="I819">
        <f>pHCondMod[[#This Row],[Sample pH]]</f>
        <v>0</v>
      </c>
      <c r="J819">
        <f>pHCondMod[[#This Row],[Sample Conductivity (mS/cm)]]</f>
        <v>0</v>
      </c>
      <c r="K819">
        <f>pHCondMod[[#This Row],[Modification Description]]</f>
        <v>0</v>
      </c>
      <c r="L819" s="1">
        <f>NMRResults[[#This Row],[Date Run]]</f>
        <v>0</v>
      </c>
      <c r="M819" s="1">
        <f>ICPList[[#This Row],[Date Run]]</f>
        <v>0</v>
      </c>
      <c r="N819" s="1">
        <f>GCResults[[#This Row],[Date Run ]]</f>
        <v>0</v>
      </c>
    </row>
    <row r="820" spans="1:14" ht="14.45" x14ac:dyDescent="0.25">
      <c r="A820">
        <f>SampleList[[#This Row],[Experiment ID]]</f>
        <v>0</v>
      </c>
      <c r="B820">
        <f>SampleList[[#This Row],[Sample Description]]</f>
        <v>0</v>
      </c>
      <c r="C820" s="1">
        <f>SampleList[[#This Row],[Date Sampled]]</f>
        <v>0</v>
      </c>
      <c r="D820">
        <f>SampleList[[#This Row],[Duration (Days)]]</f>
        <v>0</v>
      </c>
      <c r="E820">
        <f>NMRResults[[#This Row],[Ammonium Concentration (mM)]]</f>
        <v>0</v>
      </c>
      <c r="F820" t="str">
        <f>GCResults[[#This Row],[H2 (ppm)]]</f>
        <v/>
      </c>
      <c r="G820">
        <f>GCResults[[#This Row],[Total Gas Volume (mL), gas cylinder = 3785mL]]</f>
        <v>0</v>
      </c>
      <c r="H820">
        <f>GCResults[[#This Row],[Pressure on Sampling (PSI), 145PSI=1MPa]]</f>
        <v>3552.5</v>
      </c>
      <c r="I820">
        <f>pHCondMod[[#This Row],[Sample pH]]</f>
        <v>0</v>
      </c>
      <c r="J820">
        <f>pHCondMod[[#This Row],[Sample Conductivity (mS/cm)]]</f>
        <v>0</v>
      </c>
      <c r="K820">
        <f>pHCondMod[[#This Row],[Modification Description]]</f>
        <v>0</v>
      </c>
      <c r="L820" s="1">
        <f>NMRResults[[#This Row],[Date Run]]</f>
        <v>0</v>
      </c>
      <c r="M820" s="1">
        <f>ICPList[[#This Row],[Date Run]]</f>
        <v>0</v>
      </c>
      <c r="N820" s="1">
        <f>GCResults[[#This Row],[Date Run ]]</f>
        <v>0</v>
      </c>
    </row>
    <row r="821" spans="1:14" ht="14.45" x14ac:dyDescent="0.25">
      <c r="A821">
        <f>SampleList[[#This Row],[Experiment ID]]</f>
        <v>0</v>
      </c>
      <c r="B821">
        <f>SampleList[[#This Row],[Sample Description]]</f>
        <v>0</v>
      </c>
      <c r="C821" s="1">
        <f>SampleList[[#This Row],[Date Sampled]]</f>
        <v>0</v>
      </c>
      <c r="D821">
        <f>SampleList[[#This Row],[Duration (Days)]]</f>
        <v>0</v>
      </c>
      <c r="E821">
        <f>NMRResults[[#This Row],[Ammonium Concentration (mM)]]</f>
        <v>0</v>
      </c>
      <c r="F821" t="str">
        <f>GCResults[[#This Row],[H2 (ppm)]]</f>
        <v/>
      </c>
      <c r="G821">
        <f>GCResults[[#This Row],[Total Gas Volume (mL), gas cylinder = 3785mL]]</f>
        <v>0</v>
      </c>
      <c r="H821">
        <f>GCResults[[#This Row],[Pressure on Sampling (PSI), 145PSI=1MPa]]</f>
        <v>3552.5</v>
      </c>
      <c r="I821">
        <f>pHCondMod[[#This Row],[Sample pH]]</f>
        <v>0</v>
      </c>
      <c r="J821">
        <f>pHCondMod[[#This Row],[Sample Conductivity (mS/cm)]]</f>
        <v>0</v>
      </c>
      <c r="K821">
        <f>pHCondMod[[#This Row],[Modification Description]]</f>
        <v>0</v>
      </c>
      <c r="L821" s="1">
        <f>NMRResults[[#This Row],[Date Run]]</f>
        <v>0</v>
      </c>
      <c r="M821" s="1">
        <f>ICPList[[#This Row],[Date Run]]</f>
        <v>0</v>
      </c>
      <c r="N821" s="1">
        <f>GCResults[[#This Row],[Date Run ]]</f>
        <v>0</v>
      </c>
    </row>
    <row r="822" spans="1:14" ht="14.45" x14ac:dyDescent="0.25">
      <c r="A822">
        <f>SampleList[[#This Row],[Experiment ID]]</f>
        <v>0</v>
      </c>
      <c r="B822">
        <f>SampleList[[#This Row],[Sample Description]]</f>
        <v>0</v>
      </c>
      <c r="C822" s="1">
        <f>SampleList[[#This Row],[Date Sampled]]</f>
        <v>0</v>
      </c>
      <c r="D822">
        <f>SampleList[[#This Row],[Duration (Days)]]</f>
        <v>0</v>
      </c>
      <c r="E822">
        <f>NMRResults[[#This Row],[Ammonium Concentration (mM)]]</f>
        <v>0</v>
      </c>
      <c r="F822" t="str">
        <f>GCResults[[#This Row],[H2 (ppm)]]</f>
        <v/>
      </c>
      <c r="G822">
        <f>GCResults[[#This Row],[Total Gas Volume (mL), gas cylinder = 3785mL]]</f>
        <v>0</v>
      </c>
      <c r="H822">
        <f>GCResults[[#This Row],[Pressure on Sampling (PSI), 145PSI=1MPa]]</f>
        <v>3552.5</v>
      </c>
      <c r="I822">
        <f>pHCondMod[[#This Row],[Sample pH]]</f>
        <v>0</v>
      </c>
      <c r="J822">
        <f>pHCondMod[[#This Row],[Sample Conductivity (mS/cm)]]</f>
        <v>0</v>
      </c>
      <c r="K822">
        <f>pHCondMod[[#This Row],[Modification Description]]</f>
        <v>0</v>
      </c>
      <c r="L822" s="1">
        <f>NMRResults[[#This Row],[Date Run]]</f>
        <v>0</v>
      </c>
      <c r="M822" s="1">
        <f>ICPList[[#This Row],[Date Run]]</f>
        <v>0</v>
      </c>
      <c r="N822" s="1">
        <f>GCResults[[#This Row],[Date Run ]]</f>
        <v>0</v>
      </c>
    </row>
    <row r="823" spans="1:14" ht="14.45" x14ac:dyDescent="0.25">
      <c r="A823">
        <f>SampleList[[#This Row],[Experiment ID]]</f>
        <v>0</v>
      </c>
      <c r="B823">
        <f>SampleList[[#This Row],[Sample Description]]</f>
        <v>0</v>
      </c>
      <c r="C823" s="1">
        <f>SampleList[[#This Row],[Date Sampled]]</f>
        <v>0</v>
      </c>
      <c r="D823">
        <f>SampleList[[#This Row],[Duration (Days)]]</f>
        <v>0</v>
      </c>
      <c r="E823">
        <f>NMRResults[[#This Row],[Ammonium Concentration (mM)]]</f>
        <v>0</v>
      </c>
      <c r="F823" t="str">
        <f>GCResults[[#This Row],[H2 (ppm)]]</f>
        <v/>
      </c>
      <c r="G823">
        <f>GCResults[[#This Row],[Total Gas Volume (mL), gas cylinder = 3785mL]]</f>
        <v>0</v>
      </c>
      <c r="H823">
        <f>GCResults[[#This Row],[Pressure on Sampling (PSI), 145PSI=1MPa]]</f>
        <v>3552.5</v>
      </c>
      <c r="I823">
        <f>pHCondMod[[#This Row],[Sample pH]]</f>
        <v>0</v>
      </c>
      <c r="J823">
        <f>pHCondMod[[#This Row],[Sample Conductivity (mS/cm)]]</f>
        <v>0</v>
      </c>
      <c r="K823">
        <f>pHCondMod[[#This Row],[Modification Description]]</f>
        <v>0</v>
      </c>
      <c r="L823" s="1">
        <f>NMRResults[[#This Row],[Date Run]]</f>
        <v>0</v>
      </c>
      <c r="M823" s="1">
        <f>ICPList[[#This Row],[Date Run]]</f>
        <v>0</v>
      </c>
      <c r="N823" s="1">
        <f>GCResults[[#This Row],[Date Run ]]</f>
        <v>0</v>
      </c>
    </row>
    <row r="824" spans="1:14" ht="14.45" x14ac:dyDescent="0.25">
      <c r="A824">
        <f>SampleList[[#This Row],[Experiment ID]]</f>
        <v>0</v>
      </c>
      <c r="B824">
        <f>SampleList[[#This Row],[Sample Description]]</f>
        <v>0</v>
      </c>
      <c r="C824" s="1">
        <f>SampleList[[#This Row],[Date Sampled]]</f>
        <v>0</v>
      </c>
      <c r="D824">
        <f>SampleList[[#This Row],[Duration (Days)]]</f>
        <v>0</v>
      </c>
      <c r="E824">
        <f>NMRResults[[#This Row],[Ammonium Concentration (mM)]]</f>
        <v>0</v>
      </c>
      <c r="F824" t="str">
        <f>GCResults[[#This Row],[H2 (ppm)]]</f>
        <v/>
      </c>
      <c r="G824">
        <f>GCResults[[#This Row],[Total Gas Volume (mL), gas cylinder = 3785mL]]</f>
        <v>0</v>
      </c>
      <c r="H824">
        <f>GCResults[[#This Row],[Pressure on Sampling (PSI), 145PSI=1MPa]]</f>
        <v>3552.5</v>
      </c>
      <c r="I824">
        <f>pHCondMod[[#This Row],[Sample pH]]</f>
        <v>0</v>
      </c>
      <c r="J824">
        <f>pHCondMod[[#This Row],[Sample Conductivity (mS/cm)]]</f>
        <v>0</v>
      </c>
      <c r="K824">
        <f>pHCondMod[[#This Row],[Modification Description]]</f>
        <v>0</v>
      </c>
      <c r="L824" s="1">
        <f>NMRResults[[#This Row],[Date Run]]</f>
        <v>0</v>
      </c>
      <c r="M824" s="1">
        <f>ICPList[[#This Row],[Date Run]]</f>
        <v>0</v>
      </c>
      <c r="N824" s="1">
        <f>GCResults[[#This Row],[Date Run ]]</f>
        <v>0</v>
      </c>
    </row>
    <row r="825" spans="1:14" ht="14.45" x14ac:dyDescent="0.25">
      <c r="A825">
        <f>SampleList[[#This Row],[Experiment ID]]</f>
        <v>0</v>
      </c>
      <c r="B825">
        <f>SampleList[[#This Row],[Sample Description]]</f>
        <v>0</v>
      </c>
      <c r="C825" s="1">
        <f>SampleList[[#This Row],[Date Sampled]]</f>
        <v>0</v>
      </c>
      <c r="D825">
        <f>SampleList[[#This Row],[Duration (Days)]]</f>
        <v>0</v>
      </c>
      <c r="E825">
        <f>NMRResults[[#This Row],[Ammonium Concentration (mM)]]</f>
        <v>0</v>
      </c>
      <c r="F825" t="str">
        <f>GCResults[[#This Row],[H2 (ppm)]]</f>
        <v/>
      </c>
      <c r="G825">
        <f>GCResults[[#This Row],[Total Gas Volume (mL), gas cylinder = 3785mL]]</f>
        <v>0</v>
      </c>
      <c r="H825">
        <f>GCResults[[#This Row],[Pressure on Sampling (PSI), 145PSI=1MPa]]</f>
        <v>3552.5</v>
      </c>
      <c r="I825">
        <f>pHCondMod[[#This Row],[Sample pH]]</f>
        <v>0</v>
      </c>
      <c r="J825">
        <f>pHCondMod[[#This Row],[Sample Conductivity (mS/cm)]]</f>
        <v>0</v>
      </c>
      <c r="K825">
        <f>pHCondMod[[#This Row],[Modification Description]]</f>
        <v>0</v>
      </c>
      <c r="L825" s="1">
        <f>NMRResults[[#This Row],[Date Run]]</f>
        <v>0</v>
      </c>
      <c r="M825" s="1">
        <f>ICPList[[#This Row],[Date Run]]</f>
        <v>0</v>
      </c>
      <c r="N825" s="1">
        <f>GCResults[[#This Row],[Date Run ]]</f>
        <v>0</v>
      </c>
    </row>
    <row r="826" spans="1:14" ht="14.45" x14ac:dyDescent="0.25">
      <c r="A826">
        <f>SampleList[[#This Row],[Experiment ID]]</f>
        <v>0</v>
      </c>
      <c r="B826">
        <f>SampleList[[#This Row],[Sample Description]]</f>
        <v>0</v>
      </c>
      <c r="C826" s="1">
        <f>SampleList[[#This Row],[Date Sampled]]</f>
        <v>0</v>
      </c>
      <c r="D826">
        <f>SampleList[[#This Row],[Duration (Days)]]</f>
        <v>0</v>
      </c>
      <c r="E826">
        <f>NMRResults[[#This Row],[Ammonium Concentration (mM)]]</f>
        <v>0</v>
      </c>
      <c r="F826" t="str">
        <f>GCResults[[#This Row],[H2 (ppm)]]</f>
        <v/>
      </c>
      <c r="G826">
        <f>GCResults[[#This Row],[Total Gas Volume (mL), gas cylinder = 3785mL]]</f>
        <v>0</v>
      </c>
      <c r="H826">
        <f>GCResults[[#This Row],[Pressure on Sampling (PSI), 145PSI=1MPa]]</f>
        <v>3552.5</v>
      </c>
      <c r="I826">
        <f>pHCondMod[[#This Row],[Sample pH]]</f>
        <v>0</v>
      </c>
      <c r="J826">
        <f>pHCondMod[[#This Row],[Sample Conductivity (mS/cm)]]</f>
        <v>0</v>
      </c>
      <c r="K826">
        <f>pHCondMod[[#This Row],[Modification Description]]</f>
        <v>0</v>
      </c>
      <c r="L826" s="1">
        <f>NMRResults[[#This Row],[Date Run]]</f>
        <v>0</v>
      </c>
      <c r="M826" s="1">
        <f>ICPList[[#This Row],[Date Run]]</f>
        <v>0</v>
      </c>
      <c r="N826" s="1">
        <f>GCResults[[#This Row],[Date Run ]]</f>
        <v>0</v>
      </c>
    </row>
    <row r="827" spans="1:14" ht="14.45" x14ac:dyDescent="0.25">
      <c r="A827">
        <f>SampleList[[#This Row],[Experiment ID]]</f>
        <v>0</v>
      </c>
      <c r="B827">
        <f>SampleList[[#This Row],[Sample Description]]</f>
        <v>0</v>
      </c>
      <c r="C827" s="1">
        <f>SampleList[[#This Row],[Date Sampled]]</f>
        <v>0</v>
      </c>
      <c r="D827">
        <f>SampleList[[#This Row],[Duration (Days)]]</f>
        <v>0</v>
      </c>
      <c r="E827">
        <f>NMRResults[[#This Row],[Ammonium Concentration (mM)]]</f>
        <v>0</v>
      </c>
      <c r="F827" t="str">
        <f>GCResults[[#This Row],[H2 (ppm)]]</f>
        <v/>
      </c>
      <c r="G827">
        <f>GCResults[[#This Row],[Total Gas Volume (mL), gas cylinder = 3785mL]]</f>
        <v>0</v>
      </c>
      <c r="H827">
        <f>GCResults[[#This Row],[Pressure on Sampling (PSI), 145PSI=1MPa]]</f>
        <v>3552.5</v>
      </c>
      <c r="I827">
        <f>pHCondMod[[#This Row],[Sample pH]]</f>
        <v>0</v>
      </c>
      <c r="J827">
        <f>pHCondMod[[#This Row],[Sample Conductivity (mS/cm)]]</f>
        <v>0</v>
      </c>
      <c r="K827">
        <f>pHCondMod[[#This Row],[Modification Description]]</f>
        <v>0</v>
      </c>
      <c r="L827" s="1">
        <f>NMRResults[[#This Row],[Date Run]]</f>
        <v>0</v>
      </c>
      <c r="M827" s="1">
        <f>ICPList[[#This Row],[Date Run]]</f>
        <v>0</v>
      </c>
      <c r="N827" s="1">
        <f>GCResults[[#This Row],[Date Run ]]</f>
        <v>0</v>
      </c>
    </row>
    <row r="828" spans="1:14" ht="14.45" x14ac:dyDescent="0.25">
      <c r="A828">
        <f>SampleList[[#This Row],[Experiment ID]]</f>
        <v>0</v>
      </c>
      <c r="B828">
        <f>SampleList[[#This Row],[Sample Description]]</f>
        <v>0</v>
      </c>
      <c r="C828" s="1">
        <f>SampleList[[#This Row],[Date Sampled]]</f>
        <v>0</v>
      </c>
      <c r="D828">
        <f>SampleList[[#This Row],[Duration (Days)]]</f>
        <v>0</v>
      </c>
      <c r="E828">
        <f>NMRResults[[#This Row],[Ammonium Concentration (mM)]]</f>
        <v>0</v>
      </c>
      <c r="F828" t="str">
        <f>GCResults[[#This Row],[H2 (ppm)]]</f>
        <v/>
      </c>
      <c r="G828">
        <f>GCResults[[#This Row],[Total Gas Volume (mL), gas cylinder = 3785mL]]</f>
        <v>0</v>
      </c>
      <c r="H828">
        <f>GCResults[[#This Row],[Pressure on Sampling (PSI), 145PSI=1MPa]]</f>
        <v>3552.5</v>
      </c>
      <c r="I828">
        <f>pHCondMod[[#This Row],[Sample pH]]</f>
        <v>0</v>
      </c>
      <c r="J828">
        <f>pHCondMod[[#This Row],[Sample Conductivity (mS/cm)]]</f>
        <v>0</v>
      </c>
      <c r="K828">
        <f>pHCondMod[[#This Row],[Modification Description]]</f>
        <v>0</v>
      </c>
      <c r="L828" s="1">
        <f>NMRResults[[#This Row],[Date Run]]</f>
        <v>0</v>
      </c>
      <c r="M828" s="1">
        <f>ICPList[[#This Row],[Date Run]]</f>
        <v>0</v>
      </c>
      <c r="N828" s="1">
        <f>GCResults[[#This Row],[Date Run ]]</f>
        <v>0</v>
      </c>
    </row>
    <row r="829" spans="1:14" ht="14.45" x14ac:dyDescent="0.25">
      <c r="A829">
        <f>SampleList[[#This Row],[Experiment ID]]</f>
        <v>0</v>
      </c>
      <c r="B829">
        <f>SampleList[[#This Row],[Sample Description]]</f>
        <v>0</v>
      </c>
      <c r="C829" s="1">
        <f>SampleList[[#This Row],[Date Sampled]]</f>
        <v>0</v>
      </c>
      <c r="D829">
        <f>SampleList[[#This Row],[Duration (Days)]]</f>
        <v>0</v>
      </c>
      <c r="E829">
        <f>NMRResults[[#This Row],[Ammonium Concentration (mM)]]</f>
        <v>0</v>
      </c>
      <c r="F829" t="str">
        <f>GCResults[[#This Row],[H2 (ppm)]]</f>
        <v/>
      </c>
      <c r="G829">
        <f>GCResults[[#This Row],[Total Gas Volume (mL), gas cylinder = 3785mL]]</f>
        <v>0</v>
      </c>
      <c r="H829">
        <f>GCResults[[#This Row],[Pressure on Sampling (PSI), 145PSI=1MPa]]</f>
        <v>3552.5</v>
      </c>
      <c r="I829">
        <f>pHCondMod[[#This Row],[Sample pH]]</f>
        <v>0</v>
      </c>
      <c r="J829">
        <f>pHCondMod[[#This Row],[Sample Conductivity (mS/cm)]]</f>
        <v>0</v>
      </c>
      <c r="K829">
        <f>pHCondMod[[#This Row],[Modification Description]]</f>
        <v>0</v>
      </c>
      <c r="L829" s="1">
        <f>NMRResults[[#This Row],[Date Run]]</f>
        <v>0</v>
      </c>
      <c r="M829" s="1">
        <f>ICPList[[#This Row],[Date Run]]</f>
        <v>0</v>
      </c>
      <c r="N829" s="1">
        <f>GCResults[[#This Row],[Date Run ]]</f>
        <v>0</v>
      </c>
    </row>
    <row r="830" spans="1:14" ht="14.45" x14ac:dyDescent="0.25">
      <c r="A830">
        <f>SampleList[[#This Row],[Experiment ID]]</f>
        <v>0</v>
      </c>
      <c r="B830">
        <f>SampleList[[#This Row],[Sample Description]]</f>
        <v>0</v>
      </c>
      <c r="C830" s="1">
        <f>SampleList[[#This Row],[Date Sampled]]</f>
        <v>0</v>
      </c>
      <c r="D830">
        <f>SampleList[[#This Row],[Duration (Days)]]</f>
        <v>0</v>
      </c>
      <c r="E830">
        <f>NMRResults[[#This Row],[Ammonium Concentration (mM)]]</f>
        <v>0</v>
      </c>
      <c r="F830" t="str">
        <f>GCResults[[#This Row],[H2 (ppm)]]</f>
        <v/>
      </c>
      <c r="G830">
        <f>GCResults[[#This Row],[Total Gas Volume (mL), gas cylinder = 3785mL]]</f>
        <v>0</v>
      </c>
      <c r="H830">
        <f>GCResults[[#This Row],[Pressure on Sampling (PSI), 145PSI=1MPa]]</f>
        <v>3552.5</v>
      </c>
      <c r="I830">
        <f>pHCondMod[[#This Row],[Sample pH]]</f>
        <v>0</v>
      </c>
      <c r="J830">
        <f>pHCondMod[[#This Row],[Sample Conductivity (mS/cm)]]</f>
        <v>0</v>
      </c>
      <c r="K830">
        <f>pHCondMod[[#This Row],[Modification Description]]</f>
        <v>0</v>
      </c>
      <c r="L830" s="1">
        <f>NMRResults[[#This Row],[Date Run]]</f>
        <v>0</v>
      </c>
      <c r="M830" s="1">
        <f>ICPList[[#This Row],[Date Run]]</f>
        <v>0</v>
      </c>
      <c r="N830" s="1">
        <f>GCResults[[#This Row],[Date Run ]]</f>
        <v>0</v>
      </c>
    </row>
    <row r="831" spans="1:14" ht="14.45" x14ac:dyDescent="0.25">
      <c r="A831">
        <f>SampleList[[#This Row],[Experiment ID]]</f>
        <v>0</v>
      </c>
      <c r="B831">
        <f>SampleList[[#This Row],[Sample Description]]</f>
        <v>0</v>
      </c>
      <c r="C831" s="1">
        <f>SampleList[[#This Row],[Date Sampled]]</f>
        <v>0</v>
      </c>
      <c r="D831">
        <f>SampleList[[#This Row],[Duration (Days)]]</f>
        <v>0</v>
      </c>
      <c r="E831">
        <f>NMRResults[[#This Row],[Ammonium Concentration (mM)]]</f>
        <v>0</v>
      </c>
      <c r="F831" t="str">
        <f>GCResults[[#This Row],[H2 (ppm)]]</f>
        <v/>
      </c>
      <c r="G831">
        <f>GCResults[[#This Row],[Total Gas Volume (mL), gas cylinder = 3785mL]]</f>
        <v>0</v>
      </c>
      <c r="H831">
        <f>GCResults[[#This Row],[Pressure on Sampling (PSI), 145PSI=1MPa]]</f>
        <v>3552.5</v>
      </c>
      <c r="I831">
        <f>pHCondMod[[#This Row],[Sample pH]]</f>
        <v>0</v>
      </c>
      <c r="J831">
        <f>pHCondMod[[#This Row],[Sample Conductivity (mS/cm)]]</f>
        <v>0</v>
      </c>
      <c r="K831">
        <f>pHCondMod[[#This Row],[Modification Description]]</f>
        <v>0</v>
      </c>
      <c r="L831" s="1">
        <f>NMRResults[[#This Row],[Date Run]]</f>
        <v>0</v>
      </c>
      <c r="M831" s="1">
        <f>ICPList[[#This Row],[Date Run]]</f>
        <v>0</v>
      </c>
      <c r="N831" s="1">
        <f>GCResults[[#This Row],[Date Run ]]</f>
        <v>0</v>
      </c>
    </row>
    <row r="832" spans="1:14" ht="14.45" x14ac:dyDescent="0.25">
      <c r="A832">
        <f>SampleList[[#This Row],[Experiment ID]]</f>
        <v>0</v>
      </c>
      <c r="B832">
        <f>SampleList[[#This Row],[Sample Description]]</f>
        <v>0</v>
      </c>
      <c r="C832" s="1">
        <f>SampleList[[#This Row],[Date Sampled]]</f>
        <v>0</v>
      </c>
      <c r="D832">
        <f>SampleList[[#This Row],[Duration (Days)]]</f>
        <v>0</v>
      </c>
      <c r="E832">
        <f>NMRResults[[#This Row],[Ammonium Concentration (mM)]]</f>
        <v>0</v>
      </c>
      <c r="F832" t="str">
        <f>GCResults[[#This Row],[H2 (ppm)]]</f>
        <v/>
      </c>
      <c r="G832">
        <f>GCResults[[#This Row],[Total Gas Volume (mL), gas cylinder = 3785mL]]</f>
        <v>0</v>
      </c>
      <c r="H832">
        <f>GCResults[[#This Row],[Pressure on Sampling (PSI), 145PSI=1MPa]]</f>
        <v>3552.5</v>
      </c>
      <c r="I832">
        <f>pHCondMod[[#This Row],[Sample pH]]</f>
        <v>0</v>
      </c>
      <c r="J832">
        <f>pHCondMod[[#This Row],[Sample Conductivity (mS/cm)]]</f>
        <v>0</v>
      </c>
      <c r="K832">
        <f>pHCondMod[[#This Row],[Modification Description]]</f>
        <v>0</v>
      </c>
      <c r="L832" s="1">
        <f>NMRResults[[#This Row],[Date Run]]</f>
        <v>0</v>
      </c>
      <c r="M832" s="1">
        <f>ICPList[[#This Row],[Date Run]]</f>
        <v>0</v>
      </c>
      <c r="N832" s="1">
        <f>GCResults[[#This Row],[Date Run ]]</f>
        <v>0</v>
      </c>
    </row>
    <row r="833" spans="1:14" ht="14.45" x14ac:dyDescent="0.25">
      <c r="A833">
        <f>SampleList[[#This Row],[Experiment ID]]</f>
        <v>0</v>
      </c>
      <c r="B833">
        <f>SampleList[[#This Row],[Sample Description]]</f>
        <v>0</v>
      </c>
      <c r="C833" s="1">
        <f>SampleList[[#This Row],[Date Sampled]]</f>
        <v>0</v>
      </c>
      <c r="D833">
        <f>SampleList[[#This Row],[Duration (Days)]]</f>
        <v>0</v>
      </c>
      <c r="E833">
        <f>NMRResults[[#This Row],[Ammonium Concentration (mM)]]</f>
        <v>0</v>
      </c>
      <c r="F833" t="str">
        <f>GCResults[[#This Row],[H2 (ppm)]]</f>
        <v/>
      </c>
      <c r="G833">
        <f>GCResults[[#This Row],[Total Gas Volume (mL), gas cylinder = 3785mL]]</f>
        <v>0</v>
      </c>
      <c r="H833">
        <f>GCResults[[#This Row],[Pressure on Sampling (PSI), 145PSI=1MPa]]</f>
        <v>3552.5</v>
      </c>
      <c r="I833">
        <f>pHCondMod[[#This Row],[Sample pH]]</f>
        <v>0</v>
      </c>
      <c r="J833">
        <f>pHCondMod[[#This Row],[Sample Conductivity (mS/cm)]]</f>
        <v>0</v>
      </c>
      <c r="K833">
        <f>pHCondMod[[#This Row],[Modification Description]]</f>
        <v>0</v>
      </c>
      <c r="L833" s="1">
        <f>NMRResults[[#This Row],[Date Run]]</f>
        <v>0</v>
      </c>
      <c r="M833" s="1">
        <f>ICPList[[#This Row],[Date Run]]</f>
        <v>0</v>
      </c>
      <c r="N833" s="1">
        <f>GCResults[[#This Row],[Date Run ]]</f>
        <v>0</v>
      </c>
    </row>
    <row r="834" spans="1:14" ht="14.45" x14ac:dyDescent="0.25">
      <c r="A834">
        <f>SampleList[[#This Row],[Experiment ID]]</f>
        <v>0</v>
      </c>
      <c r="B834">
        <f>SampleList[[#This Row],[Sample Description]]</f>
        <v>0</v>
      </c>
      <c r="C834" s="1">
        <f>SampleList[[#This Row],[Date Sampled]]</f>
        <v>0</v>
      </c>
      <c r="D834">
        <f>SampleList[[#This Row],[Duration (Days)]]</f>
        <v>0</v>
      </c>
      <c r="E834">
        <f>NMRResults[[#This Row],[Ammonium Concentration (mM)]]</f>
        <v>0</v>
      </c>
      <c r="F834" t="str">
        <f>GCResults[[#This Row],[H2 (ppm)]]</f>
        <v/>
      </c>
      <c r="G834">
        <f>GCResults[[#This Row],[Total Gas Volume (mL), gas cylinder = 3785mL]]</f>
        <v>0</v>
      </c>
      <c r="H834">
        <f>GCResults[[#This Row],[Pressure on Sampling (PSI), 145PSI=1MPa]]</f>
        <v>3552.5</v>
      </c>
      <c r="I834">
        <f>pHCondMod[[#This Row],[Sample pH]]</f>
        <v>0</v>
      </c>
      <c r="J834">
        <f>pHCondMod[[#This Row],[Sample Conductivity (mS/cm)]]</f>
        <v>0</v>
      </c>
      <c r="K834">
        <f>pHCondMod[[#This Row],[Modification Description]]</f>
        <v>0</v>
      </c>
      <c r="L834" s="1">
        <f>NMRResults[[#This Row],[Date Run]]</f>
        <v>0</v>
      </c>
      <c r="M834" s="1">
        <f>ICPList[[#This Row],[Date Run]]</f>
        <v>0</v>
      </c>
      <c r="N834" s="1">
        <f>GCResults[[#This Row],[Date Run ]]</f>
        <v>0</v>
      </c>
    </row>
    <row r="835" spans="1:14" ht="14.45" x14ac:dyDescent="0.25">
      <c r="A835">
        <f>SampleList[[#This Row],[Experiment ID]]</f>
        <v>0</v>
      </c>
      <c r="B835">
        <f>SampleList[[#This Row],[Sample Description]]</f>
        <v>0</v>
      </c>
      <c r="C835" s="1">
        <f>SampleList[[#This Row],[Date Sampled]]</f>
        <v>0</v>
      </c>
      <c r="D835">
        <f>SampleList[[#This Row],[Duration (Days)]]</f>
        <v>0</v>
      </c>
      <c r="E835">
        <f>NMRResults[[#This Row],[Ammonium Concentration (mM)]]</f>
        <v>0</v>
      </c>
      <c r="F835" t="str">
        <f>GCResults[[#This Row],[H2 (ppm)]]</f>
        <v/>
      </c>
      <c r="G835">
        <f>GCResults[[#This Row],[Total Gas Volume (mL), gas cylinder = 3785mL]]</f>
        <v>0</v>
      </c>
      <c r="H835">
        <f>GCResults[[#This Row],[Pressure on Sampling (PSI), 145PSI=1MPa]]</f>
        <v>3552.5</v>
      </c>
      <c r="I835">
        <f>pHCondMod[[#This Row],[Sample pH]]</f>
        <v>0</v>
      </c>
      <c r="J835">
        <f>pHCondMod[[#This Row],[Sample Conductivity (mS/cm)]]</f>
        <v>0</v>
      </c>
      <c r="K835">
        <f>pHCondMod[[#This Row],[Modification Description]]</f>
        <v>0</v>
      </c>
      <c r="L835" s="1">
        <f>NMRResults[[#This Row],[Date Run]]</f>
        <v>0</v>
      </c>
      <c r="M835" s="1">
        <f>ICPList[[#This Row],[Date Run]]</f>
        <v>0</v>
      </c>
      <c r="N835" s="1">
        <f>GCResults[[#This Row],[Date Run ]]</f>
        <v>0</v>
      </c>
    </row>
    <row r="836" spans="1:14" ht="14.45" x14ac:dyDescent="0.25">
      <c r="A836">
        <f>SampleList[[#This Row],[Experiment ID]]</f>
        <v>0</v>
      </c>
      <c r="B836">
        <f>SampleList[[#This Row],[Sample Description]]</f>
        <v>0</v>
      </c>
      <c r="C836" s="1">
        <f>SampleList[[#This Row],[Date Sampled]]</f>
        <v>0</v>
      </c>
      <c r="D836">
        <f>SampleList[[#This Row],[Duration (Days)]]</f>
        <v>0</v>
      </c>
      <c r="E836">
        <f>NMRResults[[#This Row],[Ammonium Concentration (mM)]]</f>
        <v>0</v>
      </c>
      <c r="F836" t="str">
        <f>GCResults[[#This Row],[H2 (ppm)]]</f>
        <v/>
      </c>
      <c r="G836">
        <f>GCResults[[#This Row],[Total Gas Volume (mL), gas cylinder = 3785mL]]</f>
        <v>0</v>
      </c>
      <c r="H836">
        <f>GCResults[[#This Row],[Pressure on Sampling (PSI), 145PSI=1MPa]]</f>
        <v>3552.5</v>
      </c>
      <c r="I836">
        <f>pHCondMod[[#This Row],[Sample pH]]</f>
        <v>0</v>
      </c>
      <c r="J836">
        <f>pHCondMod[[#This Row],[Sample Conductivity (mS/cm)]]</f>
        <v>0</v>
      </c>
      <c r="K836">
        <f>pHCondMod[[#This Row],[Modification Description]]</f>
        <v>0</v>
      </c>
      <c r="L836" s="1">
        <f>NMRResults[[#This Row],[Date Run]]</f>
        <v>0</v>
      </c>
      <c r="M836" s="1">
        <f>ICPList[[#This Row],[Date Run]]</f>
        <v>0</v>
      </c>
      <c r="N836" s="1">
        <f>GCResults[[#This Row],[Date Run ]]</f>
        <v>0</v>
      </c>
    </row>
    <row r="837" spans="1:14" ht="14.45" x14ac:dyDescent="0.25">
      <c r="A837">
        <f>SampleList[[#This Row],[Experiment ID]]</f>
        <v>0</v>
      </c>
      <c r="B837">
        <f>SampleList[[#This Row],[Sample Description]]</f>
        <v>0</v>
      </c>
      <c r="C837" s="1">
        <f>SampleList[[#This Row],[Date Sampled]]</f>
        <v>0</v>
      </c>
      <c r="D837">
        <f>SampleList[[#This Row],[Duration (Days)]]</f>
        <v>0</v>
      </c>
      <c r="E837">
        <f>NMRResults[[#This Row],[Ammonium Concentration (mM)]]</f>
        <v>0</v>
      </c>
      <c r="F837" t="str">
        <f>GCResults[[#This Row],[H2 (ppm)]]</f>
        <v/>
      </c>
      <c r="G837">
        <f>GCResults[[#This Row],[Total Gas Volume (mL), gas cylinder = 3785mL]]</f>
        <v>0</v>
      </c>
      <c r="H837">
        <f>GCResults[[#This Row],[Pressure on Sampling (PSI), 145PSI=1MPa]]</f>
        <v>3552.5</v>
      </c>
      <c r="I837">
        <f>pHCondMod[[#This Row],[Sample pH]]</f>
        <v>0</v>
      </c>
      <c r="J837">
        <f>pHCondMod[[#This Row],[Sample Conductivity (mS/cm)]]</f>
        <v>0</v>
      </c>
      <c r="K837">
        <f>pHCondMod[[#This Row],[Modification Description]]</f>
        <v>0</v>
      </c>
      <c r="L837" s="1">
        <f>NMRResults[[#This Row],[Date Run]]</f>
        <v>0</v>
      </c>
      <c r="M837" s="1">
        <f>ICPList[[#This Row],[Date Run]]</f>
        <v>0</v>
      </c>
      <c r="N837" s="1">
        <f>GCResults[[#This Row],[Date Run ]]</f>
        <v>0</v>
      </c>
    </row>
    <row r="838" spans="1:14" ht="14.45" x14ac:dyDescent="0.25">
      <c r="A838">
        <f>SampleList[[#This Row],[Experiment ID]]</f>
        <v>0</v>
      </c>
      <c r="B838">
        <f>SampleList[[#This Row],[Sample Description]]</f>
        <v>0</v>
      </c>
      <c r="C838" s="1">
        <f>SampleList[[#This Row],[Date Sampled]]</f>
        <v>0</v>
      </c>
      <c r="D838">
        <f>SampleList[[#This Row],[Duration (Days)]]</f>
        <v>0</v>
      </c>
      <c r="E838">
        <f>NMRResults[[#This Row],[Ammonium Concentration (mM)]]</f>
        <v>0</v>
      </c>
      <c r="F838" t="str">
        <f>GCResults[[#This Row],[H2 (ppm)]]</f>
        <v/>
      </c>
      <c r="G838">
        <f>GCResults[[#This Row],[Total Gas Volume (mL), gas cylinder = 3785mL]]</f>
        <v>0</v>
      </c>
      <c r="H838">
        <f>GCResults[[#This Row],[Pressure on Sampling (PSI), 145PSI=1MPa]]</f>
        <v>3552.5</v>
      </c>
      <c r="I838">
        <f>pHCondMod[[#This Row],[Sample pH]]</f>
        <v>0</v>
      </c>
      <c r="J838">
        <f>pHCondMod[[#This Row],[Sample Conductivity (mS/cm)]]</f>
        <v>0</v>
      </c>
      <c r="K838">
        <f>pHCondMod[[#This Row],[Modification Description]]</f>
        <v>0</v>
      </c>
      <c r="L838" s="1">
        <f>NMRResults[[#This Row],[Date Run]]</f>
        <v>0</v>
      </c>
      <c r="M838" s="1">
        <f>ICPList[[#This Row],[Date Run]]</f>
        <v>0</v>
      </c>
      <c r="N838" s="1">
        <f>GCResults[[#This Row],[Date Run ]]</f>
        <v>0</v>
      </c>
    </row>
    <row r="839" spans="1:14" ht="14.45" x14ac:dyDescent="0.25">
      <c r="A839">
        <f>SampleList[[#This Row],[Experiment ID]]</f>
        <v>0</v>
      </c>
      <c r="B839">
        <f>SampleList[[#This Row],[Sample Description]]</f>
        <v>0</v>
      </c>
      <c r="C839" s="1">
        <f>SampleList[[#This Row],[Date Sampled]]</f>
        <v>0</v>
      </c>
      <c r="D839">
        <f>SampleList[[#This Row],[Duration (Days)]]</f>
        <v>0</v>
      </c>
      <c r="E839">
        <f>NMRResults[[#This Row],[Ammonium Concentration (mM)]]</f>
        <v>0</v>
      </c>
      <c r="F839" t="str">
        <f>GCResults[[#This Row],[H2 (ppm)]]</f>
        <v/>
      </c>
      <c r="G839">
        <f>GCResults[[#This Row],[Total Gas Volume (mL), gas cylinder = 3785mL]]</f>
        <v>0</v>
      </c>
      <c r="H839">
        <f>GCResults[[#This Row],[Pressure on Sampling (PSI), 145PSI=1MPa]]</f>
        <v>3552.5</v>
      </c>
      <c r="I839">
        <f>pHCondMod[[#This Row],[Sample pH]]</f>
        <v>0</v>
      </c>
      <c r="J839">
        <f>pHCondMod[[#This Row],[Sample Conductivity (mS/cm)]]</f>
        <v>0</v>
      </c>
      <c r="K839">
        <f>pHCondMod[[#This Row],[Modification Description]]</f>
        <v>0</v>
      </c>
      <c r="L839" s="1">
        <f>NMRResults[[#This Row],[Date Run]]</f>
        <v>0</v>
      </c>
      <c r="M839" s="1">
        <f>ICPList[[#This Row],[Date Run]]</f>
        <v>0</v>
      </c>
      <c r="N839" s="1">
        <f>GCResults[[#This Row],[Date Run ]]</f>
        <v>0</v>
      </c>
    </row>
    <row r="840" spans="1:14" ht="14.45" x14ac:dyDescent="0.25">
      <c r="A840">
        <f>SampleList[[#This Row],[Experiment ID]]</f>
        <v>0</v>
      </c>
      <c r="B840">
        <f>SampleList[[#This Row],[Sample Description]]</f>
        <v>0</v>
      </c>
      <c r="C840" s="1">
        <f>SampleList[[#This Row],[Date Sampled]]</f>
        <v>0</v>
      </c>
      <c r="D840">
        <f>SampleList[[#This Row],[Duration (Days)]]</f>
        <v>0</v>
      </c>
      <c r="E840">
        <f>NMRResults[[#This Row],[Ammonium Concentration (mM)]]</f>
        <v>0</v>
      </c>
      <c r="F840" t="str">
        <f>GCResults[[#This Row],[H2 (ppm)]]</f>
        <v/>
      </c>
      <c r="G840">
        <f>GCResults[[#This Row],[Total Gas Volume (mL), gas cylinder = 3785mL]]</f>
        <v>0</v>
      </c>
      <c r="H840">
        <f>GCResults[[#This Row],[Pressure on Sampling (PSI), 145PSI=1MPa]]</f>
        <v>3552.5</v>
      </c>
      <c r="I840">
        <f>pHCondMod[[#This Row],[Sample pH]]</f>
        <v>0</v>
      </c>
      <c r="J840">
        <f>pHCondMod[[#This Row],[Sample Conductivity (mS/cm)]]</f>
        <v>0</v>
      </c>
      <c r="K840">
        <f>pHCondMod[[#This Row],[Modification Description]]</f>
        <v>0</v>
      </c>
      <c r="L840" s="1">
        <f>NMRResults[[#This Row],[Date Run]]</f>
        <v>0</v>
      </c>
      <c r="M840" s="1">
        <f>ICPList[[#This Row],[Date Run]]</f>
        <v>0</v>
      </c>
      <c r="N840" s="1">
        <f>GCResults[[#This Row],[Date Run ]]</f>
        <v>0</v>
      </c>
    </row>
    <row r="841" spans="1:14" ht="14.45" x14ac:dyDescent="0.25">
      <c r="A841">
        <f>SampleList[[#This Row],[Experiment ID]]</f>
        <v>0</v>
      </c>
      <c r="B841">
        <f>SampleList[[#This Row],[Sample Description]]</f>
        <v>0</v>
      </c>
      <c r="C841" s="1">
        <f>SampleList[[#This Row],[Date Sampled]]</f>
        <v>0</v>
      </c>
      <c r="D841">
        <f>SampleList[[#This Row],[Duration (Days)]]</f>
        <v>0</v>
      </c>
      <c r="E841">
        <f>NMRResults[[#This Row],[Ammonium Concentration (mM)]]</f>
        <v>0</v>
      </c>
      <c r="F841" t="str">
        <f>GCResults[[#This Row],[H2 (ppm)]]</f>
        <v/>
      </c>
      <c r="G841">
        <f>GCResults[[#This Row],[Total Gas Volume (mL), gas cylinder = 3785mL]]</f>
        <v>0</v>
      </c>
      <c r="H841">
        <f>GCResults[[#This Row],[Pressure on Sampling (PSI), 145PSI=1MPa]]</f>
        <v>3552.5</v>
      </c>
      <c r="I841">
        <f>pHCondMod[[#This Row],[Sample pH]]</f>
        <v>0</v>
      </c>
      <c r="J841">
        <f>pHCondMod[[#This Row],[Sample Conductivity (mS/cm)]]</f>
        <v>0</v>
      </c>
      <c r="K841">
        <f>pHCondMod[[#This Row],[Modification Description]]</f>
        <v>0</v>
      </c>
      <c r="L841" s="1">
        <f>NMRResults[[#This Row],[Date Run]]</f>
        <v>0</v>
      </c>
      <c r="M841" s="1">
        <f>ICPList[[#This Row],[Date Run]]</f>
        <v>0</v>
      </c>
      <c r="N841" s="1">
        <f>GCResults[[#This Row],[Date Run ]]</f>
        <v>0</v>
      </c>
    </row>
    <row r="842" spans="1:14" ht="14.45" x14ac:dyDescent="0.25">
      <c r="A842">
        <f>SampleList[[#This Row],[Experiment ID]]</f>
        <v>0</v>
      </c>
      <c r="B842">
        <f>SampleList[[#This Row],[Sample Description]]</f>
        <v>0</v>
      </c>
      <c r="C842" s="1">
        <f>SampleList[[#This Row],[Date Sampled]]</f>
        <v>0</v>
      </c>
      <c r="D842">
        <f>SampleList[[#This Row],[Duration (Days)]]</f>
        <v>0</v>
      </c>
      <c r="E842">
        <f>NMRResults[[#This Row],[Ammonium Concentration (mM)]]</f>
        <v>0</v>
      </c>
      <c r="F842" t="str">
        <f>GCResults[[#This Row],[H2 (ppm)]]</f>
        <v/>
      </c>
      <c r="G842">
        <f>GCResults[[#This Row],[Total Gas Volume (mL), gas cylinder = 3785mL]]</f>
        <v>0</v>
      </c>
      <c r="H842">
        <f>GCResults[[#This Row],[Pressure on Sampling (PSI), 145PSI=1MPa]]</f>
        <v>3552.5</v>
      </c>
      <c r="I842">
        <f>pHCondMod[[#This Row],[Sample pH]]</f>
        <v>0</v>
      </c>
      <c r="J842">
        <f>pHCondMod[[#This Row],[Sample Conductivity (mS/cm)]]</f>
        <v>0</v>
      </c>
      <c r="K842">
        <f>pHCondMod[[#This Row],[Modification Description]]</f>
        <v>0</v>
      </c>
      <c r="L842" s="1">
        <f>NMRResults[[#This Row],[Date Run]]</f>
        <v>0</v>
      </c>
      <c r="M842" s="1">
        <f>ICPList[[#This Row],[Date Run]]</f>
        <v>0</v>
      </c>
      <c r="N842" s="1">
        <f>GCResults[[#This Row],[Date Run ]]</f>
        <v>0</v>
      </c>
    </row>
    <row r="843" spans="1:14" ht="14.45" x14ac:dyDescent="0.25">
      <c r="A843">
        <f>SampleList[[#This Row],[Experiment ID]]</f>
        <v>0</v>
      </c>
      <c r="B843">
        <f>SampleList[[#This Row],[Sample Description]]</f>
        <v>0</v>
      </c>
      <c r="C843" s="1">
        <f>SampleList[[#This Row],[Date Sampled]]</f>
        <v>0</v>
      </c>
      <c r="D843">
        <f>SampleList[[#This Row],[Duration (Days)]]</f>
        <v>0</v>
      </c>
      <c r="E843">
        <f>NMRResults[[#This Row],[Ammonium Concentration (mM)]]</f>
        <v>0</v>
      </c>
      <c r="F843" t="str">
        <f>GCResults[[#This Row],[H2 (ppm)]]</f>
        <v/>
      </c>
      <c r="G843">
        <f>GCResults[[#This Row],[Total Gas Volume (mL), gas cylinder = 3785mL]]</f>
        <v>0</v>
      </c>
      <c r="H843">
        <f>GCResults[[#This Row],[Pressure on Sampling (PSI), 145PSI=1MPa]]</f>
        <v>3552.5</v>
      </c>
      <c r="I843">
        <f>pHCondMod[[#This Row],[Sample pH]]</f>
        <v>0</v>
      </c>
      <c r="J843">
        <f>pHCondMod[[#This Row],[Sample Conductivity (mS/cm)]]</f>
        <v>0</v>
      </c>
      <c r="K843">
        <f>pHCondMod[[#This Row],[Modification Description]]</f>
        <v>0</v>
      </c>
      <c r="L843" s="1">
        <f>NMRResults[[#This Row],[Date Run]]</f>
        <v>0</v>
      </c>
      <c r="M843" s="1">
        <f>ICPList[[#This Row],[Date Run]]</f>
        <v>0</v>
      </c>
      <c r="N843" s="1">
        <f>GCResults[[#This Row],[Date Run ]]</f>
        <v>0</v>
      </c>
    </row>
    <row r="844" spans="1:14" ht="14.45" x14ac:dyDescent="0.25">
      <c r="A844">
        <f>SampleList[[#This Row],[Experiment ID]]</f>
        <v>0</v>
      </c>
      <c r="B844">
        <f>SampleList[[#This Row],[Sample Description]]</f>
        <v>0</v>
      </c>
      <c r="C844" s="1">
        <f>SampleList[[#This Row],[Date Sampled]]</f>
        <v>0</v>
      </c>
      <c r="D844">
        <f>SampleList[[#This Row],[Duration (Days)]]</f>
        <v>0</v>
      </c>
      <c r="E844">
        <f>NMRResults[[#This Row],[Ammonium Concentration (mM)]]</f>
        <v>0</v>
      </c>
      <c r="F844" t="str">
        <f>GCResults[[#This Row],[H2 (ppm)]]</f>
        <v/>
      </c>
      <c r="G844">
        <f>GCResults[[#This Row],[Total Gas Volume (mL), gas cylinder = 3785mL]]</f>
        <v>0</v>
      </c>
      <c r="H844">
        <f>GCResults[[#This Row],[Pressure on Sampling (PSI), 145PSI=1MPa]]</f>
        <v>3552.5</v>
      </c>
      <c r="I844">
        <f>pHCondMod[[#This Row],[Sample pH]]</f>
        <v>0</v>
      </c>
      <c r="J844">
        <f>pHCondMod[[#This Row],[Sample Conductivity (mS/cm)]]</f>
        <v>0</v>
      </c>
      <c r="K844">
        <f>pHCondMod[[#This Row],[Modification Description]]</f>
        <v>0</v>
      </c>
      <c r="L844" s="1">
        <f>NMRResults[[#This Row],[Date Run]]</f>
        <v>0</v>
      </c>
      <c r="M844" s="1">
        <f>ICPList[[#This Row],[Date Run]]</f>
        <v>0</v>
      </c>
      <c r="N844" s="1">
        <f>GCResults[[#This Row],[Date Run ]]</f>
        <v>0</v>
      </c>
    </row>
    <row r="845" spans="1:14" ht="14.45" x14ac:dyDescent="0.25">
      <c r="A845">
        <f>SampleList[[#This Row],[Experiment ID]]</f>
        <v>0</v>
      </c>
      <c r="B845">
        <f>SampleList[[#This Row],[Sample Description]]</f>
        <v>0</v>
      </c>
      <c r="C845" s="1">
        <f>SampleList[[#This Row],[Date Sampled]]</f>
        <v>0</v>
      </c>
      <c r="D845">
        <f>SampleList[[#This Row],[Duration (Days)]]</f>
        <v>0</v>
      </c>
      <c r="E845">
        <f>NMRResults[[#This Row],[Ammonium Concentration (mM)]]</f>
        <v>0</v>
      </c>
      <c r="F845" t="str">
        <f>GCResults[[#This Row],[H2 (ppm)]]</f>
        <v/>
      </c>
      <c r="G845">
        <f>GCResults[[#This Row],[Total Gas Volume (mL), gas cylinder = 3785mL]]</f>
        <v>0</v>
      </c>
      <c r="H845">
        <f>GCResults[[#This Row],[Pressure on Sampling (PSI), 145PSI=1MPa]]</f>
        <v>3552.5</v>
      </c>
      <c r="I845">
        <f>pHCondMod[[#This Row],[Sample pH]]</f>
        <v>0</v>
      </c>
      <c r="J845">
        <f>pHCondMod[[#This Row],[Sample Conductivity (mS/cm)]]</f>
        <v>0</v>
      </c>
      <c r="K845">
        <f>pHCondMod[[#This Row],[Modification Description]]</f>
        <v>0</v>
      </c>
      <c r="L845" s="1">
        <f>NMRResults[[#This Row],[Date Run]]</f>
        <v>0</v>
      </c>
      <c r="M845" s="1">
        <f>ICPList[[#This Row],[Date Run]]</f>
        <v>0</v>
      </c>
      <c r="N845" s="1">
        <f>GCResults[[#This Row],[Date Run ]]</f>
        <v>0</v>
      </c>
    </row>
    <row r="846" spans="1:14" ht="14.45" x14ac:dyDescent="0.25">
      <c r="A846">
        <f>SampleList[[#This Row],[Experiment ID]]</f>
        <v>0</v>
      </c>
      <c r="B846">
        <f>SampleList[[#This Row],[Sample Description]]</f>
        <v>0</v>
      </c>
      <c r="C846" s="1">
        <f>SampleList[[#This Row],[Date Sampled]]</f>
        <v>0</v>
      </c>
      <c r="D846">
        <f>SampleList[[#This Row],[Duration (Days)]]</f>
        <v>0</v>
      </c>
      <c r="E846">
        <f>NMRResults[[#This Row],[Ammonium Concentration (mM)]]</f>
        <v>0</v>
      </c>
      <c r="F846" t="str">
        <f>GCResults[[#This Row],[H2 (ppm)]]</f>
        <v/>
      </c>
      <c r="G846">
        <f>GCResults[[#This Row],[Total Gas Volume (mL), gas cylinder = 3785mL]]</f>
        <v>0</v>
      </c>
      <c r="H846">
        <f>GCResults[[#This Row],[Pressure on Sampling (PSI), 145PSI=1MPa]]</f>
        <v>3552.5</v>
      </c>
      <c r="I846">
        <f>pHCondMod[[#This Row],[Sample pH]]</f>
        <v>0</v>
      </c>
      <c r="J846">
        <f>pHCondMod[[#This Row],[Sample Conductivity (mS/cm)]]</f>
        <v>0</v>
      </c>
      <c r="K846">
        <f>pHCondMod[[#This Row],[Modification Description]]</f>
        <v>0</v>
      </c>
      <c r="L846" s="1">
        <f>NMRResults[[#This Row],[Date Run]]</f>
        <v>0</v>
      </c>
      <c r="M846" s="1">
        <f>ICPList[[#This Row],[Date Run]]</f>
        <v>0</v>
      </c>
      <c r="N846" s="1">
        <f>GCResults[[#This Row],[Date Run ]]</f>
        <v>0</v>
      </c>
    </row>
    <row r="847" spans="1:14" ht="14.45" x14ac:dyDescent="0.25">
      <c r="A847">
        <f>SampleList[[#This Row],[Experiment ID]]</f>
        <v>0</v>
      </c>
      <c r="B847">
        <f>SampleList[[#This Row],[Sample Description]]</f>
        <v>0</v>
      </c>
      <c r="C847" s="1">
        <f>SampleList[[#This Row],[Date Sampled]]</f>
        <v>0</v>
      </c>
      <c r="D847">
        <f>SampleList[[#This Row],[Duration (Days)]]</f>
        <v>0</v>
      </c>
      <c r="E847">
        <f>NMRResults[[#This Row],[Ammonium Concentration (mM)]]</f>
        <v>0</v>
      </c>
      <c r="F847" t="str">
        <f>GCResults[[#This Row],[H2 (ppm)]]</f>
        <v/>
      </c>
      <c r="G847">
        <f>GCResults[[#This Row],[Total Gas Volume (mL), gas cylinder = 3785mL]]</f>
        <v>0</v>
      </c>
      <c r="H847">
        <f>GCResults[[#This Row],[Pressure on Sampling (PSI), 145PSI=1MPa]]</f>
        <v>3552.5</v>
      </c>
      <c r="I847">
        <f>pHCondMod[[#This Row],[Sample pH]]</f>
        <v>0</v>
      </c>
      <c r="J847">
        <f>pHCondMod[[#This Row],[Sample Conductivity (mS/cm)]]</f>
        <v>0</v>
      </c>
      <c r="K847">
        <f>pHCondMod[[#This Row],[Modification Description]]</f>
        <v>0</v>
      </c>
      <c r="L847" s="1">
        <f>NMRResults[[#This Row],[Date Run]]</f>
        <v>0</v>
      </c>
      <c r="M847" s="1">
        <f>ICPList[[#This Row],[Date Run]]</f>
        <v>0</v>
      </c>
      <c r="N847" s="1">
        <f>GCResults[[#This Row],[Date Run ]]</f>
        <v>0</v>
      </c>
    </row>
    <row r="848" spans="1:14" ht="14.45" x14ac:dyDescent="0.25">
      <c r="A848">
        <f>SampleList[[#This Row],[Experiment ID]]</f>
        <v>0</v>
      </c>
      <c r="B848">
        <f>SampleList[[#This Row],[Sample Description]]</f>
        <v>0</v>
      </c>
      <c r="C848" s="1">
        <f>SampleList[[#This Row],[Date Sampled]]</f>
        <v>0</v>
      </c>
      <c r="D848">
        <f>SampleList[[#This Row],[Duration (Days)]]</f>
        <v>0</v>
      </c>
      <c r="E848">
        <f>NMRResults[[#This Row],[Ammonium Concentration (mM)]]</f>
        <v>0</v>
      </c>
      <c r="F848" t="str">
        <f>GCResults[[#This Row],[H2 (ppm)]]</f>
        <v/>
      </c>
      <c r="G848">
        <f>GCResults[[#This Row],[Total Gas Volume (mL), gas cylinder = 3785mL]]</f>
        <v>0</v>
      </c>
      <c r="H848">
        <f>GCResults[[#This Row],[Pressure on Sampling (PSI), 145PSI=1MPa]]</f>
        <v>3552.5</v>
      </c>
      <c r="I848">
        <f>pHCondMod[[#This Row],[Sample pH]]</f>
        <v>0</v>
      </c>
      <c r="J848">
        <f>pHCondMod[[#This Row],[Sample Conductivity (mS/cm)]]</f>
        <v>0</v>
      </c>
      <c r="K848">
        <f>pHCondMod[[#This Row],[Modification Description]]</f>
        <v>0</v>
      </c>
      <c r="L848" s="1">
        <f>NMRResults[[#This Row],[Date Run]]</f>
        <v>0</v>
      </c>
      <c r="M848" s="1">
        <f>ICPList[[#This Row],[Date Run]]</f>
        <v>0</v>
      </c>
      <c r="N848" s="1">
        <f>GCResults[[#This Row],[Date Run ]]</f>
        <v>0</v>
      </c>
    </row>
    <row r="849" spans="1:14" ht="14.45" x14ac:dyDescent="0.25">
      <c r="A849">
        <f>SampleList[[#This Row],[Experiment ID]]</f>
        <v>0</v>
      </c>
      <c r="B849">
        <f>SampleList[[#This Row],[Sample Description]]</f>
        <v>0</v>
      </c>
      <c r="C849" s="1">
        <f>SampleList[[#This Row],[Date Sampled]]</f>
        <v>0</v>
      </c>
      <c r="D849">
        <f>SampleList[[#This Row],[Duration (Days)]]</f>
        <v>0</v>
      </c>
      <c r="E849">
        <f>NMRResults[[#This Row],[Ammonium Concentration (mM)]]</f>
        <v>0</v>
      </c>
      <c r="F849" t="str">
        <f>GCResults[[#This Row],[H2 (ppm)]]</f>
        <v/>
      </c>
      <c r="G849">
        <f>GCResults[[#This Row],[Total Gas Volume (mL), gas cylinder = 3785mL]]</f>
        <v>0</v>
      </c>
      <c r="H849">
        <f>GCResults[[#This Row],[Pressure on Sampling (PSI), 145PSI=1MPa]]</f>
        <v>3552.5</v>
      </c>
      <c r="I849">
        <f>pHCondMod[[#This Row],[Sample pH]]</f>
        <v>0</v>
      </c>
      <c r="J849">
        <f>pHCondMod[[#This Row],[Sample Conductivity (mS/cm)]]</f>
        <v>0</v>
      </c>
      <c r="K849">
        <f>pHCondMod[[#This Row],[Modification Description]]</f>
        <v>0</v>
      </c>
      <c r="L849" s="1">
        <f>NMRResults[[#This Row],[Date Run]]</f>
        <v>0</v>
      </c>
      <c r="M849" s="1">
        <f>ICPList[[#This Row],[Date Run]]</f>
        <v>0</v>
      </c>
      <c r="N849" s="1">
        <f>GCResults[[#This Row],[Date Run ]]</f>
        <v>0</v>
      </c>
    </row>
    <row r="850" spans="1:14" ht="14.45" x14ac:dyDescent="0.25">
      <c r="A850">
        <f>SampleList[[#This Row],[Experiment ID]]</f>
        <v>0</v>
      </c>
      <c r="B850">
        <f>SampleList[[#This Row],[Sample Description]]</f>
        <v>0</v>
      </c>
      <c r="C850" s="1">
        <f>SampleList[[#This Row],[Date Sampled]]</f>
        <v>0</v>
      </c>
      <c r="D850">
        <f>SampleList[[#This Row],[Duration (Days)]]</f>
        <v>0</v>
      </c>
      <c r="E850">
        <f>NMRResults[[#This Row],[Ammonium Concentration (mM)]]</f>
        <v>0</v>
      </c>
      <c r="F850" t="str">
        <f>GCResults[[#This Row],[H2 (ppm)]]</f>
        <v/>
      </c>
      <c r="G850">
        <f>GCResults[[#This Row],[Total Gas Volume (mL), gas cylinder = 3785mL]]</f>
        <v>0</v>
      </c>
      <c r="H850">
        <f>GCResults[[#This Row],[Pressure on Sampling (PSI), 145PSI=1MPa]]</f>
        <v>3552.5</v>
      </c>
      <c r="I850">
        <f>pHCondMod[[#This Row],[Sample pH]]</f>
        <v>0</v>
      </c>
      <c r="J850">
        <f>pHCondMod[[#This Row],[Sample Conductivity (mS/cm)]]</f>
        <v>0</v>
      </c>
      <c r="K850">
        <f>pHCondMod[[#This Row],[Modification Description]]</f>
        <v>0</v>
      </c>
      <c r="L850" s="1">
        <f>NMRResults[[#This Row],[Date Run]]</f>
        <v>0</v>
      </c>
      <c r="M850" s="1">
        <f>ICPList[[#This Row],[Date Run]]</f>
        <v>0</v>
      </c>
      <c r="N850" s="1">
        <f>GCResults[[#This Row],[Date Run ]]</f>
        <v>0</v>
      </c>
    </row>
    <row r="851" spans="1:14" ht="14.45" x14ac:dyDescent="0.25">
      <c r="A851">
        <f>SampleList[[#This Row],[Experiment ID]]</f>
        <v>0</v>
      </c>
      <c r="B851">
        <f>SampleList[[#This Row],[Sample Description]]</f>
        <v>0</v>
      </c>
      <c r="C851" s="1">
        <f>SampleList[[#This Row],[Date Sampled]]</f>
        <v>0</v>
      </c>
      <c r="D851">
        <f>SampleList[[#This Row],[Duration (Days)]]</f>
        <v>0</v>
      </c>
      <c r="E851">
        <f>NMRResults[[#This Row],[Ammonium Concentration (mM)]]</f>
        <v>0</v>
      </c>
      <c r="F851" t="str">
        <f>GCResults[[#This Row],[H2 (ppm)]]</f>
        <v/>
      </c>
      <c r="G851">
        <f>GCResults[[#This Row],[Total Gas Volume (mL), gas cylinder = 3785mL]]</f>
        <v>0</v>
      </c>
      <c r="H851">
        <f>GCResults[[#This Row],[Pressure on Sampling (PSI), 145PSI=1MPa]]</f>
        <v>3552.5</v>
      </c>
      <c r="I851">
        <f>pHCondMod[[#This Row],[Sample pH]]</f>
        <v>0</v>
      </c>
      <c r="J851">
        <f>pHCondMod[[#This Row],[Sample Conductivity (mS/cm)]]</f>
        <v>0</v>
      </c>
      <c r="K851">
        <f>pHCondMod[[#This Row],[Modification Description]]</f>
        <v>0</v>
      </c>
      <c r="L851" s="1">
        <f>NMRResults[[#This Row],[Date Run]]</f>
        <v>0</v>
      </c>
      <c r="M851" s="1">
        <f>ICPList[[#This Row],[Date Run]]</f>
        <v>0</v>
      </c>
      <c r="N851" s="1">
        <f>GCResults[[#This Row],[Date Run ]]</f>
        <v>0</v>
      </c>
    </row>
    <row r="852" spans="1:14" ht="14.45" x14ac:dyDescent="0.25">
      <c r="A852">
        <f>SampleList[[#This Row],[Experiment ID]]</f>
        <v>0</v>
      </c>
      <c r="B852">
        <f>SampleList[[#This Row],[Sample Description]]</f>
        <v>0</v>
      </c>
      <c r="C852" s="1">
        <f>SampleList[[#This Row],[Date Sampled]]</f>
        <v>0</v>
      </c>
      <c r="D852">
        <f>SampleList[[#This Row],[Duration (Days)]]</f>
        <v>0</v>
      </c>
      <c r="E852">
        <f>NMRResults[[#This Row],[Ammonium Concentration (mM)]]</f>
        <v>0</v>
      </c>
      <c r="F852" t="str">
        <f>GCResults[[#This Row],[H2 (ppm)]]</f>
        <v/>
      </c>
      <c r="G852">
        <f>GCResults[[#This Row],[Total Gas Volume (mL), gas cylinder = 3785mL]]</f>
        <v>0</v>
      </c>
      <c r="H852">
        <f>GCResults[[#This Row],[Pressure on Sampling (PSI), 145PSI=1MPa]]</f>
        <v>3552.5</v>
      </c>
      <c r="I852">
        <f>pHCondMod[[#This Row],[Sample pH]]</f>
        <v>0</v>
      </c>
      <c r="J852">
        <f>pHCondMod[[#This Row],[Sample Conductivity (mS/cm)]]</f>
        <v>0</v>
      </c>
      <c r="K852">
        <f>pHCondMod[[#This Row],[Modification Description]]</f>
        <v>0</v>
      </c>
      <c r="L852" s="1">
        <f>NMRResults[[#This Row],[Date Run]]</f>
        <v>0</v>
      </c>
      <c r="M852" s="1">
        <f>ICPList[[#This Row],[Date Run]]</f>
        <v>0</v>
      </c>
      <c r="N852" s="1">
        <f>GCResults[[#This Row],[Date Run ]]</f>
        <v>0</v>
      </c>
    </row>
    <row r="853" spans="1:14" ht="14.45" x14ac:dyDescent="0.25">
      <c r="A853">
        <f>SampleList[[#This Row],[Experiment ID]]</f>
        <v>0</v>
      </c>
      <c r="B853">
        <f>SampleList[[#This Row],[Sample Description]]</f>
        <v>0</v>
      </c>
      <c r="C853" s="1">
        <f>SampleList[[#This Row],[Date Sampled]]</f>
        <v>0</v>
      </c>
      <c r="D853">
        <f>SampleList[[#This Row],[Duration (Days)]]</f>
        <v>0</v>
      </c>
      <c r="E853">
        <f>NMRResults[[#This Row],[Ammonium Concentration (mM)]]</f>
        <v>0</v>
      </c>
      <c r="F853" t="str">
        <f>GCResults[[#This Row],[H2 (ppm)]]</f>
        <v/>
      </c>
      <c r="G853">
        <f>GCResults[[#This Row],[Total Gas Volume (mL), gas cylinder = 3785mL]]</f>
        <v>0</v>
      </c>
      <c r="H853">
        <f>GCResults[[#This Row],[Pressure on Sampling (PSI), 145PSI=1MPa]]</f>
        <v>3552.5</v>
      </c>
      <c r="I853">
        <f>pHCondMod[[#This Row],[Sample pH]]</f>
        <v>0</v>
      </c>
      <c r="J853">
        <f>pHCondMod[[#This Row],[Sample Conductivity (mS/cm)]]</f>
        <v>0</v>
      </c>
      <c r="K853">
        <f>pHCondMod[[#This Row],[Modification Description]]</f>
        <v>0</v>
      </c>
      <c r="L853" s="1">
        <f>NMRResults[[#This Row],[Date Run]]</f>
        <v>0</v>
      </c>
      <c r="M853" s="1">
        <f>ICPList[[#This Row],[Date Run]]</f>
        <v>0</v>
      </c>
      <c r="N853" s="1">
        <f>GCResults[[#This Row],[Date Run ]]</f>
        <v>0</v>
      </c>
    </row>
    <row r="854" spans="1:14" ht="14.45" x14ac:dyDescent="0.25">
      <c r="A854">
        <f>SampleList[[#This Row],[Experiment ID]]</f>
        <v>0</v>
      </c>
      <c r="B854">
        <f>SampleList[[#This Row],[Sample Description]]</f>
        <v>0</v>
      </c>
      <c r="C854" s="1">
        <f>SampleList[[#This Row],[Date Sampled]]</f>
        <v>0</v>
      </c>
      <c r="D854">
        <f>SampleList[[#This Row],[Duration (Days)]]</f>
        <v>0</v>
      </c>
      <c r="E854">
        <f>NMRResults[[#This Row],[Ammonium Concentration (mM)]]</f>
        <v>0</v>
      </c>
      <c r="F854" t="str">
        <f>GCResults[[#This Row],[H2 (ppm)]]</f>
        <v/>
      </c>
      <c r="G854">
        <f>GCResults[[#This Row],[Total Gas Volume (mL), gas cylinder = 3785mL]]</f>
        <v>0</v>
      </c>
      <c r="H854">
        <f>GCResults[[#This Row],[Pressure on Sampling (PSI), 145PSI=1MPa]]</f>
        <v>3552.5</v>
      </c>
      <c r="I854">
        <f>pHCondMod[[#This Row],[Sample pH]]</f>
        <v>0</v>
      </c>
      <c r="J854">
        <f>pHCondMod[[#This Row],[Sample Conductivity (mS/cm)]]</f>
        <v>0</v>
      </c>
      <c r="K854">
        <f>pHCondMod[[#This Row],[Modification Description]]</f>
        <v>0</v>
      </c>
      <c r="L854" s="1">
        <f>NMRResults[[#This Row],[Date Run]]</f>
        <v>0</v>
      </c>
      <c r="M854" s="1">
        <f>ICPList[[#This Row],[Date Run]]</f>
        <v>0</v>
      </c>
      <c r="N854" s="1">
        <f>GCResults[[#This Row],[Date Run ]]</f>
        <v>0</v>
      </c>
    </row>
    <row r="855" spans="1:14" ht="14.45" x14ac:dyDescent="0.25">
      <c r="A855">
        <f>SampleList[[#This Row],[Experiment ID]]</f>
        <v>0</v>
      </c>
      <c r="B855">
        <f>SampleList[[#This Row],[Sample Description]]</f>
        <v>0</v>
      </c>
      <c r="C855" s="1">
        <f>SampleList[[#This Row],[Date Sampled]]</f>
        <v>0</v>
      </c>
      <c r="D855">
        <f>SampleList[[#This Row],[Duration (Days)]]</f>
        <v>0</v>
      </c>
      <c r="E855">
        <f>NMRResults[[#This Row],[Ammonium Concentration (mM)]]</f>
        <v>0</v>
      </c>
      <c r="F855" t="str">
        <f>GCResults[[#This Row],[H2 (ppm)]]</f>
        <v/>
      </c>
      <c r="G855">
        <f>GCResults[[#This Row],[Total Gas Volume (mL), gas cylinder = 3785mL]]</f>
        <v>0</v>
      </c>
      <c r="H855">
        <f>GCResults[[#This Row],[Pressure on Sampling (PSI), 145PSI=1MPa]]</f>
        <v>3552.5</v>
      </c>
      <c r="I855">
        <f>pHCondMod[[#This Row],[Sample pH]]</f>
        <v>0</v>
      </c>
      <c r="J855">
        <f>pHCondMod[[#This Row],[Sample Conductivity (mS/cm)]]</f>
        <v>0</v>
      </c>
      <c r="K855">
        <f>pHCondMod[[#This Row],[Modification Description]]</f>
        <v>0</v>
      </c>
      <c r="L855" s="1">
        <f>NMRResults[[#This Row],[Date Run]]</f>
        <v>0</v>
      </c>
      <c r="M855" s="1">
        <f>ICPList[[#This Row],[Date Run]]</f>
        <v>0</v>
      </c>
      <c r="N855" s="1">
        <f>GCResults[[#This Row],[Date Run ]]</f>
        <v>0</v>
      </c>
    </row>
    <row r="856" spans="1:14" ht="14.45" x14ac:dyDescent="0.25">
      <c r="A856">
        <f>SampleList[[#This Row],[Experiment ID]]</f>
        <v>0</v>
      </c>
      <c r="B856">
        <f>SampleList[[#This Row],[Sample Description]]</f>
        <v>0</v>
      </c>
      <c r="C856" s="1">
        <f>SampleList[[#This Row],[Date Sampled]]</f>
        <v>0</v>
      </c>
      <c r="D856">
        <f>SampleList[[#This Row],[Duration (Days)]]</f>
        <v>0</v>
      </c>
      <c r="E856">
        <f>NMRResults[[#This Row],[Ammonium Concentration (mM)]]</f>
        <v>0</v>
      </c>
      <c r="F856" t="str">
        <f>GCResults[[#This Row],[H2 (ppm)]]</f>
        <v/>
      </c>
      <c r="G856">
        <f>GCResults[[#This Row],[Total Gas Volume (mL), gas cylinder = 3785mL]]</f>
        <v>0</v>
      </c>
      <c r="H856">
        <f>GCResults[[#This Row],[Pressure on Sampling (PSI), 145PSI=1MPa]]</f>
        <v>3552.5</v>
      </c>
      <c r="I856">
        <f>pHCondMod[[#This Row],[Sample pH]]</f>
        <v>0</v>
      </c>
      <c r="J856">
        <f>pHCondMod[[#This Row],[Sample Conductivity (mS/cm)]]</f>
        <v>0</v>
      </c>
      <c r="K856">
        <f>pHCondMod[[#This Row],[Modification Description]]</f>
        <v>0</v>
      </c>
      <c r="L856" s="1">
        <f>NMRResults[[#This Row],[Date Run]]</f>
        <v>0</v>
      </c>
      <c r="M856" s="1">
        <f>ICPList[[#This Row],[Date Run]]</f>
        <v>0</v>
      </c>
      <c r="N856" s="1">
        <f>GCResults[[#This Row],[Date Run ]]</f>
        <v>0</v>
      </c>
    </row>
    <row r="857" spans="1:14" ht="14.45" x14ac:dyDescent="0.25">
      <c r="A857">
        <f>SampleList[[#This Row],[Experiment ID]]</f>
        <v>0</v>
      </c>
      <c r="B857">
        <f>SampleList[[#This Row],[Sample Description]]</f>
        <v>0</v>
      </c>
      <c r="C857" s="1">
        <f>SampleList[[#This Row],[Date Sampled]]</f>
        <v>0</v>
      </c>
      <c r="D857">
        <f>SampleList[[#This Row],[Duration (Days)]]</f>
        <v>0</v>
      </c>
      <c r="E857">
        <f>NMRResults[[#This Row],[Ammonium Concentration (mM)]]</f>
        <v>0</v>
      </c>
      <c r="F857" t="str">
        <f>GCResults[[#This Row],[H2 (ppm)]]</f>
        <v/>
      </c>
      <c r="G857">
        <f>GCResults[[#This Row],[Total Gas Volume (mL), gas cylinder = 3785mL]]</f>
        <v>0</v>
      </c>
      <c r="H857">
        <f>GCResults[[#This Row],[Pressure on Sampling (PSI), 145PSI=1MPa]]</f>
        <v>3552.5</v>
      </c>
      <c r="I857">
        <f>pHCondMod[[#This Row],[Sample pH]]</f>
        <v>0</v>
      </c>
      <c r="J857">
        <f>pHCondMod[[#This Row],[Sample Conductivity (mS/cm)]]</f>
        <v>0</v>
      </c>
      <c r="K857">
        <f>pHCondMod[[#This Row],[Modification Description]]</f>
        <v>0</v>
      </c>
      <c r="L857" s="1">
        <f>NMRResults[[#This Row],[Date Run]]</f>
        <v>0</v>
      </c>
      <c r="M857" s="1">
        <f>ICPList[[#This Row],[Date Run]]</f>
        <v>0</v>
      </c>
      <c r="N857" s="1">
        <f>GCResults[[#This Row],[Date Run ]]</f>
        <v>0</v>
      </c>
    </row>
    <row r="858" spans="1:14" ht="14.45" x14ac:dyDescent="0.25">
      <c r="A858">
        <f>SampleList[[#This Row],[Experiment ID]]</f>
        <v>0</v>
      </c>
      <c r="B858">
        <f>SampleList[[#This Row],[Sample Description]]</f>
        <v>0</v>
      </c>
      <c r="C858" s="1">
        <f>SampleList[[#This Row],[Date Sampled]]</f>
        <v>0</v>
      </c>
      <c r="D858">
        <f>SampleList[[#This Row],[Duration (Days)]]</f>
        <v>0</v>
      </c>
      <c r="E858">
        <f>NMRResults[[#This Row],[Ammonium Concentration (mM)]]</f>
        <v>0</v>
      </c>
      <c r="F858" t="str">
        <f>GCResults[[#This Row],[H2 (ppm)]]</f>
        <v/>
      </c>
      <c r="G858">
        <f>GCResults[[#This Row],[Total Gas Volume (mL), gas cylinder = 3785mL]]</f>
        <v>0</v>
      </c>
      <c r="H858">
        <f>GCResults[[#This Row],[Pressure on Sampling (PSI), 145PSI=1MPa]]</f>
        <v>3552.5</v>
      </c>
      <c r="I858">
        <f>pHCondMod[[#This Row],[Sample pH]]</f>
        <v>0</v>
      </c>
      <c r="J858">
        <f>pHCondMod[[#This Row],[Sample Conductivity (mS/cm)]]</f>
        <v>0</v>
      </c>
      <c r="K858">
        <f>pHCondMod[[#This Row],[Modification Description]]</f>
        <v>0</v>
      </c>
      <c r="L858" s="1">
        <f>NMRResults[[#This Row],[Date Run]]</f>
        <v>0</v>
      </c>
      <c r="M858" s="1">
        <f>ICPList[[#This Row],[Date Run]]</f>
        <v>0</v>
      </c>
      <c r="N858" s="1">
        <f>GCResults[[#This Row],[Date Run ]]</f>
        <v>0</v>
      </c>
    </row>
    <row r="859" spans="1:14" ht="14.45" x14ac:dyDescent="0.25">
      <c r="A859">
        <f>SampleList[[#This Row],[Experiment ID]]</f>
        <v>0</v>
      </c>
      <c r="B859">
        <f>SampleList[[#This Row],[Sample Description]]</f>
        <v>0</v>
      </c>
      <c r="C859" s="1">
        <f>SampleList[[#This Row],[Date Sampled]]</f>
        <v>0</v>
      </c>
      <c r="D859">
        <f>SampleList[[#This Row],[Duration (Days)]]</f>
        <v>0</v>
      </c>
      <c r="E859">
        <f>NMRResults[[#This Row],[Ammonium Concentration (mM)]]</f>
        <v>0</v>
      </c>
      <c r="F859" t="str">
        <f>GCResults[[#This Row],[H2 (ppm)]]</f>
        <v/>
      </c>
      <c r="G859">
        <f>GCResults[[#This Row],[Total Gas Volume (mL), gas cylinder = 3785mL]]</f>
        <v>0</v>
      </c>
      <c r="H859">
        <f>GCResults[[#This Row],[Pressure on Sampling (PSI), 145PSI=1MPa]]</f>
        <v>3552.5</v>
      </c>
      <c r="I859">
        <f>pHCondMod[[#This Row],[Sample pH]]</f>
        <v>0</v>
      </c>
      <c r="J859">
        <f>pHCondMod[[#This Row],[Sample Conductivity (mS/cm)]]</f>
        <v>0</v>
      </c>
      <c r="K859">
        <f>pHCondMod[[#This Row],[Modification Description]]</f>
        <v>0</v>
      </c>
      <c r="L859" s="1">
        <f>NMRResults[[#This Row],[Date Run]]</f>
        <v>0</v>
      </c>
      <c r="M859" s="1">
        <f>ICPList[[#This Row],[Date Run]]</f>
        <v>0</v>
      </c>
      <c r="N859" s="1">
        <f>GCResults[[#This Row],[Date Run ]]</f>
        <v>0</v>
      </c>
    </row>
    <row r="860" spans="1:14" ht="14.45" x14ac:dyDescent="0.25">
      <c r="A860">
        <f>SampleList[[#This Row],[Experiment ID]]</f>
        <v>0</v>
      </c>
      <c r="B860">
        <f>SampleList[[#This Row],[Sample Description]]</f>
        <v>0</v>
      </c>
      <c r="C860" s="1">
        <f>SampleList[[#This Row],[Date Sampled]]</f>
        <v>0</v>
      </c>
      <c r="D860">
        <f>SampleList[[#This Row],[Duration (Days)]]</f>
        <v>0</v>
      </c>
      <c r="E860">
        <f>NMRResults[[#This Row],[Ammonium Concentration (mM)]]</f>
        <v>0</v>
      </c>
      <c r="F860" t="str">
        <f>GCResults[[#This Row],[H2 (ppm)]]</f>
        <v/>
      </c>
      <c r="G860">
        <f>GCResults[[#This Row],[Total Gas Volume (mL), gas cylinder = 3785mL]]</f>
        <v>0</v>
      </c>
      <c r="H860">
        <f>GCResults[[#This Row],[Pressure on Sampling (PSI), 145PSI=1MPa]]</f>
        <v>3552.5</v>
      </c>
      <c r="I860">
        <f>pHCondMod[[#This Row],[Sample pH]]</f>
        <v>0</v>
      </c>
      <c r="J860">
        <f>pHCondMod[[#This Row],[Sample Conductivity (mS/cm)]]</f>
        <v>0</v>
      </c>
      <c r="K860">
        <f>pHCondMod[[#This Row],[Modification Description]]</f>
        <v>0</v>
      </c>
      <c r="L860" s="1">
        <f>NMRResults[[#This Row],[Date Run]]</f>
        <v>0</v>
      </c>
      <c r="M860" s="1">
        <f>ICPList[[#This Row],[Date Run]]</f>
        <v>0</v>
      </c>
      <c r="N860" s="1">
        <f>GCResults[[#This Row],[Date Run ]]</f>
        <v>0</v>
      </c>
    </row>
    <row r="861" spans="1:14" ht="14.45" x14ac:dyDescent="0.25">
      <c r="A861">
        <f>SampleList[[#This Row],[Experiment ID]]</f>
        <v>0</v>
      </c>
      <c r="B861">
        <f>SampleList[[#This Row],[Sample Description]]</f>
        <v>0</v>
      </c>
      <c r="C861" s="1">
        <f>SampleList[[#This Row],[Date Sampled]]</f>
        <v>0</v>
      </c>
      <c r="D861">
        <f>SampleList[[#This Row],[Duration (Days)]]</f>
        <v>0</v>
      </c>
      <c r="E861">
        <f>NMRResults[[#This Row],[Ammonium Concentration (mM)]]</f>
        <v>0</v>
      </c>
      <c r="F861" t="str">
        <f>GCResults[[#This Row],[H2 (ppm)]]</f>
        <v/>
      </c>
      <c r="G861">
        <f>GCResults[[#This Row],[Total Gas Volume (mL), gas cylinder = 3785mL]]</f>
        <v>0</v>
      </c>
      <c r="H861">
        <f>GCResults[[#This Row],[Pressure on Sampling (PSI), 145PSI=1MPa]]</f>
        <v>3552.5</v>
      </c>
      <c r="I861">
        <f>pHCondMod[[#This Row],[Sample pH]]</f>
        <v>0</v>
      </c>
      <c r="J861">
        <f>pHCondMod[[#This Row],[Sample Conductivity (mS/cm)]]</f>
        <v>0</v>
      </c>
      <c r="K861">
        <f>pHCondMod[[#This Row],[Modification Description]]</f>
        <v>0</v>
      </c>
      <c r="L861" s="1">
        <f>NMRResults[[#This Row],[Date Run]]</f>
        <v>0</v>
      </c>
      <c r="M861" s="1">
        <f>ICPList[[#This Row],[Date Run]]</f>
        <v>0</v>
      </c>
      <c r="N861" s="1">
        <f>GCResults[[#This Row],[Date Run ]]</f>
        <v>0</v>
      </c>
    </row>
    <row r="862" spans="1:14" ht="14.45" x14ac:dyDescent="0.25">
      <c r="A862">
        <f>SampleList[[#This Row],[Experiment ID]]</f>
        <v>0</v>
      </c>
      <c r="B862">
        <f>SampleList[[#This Row],[Sample Description]]</f>
        <v>0</v>
      </c>
      <c r="C862" s="1">
        <f>SampleList[[#This Row],[Date Sampled]]</f>
        <v>0</v>
      </c>
      <c r="D862">
        <f>SampleList[[#This Row],[Duration (Days)]]</f>
        <v>0</v>
      </c>
      <c r="E862">
        <f>NMRResults[[#This Row],[Ammonium Concentration (mM)]]</f>
        <v>0</v>
      </c>
      <c r="F862" t="str">
        <f>GCResults[[#This Row],[H2 (ppm)]]</f>
        <v/>
      </c>
      <c r="G862">
        <f>GCResults[[#This Row],[Total Gas Volume (mL), gas cylinder = 3785mL]]</f>
        <v>0</v>
      </c>
      <c r="H862">
        <f>GCResults[[#This Row],[Pressure on Sampling (PSI), 145PSI=1MPa]]</f>
        <v>3552.5</v>
      </c>
      <c r="I862">
        <f>pHCondMod[[#This Row],[Sample pH]]</f>
        <v>0</v>
      </c>
      <c r="J862">
        <f>pHCondMod[[#This Row],[Sample Conductivity (mS/cm)]]</f>
        <v>0</v>
      </c>
      <c r="K862">
        <f>pHCondMod[[#This Row],[Modification Description]]</f>
        <v>0</v>
      </c>
      <c r="L862" s="1">
        <f>NMRResults[[#This Row],[Date Run]]</f>
        <v>0</v>
      </c>
      <c r="M862" s="1">
        <f>ICPList[[#This Row],[Date Run]]</f>
        <v>0</v>
      </c>
      <c r="N862" s="1">
        <f>GCResults[[#This Row],[Date Run ]]</f>
        <v>0</v>
      </c>
    </row>
    <row r="863" spans="1:14" ht="14.45" x14ac:dyDescent="0.25">
      <c r="A863">
        <f>SampleList[[#This Row],[Experiment ID]]</f>
        <v>0</v>
      </c>
      <c r="B863">
        <f>SampleList[[#This Row],[Sample Description]]</f>
        <v>0</v>
      </c>
      <c r="C863" s="1">
        <f>SampleList[[#This Row],[Date Sampled]]</f>
        <v>0</v>
      </c>
      <c r="D863">
        <f>SampleList[[#This Row],[Duration (Days)]]</f>
        <v>0</v>
      </c>
      <c r="E863">
        <f>NMRResults[[#This Row],[Ammonium Concentration (mM)]]</f>
        <v>0</v>
      </c>
      <c r="F863" t="str">
        <f>GCResults[[#This Row],[H2 (ppm)]]</f>
        <v/>
      </c>
      <c r="G863">
        <f>GCResults[[#This Row],[Total Gas Volume (mL), gas cylinder = 3785mL]]</f>
        <v>0</v>
      </c>
      <c r="H863">
        <f>GCResults[[#This Row],[Pressure on Sampling (PSI), 145PSI=1MPa]]</f>
        <v>3552.5</v>
      </c>
      <c r="I863">
        <f>pHCondMod[[#This Row],[Sample pH]]</f>
        <v>0</v>
      </c>
      <c r="J863">
        <f>pHCondMod[[#This Row],[Sample Conductivity (mS/cm)]]</f>
        <v>0</v>
      </c>
      <c r="K863">
        <f>pHCondMod[[#This Row],[Modification Description]]</f>
        <v>0</v>
      </c>
      <c r="L863" s="1">
        <f>NMRResults[[#This Row],[Date Run]]</f>
        <v>0</v>
      </c>
      <c r="M863" s="1">
        <f>ICPList[[#This Row],[Date Run]]</f>
        <v>0</v>
      </c>
      <c r="N863" s="1">
        <f>GCResults[[#This Row],[Date Run ]]</f>
        <v>0</v>
      </c>
    </row>
    <row r="864" spans="1:14" ht="14.45" x14ac:dyDescent="0.25">
      <c r="A864">
        <f>SampleList[[#This Row],[Experiment ID]]</f>
        <v>0</v>
      </c>
      <c r="B864">
        <f>SampleList[[#This Row],[Sample Description]]</f>
        <v>0</v>
      </c>
      <c r="C864" s="1">
        <f>SampleList[[#This Row],[Date Sampled]]</f>
        <v>0</v>
      </c>
      <c r="D864">
        <f>SampleList[[#This Row],[Duration (Days)]]</f>
        <v>0</v>
      </c>
      <c r="E864">
        <f>NMRResults[[#This Row],[Ammonium Concentration (mM)]]</f>
        <v>0</v>
      </c>
      <c r="F864" t="str">
        <f>GCResults[[#This Row],[H2 (ppm)]]</f>
        <v/>
      </c>
      <c r="G864">
        <f>GCResults[[#This Row],[Total Gas Volume (mL), gas cylinder = 3785mL]]</f>
        <v>0</v>
      </c>
      <c r="H864">
        <f>GCResults[[#This Row],[Pressure on Sampling (PSI), 145PSI=1MPa]]</f>
        <v>3552.5</v>
      </c>
      <c r="I864">
        <f>pHCondMod[[#This Row],[Sample pH]]</f>
        <v>0</v>
      </c>
      <c r="J864">
        <f>pHCondMod[[#This Row],[Sample Conductivity (mS/cm)]]</f>
        <v>0</v>
      </c>
      <c r="K864">
        <f>pHCondMod[[#This Row],[Modification Description]]</f>
        <v>0</v>
      </c>
      <c r="L864" s="1">
        <f>NMRResults[[#This Row],[Date Run]]</f>
        <v>0</v>
      </c>
      <c r="M864" s="1">
        <f>ICPList[[#This Row],[Date Run]]</f>
        <v>0</v>
      </c>
      <c r="N864" s="1">
        <f>GCResults[[#This Row],[Date Run ]]</f>
        <v>0</v>
      </c>
    </row>
    <row r="865" spans="1:14" ht="14.45" x14ac:dyDescent="0.25">
      <c r="A865">
        <f>SampleList[[#This Row],[Experiment ID]]</f>
        <v>0</v>
      </c>
      <c r="B865">
        <f>SampleList[[#This Row],[Sample Description]]</f>
        <v>0</v>
      </c>
      <c r="C865" s="1">
        <f>SampleList[[#This Row],[Date Sampled]]</f>
        <v>0</v>
      </c>
      <c r="D865">
        <f>SampleList[[#This Row],[Duration (Days)]]</f>
        <v>0</v>
      </c>
      <c r="E865">
        <f>NMRResults[[#This Row],[Ammonium Concentration (mM)]]</f>
        <v>0</v>
      </c>
      <c r="F865" t="str">
        <f>GCResults[[#This Row],[H2 (ppm)]]</f>
        <v/>
      </c>
      <c r="G865">
        <f>GCResults[[#This Row],[Total Gas Volume (mL), gas cylinder = 3785mL]]</f>
        <v>0</v>
      </c>
      <c r="H865">
        <f>GCResults[[#This Row],[Pressure on Sampling (PSI), 145PSI=1MPa]]</f>
        <v>3552.5</v>
      </c>
      <c r="I865">
        <f>pHCondMod[[#This Row],[Sample pH]]</f>
        <v>0</v>
      </c>
      <c r="J865">
        <f>pHCondMod[[#This Row],[Sample Conductivity (mS/cm)]]</f>
        <v>0</v>
      </c>
      <c r="K865">
        <f>pHCondMod[[#This Row],[Modification Description]]</f>
        <v>0</v>
      </c>
      <c r="L865" s="1">
        <f>NMRResults[[#This Row],[Date Run]]</f>
        <v>0</v>
      </c>
      <c r="M865" s="1">
        <f>ICPList[[#This Row],[Date Run]]</f>
        <v>0</v>
      </c>
      <c r="N865" s="1">
        <f>GCResults[[#This Row],[Date Run ]]</f>
        <v>0</v>
      </c>
    </row>
    <row r="866" spans="1:14" ht="14.45" x14ac:dyDescent="0.25">
      <c r="A866">
        <f>SampleList[[#This Row],[Experiment ID]]</f>
        <v>0</v>
      </c>
      <c r="B866">
        <f>SampleList[[#This Row],[Sample Description]]</f>
        <v>0</v>
      </c>
      <c r="C866" s="1">
        <f>SampleList[[#This Row],[Date Sampled]]</f>
        <v>0</v>
      </c>
      <c r="D866">
        <f>SampleList[[#This Row],[Duration (Days)]]</f>
        <v>0</v>
      </c>
      <c r="E866">
        <f>NMRResults[[#This Row],[Ammonium Concentration (mM)]]</f>
        <v>0</v>
      </c>
      <c r="F866" t="str">
        <f>GCResults[[#This Row],[H2 (ppm)]]</f>
        <v/>
      </c>
      <c r="G866">
        <f>GCResults[[#This Row],[Total Gas Volume (mL), gas cylinder = 3785mL]]</f>
        <v>0</v>
      </c>
      <c r="H866">
        <f>GCResults[[#This Row],[Pressure on Sampling (PSI), 145PSI=1MPa]]</f>
        <v>3552.5</v>
      </c>
      <c r="I866">
        <f>pHCondMod[[#This Row],[Sample pH]]</f>
        <v>0</v>
      </c>
      <c r="J866">
        <f>pHCondMod[[#This Row],[Sample Conductivity (mS/cm)]]</f>
        <v>0</v>
      </c>
      <c r="K866">
        <f>pHCondMod[[#This Row],[Modification Description]]</f>
        <v>0</v>
      </c>
      <c r="L866" s="1">
        <f>NMRResults[[#This Row],[Date Run]]</f>
        <v>0</v>
      </c>
      <c r="M866" s="1">
        <f>ICPList[[#This Row],[Date Run]]</f>
        <v>0</v>
      </c>
      <c r="N866" s="1">
        <f>GCResults[[#This Row],[Date Run ]]</f>
        <v>0</v>
      </c>
    </row>
    <row r="867" spans="1:14" ht="14.45" x14ac:dyDescent="0.25">
      <c r="A867">
        <f>SampleList[[#This Row],[Experiment ID]]</f>
        <v>0</v>
      </c>
      <c r="B867">
        <f>SampleList[[#This Row],[Sample Description]]</f>
        <v>0</v>
      </c>
      <c r="C867" s="1">
        <f>SampleList[[#This Row],[Date Sampled]]</f>
        <v>0</v>
      </c>
      <c r="D867">
        <f>SampleList[[#This Row],[Duration (Days)]]</f>
        <v>0</v>
      </c>
      <c r="E867">
        <f>NMRResults[[#This Row],[Ammonium Concentration (mM)]]</f>
        <v>0</v>
      </c>
      <c r="F867" t="str">
        <f>GCResults[[#This Row],[H2 (ppm)]]</f>
        <v/>
      </c>
      <c r="G867">
        <f>GCResults[[#This Row],[Total Gas Volume (mL), gas cylinder = 3785mL]]</f>
        <v>0</v>
      </c>
      <c r="H867">
        <f>GCResults[[#This Row],[Pressure on Sampling (PSI), 145PSI=1MPa]]</f>
        <v>3552.5</v>
      </c>
      <c r="I867">
        <f>pHCondMod[[#This Row],[Sample pH]]</f>
        <v>0</v>
      </c>
      <c r="J867">
        <f>pHCondMod[[#This Row],[Sample Conductivity (mS/cm)]]</f>
        <v>0</v>
      </c>
      <c r="K867">
        <f>pHCondMod[[#This Row],[Modification Description]]</f>
        <v>0</v>
      </c>
      <c r="L867" s="1">
        <f>NMRResults[[#This Row],[Date Run]]</f>
        <v>0</v>
      </c>
      <c r="M867" s="1">
        <f>ICPList[[#This Row],[Date Run]]</f>
        <v>0</v>
      </c>
      <c r="N867" s="1">
        <f>GCResults[[#This Row],[Date Run ]]</f>
        <v>0</v>
      </c>
    </row>
    <row r="868" spans="1:14" ht="14.45" x14ac:dyDescent="0.25">
      <c r="A868">
        <f>SampleList[[#This Row],[Experiment ID]]</f>
        <v>0</v>
      </c>
      <c r="B868">
        <f>SampleList[[#This Row],[Sample Description]]</f>
        <v>0</v>
      </c>
      <c r="C868" s="1">
        <f>SampleList[[#This Row],[Date Sampled]]</f>
        <v>0</v>
      </c>
      <c r="D868">
        <f>SampleList[[#This Row],[Duration (Days)]]</f>
        <v>0</v>
      </c>
      <c r="E868">
        <f>NMRResults[[#This Row],[Ammonium Concentration (mM)]]</f>
        <v>0</v>
      </c>
      <c r="F868" t="str">
        <f>GCResults[[#This Row],[H2 (ppm)]]</f>
        <v/>
      </c>
      <c r="G868">
        <f>GCResults[[#This Row],[Total Gas Volume (mL), gas cylinder = 3785mL]]</f>
        <v>0</v>
      </c>
      <c r="H868">
        <f>GCResults[[#This Row],[Pressure on Sampling (PSI), 145PSI=1MPa]]</f>
        <v>3552.5</v>
      </c>
      <c r="I868">
        <f>pHCondMod[[#This Row],[Sample pH]]</f>
        <v>0</v>
      </c>
      <c r="J868">
        <f>pHCondMod[[#This Row],[Sample Conductivity (mS/cm)]]</f>
        <v>0</v>
      </c>
      <c r="K868">
        <f>pHCondMod[[#This Row],[Modification Description]]</f>
        <v>0</v>
      </c>
      <c r="L868" s="1">
        <f>NMRResults[[#This Row],[Date Run]]</f>
        <v>0</v>
      </c>
      <c r="M868" s="1">
        <f>ICPList[[#This Row],[Date Run]]</f>
        <v>0</v>
      </c>
      <c r="N868" s="1">
        <f>GCResults[[#This Row],[Date Run ]]</f>
        <v>0</v>
      </c>
    </row>
    <row r="869" spans="1:14" ht="14.45" x14ac:dyDescent="0.25">
      <c r="A869">
        <f>SampleList[[#This Row],[Experiment ID]]</f>
        <v>0</v>
      </c>
      <c r="B869">
        <f>SampleList[[#This Row],[Sample Description]]</f>
        <v>0</v>
      </c>
      <c r="C869" s="1">
        <f>SampleList[[#This Row],[Date Sampled]]</f>
        <v>0</v>
      </c>
      <c r="D869">
        <f>SampleList[[#This Row],[Duration (Days)]]</f>
        <v>0</v>
      </c>
      <c r="E869">
        <f>NMRResults[[#This Row],[Ammonium Concentration (mM)]]</f>
        <v>0</v>
      </c>
      <c r="F869" t="str">
        <f>GCResults[[#This Row],[H2 (ppm)]]</f>
        <v/>
      </c>
      <c r="G869">
        <f>GCResults[[#This Row],[Total Gas Volume (mL), gas cylinder = 3785mL]]</f>
        <v>0</v>
      </c>
      <c r="H869">
        <f>GCResults[[#This Row],[Pressure on Sampling (PSI), 145PSI=1MPa]]</f>
        <v>3552.5</v>
      </c>
      <c r="I869">
        <f>pHCondMod[[#This Row],[Sample pH]]</f>
        <v>0</v>
      </c>
      <c r="J869">
        <f>pHCondMod[[#This Row],[Sample Conductivity (mS/cm)]]</f>
        <v>0</v>
      </c>
      <c r="K869">
        <f>pHCondMod[[#This Row],[Modification Description]]</f>
        <v>0</v>
      </c>
      <c r="L869" s="1">
        <f>NMRResults[[#This Row],[Date Run]]</f>
        <v>0</v>
      </c>
      <c r="M869" s="1">
        <f>ICPList[[#This Row],[Date Run]]</f>
        <v>0</v>
      </c>
      <c r="N869" s="1">
        <f>GCResults[[#This Row],[Date Run ]]</f>
        <v>0</v>
      </c>
    </row>
    <row r="870" spans="1:14" ht="14.45" x14ac:dyDescent="0.25">
      <c r="A870">
        <f>SampleList[[#This Row],[Experiment ID]]</f>
        <v>0</v>
      </c>
      <c r="B870">
        <f>SampleList[[#This Row],[Sample Description]]</f>
        <v>0</v>
      </c>
      <c r="C870" s="1">
        <f>SampleList[[#This Row],[Date Sampled]]</f>
        <v>0</v>
      </c>
      <c r="D870">
        <f>SampleList[[#This Row],[Duration (Days)]]</f>
        <v>0</v>
      </c>
      <c r="E870">
        <f>NMRResults[[#This Row],[Ammonium Concentration (mM)]]</f>
        <v>0</v>
      </c>
      <c r="F870" t="str">
        <f>GCResults[[#This Row],[H2 (ppm)]]</f>
        <v/>
      </c>
      <c r="G870">
        <f>GCResults[[#This Row],[Total Gas Volume (mL), gas cylinder = 3785mL]]</f>
        <v>0</v>
      </c>
      <c r="H870">
        <f>GCResults[[#This Row],[Pressure on Sampling (PSI), 145PSI=1MPa]]</f>
        <v>3552.5</v>
      </c>
      <c r="I870">
        <f>pHCondMod[[#This Row],[Sample pH]]</f>
        <v>0</v>
      </c>
      <c r="J870">
        <f>pHCondMod[[#This Row],[Sample Conductivity (mS/cm)]]</f>
        <v>0</v>
      </c>
      <c r="K870">
        <f>pHCondMod[[#This Row],[Modification Description]]</f>
        <v>0</v>
      </c>
      <c r="L870" s="1">
        <f>NMRResults[[#This Row],[Date Run]]</f>
        <v>0</v>
      </c>
      <c r="M870" s="1">
        <f>ICPList[[#This Row],[Date Run]]</f>
        <v>0</v>
      </c>
      <c r="N870" s="1">
        <f>GCResults[[#This Row],[Date Run ]]</f>
        <v>0</v>
      </c>
    </row>
    <row r="871" spans="1:14" ht="14.45" x14ac:dyDescent="0.25">
      <c r="A871">
        <f>SampleList[[#This Row],[Experiment ID]]</f>
        <v>0</v>
      </c>
      <c r="B871">
        <f>SampleList[[#This Row],[Sample Description]]</f>
        <v>0</v>
      </c>
      <c r="C871" s="1">
        <f>SampleList[[#This Row],[Date Sampled]]</f>
        <v>0</v>
      </c>
      <c r="D871">
        <f>SampleList[[#This Row],[Duration (Days)]]</f>
        <v>0</v>
      </c>
      <c r="E871">
        <f>NMRResults[[#This Row],[Ammonium Concentration (mM)]]</f>
        <v>0</v>
      </c>
      <c r="F871" t="str">
        <f>GCResults[[#This Row],[H2 (ppm)]]</f>
        <v/>
      </c>
      <c r="G871">
        <f>GCResults[[#This Row],[Total Gas Volume (mL), gas cylinder = 3785mL]]</f>
        <v>0</v>
      </c>
      <c r="H871">
        <f>GCResults[[#This Row],[Pressure on Sampling (PSI), 145PSI=1MPa]]</f>
        <v>3552.5</v>
      </c>
      <c r="I871">
        <f>pHCondMod[[#This Row],[Sample pH]]</f>
        <v>0</v>
      </c>
      <c r="J871">
        <f>pHCondMod[[#This Row],[Sample Conductivity (mS/cm)]]</f>
        <v>0</v>
      </c>
      <c r="K871">
        <f>pHCondMod[[#This Row],[Modification Description]]</f>
        <v>0</v>
      </c>
      <c r="L871" s="1">
        <f>NMRResults[[#This Row],[Date Run]]</f>
        <v>0</v>
      </c>
      <c r="M871" s="1">
        <f>ICPList[[#This Row],[Date Run]]</f>
        <v>0</v>
      </c>
      <c r="N871" s="1">
        <f>GCResults[[#This Row],[Date Run ]]</f>
        <v>0</v>
      </c>
    </row>
    <row r="872" spans="1:14" ht="14.45" x14ac:dyDescent="0.25">
      <c r="A872">
        <f>SampleList[[#This Row],[Experiment ID]]</f>
        <v>0</v>
      </c>
      <c r="B872">
        <f>SampleList[[#This Row],[Sample Description]]</f>
        <v>0</v>
      </c>
      <c r="C872" s="1">
        <f>SampleList[[#This Row],[Date Sampled]]</f>
        <v>0</v>
      </c>
      <c r="D872">
        <f>SampleList[[#This Row],[Duration (Days)]]</f>
        <v>0</v>
      </c>
      <c r="E872">
        <f>NMRResults[[#This Row],[Ammonium Concentration (mM)]]</f>
        <v>0</v>
      </c>
      <c r="F872" t="str">
        <f>GCResults[[#This Row],[H2 (ppm)]]</f>
        <v/>
      </c>
      <c r="G872">
        <f>GCResults[[#This Row],[Total Gas Volume (mL), gas cylinder = 3785mL]]</f>
        <v>0</v>
      </c>
      <c r="H872">
        <f>GCResults[[#This Row],[Pressure on Sampling (PSI), 145PSI=1MPa]]</f>
        <v>3552.5</v>
      </c>
      <c r="I872">
        <f>pHCondMod[[#This Row],[Sample pH]]</f>
        <v>0</v>
      </c>
      <c r="J872">
        <f>pHCondMod[[#This Row],[Sample Conductivity (mS/cm)]]</f>
        <v>0</v>
      </c>
      <c r="K872">
        <f>pHCondMod[[#This Row],[Modification Description]]</f>
        <v>0</v>
      </c>
      <c r="L872" s="1">
        <f>NMRResults[[#This Row],[Date Run]]</f>
        <v>0</v>
      </c>
      <c r="M872" s="1">
        <f>ICPList[[#This Row],[Date Run]]</f>
        <v>0</v>
      </c>
      <c r="N872" s="1">
        <f>GCResults[[#This Row],[Date Run ]]</f>
        <v>0</v>
      </c>
    </row>
    <row r="873" spans="1:14" ht="14.45" x14ac:dyDescent="0.25">
      <c r="A873">
        <f>SampleList[[#This Row],[Experiment ID]]</f>
        <v>0</v>
      </c>
      <c r="B873">
        <f>SampleList[[#This Row],[Sample Description]]</f>
        <v>0</v>
      </c>
      <c r="C873" s="1">
        <f>SampleList[[#This Row],[Date Sampled]]</f>
        <v>0</v>
      </c>
      <c r="D873">
        <f>SampleList[[#This Row],[Duration (Days)]]</f>
        <v>0</v>
      </c>
      <c r="E873">
        <f>NMRResults[[#This Row],[Ammonium Concentration (mM)]]</f>
        <v>0</v>
      </c>
      <c r="F873" t="str">
        <f>GCResults[[#This Row],[H2 (ppm)]]</f>
        <v/>
      </c>
      <c r="G873">
        <f>GCResults[[#This Row],[Total Gas Volume (mL), gas cylinder = 3785mL]]</f>
        <v>0</v>
      </c>
      <c r="H873">
        <f>GCResults[[#This Row],[Pressure on Sampling (PSI), 145PSI=1MPa]]</f>
        <v>3552.5</v>
      </c>
      <c r="I873">
        <f>pHCondMod[[#This Row],[Sample pH]]</f>
        <v>0</v>
      </c>
      <c r="J873">
        <f>pHCondMod[[#This Row],[Sample Conductivity (mS/cm)]]</f>
        <v>0</v>
      </c>
      <c r="K873">
        <f>pHCondMod[[#This Row],[Modification Description]]</f>
        <v>0</v>
      </c>
      <c r="L873" s="1">
        <f>NMRResults[[#This Row],[Date Run]]</f>
        <v>0</v>
      </c>
      <c r="M873" s="1">
        <f>ICPList[[#This Row],[Date Run]]</f>
        <v>0</v>
      </c>
      <c r="N873" s="1">
        <f>GCResults[[#This Row],[Date Run ]]</f>
        <v>0</v>
      </c>
    </row>
    <row r="874" spans="1:14" ht="14.45" x14ac:dyDescent="0.25">
      <c r="A874">
        <f>SampleList[[#This Row],[Experiment ID]]</f>
        <v>0</v>
      </c>
      <c r="B874">
        <f>SampleList[[#This Row],[Sample Description]]</f>
        <v>0</v>
      </c>
      <c r="C874" s="1">
        <f>SampleList[[#This Row],[Date Sampled]]</f>
        <v>0</v>
      </c>
      <c r="D874">
        <f>SampleList[[#This Row],[Duration (Days)]]</f>
        <v>0</v>
      </c>
      <c r="E874">
        <f>NMRResults[[#This Row],[Ammonium Concentration (mM)]]</f>
        <v>0</v>
      </c>
      <c r="F874" t="str">
        <f>GCResults[[#This Row],[H2 (ppm)]]</f>
        <v/>
      </c>
      <c r="G874">
        <f>GCResults[[#This Row],[Total Gas Volume (mL), gas cylinder = 3785mL]]</f>
        <v>0</v>
      </c>
      <c r="H874">
        <f>GCResults[[#This Row],[Pressure on Sampling (PSI), 145PSI=1MPa]]</f>
        <v>3552.5</v>
      </c>
      <c r="I874">
        <f>pHCondMod[[#This Row],[Sample pH]]</f>
        <v>0</v>
      </c>
      <c r="J874">
        <f>pHCondMod[[#This Row],[Sample Conductivity (mS/cm)]]</f>
        <v>0</v>
      </c>
      <c r="K874">
        <f>pHCondMod[[#This Row],[Modification Description]]</f>
        <v>0</v>
      </c>
      <c r="L874" s="1">
        <f>NMRResults[[#This Row],[Date Run]]</f>
        <v>0</v>
      </c>
      <c r="M874" s="1">
        <f>ICPList[[#This Row],[Date Run]]</f>
        <v>0</v>
      </c>
      <c r="N874" s="1">
        <f>GCResults[[#This Row],[Date Run ]]</f>
        <v>0</v>
      </c>
    </row>
    <row r="875" spans="1:14" ht="14.45" x14ac:dyDescent="0.25">
      <c r="A875">
        <f>SampleList[[#This Row],[Experiment ID]]</f>
        <v>0</v>
      </c>
      <c r="B875">
        <f>SampleList[[#This Row],[Sample Description]]</f>
        <v>0</v>
      </c>
      <c r="C875" s="1">
        <f>SampleList[[#This Row],[Date Sampled]]</f>
        <v>0</v>
      </c>
      <c r="D875">
        <f>SampleList[[#This Row],[Duration (Days)]]</f>
        <v>0</v>
      </c>
      <c r="E875">
        <f>NMRResults[[#This Row],[Ammonium Concentration (mM)]]</f>
        <v>0</v>
      </c>
      <c r="F875" t="str">
        <f>GCResults[[#This Row],[H2 (ppm)]]</f>
        <v/>
      </c>
      <c r="G875">
        <f>GCResults[[#This Row],[Total Gas Volume (mL), gas cylinder = 3785mL]]</f>
        <v>0</v>
      </c>
      <c r="H875">
        <f>GCResults[[#This Row],[Pressure on Sampling (PSI), 145PSI=1MPa]]</f>
        <v>3552.5</v>
      </c>
      <c r="I875">
        <f>pHCondMod[[#This Row],[Sample pH]]</f>
        <v>0</v>
      </c>
      <c r="J875">
        <f>pHCondMod[[#This Row],[Sample Conductivity (mS/cm)]]</f>
        <v>0</v>
      </c>
      <c r="K875">
        <f>pHCondMod[[#This Row],[Modification Description]]</f>
        <v>0</v>
      </c>
      <c r="L875" s="1">
        <f>NMRResults[[#This Row],[Date Run]]</f>
        <v>0</v>
      </c>
      <c r="M875" s="1">
        <f>ICPList[[#This Row],[Date Run]]</f>
        <v>0</v>
      </c>
      <c r="N875" s="1">
        <f>GCResults[[#This Row],[Date Run ]]</f>
        <v>0</v>
      </c>
    </row>
    <row r="876" spans="1:14" ht="14.45" x14ac:dyDescent="0.25">
      <c r="A876">
        <f>SampleList[[#This Row],[Experiment ID]]</f>
        <v>0</v>
      </c>
      <c r="B876">
        <f>SampleList[[#This Row],[Sample Description]]</f>
        <v>0</v>
      </c>
      <c r="C876" s="1">
        <f>SampleList[[#This Row],[Date Sampled]]</f>
        <v>0</v>
      </c>
      <c r="D876">
        <f>SampleList[[#This Row],[Duration (Days)]]</f>
        <v>0</v>
      </c>
      <c r="E876">
        <f>NMRResults[[#This Row],[Ammonium Concentration (mM)]]</f>
        <v>0</v>
      </c>
      <c r="F876" t="str">
        <f>GCResults[[#This Row],[H2 (ppm)]]</f>
        <v/>
      </c>
      <c r="G876">
        <f>GCResults[[#This Row],[Total Gas Volume (mL), gas cylinder = 3785mL]]</f>
        <v>0</v>
      </c>
      <c r="H876">
        <f>GCResults[[#This Row],[Pressure on Sampling (PSI), 145PSI=1MPa]]</f>
        <v>3552.5</v>
      </c>
      <c r="I876">
        <f>pHCondMod[[#This Row],[Sample pH]]</f>
        <v>0</v>
      </c>
      <c r="J876">
        <f>pHCondMod[[#This Row],[Sample Conductivity (mS/cm)]]</f>
        <v>0</v>
      </c>
      <c r="K876">
        <f>pHCondMod[[#This Row],[Modification Description]]</f>
        <v>0</v>
      </c>
      <c r="L876" s="1">
        <f>NMRResults[[#This Row],[Date Run]]</f>
        <v>0</v>
      </c>
      <c r="M876" s="1">
        <f>ICPList[[#This Row],[Date Run]]</f>
        <v>0</v>
      </c>
      <c r="N876" s="1">
        <f>GCResults[[#This Row],[Date Run ]]</f>
        <v>0</v>
      </c>
    </row>
    <row r="877" spans="1:14" ht="14.45" x14ac:dyDescent="0.25">
      <c r="A877">
        <f>SampleList[[#This Row],[Experiment ID]]</f>
        <v>0</v>
      </c>
      <c r="B877">
        <f>SampleList[[#This Row],[Sample Description]]</f>
        <v>0</v>
      </c>
      <c r="C877" s="1">
        <f>SampleList[[#This Row],[Date Sampled]]</f>
        <v>0</v>
      </c>
      <c r="D877">
        <f>SampleList[[#This Row],[Duration (Days)]]</f>
        <v>0</v>
      </c>
      <c r="E877">
        <f>NMRResults[[#This Row],[Ammonium Concentration (mM)]]</f>
        <v>0</v>
      </c>
      <c r="F877" t="str">
        <f>GCResults[[#This Row],[H2 (ppm)]]</f>
        <v/>
      </c>
      <c r="G877">
        <f>GCResults[[#This Row],[Total Gas Volume (mL), gas cylinder = 3785mL]]</f>
        <v>0</v>
      </c>
      <c r="H877">
        <f>GCResults[[#This Row],[Pressure on Sampling (PSI), 145PSI=1MPa]]</f>
        <v>3552.5</v>
      </c>
      <c r="I877">
        <f>pHCondMod[[#This Row],[Sample pH]]</f>
        <v>0</v>
      </c>
      <c r="J877">
        <f>pHCondMod[[#This Row],[Sample Conductivity (mS/cm)]]</f>
        <v>0</v>
      </c>
      <c r="K877">
        <f>pHCondMod[[#This Row],[Modification Description]]</f>
        <v>0</v>
      </c>
      <c r="L877" s="1">
        <f>NMRResults[[#This Row],[Date Run]]</f>
        <v>0</v>
      </c>
      <c r="M877" s="1">
        <f>ICPList[[#This Row],[Date Run]]</f>
        <v>0</v>
      </c>
      <c r="N877" s="1">
        <f>GCResults[[#This Row],[Date Run ]]</f>
        <v>0</v>
      </c>
    </row>
    <row r="878" spans="1:14" ht="14.45" x14ac:dyDescent="0.25">
      <c r="A878">
        <f>SampleList[[#This Row],[Experiment ID]]</f>
        <v>0</v>
      </c>
      <c r="B878">
        <f>SampleList[[#This Row],[Sample Description]]</f>
        <v>0</v>
      </c>
      <c r="C878" s="1">
        <f>SampleList[[#This Row],[Date Sampled]]</f>
        <v>0</v>
      </c>
      <c r="D878">
        <f>SampleList[[#This Row],[Duration (Days)]]</f>
        <v>0</v>
      </c>
      <c r="E878">
        <f>NMRResults[[#This Row],[Ammonium Concentration (mM)]]</f>
        <v>0</v>
      </c>
      <c r="F878" t="str">
        <f>GCResults[[#This Row],[H2 (ppm)]]</f>
        <v/>
      </c>
      <c r="G878">
        <f>GCResults[[#This Row],[Total Gas Volume (mL), gas cylinder = 3785mL]]</f>
        <v>0</v>
      </c>
      <c r="H878">
        <f>GCResults[[#This Row],[Pressure on Sampling (PSI), 145PSI=1MPa]]</f>
        <v>3552.5</v>
      </c>
      <c r="I878">
        <f>pHCondMod[[#This Row],[Sample pH]]</f>
        <v>0</v>
      </c>
      <c r="J878">
        <f>pHCondMod[[#This Row],[Sample Conductivity (mS/cm)]]</f>
        <v>0</v>
      </c>
      <c r="K878">
        <f>pHCondMod[[#This Row],[Modification Description]]</f>
        <v>0</v>
      </c>
      <c r="L878" s="1">
        <f>NMRResults[[#This Row],[Date Run]]</f>
        <v>0</v>
      </c>
      <c r="M878" s="1">
        <f>ICPList[[#This Row],[Date Run]]</f>
        <v>0</v>
      </c>
      <c r="N878" s="1">
        <f>GCResults[[#This Row],[Date Run ]]</f>
        <v>0</v>
      </c>
    </row>
    <row r="879" spans="1:14" ht="14.45" x14ac:dyDescent="0.25">
      <c r="A879">
        <f>SampleList[[#This Row],[Experiment ID]]</f>
        <v>0</v>
      </c>
      <c r="B879">
        <f>SampleList[[#This Row],[Sample Description]]</f>
        <v>0</v>
      </c>
      <c r="C879" s="1">
        <f>SampleList[[#This Row],[Date Sampled]]</f>
        <v>0</v>
      </c>
      <c r="D879">
        <f>SampleList[[#This Row],[Duration (Days)]]</f>
        <v>0</v>
      </c>
      <c r="E879">
        <f>NMRResults[[#This Row],[Ammonium Concentration (mM)]]</f>
        <v>0</v>
      </c>
      <c r="F879" t="str">
        <f>GCResults[[#This Row],[H2 (ppm)]]</f>
        <v/>
      </c>
      <c r="G879">
        <f>GCResults[[#This Row],[Total Gas Volume (mL), gas cylinder = 3785mL]]</f>
        <v>0</v>
      </c>
      <c r="H879">
        <f>GCResults[[#This Row],[Pressure on Sampling (PSI), 145PSI=1MPa]]</f>
        <v>3552.5</v>
      </c>
      <c r="I879">
        <f>pHCondMod[[#This Row],[Sample pH]]</f>
        <v>0</v>
      </c>
      <c r="J879">
        <f>pHCondMod[[#This Row],[Sample Conductivity (mS/cm)]]</f>
        <v>0</v>
      </c>
      <c r="K879">
        <f>pHCondMod[[#This Row],[Modification Description]]</f>
        <v>0</v>
      </c>
      <c r="L879" s="1">
        <f>NMRResults[[#This Row],[Date Run]]</f>
        <v>0</v>
      </c>
      <c r="M879" s="1">
        <f>ICPList[[#This Row],[Date Run]]</f>
        <v>0</v>
      </c>
      <c r="N879" s="1">
        <f>GCResults[[#This Row],[Date Run ]]</f>
        <v>0</v>
      </c>
    </row>
    <row r="880" spans="1:14" ht="14.45" x14ac:dyDescent="0.25">
      <c r="A880">
        <f>SampleList[[#This Row],[Experiment ID]]</f>
        <v>0</v>
      </c>
      <c r="B880">
        <f>SampleList[[#This Row],[Sample Description]]</f>
        <v>0</v>
      </c>
      <c r="C880" s="1">
        <f>SampleList[[#This Row],[Date Sampled]]</f>
        <v>0</v>
      </c>
      <c r="D880">
        <f>SampleList[[#This Row],[Duration (Days)]]</f>
        <v>0</v>
      </c>
      <c r="E880">
        <f>NMRResults[[#This Row],[Ammonium Concentration (mM)]]</f>
        <v>0</v>
      </c>
      <c r="F880" t="str">
        <f>GCResults[[#This Row],[H2 (ppm)]]</f>
        <v/>
      </c>
      <c r="G880">
        <f>GCResults[[#This Row],[Total Gas Volume (mL), gas cylinder = 3785mL]]</f>
        <v>0</v>
      </c>
      <c r="H880">
        <f>GCResults[[#This Row],[Pressure on Sampling (PSI), 145PSI=1MPa]]</f>
        <v>3552.5</v>
      </c>
      <c r="I880">
        <f>pHCondMod[[#This Row],[Sample pH]]</f>
        <v>0</v>
      </c>
      <c r="J880">
        <f>pHCondMod[[#This Row],[Sample Conductivity (mS/cm)]]</f>
        <v>0</v>
      </c>
      <c r="K880">
        <f>pHCondMod[[#This Row],[Modification Description]]</f>
        <v>0</v>
      </c>
      <c r="L880" s="1">
        <f>NMRResults[[#This Row],[Date Run]]</f>
        <v>0</v>
      </c>
      <c r="M880" s="1">
        <f>ICPList[[#This Row],[Date Run]]</f>
        <v>0</v>
      </c>
      <c r="N880" s="1">
        <f>GCResults[[#This Row],[Date Run ]]</f>
        <v>0</v>
      </c>
    </row>
    <row r="881" spans="1:14" ht="14.45" x14ac:dyDescent="0.25">
      <c r="A881">
        <f>SampleList[[#This Row],[Experiment ID]]</f>
        <v>0</v>
      </c>
      <c r="B881">
        <f>SampleList[[#This Row],[Sample Description]]</f>
        <v>0</v>
      </c>
      <c r="C881" s="1">
        <f>SampleList[[#This Row],[Date Sampled]]</f>
        <v>0</v>
      </c>
      <c r="D881">
        <f>SampleList[[#This Row],[Duration (Days)]]</f>
        <v>0</v>
      </c>
      <c r="E881">
        <f>NMRResults[[#This Row],[Ammonium Concentration (mM)]]</f>
        <v>0</v>
      </c>
      <c r="F881" t="str">
        <f>GCResults[[#This Row],[H2 (ppm)]]</f>
        <v/>
      </c>
      <c r="G881">
        <f>GCResults[[#This Row],[Total Gas Volume (mL), gas cylinder = 3785mL]]</f>
        <v>0</v>
      </c>
      <c r="H881">
        <f>GCResults[[#This Row],[Pressure on Sampling (PSI), 145PSI=1MPa]]</f>
        <v>3552.5</v>
      </c>
      <c r="I881">
        <f>pHCondMod[[#This Row],[Sample pH]]</f>
        <v>0</v>
      </c>
      <c r="J881">
        <f>pHCondMod[[#This Row],[Sample Conductivity (mS/cm)]]</f>
        <v>0</v>
      </c>
      <c r="K881">
        <f>pHCondMod[[#This Row],[Modification Description]]</f>
        <v>0</v>
      </c>
      <c r="L881" s="1">
        <f>NMRResults[[#This Row],[Date Run]]</f>
        <v>0</v>
      </c>
      <c r="M881" s="1">
        <f>ICPList[[#This Row],[Date Run]]</f>
        <v>0</v>
      </c>
      <c r="N881" s="1">
        <f>GCResults[[#This Row],[Date Run ]]</f>
        <v>0</v>
      </c>
    </row>
    <row r="882" spans="1:14" ht="14.45" x14ac:dyDescent="0.25">
      <c r="A882">
        <f>SampleList[[#This Row],[Experiment ID]]</f>
        <v>0</v>
      </c>
      <c r="B882">
        <f>SampleList[[#This Row],[Sample Description]]</f>
        <v>0</v>
      </c>
      <c r="C882" s="1">
        <f>SampleList[[#This Row],[Date Sampled]]</f>
        <v>0</v>
      </c>
      <c r="D882">
        <f>SampleList[[#This Row],[Duration (Days)]]</f>
        <v>0</v>
      </c>
      <c r="E882">
        <f>NMRResults[[#This Row],[Ammonium Concentration (mM)]]</f>
        <v>0</v>
      </c>
      <c r="F882" t="str">
        <f>GCResults[[#This Row],[H2 (ppm)]]</f>
        <v/>
      </c>
      <c r="G882">
        <f>GCResults[[#This Row],[Total Gas Volume (mL), gas cylinder = 3785mL]]</f>
        <v>0</v>
      </c>
      <c r="H882">
        <f>GCResults[[#This Row],[Pressure on Sampling (PSI), 145PSI=1MPa]]</f>
        <v>3552.5</v>
      </c>
      <c r="I882">
        <f>pHCondMod[[#This Row],[Sample pH]]</f>
        <v>0</v>
      </c>
      <c r="J882">
        <f>pHCondMod[[#This Row],[Sample Conductivity (mS/cm)]]</f>
        <v>0</v>
      </c>
      <c r="K882">
        <f>pHCondMod[[#This Row],[Modification Description]]</f>
        <v>0</v>
      </c>
      <c r="L882" s="1">
        <f>NMRResults[[#This Row],[Date Run]]</f>
        <v>0</v>
      </c>
      <c r="M882" s="1">
        <f>ICPList[[#This Row],[Date Run]]</f>
        <v>0</v>
      </c>
      <c r="N882" s="1">
        <f>GCResults[[#This Row],[Date Run ]]</f>
        <v>0</v>
      </c>
    </row>
    <row r="883" spans="1:14" ht="14.45" x14ac:dyDescent="0.25">
      <c r="A883">
        <f>SampleList[[#This Row],[Experiment ID]]</f>
        <v>0</v>
      </c>
      <c r="B883">
        <f>SampleList[[#This Row],[Sample Description]]</f>
        <v>0</v>
      </c>
      <c r="C883" s="1">
        <f>SampleList[[#This Row],[Date Sampled]]</f>
        <v>0</v>
      </c>
      <c r="D883">
        <f>SampleList[[#This Row],[Duration (Days)]]</f>
        <v>0</v>
      </c>
      <c r="E883">
        <f>NMRResults[[#This Row],[Ammonium Concentration (mM)]]</f>
        <v>0</v>
      </c>
      <c r="F883" t="str">
        <f>GCResults[[#This Row],[H2 (ppm)]]</f>
        <v/>
      </c>
      <c r="G883">
        <f>GCResults[[#This Row],[Total Gas Volume (mL), gas cylinder = 3785mL]]</f>
        <v>0</v>
      </c>
      <c r="H883">
        <f>GCResults[[#This Row],[Pressure on Sampling (PSI), 145PSI=1MPa]]</f>
        <v>3552.5</v>
      </c>
      <c r="I883">
        <f>pHCondMod[[#This Row],[Sample pH]]</f>
        <v>0</v>
      </c>
      <c r="J883">
        <f>pHCondMod[[#This Row],[Sample Conductivity (mS/cm)]]</f>
        <v>0</v>
      </c>
      <c r="K883">
        <f>pHCondMod[[#This Row],[Modification Description]]</f>
        <v>0</v>
      </c>
      <c r="L883" s="1">
        <f>NMRResults[[#This Row],[Date Run]]</f>
        <v>0</v>
      </c>
      <c r="M883" s="1">
        <f>ICPList[[#This Row],[Date Run]]</f>
        <v>0</v>
      </c>
      <c r="N883" s="1">
        <f>GCResults[[#This Row],[Date Run ]]</f>
        <v>0</v>
      </c>
    </row>
    <row r="884" spans="1:14" ht="14.45" x14ac:dyDescent="0.25">
      <c r="A884">
        <f>SampleList[[#This Row],[Experiment ID]]</f>
        <v>0</v>
      </c>
      <c r="B884">
        <f>SampleList[[#This Row],[Sample Description]]</f>
        <v>0</v>
      </c>
      <c r="C884" s="1">
        <f>SampleList[[#This Row],[Date Sampled]]</f>
        <v>0</v>
      </c>
      <c r="D884">
        <f>SampleList[[#This Row],[Duration (Days)]]</f>
        <v>0</v>
      </c>
      <c r="E884">
        <f>NMRResults[[#This Row],[Ammonium Concentration (mM)]]</f>
        <v>0</v>
      </c>
      <c r="F884" t="str">
        <f>GCResults[[#This Row],[H2 (ppm)]]</f>
        <v/>
      </c>
      <c r="G884">
        <f>GCResults[[#This Row],[Total Gas Volume (mL), gas cylinder = 3785mL]]</f>
        <v>0</v>
      </c>
      <c r="H884">
        <f>GCResults[[#This Row],[Pressure on Sampling (PSI), 145PSI=1MPa]]</f>
        <v>3552.5</v>
      </c>
      <c r="I884">
        <f>pHCondMod[[#This Row],[Sample pH]]</f>
        <v>0</v>
      </c>
      <c r="J884">
        <f>pHCondMod[[#This Row],[Sample Conductivity (mS/cm)]]</f>
        <v>0</v>
      </c>
      <c r="K884">
        <f>pHCondMod[[#This Row],[Modification Description]]</f>
        <v>0</v>
      </c>
      <c r="L884" s="1">
        <f>NMRResults[[#This Row],[Date Run]]</f>
        <v>0</v>
      </c>
      <c r="M884" s="1">
        <f>ICPList[[#This Row],[Date Run]]</f>
        <v>0</v>
      </c>
      <c r="N884" s="1">
        <f>GCResults[[#This Row],[Date Run ]]</f>
        <v>0</v>
      </c>
    </row>
    <row r="885" spans="1:14" ht="14.45" x14ac:dyDescent="0.25">
      <c r="A885">
        <f>SampleList[[#This Row],[Experiment ID]]</f>
        <v>0</v>
      </c>
      <c r="B885">
        <f>SampleList[[#This Row],[Sample Description]]</f>
        <v>0</v>
      </c>
      <c r="C885" s="1">
        <f>SampleList[[#This Row],[Date Sampled]]</f>
        <v>0</v>
      </c>
      <c r="D885">
        <f>SampleList[[#This Row],[Duration (Days)]]</f>
        <v>0</v>
      </c>
      <c r="E885">
        <f>NMRResults[[#This Row],[Ammonium Concentration (mM)]]</f>
        <v>0</v>
      </c>
      <c r="F885" t="str">
        <f>GCResults[[#This Row],[H2 (ppm)]]</f>
        <v/>
      </c>
      <c r="G885">
        <f>GCResults[[#This Row],[Total Gas Volume (mL), gas cylinder = 3785mL]]</f>
        <v>0</v>
      </c>
      <c r="H885">
        <f>GCResults[[#This Row],[Pressure on Sampling (PSI), 145PSI=1MPa]]</f>
        <v>3552.5</v>
      </c>
      <c r="I885">
        <f>pHCondMod[[#This Row],[Sample pH]]</f>
        <v>0</v>
      </c>
      <c r="J885">
        <f>pHCondMod[[#This Row],[Sample Conductivity (mS/cm)]]</f>
        <v>0</v>
      </c>
      <c r="K885">
        <f>pHCondMod[[#This Row],[Modification Description]]</f>
        <v>0</v>
      </c>
      <c r="L885" s="1">
        <f>NMRResults[[#This Row],[Date Run]]</f>
        <v>0</v>
      </c>
      <c r="M885" s="1">
        <f>ICPList[[#This Row],[Date Run]]</f>
        <v>0</v>
      </c>
      <c r="N885" s="1">
        <f>GCResults[[#This Row],[Date Run ]]</f>
        <v>0</v>
      </c>
    </row>
    <row r="886" spans="1:14" ht="14.45" x14ac:dyDescent="0.25">
      <c r="A886">
        <f>SampleList[[#This Row],[Experiment ID]]</f>
        <v>0</v>
      </c>
      <c r="B886">
        <f>SampleList[[#This Row],[Sample Description]]</f>
        <v>0</v>
      </c>
      <c r="C886" s="1">
        <f>SampleList[[#This Row],[Date Sampled]]</f>
        <v>0</v>
      </c>
      <c r="D886">
        <f>SampleList[[#This Row],[Duration (Days)]]</f>
        <v>0</v>
      </c>
      <c r="E886">
        <f>NMRResults[[#This Row],[Ammonium Concentration (mM)]]</f>
        <v>0</v>
      </c>
      <c r="F886" t="str">
        <f>GCResults[[#This Row],[H2 (ppm)]]</f>
        <v/>
      </c>
      <c r="G886">
        <f>GCResults[[#This Row],[Total Gas Volume (mL), gas cylinder = 3785mL]]</f>
        <v>0</v>
      </c>
      <c r="H886">
        <f>GCResults[[#This Row],[Pressure on Sampling (PSI), 145PSI=1MPa]]</f>
        <v>3552.5</v>
      </c>
      <c r="I886">
        <f>pHCondMod[[#This Row],[Sample pH]]</f>
        <v>0</v>
      </c>
      <c r="J886">
        <f>pHCondMod[[#This Row],[Sample Conductivity (mS/cm)]]</f>
        <v>0</v>
      </c>
      <c r="K886">
        <f>pHCondMod[[#This Row],[Modification Description]]</f>
        <v>0</v>
      </c>
      <c r="L886" s="1">
        <f>NMRResults[[#This Row],[Date Run]]</f>
        <v>0</v>
      </c>
      <c r="M886" s="1">
        <f>ICPList[[#This Row],[Date Run]]</f>
        <v>0</v>
      </c>
      <c r="N886" s="1">
        <f>GCResults[[#This Row],[Date Run ]]</f>
        <v>0</v>
      </c>
    </row>
    <row r="887" spans="1:14" ht="14.45" x14ac:dyDescent="0.25">
      <c r="A887">
        <f>SampleList[[#This Row],[Experiment ID]]</f>
        <v>0</v>
      </c>
      <c r="B887">
        <f>SampleList[[#This Row],[Sample Description]]</f>
        <v>0</v>
      </c>
      <c r="C887" s="1">
        <f>SampleList[[#This Row],[Date Sampled]]</f>
        <v>0</v>
      </c>
      <c r="D887">
        <f>SampleList[[#This Row],[Duration (Days)]]</f>
        <v>0</v>
      </c>
      <c r="E887">
        <f>NMRResults[[#This Row],[Ammonium Concentration (mM)]]</f>
        <v>0</v>
      </c>
      <c r="F887" t="str">
        <f>GCResults[[#This Row],[H2 (ppm)]]</f>
        <v/>
      </c>
      <c r="G887">
        <f>GCResults[[#This Row],[Total Gas Volume (mL), gas cylinder = 3785mL]]</f>
        <v>0</v>
      </c>
      <c r="H887">
        <f>GCResults[[#This Row],[Pressure on Sampling (PSI), 145PSI=1MPa]]</f>
        <v>3552.5</v>
      </c>
      <c r="I887">
        <f>pHCondMod[[#This Row],[Sample pH]]</f>
        <v>0</v>
      </c>
      <c r="J887">
        <f>pHCondMod[[#This Row],[Sample Conductivity (mS/cm)]]</f>
        <v>0</v>
      </c>
      <c r="K887">
        <f>pHCondMod[[#This Row],[Modification Description]]</f>
        <v>0</v>
      </c>
      <c r="L887" s="1">
        <f>NMRResults[[#This Row],[Date Run]]</f>
        <v>0</v>
      </c>
      <c r="M887" s="1">
        <f>ICPList[[#This Row],[Date Run]]</f>
        <v>0</v>
      </c>
      <c r="N887" s="1">
        <f>GCResults[[#This Row],[Date Run ]]</f>
        <v>0</v>
      </c>
    </row>
    <row r="888" spans="1:14" ht="14.45" x14ac:dyDescent="0.25">
      <c r="A888">
        <f>SampleList[[#This Row],[Experiment ID]]</f>
        <v>0</v>
      </c>
      <c r="B888">
        <f>SampleList[[#This Row],[Sample Description]]</f>
        <v>0</v>
      </c>
      <c r="C888" s="1">
        <f>SampleList[[#This Row],[Date Sampled]]</f>
        <v>0</v>
      </c>
      <c r="D888">
        <f>SampleList[[#This Row],[Duration (Days)]]</f>
        <v>0</v>
      </c>
      <c r="E888">
        <f>NMRResults[[#This Row],[Ammonium Concentration (mM)]]</f>
        <v>0</v>
      </c>
      <c r="F888" t="str">
        <f>GCResults[[#This Row],[H2 (ppm)]]</f>
        <v/>
      </c>
      <c r="G888">
        <f>GCResults[[#This Row],[Total Gas Volume (mL), gas cylinder = 3785mL]]</f>
        <v>0</v>
      </c>
      <c r="H888">
        <f>GCResults[[#This Row],[Pressure on Sampling (PSI), 145PSI=1MPa]]</f>
        <v>3552.5</v>
      </c>
      <c r="I888">
        <f>pHCondMod[[#This Row],[Sample pH]]</f>
        <v>0</v>
      </c>
      <c r="J888">
        <f>pHCondMod[[#This Row],[Sample Conductivity (mS/cm)]]</f>
        <v>0</v>
      </c>
      <c r="K888">
        <f>pHCondMod[[#This Row],[Modification Description]]</f>
        <v>0</v>
      </c>
      <c r="L888" s="1">
        <f>NMRResults[[#This Row],[Date Run]]</f>
        <v>0</v>
      </c>
      <c r="M888" s="1">
        <f>ICPList[[#This Row],[Date Run]]</f>
        <v>0</v>
      </c>
      <c r="N888" s="1">
        <f>GCResults[[#This Row],[Date Run ]]</f>
        <v>0</v>
      </c>
    </row>
    <row r="889" spans="1:14" ht="14.45" x14ac:dyDescent="0.25">
      <c r="A889">
        <f>SampleList[[#This Row],[Experiment ID]]</f>
        <v>0</v>
      </c>
      <c r="B889">
        <f>SampleList[[#This Row],[Sample Description]]</f>
        <v>0</v>
      </c>
      <c r="C889" s="1">
        <f>SampleList[[#This Row],[Date Sampled]]</f>
        <v>0</v>
      </c>
      <c r="D889">
        <f>SampleList[[#This Row],[Duration (Days)]]</f>
        <v>0</v>
      </c>
      <c r="E889">
        <f>NMRResults[[#This Row],[Ammonium Concentration (mM)]]</f>
        <v>0</v>
      </c>
      <c r="F889" t="str">
        <f>GCResults[[#This Row],[H2 (ppm)]]</f>
        <v/>
      </c>
      <c r="G889">
        <f>GCResults[[#This Row],[Total Gas Volume (mL), gas cylinder = 3785mL]]</f>
        <v>0</v>
      </c>
      <c r="H889">
        <f>GCResults[[#This Row],[Pressure on Sampling (PSI), 145PSI=1MPa]]</f>
        <v>3552.5</v>
      </c>
      <c r="I889">
        <f>pHCondMod[[#This Row],[Sample pH]]</f>
        <v>0</v>
      </c>
      <c r="J889">
        <f>pHCondMod[[#This Row],[Sample Conductivity (mS/cm)]]</f>
        <v>0</v>
      </c>
      <c r="K889">
        <f>pHCondMod[[#This Row],[Modification Description]]</f>
        <v>0</v>
      </c>
      <c r="L889" s="1">
        <f>NMRResults[[#This Row],[Date Run]]</f>
        <v>0</v>
      </c>
      <c r="M889" s="1">
        <f>ICPList[[#This Row],[Date Run]]</f>
        <v>0</v>
      </c>
      <c r="N889" s="1">
        <f>GCResults[[#This Row],[Date Run ]]</f>
        <v>0</v>
      </c>
    </row>
    <row r="890" spans="1:14" ht="14.45" x14ac:dyDescent="0.25">
      <c r="A890">
        <f>SampleList[[#This Row],[Experiment ID]]</f>
        <v>0</v>
      </c>
      <c r="B890">
        <f>SampleList[[#This Row],[Sample Description]]</f>
        <v>0</v>
      </c>
      <c r="C890" s="1">
        <f>SampleList[[#This Row],[Date Sampled]]</f>
        <v>0</v>
      </c>
      <c r="D890">
        <f>SampleList[[#This Row],[Duration (Days)]]</f>
        <v>0</v>
      </c>
      <c r="E890">
        <f>NMRResults[[#This Row],[Ammonium Concentration (mM)]]</f>
        <v>0</v>
      </c>
      <c r="F890" t="str">
        <f>GCResults[[#This Row],[H2 (ppm)]]</f>
        <v/>
      </c>
      <c r="G890">
        <f>GCResults[[#This Row],[Total Gas Volume (mL), gas cylinder = 3785mL]]</f>
        <v>0</v>
      </c>
      <c r="H890">
        <f>GCResults[[#This Row],[Pressure on Sampling (PSI), 145PSI=1MPa]]</f>
        <v>3552.5</v>
      </c>
      <c r="I890">
        <f>pHCondMod[[#This Row],[Sample pH]]</f>
        <v>0</v>
      </c>
      <c r="J890">
        <f>pHCondMod[[#This Row],[Sample Conductivity (mS/cm)]]</f>
        <v>0</v>
      </c>
      <c r="K890">
        <f>pHCondMod[[#This Row],[Modification Description]]</f>
        <v>0</v>
      </c>
      <c r="L890" s="1">
        <f>NMRResults[[#This Row],[Date Run]]</f>
        <v>0</v>
      </c>
      <c r="M890" s="1">
        <f>ICPList[[#This Row],[Date Run]]</f>
        <v>0</v>
      </c>
      <c r="N890" s="1">
        <f>GCResults[[#This Row],[Date Run ]]</f>
        <v>0</v>
      </c>
    </row>
    <row r="891" spans="1:14" ht="14.45" x14ac:dyDescent="0.25">
      <c r="A891">
        <f>SampleList[[#This Row],[Experiment ID]]</f>
        <v>0</v>
      </c>
      <c r="B891">
        <f>SampleList[[#This Row],[Sample Description]]</f>
        <v>0</v>
      </c>
      <c r="C891" s="1">
        <f>SampleList[[#This Row],[Date Sampled]]</f>
        <v>0</v>
      </c>
      <c r="D891">
        <f>SampleList[[#This Row],[Duration (Days)]]</f>
        <v>0</v>
      </c>
      <c r="E891">
        <f>NMRResults[[#This Row],[Ammonium Concentration (mM)]]</f>
        <v>0</v>
      </c>
      <c r="F891" t="str">
        <f>GCResults[[#This Row],[H2 (ppm)]]</f>
        <v/>
      </c>
      <c r="G891">
        <f>GCResults[[#This Row],[Total Gas Volume (mL), gas cylinder = 3785mL]]</f>
        <v>0</v>
      </c>
      <c r="H891">
        <f>GCResults[[#This Row],[Pressure on Sampling (PSI), 145PSI=1MPa]]</f>
        <v>3552.5</v>
      </c>
      <c r="I891">
        <f>pHCondMod[[#This Row],[Sample pH]]</f>
        <v>0</v>
      </c>
      <c r="J891">
        <f>pHCondMod[[#This Row],[Sample Conductivity (mS/cm)]]</f>
        <v>0</v>
      </c>
      <c r="K891">
        <f>pHCondMod[[#This Row],[Modification Description]]</f>
        <v>0</v>
      </c>
      <c r="L891" s="1">
        <f>NMRResults[[#This Row],[Date Run]]</f>
        <v>0</v>
      </c>
      <c r="M891" s="1">
        <f>ICPList[[#This Row],[Date Run]]</f>
        <v>0</v>
      </c>
      <c r="N891" s="1">
        <f>GCResults[[#This Row],[Date Run ]]</f>
        <v>0</v>
      </c>
    </row>
    <row r="892" spans="1:14" ht="14.45" x14ac:dyDescent="0.25">
      <c r="A892">
        <f>SampleList[[#This Row],[Experiment ID]]</f>
        <v>0</v>
      </c>
      <c r="B892">
        <f>SampleList[[#This Row],[Sample Description]]</f>
        <v>0</v>
      </c>
      <c r="C892" s="1">
        <f>SampleList[[#This Row],[Date Sampled]]</f>
        <v>0</v>
      </c>
      <c r="D892">
        <f>SampleList[[#This Row],[Duration (Days)]]</f>
        <v>0</v>
      </c>
      <c r="E892">
        <f>NMRResults[[#This Row],[Ammonium Concentration (mM)]]</f>
        <v>0</v>
      </c>
      <c r="F892" t="str">
        <f>GCResults[[#This Row],[H2 (ppm)]]</f>
        <v/>
      </c>
      <c r="G892">
        <f>GCResults[[#This Row],[Total Gas Volume (mL), gas cylinder = 3785mL]]</f>
        <v>0</v>
      </c>
      <c r="H892">
        <f>GCResults[[#This Row],[Pressure on Sampling (PSI), 145PSI=1MPa]]</f>
        <v>3552.5</v>
      </c>
      <c r="I892">
        <f>pHCondMod[[#This Row],[Sample pH]]</f>
        <v>0</v>
      </c>
      <c r="J892">
        <f>pHCondMod[[#This Row],[Sample Conductivity (mS/cm)]]</f>
        <v>0</v>
      </c>
      <c r="K892">
        <f>pHCondMod[[#This Row],[Modification Description]]</f>
        <v>0</v>
      </c>
      <c r="L892" s="1">
        <f>NMRResults[[#This Row],[Date Run]]</f>
        <v>0</v>
      </c>
      <c r="M892" s="1">
        <f>ICPList[[#This Row],[Date Run]]</f>
        <v>0</v>
      </c>
      <c r="N892" s="1">
        <f>GCResults[[#This Row],[Date Run ]]</f>
        <v>0</v>
      </c>
    </row>
    <row r="893" spans="1:14" ht="14.45" x14ac:dyDescent="0.25">
      <c r="A893">
        <f>SampleList[[#This Row],[Experiment ID]]</f>
        <v>0</v>
      </c>
      <c r="B893">
        <f>SampleList[[#This Row],[Sample Description]]</f>
        <v>0</v>
      </c>
      <c r="C893" s="1">
        <f>SampleList[[#This Row],[Date Sampled]]</f>
        <v>0</v>
      </c>
      <c r="D893">
        <f>SampleList[[#This Row],[Duration (Days)]]</f>
        <v>0</v>
      </c>
      <c r="E893">
        <f>NMRResults[[#This Row],[Ammonium Concentration (mM)]]</f>
        <v>0</v>
      </c>
      <c r="F893" t="str">
        <f>GCResults[[#This Row],[H2 (ppm)]]</f>
        <v/>
      </c>
      <c r="G893">
        <f>GCResults[[#This Row],[Total Gas Volume (mL), gas cylinder = 3785mL]]</f>
        <v>0</v>
      </c>
      <c r="H893">
        <f>GCResults[[#This Row],[Pressure on Sampling (PSI), 145PSI=1MPa]]</f>
        <v>3552.5</v>
      </c>
      <c r="I893">
        <f>pHCondMod[[#This Row],[Sample pH]]</f>
        <v>0</v>
      </c>
      <c r="J893">
        <f>pHCondMod[[#This Row],[Sample Conductivity (mS/cm)]]</f>
        <v>0</v>
      </c>
      <c r="K893">
        <f>pHCondMod[[#This Row],[Modification Description]]</f>
        <v>0</v>
      </c>
      <c r="L893" s="1">
        <f>NMRResults[[#This Row],[Date Run]]</f>
        <v>0</v>
      </c>
      <c r="M893" s="1">
        <f>ICPList[[#This Row],[Date Run]]</f>
        <v>0</v>
      </c>
      <c r="N893" s="1">
        <f>GCResults[[#This Row],[Date Run ]]</f>
        <v>0</v>
      </c>
    </row>
    <row r="894" spans="1:14" ht="14.45" x14ac:dyDescent="0.25">
      <c r="A894">
        <f>SampleList[[#This Row],[Experiment ID]]</f>
        <v>0</v>
      </c>
      <c r="B894">
        <f>SampleList[[#This Row],[Sample Description]]</f>
        <v>0</v>
      </c>
      <c r="C894" s="1">
        <f>SampleList[[#This Row],[Date Sampled]]</f>
        <v>0</v>
      </c>
      <c r="D894">
        <f>SampleList[[#This Row],[Duration (Days)]]</f>
        <v>0</v>
      </c>
      <c r="E894">
        <f>NMRResults[[#This Row],[Ammonium Concentration (mM)]]</f>
        <v>0</v>
      </c>
      <c r="F894" t="str">
        <f>GCResults[[#This Row],[H2 (ppm)]]</f>
        <v/>
      </c>
      <c r="G894">
        <f>GCResults[[#This Row],[Total Gas Volume (mL), gas cylinder = 3785mL]]</f>
        <v>0</v>
      </c>
      <c r="H894">
        <f>GCResults[[#This Row],[Pressure on Sampling (PSI), 145PSI=1MPa]]</f>
        <v>3552.5</v>
      </c>
      <c r="I894">
        <f>pHCondMod[[#This Row],[Sample pH]]</f>
        <v>0</v>
      </c>
      <c r="J894">
        <f>pHCondMod[[#This Row],[Sample Conductivity (mS/cm)]]</f>
        <v>0</v>
      </c>
      <c r="K894">
        <f>pHCondMod[[#This Row],[Modification Description]]</f>
        <v>0</v>
      </c>
      <c r="L894" s="1">
        <f>NMRResults[[#This Row],[Date Run]]</f>
        <v>0</v>
      </c>
      <c r="M894" s="1">
        <f>ICPList[[#This Row],[Date Run]]</f>
        <v>0</v>
      </c>
      <c r="N894" s="1">
        <f>GCResults[[#This Row],[Date Run ]]</f>
        <v>0</v>
      </c>
    </row>
    <row r="895" spans="1:14" ht="14.45" x14ac:dyDescent="0.25">
      <c r="A895">
        <f>SampleList[[#This Row],[Experiment ID]]</f>
        <v>0</v>
      </c>
      <c r="B895">
        <f>SampleList[[#This Row],[Sample Description]]</f>
        <v>0</v>
      </c>
      <c r="C895" s="1">
        <f>SampleList[[#This Row],[Date Sampled]]</f>
        <v>0</v>
      </c>
      <c r="D895">
        <f>SampleList[[#This Row],[Duration (Days)]]</f>
        <v>0</v>
      </c>
      <c r="E895">
        <f>NMRResults[[#This Row],[Ammonium Concentration (mM)]]</f>
        <v>0</v>
      </c>
      <c r="F895" t="str">
        <f>GCResults[[#This Row],[H2 (ppm)]]</f>
        <v/>
      </c>
      <c r="G895">
        <f>GCResults[[#This Row],[Total Gas Volume (mL), gas cylinder = 3785mL]]</f>
        <v>0</v>
      </c>
      <c r="H895">
        <f>GCResults[[#This Row],[Pressure on Sampling (PSI), 145PSI=1MPa]]</f>
        <v>3552.5</v>
      </c>
      <c r="I895">
        <f>pHCondMod[[#This Row],[Sample pH]]</f>
        <v>0</v>
      </c>
      <c r="J895">
        <f>pHCondMod[[#This Row],[Sample Conductivity (mS/cm)]]</f>
        <v>0</v>
      </c>
      <c r="K895">
        <f>pHCondMod[[#This Row],[Modification Description]]</f>
        <v>0</v>
      </c>
      <c r="L895" s="1">
        <f>NMRResults[[#This Row],[Date Run]]</f>
        <v>0</v>
      </c>
      <c r="M895" s="1">
        <f>ICPList[[#This Row],[Date Run]]</f>
        <v>0</v>
      </c>
      <c r="N895" s="1">
        <f>GCResults[[#This Row],[Date Run ]]</f>
        <v>0</v>
      </c>
    </row>
    <row r="896" spans="1:14" ht="14.45" x14ac:dyDescent="0.25">
      <c r="A896">
        <f>SampleList[[#This Row],[Experiment ID]]</f>
        <v>0</v>
      </c>
      <c r="B896">
        <f>SampleList[[#This Row],[Sample Description]]</f>
        <v>0</v>
      </c>
      <c r="C896" s="1">
        <f>SampleList[[#This Row],[Date Sampled]]</f>
        <v>0</v>
      </c>
      <c r="D896">
        <f>SampleList[[#This Row],[Duration (Days)]]</f>
        <v>0</v>
      </c>
      <c r="E896">
        <f>NMRResults[[#This Row],[Ammonium Concentration (mM)]]</f>
        <v>0</v>
      </c>
      <c r="F896" t="str">
        <f>GCResults[[#This Row],[H2 (ppm)]]</f>
        <v/>
      </c>
      <c r="G896">
        <f>GCResults[[#This Row],[Total Gas Volume (mL), gas cylinder = 3785mL]]</f>
        <v>0</v>
      </c>
      <c r="H896">
        <f>GCResults[[#This Row],[Pressure on Sampling (PSI), 145PSI=1MPa]]</f>
        <v>3552.5</v>
      </c>
      <c r="I896">
        <f>pHCondMod[[#This Row],[Sample pH]]</f>
        <v>0</v>
      </c>
      <c r="J896">
        <f>pHCondMod[[#This Row],[Sample Conductivity (mS/cm)]]</f>
        <v>0</v>
      </c>
      <c r="K896">
        <f>pHCondMod[[#This Row],[Modification Description]]</f>
        <v>0</v>
      </c>
      <c r="L896" s="1">
        <f>NMRResults[[#This Row],[Date Run]]</f>
        <v>0</v>
      </c>
      <c r="M896" s="1">
        <f>ICPList[[#This Row],[Date Run]]</f>
        <v>0</v>
      </c>
      <c r="N896" s="1">
        <f>GCResults[[#This Row],[Date Run ]]</f>
        <v>0</v>
      </c>
    </row>
    <row r="897" spans="1:14" ht="14.45" x14ac:dyDescent="0.25">
      <c r="A897">
        <f>SampleList[[#This Row],[Experiment ID]]</f>
        <v>0</v>
      </c>
      <c r="B897">
        <f>SampleList[[#This Row],[Sample Description]]</f>
        <v>0</v>
      </c>
      <c r="C897" s="1">
        <f>SampleList[[#This Row],[Date Sampled]]</f>
        <v>0</v>
      </c>
      <c r="D897">
        <f>SampleList[[#This Row],[Duration (Days)]]</f>
        <v>0</v>
      </c>
      <c r="E897">
        <f>NMRResults[[#This Row],[Ammonium Concentration (mM)]]</f>
        <v>0</v>
      </c>
      <c r="F897" t="str">
        <f>GCResults[[#This Row],[H2 (ppm)]]</f>
        <v/>
      </c>
      <c r="G897">
        <f>GCResults[[#This Row],[Total Gas Volume (mL), gas cylinder = 3785mL]]</f>
        <v>0</v>
      </c>
      <c r="H897">
        <f>GCResults[[#This Row],[Pressure on Sampling (PSI), 145PSI=1MPa]]</f>
        <v>3552.5</v>
      </c>
      <c r="I897">
        <f>pHCondMod[[#This Row],[Sample pH]]</f>
        <v>0</v>
      </c>
      <c r="J897">
        <f>pHCondMod[[#This Row],[Sample Conductivity (mS/cm)]]</f>
        <v>0</v>
      </c>
      <c r="K897">
        <f>pHCondMod[[#This Row],[Modification Description]]</f>
        <v>0</v>
      </c>
      <c r="L897" s="1">
        <f>NMRResults[[#This Row],[Date Run]]</f>
        <v>0</v>
      </c>
      <c r="M897" s="1">
        <f>ICPList[[#This Row],[Date Run]]</f>
        <v>0</v>
      </c>
      <c r="N897" s="1">
        <f>GCResults[[#This Row],[Date Run ]]</f>
        <v>0</v>
      </c>
    </row>
    <row r="898" spans="1:14" ht="14.45" x14ac:dyDescent="0.25">
      <c r="A898">
        <f>SampleList[[#This Row],[Experiment ID]]</f>
        <v>0</v>
      </c>
      <c r="B898">
        <f>SampleList[[#This Row],[Sample Description]]</f>
        <v>0</v>
      </c>
      <c r="C898" s="1">
        <f>SampleList[[#This Row],[Date Sampled]]</f>
        <v>0</v>
      </c>
      <c r="D898">
        <f>SampleList[[#This Row],[Duration (Days)]]</f>
        <v>0</v>
      </c>
      <c r="E898">
        <f>NMRResults[[#This Row],[Ammonium Concentration (mM)]]</f>
        <v>0</v>
      </c>
      <c r="F898" t="str">
        <f>GCResults[[#This Row],[H2 (ppm)]]</f>
        <v/>
      </c>
      <c r="G898">
        <f>GCResults[[#This Row],[Total Gas Volume (mL), gas cylinder = 3785mL]]</f>
        <v>0</v>
      </c>
      <c r="H898">
        <f>GCResults[[#This Row],[Pressure on Sampling (PSI), 145PSI=1MPa]]</f>
        <v>3552.5</v>
      </c>
      <c r="I898">
        <f>pHCondMod[[#This Row],[Sample pH]]</f>
        <v>0</v>
      </c>
      <c r="J898">
        <f>pHCondMod[[#This Row],[Sample Conductivity (mS/cm)]]</f>
        <v>0</v>
      </c>
      <c r="K898">
        <f>pHCondMod[[#This Row],[Modification Description]]</f>
        <v>0</v>
      </c>
      <c r="L898" s="1">
        <f>NMRResults[[#This Row],[Date Run]]</f>
        <v>0</v>
      </c>
      <c r="M898" s="1">
        <f>ICPList[[#This Row],[Date Run]]</f>
        <v>0</v>
      </c>
      <c r="N898" s="1">
        <f>GCResults[[#This Row],[Date Run ]]</f>
        <v>0</v>
      </c>
    </row>
    <row r="899" spans="1:14" ht="14.45" x14ac:dyDescent="0.25">
      <c r="A899">
        <f>SampleList[[#This Row],[Experiment ID]]</f>
        <v>0</v>
      </c>
      <c r="B899">
        <f>SampleList[[#This Row],[Sample Description]]</f>
        <v>0</v>
      </c>
      <c r="C899" s="1">
        <f>SampleList[[#This Row],[Date Sampled]]</f>
        <v>0</v>
      </c>
      <c r="D899">
        <f>SampleList[[#This Row],[Duration (Days)]]</f>
        <v>0</v>
      </c>
      <c r="E899">
        <f>NMRResults[[#This Row],[Ammonium Concentration (mM)]]</f>
        <v>0</v>
      </c>
      <c r="F899" t="str">
        <f>GCResults[[#This Row],[H2 (ppm)]]</f>
        <v/>
      </c>
      <c r="G899">
        <f>GCResults[[#This Row],[Total Gas Volume (mL), gas cylinder = 3785mL]]</f>
        <v>0</v>
      </c>
      <c r="H899">
        <f>GCResults[[#This Row],[Pressure on Sampling (PSI), 145PSI=1MPa]]</f>
        <v>3552.5</v>
      </c>
      <c r="I899">
        <f>pHCondMod[[#This Row],[Sample pH]]</f>
        <v>0</v>
      </c>
      <c r="J899">
        <f>pHCondMod[[#This Row],[Sample Conductivity (mS/cm)]]</f>
        <v>0</v>
      </c>
      <c r="K899">
        <f>pHCondMod[[#This Row],[Modification Description]]</f>
        <v>0</v>
      </c>
      <c r="L899" s="1">
        <f>NMRResults[[#This Row],[Date Run]]</f>
        <v>0</v>
      </c>
      <c r="M899" s="1">
        <f>ICPList[[#This Row],[Date Run]]</f>
        <v>0</v>
      </c>
      <c r="N899" s="1">
        <f>GCResults[[#This Row],[Date Run ]]</f>
        <v>0</v>
      </c>
    </row>
    <row r="900" spans="1:14" ht="14.45" x14ac:dyDescent="0.25">
      <c r="A900">
        <f>SampleList[[#This Row],[Experiment ID]]</f>
        <v>0</v>
      </c>
      <c r="B900">
        <f>SampleList[[#This Row],[Sample Description]]</f>
        <v>0</v>
      </c>
      <c r="C900" s="1">
        <f>SampleList[[#This Row],[Date Sampled]]</f>
        <v>0</v>
      </c>
      <c r="D900">
        <f>SampleList[[#This Row],[Duration (Days)]]</f>
        <v>0</v>
      </c>
      <c r="E900">
        <f>NMRResults[[#This Row],[Ammonium Concentration (mM)]]</f>
        <v>0</v>
      </c>
      <c r="F900" t="str">
        <f>GCResults[[#This Row],[H2 (ppm)]]</f>
        <v/>
      </c>
      <c r="G900">
        <f>GCResults[[#This Row],[Total Gas Volume (mL), gas cylinder = 3785mL]]</f>
        <v>0</v>
      </c>
      <c r="H900">
        <f>GCResults[[#This Row],[Pressure on Sampling (PSI), 145PSI=1MPa]]</f>
        <v>3552.5</v>
      </c>
      <c r="I900">
        <f>pHCondMod[[#This Row],[Sample pH]]</f>
        <v>0</v>
      </c>
      <c r="J900">
        <f>pHCondMod[[#This Row],[Sample Conductivity (mS/cm)]]</f>
        <v>0</v>
      </c>
      <c r="K900">
        <f>pHCondMod[[#This Row],[Modification Description]]</f>
        <v>0</v>
      </c>
      <c r="L900" s="1">
        <f>NMRResults[[#This Row],[Date Run]]</f>
        <v>0</v>
      </c>
      <c r="M900" s="1">
        <f>ICPList[[#This Row],[Date Run]]</f>
        <v>0</v>
      </c>
      <c r="N900" s="1">
        <f>GCResults[[#This Row],[Date Run ]]</f>
        <v>0</v>
      </c>
    </row>
    <row r="901" spans="1:14" ht="14.45" x14ac:dyDescent="0.25">
      <c r="A901">
        <f>SampleList[[#This Row],[Experiment ID]]</f>
        <v>0</v>
      </c>
      <c r="B901">
        <f>SampleList[[#This Row],[Sample Description]]</f>
        <v>0</v>
      </c>
      <c r="C901" s="1">
        <f>SampleList[[#This Row],[Date Sampled]]</f>
        <v>0</v>
      </c>
      <c r="D901">
        <f>SampleList[[#This Row],[Duration (Days)]]</f>
        <v>0</v>
      </c>
      <c r="E901">
        <f>NMRResults[[#This Row],[Ammonium Concentration (mM)]]</f>
        <v>0</v>
      </c>
      <c r="F901" t="str">
        <f>GCResults[[#This Row],[H2 (ppm)]]</f>
        <v/>
      </c>
      <c r="G901">
        <f>GCResults[[#This Row],[Total Gas Volume (mL), gas cylinder = 3785mL]]</f>
        <v>0</v>
      </c>
      <c r="H901">
        <f>GCResults[[#This Row],[Pressure on Sampling (PSI), 145PSI=1MPa]]</f>
        <v>3552.5</v>
      </c>
      <c r="I901">
        <f>pHCondMod[[#This Row],[Sample pH]]</f>
        <v>0</v>
      </c>
      <c r="J901">
        <f>pHCondMod[[#This Row],[Sample Conductivity (mS/cm)]]</f>
        <v>0</v>
      </c>
      <c r="K901">
        <f>pHCondMod[[#This Row],[Modification Description]]</f>
        <v>0</v>
      </c>
      <c r="L901" s="1">
        <f>NMRResults[[#This Row],[Date Run]]</f>
        <v>0</v>
      </c>
      <c r="M901" s="1">
        <f>ICPList[[#This Row],[Date Run]]</f>
        <v>0</v>
      </c>
      <c r="N901" s="1">
        <f>GCResults[[#This Row],[Date Run ]]</f>
        <v>0</v>
      </c>
    </row>
    <row r="902" spans="1:14" ht="14.45" x14ac:dyDescent="0.25">
      <c r="A902">
        <f>SampleList[[#This Row],[Experiment ID]]</f>
        <v>0</v>
      </c>
      <c r="B902">
        <f>SampleList[[#This Row],[Sample Description]]</f>
        <v>0</v>
      </c>
      <c r="C902" s="1">
        <f>SampleList[[#This Row],[Date Sampled]]</f>
        <v>0</v>
      </c>
      <c r="D902">
        <f>SampleList[[#This Row],[Duration (Days)]]</f>
        <v>0</v>
      </c>
      <c r="E902">
        <f>NMRResults[[#This Row],[Ammonium Concentration (mM)]]</f>
        <v>0</v>
      </c>
      <c r="F902" t="str">
        <f>GCResults[[#This Row],[H2 (ppm)]]</f>
        <v/>
      </c>
      <c r="G902">
        <f>GCResults[[#This Row],[Total Gas Volume (mL), gas cylinder = 3785mL]]</f>
        <v>0</v>
      </c>
      <c r="H902">
        <f>GCResults[[#This Row],[Pressure on Sampling (PSI), 145PSI=1MPa]]</f>
        <v>3552.5</v>
      </c>
      <c r="I902">
        <f>pHCondMod[[#This Row],[Sample pH]]</f>
        <v>0</v>
      </c>
      <c r="J902">
        <f>pHCondMod[[#This Row],[Sample Conductivity (mS/cm)]]</f>
        <v>0</v>
      </c>
      <c r="K902">
        <f>pHCondMod[[#This Row],[Modification Description]]</f>
        <v>0</v>
      </c>
      <c r="L902" s="1">
        <f>NMRResults[[#This Row],[Date Run]]</f>
        <v>0</v>
      </c>
      <c r="M902" s="1">
        <f>ICPList[[#This Row],[Date Run]]</f>
        <v>0</v>
      </c>
      <c r="N902" s="1">
        <f>GCResults[[#This Row],[Date Run ]]</f>
        <v>0</v>
      </c>
    </row>
    <row r="903" spans="1:14" ht="14.45" x14ac:dyDescent="0.25">
      <c r="A903">
        <f>SampleList[[#This Row],[Experiment ID]]</f>
        <v>0</v>
      </c>
      <c r="B903">
        <f>SampleList[[#This Row],[Sample Description]]</f>
        <v>0</v>
      </c>
      <c r="C903" s="1">
        <f>SampleList[[#This Row],[Date Sampled]]</f>
        <v>0</v>
      </c>
      <c r="D903">
        <f>SampleList[[#This Row],[Duration (Days)]]</f>
        <v>0</v>
      </c>
      <c r="E903">
        <f>NMRResults[[#This Row],[Ammonium Concentration (mM)]]</f>
        <v>0</v>
      </c>
      <c r="F903" t="str">
        <f>GCResults[[#This Row],[H2 (ppm)]]</f>
        <v/>
      </c>
      <c r="G903">
        <f>GCResults[[#This Row],[Total Gas Volume (mL), gas cylinder = 3785mL]]</f>
        <v>0</v>
      </c>
      <c r="H903">
        <f>GCResults[[#This Row],[Pressure on Sampling (PSI), 145PSI=1MPa]]</f>
        <v>3552.5</v>
      </c>
      <c r="I903">
        <f>pHCondMod[[#This Row],[Sample pH]]</f>
        <v>0</v>
      </c>
      <c r="J903">
        <f>pHCondMod[[#This Row],[Sample Conductivity (mS/cm)]]</f>
        <v>0</v>
      </c>
      <c r="K903">
        <f>pHCondMod[[#This Row],[Modification Description]]</f>
        <v>0</v>
      </c>
      <c r="L903" s="1">
        <f>NMRResults[[#This Row],[Date Run]]</f>
        <v>0</v>
      </c>
      <c r="M903" s="1">
        <f>ICPList[[#This Row],[Date Run]]</f>
        <v>0</v>
      </c>
      <c r="N903" s="1">
        <f>GCResults[[#This Row],[Date Run ]]</f>
        <v>0</v>
      </c>
    </row>
    <row r="904" spans="1:14" ht="14.45" x14ac:dyDescent="0.25">
      <c r="A904">
        <f>SampleList[[#This Row],[Experiment ID]]</f>
        <v>0</v>
      </c>
      <c r="B904">
        <f>SampleList[[#This Row],[Sample Description]]</f>
        <v>0</v>
      </c>
      <c r="C904" s="1">
        <f>SampleList[[#This Row],[Date Sampled]]</f>
        <v>0</v>
      </c>
      <c r="D904">
        <f>SampleList[[#This Row],[Duration (Days)]]</f>
        <v>0</v>
      </c>
      <c r="E904">
        <f>NMRResults[[#This Row],[Ammonium Concentration (mM)]]</f>
        <v>0</v>
      </c>
      <c r="F904" t="str">
        <f>GCResults[[#This Row],[H2 (ppm)]]</f>
        <v/>
      </c>
      <c r="G904">
        <f>GCResults[[#This Row],[Total Gas Volume (mL), gas cylinder = 3785mL]]</f>
        <v>0</v>
      </c>
      <c r="H904">
        <f>GCResults[[#This Row],[Pressure on Sampling (PSI), 145PSI=1MPa]]</f>
        <v>3552.5</v>
      </c>
      <c r="I904">
        <f>pHCondMod[[#This Row],[Sample pH]]</f>
        <v>0</v>
      </c>
      <c r="J904">
        <f>pHCondMod[[#This Row],[Sample Conductivity (mS/cm)]]</f>
        <v>0</v>
      </c>
      <c r="K904">
        <f>pHCondMod[[#This Row],[Modification Description]]</f>
        <v>0</v>
      </c>
      <c r="L904" s="1">
        <f>NMRResults[[#This Row],[Date Run]]</f>
        <v>0</v>
      </c>
      <c r="M904" s="1">
        <f>ICPList[[#This Row],[Date Run]]</f>
        <v>0</v>
      </c>
      <c r="N904" s="1">
        <f>GCResults[[#This Row],[Date Run ]]</f>
        <v>0</v>
      </c>
    </row>
    <row r="905" spans="1:14" ht="14.45" x14ac:dyDescent="0.25">
      <c r="A905">
        <f>SampleList[[#This Row],[Experiment ID]]</f>
        <v>0</v>
      </c>
      <c r="B905">
        <f>SampleList[[#This Row],[Sample Description]]</f>
        <v>0</v>
      </c>
      <c r="C905" s="1">
        <f>SampleList[[#This Row],[Date Sampled]]</f>
        <v>0</v>
      </c>
      <c r="D905">
        <f>SampleList[[#This Row],[Duration (Days)]]</f>
        <v>0</v>
      </c>
      <c r="E905">
        <f>NMRResults[[#This Row],[Ammonium Concentration (mM)]]</f>
        <v>0</v>
      </c>
      <c r="F905" t="str">
        <f>GCResults[[#This Row],[H2 (ppm)]]</f>
        <v/>
      </c>
      <c r="G905">
        <f>GCResults[[#This Row],[Total Gas Volume (mL), gas cylinder = 3785mL]]</f>
        <v>0</v>
      </c>
      <c r="H905">
        <f>GCResults[[#This Row],[Pressure on Sampling (PSI), 145PSI=1MPa]]</f>
        <v>3552.5</v>
      </c>
      <c r="I905">
        <f>pHCondMod[[#This Row],[Sample pH]]</f>
        <v>0</v>
      </c>
      <c r="J905">
        <f>pHCondMod[[#This Row],[Sample Conductivity (mS/cm)]]</f>
        <v>0</v>
      </c>
      <c r="K905">
        <f>pHCondMod[[#This Row],[Modification Description]]</f>
        <v>0</v>
      </c>
      <c r="L905" s="1">
        <f>NMRResults[[#This Row],[Date Run]]</f>
        <v>0</v>
      </c>
      <c r="M905" s="1">
        <f>ICPList[[#This Row],[Date Run]]</f>
        <v>0</v>
      </c>
      <c r="N905" s="1">
        <f>GCResults[[#This Row],[Date Run ]]</f>
        <v>0</v>
      </c>
    </row>
    <row r="906" spans="1:14" ht="14.45" x14ac:dyDescent="0.25">
      <c r="A906">
        <f>SampleList[[#This Row],[Experiment ID]]</f>
        <v>0</v>
      </c>
      <c r="B906">
        <f>SampleList[[#This Row],[Sample Description]]</f>
        <v>0</v>
      </c>
      <c r="C906" s="1">
        <f>SampleList[[#This Row],[Date Sampled]]</f>
        <v>0</v>
      </c>
      <c r="D906">
        <f>SampleList[[#This Row],[Duration (Days)]]</f>
        <v>0</v>
      </c>
      <c r="E906">
        <f>NMRResults[[#This Row],[Ammonium Concentration (mM)]]</f>
        <v>0</v>
      </c>
      <c r="F906" t="str">
        <f>GCResults[[#This Row],[H2 (ppm)]]</f>
        <v/>
      </c>
      <c r="G906">
        <f>GCResults[[#This Row],[Total Gas Volume (mL), gas cylinder = 3785mL]]</f>
        <v>0</v>
      </c>
      <c r="H906">
        <f>GCResults[[#This Row],[Pressure on Sampling (PSI), 145PSI=1MPa]]</f>
        <v>3552.5</v>
      </c>
      <c r="I906">
        <f>pHCondMod[[#This Row],[Sample pH]]</f>
        <v>0</v>
      </c>
      <c r="J906">
        <f>pHCondMod[[#This Row],[Sample Conductivity (mS/cm)]]</f>
        <v>0</v>
      </c>
      <c r="K906">
        <f>pHCondMod[[#This Row],[Modification Description]]</f>
        <v>0</v>
      </c>
      <c r="L906" s="1">
        <f>NMRResults[[#This Row],[Date Run]]</f>
        <v>0</v>
      </c>
      <c r="M906" s="1">
        <f>ICPList[[#This Row],[Date Run]]</f>
        <v>0</v>
      </c>
      <c r="N906" s="1">
        <f>GCResults[[#This Row],[Date Run ]]</f>
        <v>0</v>
      </c>
    </row>
    <row r="907" spans="1:14" ht="14.45" x14ac:dyDescent="0.25">
      <c r="A907">
        <f>SampleList[[#This Row],[Experiment ID]]</f>
        <v>0</v>
      </c>
      <c r="B907">
        <f>SampleList[[#This Row],[Sample Description]]</f>
        <v>0</v>
      </c>
      <c r="C907" s="1">
        <f>SampleList[[#This Row],[Date Sampled]]</f>
        <v>0</v>
      </c>
      <c r="D907">
        <f>SampleList[[#This Row],[Duration (Days)]]</f>
        <v>0</v>
      </c>
      <c r="E907">
        <f>NMRResults[[#This Row],[Ammonium Concentration (mM)]]</f>
        <v>0</v>
      </c>
      <c r="F907" t="str">
        <f>GCResults[[#This Row],[H2 (ppm)]]</f>
        <v/>
      </c>
      <c r="G907">
        <f>GCResults[[#This Row],[Total Gas Volume (mL), gas cylinder = 3785mL]]</f>
        <v>0</v>
      </c>
      <c r="H907">
        <f>GCResults[[#This Row],[Pressure on Sampling (PSI), 145PSI=1MPa]]</f>
        <v>3552.5</v>
      </c>
      <c r="I907">
        <f>pHCondMod[[#This Row],[Sample pH]]</f>
        <v>0</v>
      </c>
      <c r="J907">
        <f>pHCondMod[[#This Row],[Sample Conductivity (mS/cm)]]</f>
        <v>0</v>
      </c>
      <c r="K907">
        <f>pHCondMod[[#This Row],[Modification Description]]</f>
        <v>0</v>
      </c>
      <c r="L907" s="1">
        <f>NMRResults[[#This Row],[Date Run]]</f>
        <v>0</v>
      </c>
      <c r="M907" s="1">
        <f>ICPList[[#This Row],[Date Run]]</f>
        <v>0</v>
      </c>
      <c r="N907" s="1">
        <f>GCResults[[#This Row],[Date Run ]]</f>
        <v>0</v>
      </c>
    </row>
    <row r="908" spans="1:14" ht="14.45" x14ac:dyDescent="0.25">
      <c r="A908">
        <f>SampleList[[#This Row],[Experiment ID]]</f>
        <v>0</v>
      </c>
      <c r="B908">
        <f>SampleList[[#This Row],[Sample Description]]</f>
        <v>0</v>
      </c>
      <c r="C908" s="1">
        <f>SampleList[[#This Row],[Date Sampled]]</f>
        <v>0</v>
      </c>
      <c r="D908">
        <f>SampleList[[#This Row],[Duration (Days)]]</f>
        <v>0</v>
      </c>
      <c r="E908">
        <f>NMRResults[[#This Row],[Ammonium Concentration (mM)]]</f>
        <v>0</v>
      </c>
      <c r="F908" t="str">
        <f>GCResults[[#This Row],[H2 (ppm)]]</f>
        <v/>
      </c>
      <c r="G908">
        <f>GCResults[[#This Row],[Total Gas Volume (mL), gas cylinder = 3785mL]]</f>
        <v>0</v>
      </c>
      <c r="H908">
        <f>GCResults[[#This Row],[Pressure on Sampling (PSI), 145PSI=1MPa]]</f>
        <v>3552.5</v>
      </c>
      <c r="I908">
        <f>pHCondMod[[#This Row],[Sample pH]]</f>
        <v>0</v>
      </c>
      <c r="J908">
        <f>pHCondMod[[#This Row],[Sample Conductivity (mS/cm)]]</f>
        <v>0</v>
      </c>
      <c r="K908">
        <f>pHCondMod[[#This Row],[Modification Description]]</f>
        <v>0</v>
      </c>
      <c r="L908" s="1">
        <f>NMRResults[[#This Row],[Date Run]]</f>
        <v>0</v>
      </c>
      <c r="M908" s="1">
        <f>ICPList[[#This Row],[Date Run]]</f>
        <v>0</v>
      </c>
      <c r="N908" s="1">
        <f>GCResults[[#This Row],[Date Run ]]</f>
        <v>0</v>
      </c>
    </row>
    <row r="909" spans="1:14" ht="14.45" x14ac:dyDescent="0.25">
      <c r="A909">
        <f>SampleList[[#This Row],[Experiment ID]]</f>
        <v>0</v>
      </c>
      <c r="B909">
        <f>SampleList[[#This Row],[Sample Description]]</f>
        <v>0</v>
      </c>
      <c r="C909" s="1">
        <f>SampleList[[#This Row],[Date Sampled]]</f>
        <v>0</v>
      </c>
      <c r="D909">
        <f>SampleList[[#This Row],[Duration (Days)]]</f>
        <v>0</v>
      </c>
      <c r="E909">
        <f>NMRResults[[#This Row],[Ammonium Concentration (mM)]]</f>
        <v>0</v>
      </c>
      <c r="F909" t="str">
        <f>GCResults[[#This Row],[H2 (ppm)]]</f>
        <v/>
      </c>
      <c r="G909">
        <f>GCResults[[#This Row],[Total Gas Volume (mL), gas cylinder = 3785mL]]</f>
        <v>0</v>
      </c>
      <c r="H909">
        <f>GCResults[[#This Row],[Pressure on Sampling (PSI), 145PSI=1MPa]]</f>
        <v>3552.5</v>
      </c>
      <c r="I909">
        <f>pHCondMod[[#This Row],[Sample pH]]</f>
        <v>0</v>
      </c>
      <c r="J909">
        <f>pHCondMod[[#This Row],[Sample Conductivity (mS/cm)]]</f>
        <v>0</v>
      </c>
      <c r="K909">
        <f>pHCondMod[[#This Row],[Modification Description]]</f>
        <v>0</v>
      </c>
      <c r="L909" s="1">
        <f>NMRResults[[#This Row],[Date Run]]</f>
        <v>0</v>
      </c>
      <c r="M909" s="1">
        <f>ICPList[[#This Row],[Date Run]]</f>
        <v>0</v>
      </c>
      <c r="N909" s="1">
        <f>GCResults[[#This Row],[Date Run ]]</f>
        <v>0</v>
      </c>
    </row>
    <row r="910" spans="1:14" ht="14.45" x14ac:dyDescent="0.25">
      <c r="A910">
        <f>SampleList[[#This Row],[Experiment ID]]</f>
        <v>0</v>
      </c>
      <c r="B910">
        <f>SampleList[[#This Row],[Sample Description]]</f>
        <v>0</v>
      </c>
      <c r="C910" s="1">
        <f>SampleList[[#This Row],[Date Sampled]]</f>
        <v>0</v>
      </c>
      <c r="D910">
        <f>SampleList[[#This Row],[Duration (Days)]]</f>
        <v>0</v>
      </c>
      <c r="E910">
        <f>NMRResults[[#This Row],[Ammonium Concentration (mM)]]</f>
        <v>0</v>
      </c>
      <c r="F910" t="str">
        <f>GCResults[[#This Row],[H2 (ppm)]]</f>
        <v/>
      </c>
      <c r="G910">
        <f>GCResults[[#This Row],[Total Gas Volume (mL), gas cylinder = 3785mL]]</f>
        <v>0</v>
      </c>
      <c r="H910">
        <f>GCResults[[#This Row],[Pressure on Sampling (PSI), 145PSI=1MPa]]</f>
        <v>3552.5</v>
      </c>
      <c r="I910">
        <f>pHCondMod[[#This Row],[Sample pH]]</f>
        <v>0</v>
      </c>
      <c r="J910">
        <f>pHCondMod[[#This Row],[Sample Conductivity (mS/cm)]]</f>
        <v>0</v>
      </c>
      <c r="K910">
        <f>pHCondMod[[#This Row],[Modification Description]]</f>
        <v>0</v>
      </c>
      <c r="L910" s="1">
        <f>NMRResults[[#This Row],[Date Run]]</f>
        <v>0</v>
      </c>
      <c r="M910" s="1">
        <f>ICPList[[#This Row],[Date Run]]</f>
        <v>0</v>
      </c>
      <c r="N910" s="1">
        <f>GCResults[[#This Row],[Date Run ]]</f>
        <v>0</v>
      </c>
    </row>
    <row r="911" spans="1:14" ht="14.45" x14ac:dyDescent="0.25">
      <c r="A911">
        <f>SampleList[[#This Row],[Experiment ID]]</f>
        <v>0</v>
      </c>
      <c r="B911">
        <f>SampleList[[#This Row],[Sample Description]]</f>
        <v>0</v>
      </c>
      <c r="C911" s="1">
        <f>SampleList[[#This Row],[Date Sampled]]</f>
        <v>0</v>
      </c>
      <c r="D911">
        <f>SampleList[[#This Row],[Duration (Days)]]</f>
        <v>0</v>
      </c>
      <c r="E911">
        <f>NMRResults[[#This Row],[Ammonium Concentration (mM)]]</f>
        <v>0</v>
      </c>
      <c r="F911" t="str">
        <f>GCResults[[#This Row],[H2 (ppm)]]</f>
        <v/>
      </c>
      <c r="G911">
        <f>GCResults[[#This Row],[Total Gas Volume (mL), gas cylinder = 3785mL]]</f>
        <v>0</v>
      </c>
      <c r="H911">
        <f>GCResults[[#This Row],[Pressure on Sampling (PSI), 145PSI=1MPa]]</f>
        <v>3552.5</v>
      </c>
      <c r="I911">
        <f>pHCondMod[[#This Row],[Sample pH]]</f>
        <v>0</v>
      </c>
      <c r="J911">
        <f>pHCondMod[[#This Row],[Sample Conductivity (mS/cm)]]</f>
        <v>0</v>
      </c>
      <c r="K911">
        <f>pHCondMod[[#This Row],[Modification Description]]</f>
        <v>0</v>
      </c>
      <c r="L911" s="1">
        <f>NMRResults[[#This Row],[Date Run]]</f>
        <v>0</v>
      </c>
      <c r="M911" s="1">
        <f>ICPList[[#This Row],[Date Run]]</f>
        <v>0</v>
      </c>
      <c r="N911" s="1">
        <f>GCResults[[#This Row],[Date Run ]]</f>
        <v>0</v>
      </c>
    </row>
    <row r="912" spans="1:14" ht="14.45" x14ac:dyDescent="0.25">
      <c r="A912">
        <f>SampleList[[#This Row],[Experiment ID]]</f>
        <v>0</v>
      </c>
      <c r="B912">
        <f>SampleList[[#This Row],[Sample Description]]</f>
        <v>0</v>
      </c>
      <c r="C912" s="1">
        <f>SampleList[[#This Row],[Date Sampled]]</f>
        <v>0</v>
      </c>
      <c r="D912">
        <f>SampleList[[#This Row],[Duration (Days)]]</f>
        <v>0</v>
      </c>
      <c r="E912">
        <f>NMRResults[[#This Row],[Ammonium Concentration (mM)]]</f>
        <v>0</v>
      </c>
      <c r="F912" t="str">
        <f>GCResults[[#This Row],[H2 (ppm)]]</f>
        <v/>
      </c>
      <c r="G912">
        <f>GCResults[[#This Row],[Total Gas Volume (mL), gas cylinder = 3785mL]]</f>
        <v>0</v>
      </c>
      <c r="H912">
        <f>GCResults[[#This Row],[Pressure on Sampling (PSI), 145PSI=1MPa]]</f>
        <v>3552.5</v>
      </c>
      <c r="I912">
        <f>pHCondMod[[#This Row],[Sample pH]]</f>
        <v>0</v>
      </c>
      <c r="J912">
        <f>pHCondMod[[#This Row],[Sample Conductivity (mS/cm)]]</f>
        <v>0</v>
      </c>
      <c r="K912">
        <f>pHCondMod[[#This Row],[Modification Description]]</f>
        <v>0</v>
      </c>
      <c r="L912" s="1">
        <f>NMRResults[[#This Row],[Date Run]]</f>
        <v>0</v>
      </c>
      <c r="M912" s="1">
        <f>ICPList[[#This Row],[Date Run]]</f>
        <v>0</v>
      </c>
      <c r="N912" s="1">
        <f>GCResults[[#This Row],[Date Run ]]</f>
        <v>0</v>
      </c>
    </row>
    <row r="913" spans="1:14" ht="14.45" x14ac:dyDescent="0.25">
      <c r="A913">
        <f>SampleList[[#This Row],[Experiment ID]]</f>
        <v>0</v>
      </c>
      <c r="B913">
        <f>SampleList[[#This Row],[Sample Description]]</f>
        <v>0</v>
      </c>
      <c r="C913" s="1">
        <f>SampleList[[#This Row],[Date Sampled]]</f>
        <v>0</v>
      </c>
      <c r="D913">
        <f>SampleList[[#This Row],[Duration (Days)]]</f>
        <v>0</v>
      </c>
      <c r="E913">
        <f>NMRResults[[#This Row],[Ammonium Concentration (mM)]]</f>
        <v>0</v>
      </c>
      <c r="F913" t="str">
        <f>GCResults[[#This Row],[H2 (ppm)]]</f>
        <v/>
      </c>
      <c r="G913">
        <f>GCResults[[#This Row],[Total Gas Volume (mL), gas cylinder = 3785mL]]</f>
        <v>0</v>
      </c>
      <c r="H913">
        <f>GCResults[[#This Row],[Pressure on Sampling (PSI), 145PSI=1MPa]]</f>
        <v>3552.5</v>
      </c>
      <c r="I913">
        <f>pHCondMod[[#This Row],[Sample pH]]</f>
        <v>0</v>
      </c>
      <c r="J913">
        <f>pHCondMod[[#This Row],[Sample Conductivity (mS/cm)]]</f>
        <v>0</v>
      </c>
      <c r="K913">
        <f>pHCondMod[[#This Row],[Modification Description]]</f>
        <v>0</v>
      </c>
      <c r="L913" s="1">
        <f>NMRResults[[#This Row],[Date Run]]</f>
        <v>0</v>
      </c>
      <c r="M913" s="1">
        <f>ICPList[[#This Row],[Date Run]]</f>
        <v>0</v>
      </c>
      <c r="N913" s="1">
        <f>GCResults[[#This Row],[Date Run ]]</f>
        <v>0</v>
      </c>
    </row>
    <row r="914" spans="1:14" ht="14.45" x14ac:dyDescent="0.25">
      <c r="A914">
        <f>SampleList[[#This Row],[Experiment ID]]</f>
        <v>0</v>
      </c>
      <c r="B914">
        <f>SampleList[[#This Row],[Sample Description]]</f>
        <v>0</v>
      </c>
      <c r="C914" s="1">
        <f>SampleList[[#This Row],[Date Sampled]]</f>
        <v>0</v>
      </c>
      <c r="D914">
        <f>SampleList[[#This Row],[Duration (Days)]]</f>
        <v>0</v>
      </c>
      <c r="E914">
        <f>NMRResults[[#This Row],[Ammonium Concentration (mM)]]</f>
        <v>0</v>
      </c>
      <c r="F914" t="str">
        <f>GCResults[[#This Row],[H2 (ppm)]]</f>
        <v/>
      </c>
      <c r="G914">
        <f>GCResults[[#This Row],[Total Gas Volume (mL), gas cylinder = 3785mL]]</f>
        <v>0</v>
      </c>
      <c r="H914">
        <f>GCResults[[#This Row],[Pressure on Sampling (PSI), 145PSI=1MPa]]</f>
        <v>3552.5</v>
      </c>
      <c r="I914">
        <f>pHCondMod[[#This Row],[Sample pH]]</f>
        <v>0</v>
      </c>
      <c r="J914">
        <f>pHCondMod[[#This Row],[Sample Conductivity (mS/cm)]]</f>
        <v>0</v>
      </c>
      <c r="K914">
        <f>pHCondMod[[#This Row],[Modification Description]]</f>
        <v>0</v>
      </c>
      <c r="L914" s="1">
        <f>NMRResults[[#This Row],[Date Run]]</f>
        <v>0</v>
      </c>
      <c r="M914" s="1">
        <f>ICPList[[#This Row],[Date Run]]</f>
        <v>0</v>
      </c>
      <c r="N914" s="1">
        <f>GCResults[[#This Row],[Date Run ]]</f>
        <v>0</v>
      </c>
    </row>
    <row r="915" spans="1:14" ht="14.45" x14ac:dyDescent="0.25">
      <c r="A915">
        <f>SampleList[[#This Row],[Experiment ID]]</f>
        <v>0</v>
      </c>
      <c r="B915">
        <f>SampleList[[#This Row],[Sample Description]]</f>
        <v>0</v>
      </c>
      <c r="C915" s="1">
        <f>SampleList[[#This Row],[Date Sampled]]</f>
        <v>0</v>
      </c>
      <c r="D915">
        <f>SampleList[[#This Row],[Duration (Days)]]</f>
        <v>0</v>
      </c>
      <c r="E915">
        <f>NMRResults[[#This Row],[Ammonium Concentration (mM)]]</f>
        <v>0</v>
      </c>
      <c r="F915" t="str">
        <f>GCResults[[#This Row],[H2 (ppm)]]</f>
        <v/>
      </c>
      <c r="G915">
        <f>GCResults[[#This Row],[Total Gas Volume (mL), gas cylinder = 3785mL]]</f>
        <v>0</v>
      </c>
      <c r="H915">
        <f>GCResults[[#This Row],[Pressure on Sampling (PSI), 145PSI=1MPa]]</f>
        <v>3552.5</v>
      </c>
      <c r="I915">
        <f>pHCondMod[[#This Row],[Sample pH]]</f>
        <v>0</v>
      </c>
      <c r="J915">
        <f>pHCondMod[[#This Row],[Sample Conductivity (mS/cm)]]</f>
        <v>0</v>
      </c>
      <c r="K915">
        <f>pHCondMod[[#This Row],[Modification Description]]</f>
        <v>0</v>
      </c>
      <c r="L915" s="1">
        <f>NMRResults[[#This Row],[Date Run]]</f>
        <v>0</v>
      </c>
      <c r="M915" s="1">
        <f>ICPList[[#This Row],[Date Run]]</f>
        <v>0</v>
      </c>
      <c r="N915" s="1">
        <f>GCResults[[#This Row],[Date Run ]]</f>
        <v>0</v>
      </c>
    </row>
    <row r="916" spans="1:14" ht="14.45" x14ac:dyDescent="0.25">
      <c r="A916">
        <f>SampleList[[#This Row],[Experiment ID]]</f>
        <v>0</v>
      </c>
      <c r="B916">
        <f>SampleList[[#This Row],[Sample Description]]</f>
        <v>0</v>
      </c>
      <c r="C916" s="1">
        <f>SampleList[[#This Row],[Date Sampled]]</f>
        <v>0</v>
      </c>
      <c r="D916">
        <f>SampleList[[#This Row],[Duration (Days)]]</f>
        <v>0</v>
      </c>
      <c r="E916">
        <f>NMRResults[[#This Row],[Ammonium Concentration (mM)]]</f>
        <v>0</v>
      </c>
      <c r="F916" t="str">
        <f>GCResults[[#This Row],[H2 (ppm)]]</f>
        <v/>
      </c>
      <c r="G916">
        <f>GCResults[[#This Row],[Total Gas Volume (mL), gas cylinder = 3785mL]]</f>
        <v>0</v>
      </c>
      <c r="H916">
        <f>GCResults[[#This Row],[Pressure on Sampling (PSI), 145PSI=1MPa]]</f>
        <v>3552.5</v>
      </c>
      <c r="I916">
        <f>pHCondMod[[#This Row],[Sample pH]]</f>
        <v>0</v>
      </c>
      <c r="J916">
        <f>pHCondMod[[#This Row],[Sample Conductivity (mS/cm)]]</f>
        <v>0</v>
      </c>
      <c r="K916">
        <f>pHCondMod[[#This Row],[Modification Description]]</f>
        <v>0</v>
      </c>
      <c r="L916" s="1">
        <f>NMRResults[[#This Row],[Date Run]]</f>
        <v>0</v>
      </c>
      <c r="M916" s="1">
        <f>ICPList[[#This Row],[Date Run]]</f>
        <v>0</v>
      </c>
      <c r="N916" s="1">
        <f>GCResults[[#This Row],[Date Run ]]</f>
        <v>0</v>
      </c>
    </row>
    <row r="917" spans="1:14" ht="14.45" x14ac:dyDescent="0.25">
      <c r="A917">
        <f>SampleList[[#This Row],[Experiment ID]]</f>
        <v>0</v>
      </c>
      <c r="B917">
        <f>SampleList[[#This Row],[Sample Description]]</f>
        <v>0</v>
      </c>
      <c r="C917" s="1">
        <f>SampleList[[#This Row],[Date Sampled]]</f>
        <v>0</v>
      </c>
      <c r="D917">
        <f>SampleList[[#This Row],[Duration (Days)]]</f>
        <v>0</v>
      </c>
      <c r="E917">
        <f>NMRResults[[#This Row],[Ammonium Concentration (mM)]]</f>
        <v>0</v>
      </c>
      <c r="F917" t="str">
        <f>GCResults[[#This Row],[H2 (ppm)]]</f>
        <v/>
      </c>
      <c r="G917">
        <f>GCResults[[#This Row],[Total Gas Volume (mL), gas cylinder = 3785mL]]</f>
        <v>0</v>
      </c>
      <c r="H917">
        <f>GCResults[[#This Row],[Pressure on Sampling (PSI), 145PSI=1MPa]]</f>
        <v>3552.5</v>
      </c>
      <c r="I917">
        <f>pHCondMod[[#This Row],[Sample pH]]</f>
        <v>0</v>
      </c>
      <c r="J917">
        <f>pHCondMod[[#This Row],[Sample Conductivity (mS/cm)]]</f>
        <v>0</v>
      </c>
      <c r="K917">
        <f>pHCondMod[[#This Row],[Modification Description]]</f>
        <v>0</v>
      </c>
      <c r="L917" s="1">
        <f>NMRResults[[#This Row],[Date Run]]</f>
        <v>0</v>
      </c>
      <c r="M917" s="1">
        <f>ICPList[[#This Row],[Date Run]]</f>
        <v>0</v>
      </c>
      <c r="N917" s="1">
        <f>GCResults[[#This Row],[Date Run ]]</f>
        <v>0</v>
      </c>
    </row>
    <row r="918" spans="1:14" ht="14.45" x14ac:dyDescent="0.25">
      <c r="A918">
        <f>SampleList[[#This Row],[Experiment ID]]</f>
        <v>0</v>
      </c>
      <c r="B918">
        <f>SampleList[[#This Row],[Sample Description]]</f>
        <v>0</v>
      </c>
      <c r="C918" s="1">
        <f>SampleList[[#This Row],[Date Sampled]]</f>
        <v>0</v>
      </c>
      <c r="D918">
        <f>SampleList[[#This Row],[Duration (Days)]]</f>
        <v>0</v>
      </c>
      <c r="E918">
        <f>NMRResults[[#This Row],[Ammonium Concentration (mM)]]</f>
        <v>0</v>
      </c>
      <c r="F918" t="str">
        <f>GCResults[[#This Row],[H2 (ppm)]]</f>
        <v/>
      </c>
      <c r="G918">
        <f>GCResults[[#This Row],[Total Gas Volume (mL), gas cylinder = 3785mL]]</f>
        <v>0</v>
      </c>
      <c r="H918">
        <f>GCResults[[#This Row],[Pressure on Sampling (PSI), 145PSI=1MPa]]</f>
        <v>3552.5</v>
      </c>
      <c r="I918">
        <f>pHCondMod[[#This Row],[Sample pH]]</f>
        <v>0</v>
      </c>
      <c r="J918">
        <f>pHCondMod[[#This Row],[Sample Conductivity (mS/cm)]]</f>
        <v>0</v>
      </c>
      <c r="K918">
        <f>pHCondMod[[#This Row],[Modification Description]]</f>
        <v>0</v>
      </c>
      <c r="L918" s="1">
        <f>NMRResults[[#This Row],[Date Run]]</f>
        <v>0</v>
      </c>
      <c r="M918" s="1">
        <f>ICPList[[#This Row],[Date Run]]</f>
        <v>0</v>
      </c>
      <c r="N918" s="1">
        <f>GCResults[[#This Row],[Date Run ]]</f>
        <v>0</v>
      </c>
    </row>
    <row r="919" spans="1:14" ht="14.45" x14ac:dyDescent="0.25">
      <c r="A919">
        <f>SampleList[[#This Row],[Experiment ID]]</f>
        <v>0</v>
      </c>
      <c r="B919">
        <f>SampleList[[#This Row],[Sample Description]]</f>
        <v>0</v>
      </c>
      <c r="C919" s="1">
        <f>SampleList[[#This Row],[Date Sampled]]</f>
        <v>0</v>
      </c>
      <c r="D919">
        <f>SampleList[[#This Row],[Duration (Days)]]</f>
        <v>0</v>
      </c>
      <c r="E919">
        <f>NMRResults[[#This Row],[Ammonium Concentration (mM)]]</f>
        <v>0</v>
      </c>
      <c r="F919" t="str">
        <f>GCResults[[#This Row],[H2 (ppm)]]</f>
        <v/>
      </c>
      <c r="G919">
        <f>GCResults[[#This Row],[Total Gas Volume (mL), gas cylinder = 3785mL]]</f>
        <v>0</v>
      </c>
      <c r="H919">
        <f>GCResults[[#This Row],[Pressure on Sampling (PSI), 145PSI=1MPa]]</f>
        <v>3552.5</v>
      </c>
      <c r="I919">
        <f>pHCondMod[[#This Row],[Sample pH]]</f>
        <v>0</v>
      </c>
      <c r="J919">
        <f>pHCondMod[[#This Row],[Sample Conductivity (mS/cm)]]</f>
        <v>0</v>
      </c>
      <c r="K919">
        <f>pHCondMod[[#This Row],[Modification Description]]</f>
        <v>0</v>
      </c>
      <c r="L919" s="1">
        <f>NMRResults[[#This Row],[Date Run]]</f>
        <v>0</v>
      </c>
      <c r="M919" s="1">
        <f>ICPList[[#This Row],[Date Run]]</f>
        <v>0</v>
      </c>
      <c r="N919" s="1">
        <f>GCResults[[#This Row],[Date Run ]]</f>
        <v>0</v>
      </c>
    </row>
    <row r="920" spans="1:14" ht="14.45" x14ac:dyDescent="0.25">
      <c r="A920">
        <f>SampleList[[#This Row],[Experiment ID]]</f>
        <v>0</v>
      </c>
      <c r="B920">
        <f>SampleList[[#This Row],[Sample Description]]</f>
        <v>0</v>
      </c>
      <c r="C920" s="1">
        <f>SampleList[[#This Row],[Date Sampled]]</f>
        <v>0</v>
      </c>
      <c r="D920">
        <f>SampleList[[#This Row],[Duration (Days)]]</f>
        <v>0</v>
      </c>
      <c r="E920">
        <f>NMRResults[[#This Row],[Ammonium Concentration (mM)]]</f>
        <v>0</v>
      </c>
      <c r="F920" t="str">
        <f>GCResults[[#This Row],[H2 (ppm)]]</f>
        <v/>
      </c>
      <c r="G920">
        <f>GCResults[[#This Row],[Total Gas Volume (mL), gas cylinder = 3785mL]]</f>
        <v>0</v>
      </c>
      <c r="H920">
        <f>GCResults[[#This Row],[Pressure on Sampling (PSI), 145PSI=1MPa]]</f>
        <v>3552.5</v>
      </c>
      <c r="I920">
        <f>pHCondMod[[#This Row],[Sample pH]]</f>
        <v>0</v>
      </c>
      <c r="J920">
        <f>pHCondMod[[#This Row],[Sample Conductivity (mS/cm)]]</f>
        <v>0</v>
      </c>
      <c r="K920">
        <f>pHCondMod[[#This Row],[Modification Description]]</f>
        <v>0</v>
      </c>
      <c r="L920" s="1">
        <f>NMRResults[[#This Row],[Date Run]]</f>
        <v>0</v>
      </c>
      <c r="M920" s="1">
        <f>ICPList[[#This Row],[Date Run]]</f>
        <v>0</v>
      </c>
      <c r="N920" s="1">
        <f>GCResults[[#This Row],[Date Run ]]</f>
        <v>0</v>
      </c>
    </row>
    <row r="921" spans="1:14" ht="14.45" x14ac:dyDescent="0.25">
      <c r="A921">
        <f>SampleList[[#This Row],[Experiment ID]]</f>
        <v>0</v>
      </c>
      <c r="B921">
        <f>SampleList[[#This Row],[Sample Description]]</f>
        <v>0</v>
      </c>
      <c r="C921" s="1">
        <f>SampleList[[#This Row],[Date Sampled]]</f>
        <v>0</v>
      </c>
      <c r="D921">
        <f>SampleList[[#This Row],[Duration (Days)]]</f>
        <v>0</v>
      </c>
      <c r="E921">
        <f>NMRResults[[#This Row],[Ammonium Concentration (mM)]]</f>
        <v>0</v>
      </c>
      <c r="F921" t="str">
        <f>GCResults[[#This Row],[H2 (ppm)]]</f>
        <v/>
      </c>
      <c r="G921">
        <f>GCResults[[#This Row],[Total Gas Volume (mL), gas cylinder = 3785mL]]</f>
        <v>0</v>
      </c>
      <c r="H921">
        <f>GCResults[[#This Row],[Pressure on Sampling (PSI), 145PSI=1MPa]]</f>
        <v>3552.5</v>
      </c>
      <c r="I921">
        <f>pHCondMod[[#This Row],[Sample pH]]</f>
        <v>0</v>
      </c>
      <c r="J921">
        <f>pHCondMod[[#This Row],[Sample Conductivity (mS/cm)]]</f>
        <v>0</v>
      </c>
      <c r="K921">
        <f>pHCondMod[[#This Row],[Modification Description]]</f>
        <v>0</v>
      </c>
      <c r="L921" s="1">
        <f>NMRResults[[#This Row],[Date Run]]</f>
        <v>0</v>
      </c>
      <c r="M921" s="1">
        <f>ICPList[[#This Row],[Date Run]]</f>
        <v>0</v>
      </c>
      <c r="N921" s="1">
        <f>GCResults[[#This Row],[Date Run ]]</f>
        <v>0</v>
      </c>
    </row>
    <row r="922" spans="1:14" ht="14.45" x14ac:dyDescent="0.25">
      <c r="A922">
        <f>SampleList[[#This Row],[Experiment ID]]</f>
        <v>0</v>
      </c>
      <c r="B922">
        <f>SampleList[[#This Row],[Sample Description]]</f>
        <v>0</v>
      </c>
      <c r="C922" s="1">
        <f>SampleList[[#This Row],[Date Sampled]]</f>
        <v>0</v>
      </c>
      <c r="D922">
        <f>SampleList[[#This Row],[Duration (Days)]]</f>
        <v>0</v>
      </c>
      <c r="E922">
        <f>NMRResults[[#This Row],[Ammonium Concentration (mM)]]</f>
        <v>0</v>
      </c>
      <c r="F922" t="str">
        <f>GCResults[[#This Row],[H2 (ppm)]]</f>
        <v/>
      </c>
      <c r="G922">
        <f>GCResults[[#This Row],[Total Gas Volume (mL), gas cylinder = 3785mL]]</f>
        <v>0</v>
      </c>
      <c r="H922">
        <f>GCResults[[#This Row],[Pressure on Sampling (PSI), 145PSI=1MPa]]</f>
        <v>3552.5</v>
      </c>
      <c r="I922">
        <f>pHCondMod[[#This Row],[Sample pH]]</f>
        <v>0</v>
      </c>
      <c r="J922">
        <f>pHCondMod[[#This Row],[Sample Conductivity (mS/cm)]]</f>
        <v>0</v>
      </c>
      <c r="K922">
        <f>pHCondMod[[#This Row],[Modification Description]]</f>
        <v>0</v>
      </c>
      <c r="L922" s="1">
        <f>NMRResults[[#This Row],[Date Run]]</f>
        <v>0</v>
      </c>
      <c r="M922" s="1">
        <f>ICPList[[#This Row],[Date Run]]</f>
        <v>0</v>
      </c>
      <c r="N922" s="1">
        <f>GCResults[[#This Row],[Date Run ]]</f>
        <v>0</v>
      </c>
    </row>
    <row r="923" spans="1:14" ht="14.45" x14ac:dyDescent="0.25">
      <c r="A923">
        <f>SampleList[[#This Row],[Experiment ID]]</f>
        <v>0</v>
      </c>
      <c r="B923">
        <f>SampleList[[#This Row],[Sample Description]]</f>
        <v>0</v>
      </c>
      <c r="C923" s="1">
        <f>SampleList[[#This Row],[Date Sampled]]</f>
        <v>0</v>
      </c>
      <c r="D923">
        <f>SampleList[[#This Row],[Duration (Days)]]</f>
        <v>0</v>
      </c>
      <c r="E923">
        <f>NMRResults[[#This Row],[Ammonium Concentration (mM)]]</f>
        <v>0</v>
      </c>
      <c r="F923" t="str">
        <f>GCResults[[#This Row],[H2 (ppm)]]</f>
        <v/>
      </c>
      <c r="G923">
        <f>GCResults[[#This Row],[Total Gas Volume (mL), gas cylinder = 3785mL]]</f>
        <v>0</v>
      </c>
      <c r="H923">
        <f>GCResults[[#This Row],[Pressure on Sampling (PSI), 145PSI=1MPa]]</f>
        <v>3552.5</v>
      </c>
      <c r="I923">
        <f>pHCondMod[[#This Row],[Sample pH]]</f>
        <v>0</v>
      </c>
      <c r="J923">
        <f>pHCondMod[[#This Row],[Sample Conductivity (mS/cm)]]</f>
        <v>0</v>
      </c>
      <c r="K923">
        <f>pHCondMod[[#This Row],[Modification Description]]</f>
        <v>0</v>
      </c>
      <c r="L923" s="1">
        <f>NMRResults[[#This Row],[Date Run]]</f>
        <v>0</v>
      </c>
      <c r="M923" s="1">
        <f>ICPList[[#This Row],[Date Run]]</f>
        <v>0</v>
      </c>
      <c r="N923" s="1">
        <f>GCResults[[#This Row],[Date Run ]]</f>
        <v>0</v>
      </c>
    </row>
    <row r="924" spans="1:14" ht="14.45" x14ac:dyDescent="0.25">
      <c r="A924">
        <f>SampleList[[#This Row],[Experiment ID]]</f>
        <v>0</v>
      </c>
      <c r="B924">
        <f>SampleList[[#This Row],[Sample Description]]</f>
        <v>0</v>
      </c>
      <c r="C924" s="1">
        <f>SampleList[[#This Row],[Date Sampled]]</f>
        <v>0</v>
      </c>
      <c r="D924">
        <f>SampleList[[#This Row],[Duration (Days)]]</f>
        <v>0</v>
      </c>
      <c r="E924">
        <f>NMRResults[[#This Row],[Ammonium Concentration (mM)]]</f>
        <v>0</v>
      </c>
      <c r="F924" t="str">
        <f>GCResults[[#This Row],[H2 (ppm)]]</f>
        <v/>
      </c>
      <c r="G924">
        <f>GCResults[[#This Row],[Total Gas Volume (mL), gas cylinder = 3785mL]]</f>
        <v>0</v>
      </c>
      <c r="H924">
        <f>GCResults[[#This Row],[Pressure on Sampling (PSI), 145PSI=1MPa]]</f>
        <v>3552.5</v>
      </c>
      <c r="I924">
        <f>pHCondMod[[#This Row],[Sample pH]]</f>
        <v>0</v>
      </c>
      <c r="J924">
        <f>pHCondMod[[#This Row],[Sample Conductivity (mS/cm)]]</f>
        <v>0</v>
      </c>
      <c r="K924">
        <f>pHCondMod[[#This Row],[Modification Description]]</f>
        <v>0</v>
      </c>
      <c r="L924" s="1">
        <f>NMRResults[[#This Row],[Date Run]]</f>
        <v>0</v>
      </c>
      <c r="M924" s="1">
        <f>ICPList[[#This Row],[Date Run]]</f>
        <v>0</v>
      </c>
      <c r="N924" s="1">
        <f>GCResults[[#This Row],[Date Run ]]</f>
        <v>0</v>
      </c>
    </row>
    <row r="925" spans="1:14" ht="14.45" x14ac:dyDescent="0.25">
      <c r="A925">
        <f>SampleList[[#This Row],[Experiment ID]]</f>
        <v>0</v>
      </c>
      <c r="B925">
        <f>SampleList[[#This Row],[Sample Description]]</f>
        <v>0</v>
      </c>
      <c r="C925" s="1">
        <f>SampleList[[#This Row],[Date Sampled]]</f>
        <v>0</v>
      </c>
      <c r="D925">
        <f>SampleList[[#This Row],[Duration (Days)]]</f>
        <v>0</v>
      </c>
      <c r="E925">
        <f>NMRResults[[#This Row],[Ammonium Concentration (mM)]]</f>
        <v>0</v>
      </c>
      <c r="F925" t="str">
        <f>GCResults[[#This Row],[H2 (ppm)]]</f>
        <v/>
      </c>
      <c r="G925">
        <f>GCResults[[#This Row],[Total Gas Volume (mL), gas cylinder = 3785mL]]</f>
        <v>0</v>
      </c>
      <c r="H925">
        <f>GCResults[[#This Row],[Pressure on Sampling (PSI), 145PSI=1MPa]]</f>
        <v>3552.5</v>
      </c>
      <c r="I925">
        <f>pHCondMod[[#This Row],[Sample pH]]</f>
        <v>0</v>
      </c>
      <c r="J925">
        <f>pHCondMod[[#This Row],[Sample Conductivity (mS/cm)]]</f>
        <v>0</v>
      </c>
      <c r="K925">
        <f>pHCondMod[[#This Row],[Modification Description]]</f>
        <v>0</v>
      </c>
      <c r="L925" s="1">
        <f>NMRResults[[#This Row],[Date Run]]</f>
        <v>0</v>
      </c>
      <c r="M925" s="1">
        <f>ICPList[[#This Row],[Date Run]]</f>
        <v>0</v>
      </c>
      <c r="N925" s="1">
        <f>GCResults[[#This Row],[Date Run ]]</f>
        <v>0</v>
      </c>
    </row>
    <row r="926" spans="1:14" ht="14.45" x14ac:dyDescent="0.25">
      <c r="A926">
        <f>SampleList[[#This Row],[Experiment ID]]</f>
        <v>0</v>
      </c>
      <c r="B926">
        <f>SampleList[[#This Row],[Sample Description]]</f>
        <v>0</v>
      </c>
      <c r="C926" s="1">
        <f>SampleList[[#This Row],[Date Sampled]]</f>
        <v>0</v>
      </c>
      <c r="D926">
        <f>SampleList[[#This Row],[Duration (Days)]]</f>
        <v>0</v>
      </c>
      <c r="E926">
        <f>NMRResults[[#This Row],[Ammonium Concentration (mM)]]</f>
        <v>0</v>
      </c>
      <c r="F926" t="str">
        <f>GCResults[[#This Row],[H2 (ppm)]]</f>
        <v/>
      </c>
      <c r="G926">
        <f>GCResults[[#This Row],[Total Gas Volume (mL), gas cylinder = 3785mL]]</f>
        <v>0</v>
      </c>
      <c r="H926">
        <f>GCResults[[#This Row],[Pressure on Sampling (PSI), 145PSI=1MPa]]</f>
        <v>3552.5</v>
      </c>
      <c r="I926">
        <f>pHCondMod[[#This Row],[Sample pH]]</f>
        <v>0</v>
      </c>
      <c r="J926">
        <f>pHCondMod[[#This Row],[Sample Conductivity (mS/cm)]]</f>
        <v>0</v>
      </c>
      <c r="K926">
        <f>pHCondMod[[#This Row],[Modification Description]]</f>
        <v>0</v>
      </c>
      <c r="L926" s="1">
        <f>NMRResults[[#This Row],[Date Run]]</f>
        <v>0</v>
      </c>
      <c r="M926" s="1">
        <f>ICPList[[#This Row],[Date Run]]</f>
        <v>0</v>
      </c>
      <c r="N926" s="1">
        <f>GCResults[[#This Row],[Date Run ]]</f>
        <v>0</v>
      </c>
    </row>
    <row r="927" spans="1:14" ht="14.45" x14ac:dyDescent="0.25">
      <c r="A927">
        <f>SampleList[[#This Row],[Experiment ID]]</f>
        <v>0</v>
      </c>
      <c r="B927">
        <f>SampleList[[#This Row],[Sample Description]]</f>
        <v>0</v>
      </c>
      <c r="C927" s="1">
        <f>SampleList[[#This Row],[Date Sampled]]</f>
        <v>0</v>
      </c>
      <c r="D927">
        <f>SampleList[[#This Row],[Duration (Days)]]</f>
        <v>0</v>
      </c>
      <c r="E927">
        <f>NMRResults[[#This Row],[Ammonium Concentration (mM)]]</f>
        <v>0</v>
      </c>
      <c r="F927" t="str">
        <f>GCResults[[#This Row],[H2 (ppm)]]</f>
        <v/>
      </c>
      <c r="G927">
        <f>GCResults[[#This Row],[Total Gas Volume (mL), gas cylinder = 3785mL]]</f>
        <v>0</v>
      </c>
      <c r="H927">
        <f>GCResults[[#This Row],[Pressure on Sampling (PSI), 145PSI=1MPa]]</f>
        <v>3552.5</v>
      </c>
      <c r="I927">
        <f>pHCondMod[[#This Row],[Sample pH]]</f>
        <v>0</v>
      </c>
      <c r="J927">
        <f>pHCondMod[[#This Row],[Sample Conductivity (mS/cm)]]</f>
        <v>0</v>
      </c>
      <c r="K927">
        <f>pHCondMod[[#This Row],[Modification Description]]</f>
        <v>0</v>
      </c>
      <c r="L927" s="1">
        <f>NMRResults[[#This Row],[Date Run]]</f>
        <v>0</v>
      </c>
      <c r="M927" s="1">
        <f>ICPList[[#This Row],[Date Run]]</f>
        <v>0</v>
      </c>
      <c r="N927" s="1">
        <f>GCResults[[#This Row],[Date Run ]]</f>
        <v>0</v>
      </c>
    </row>
    <row r="928" spans="1:14" ht="14.45" x14ac:dyDescent="0.25">
      <c r="A928">
        <f>SampleList[[#This Row],[Experiment ID]]</f>
        <v>0</v>
      </c>
      <c r="B928">
        <f>SampleList[[#This Row],[Sample Description]]</f>
        <v>0</v>
      </c>
      <c r="C928" s="1">
        <f>SampleList[[#This Row],[Date Sampled]]</f>
        <v>0</v>
      </c>
      <c r="D928">
        <f>SampleList[[#This Row],[Duration (Days)]]</f>
        <v>0</v>
      </c>
      <c r="E928">
        <f>NMRResults[[#This Row],[Ammonium Concentration (mM)]]</f>
        <v>0</v>
      </c>
      <c r="F928" t="str">
        <f>GCResults[[#This Row],[H2 (ppm)]]</f>
        <v/>
      </c>
      <c r="G928">
        <f>GCResults[[#This Row],[Total Gas Volume (mL), gas cylinder = 3785mL]]</f>
        <v>0</v>
      </c>
      <c r="H928">
        <f>GCResults[[#This Row],[Pressure on Sampling (PSI), 145PSI=1MPa]]</f>
        <v>3552.5</v>
      </c>
      <c r="I928">
        <f>pHCondMod[[#This Row],[Sample pH]]</f>
        <v>0</v>
      </c>
      <c r="J928">
        <f>pHCondMod[[#This Row],[Sample Conductivity (mS/cm)]]</f>
        <v>0</v>
      </c>
      <c r="K928">
        <f>pHCondMod[[#This Row],[Modification Description]]</f>
        <v>0</v>
      </c>
      <c r="L928" s="1">
        <f>NMRResults[[#This Row],[Date Run]]</f>
        <v>0</v>
      </c>
      <c r="M928" s="1">
        <f>ICPList[[#This Row],[Date Run]]</f>
        <v>0</v>
      </c>
      <c r="N928" s="1">
        <f>GCResults[[#This Row],[Date Run ]]</f>
        <v>0</v>
      </c>
    </row>
    <row r="929" spans="1:14" ht="14.45" x14ac:dyDescent="0.25">
      <c r="A929">
        <f>SampleList[[#This Row],[Experiment ID]]</f>
        <v>0</v>
      </c>
      <c r="B929">
        <f>SampleList[[#This Row],[Sample Description]]</f>
        <v>0</v>
      </c>
      <c r="C929" s="1">
        <f>SampleList[[#This Row],[Date Sampled]]</f>
        <v>0</v>
      </c>
      <c r="D929">
        <f>SampleList[[#This Row],[Duration (Days)]]</f>
        <v>0</v>
      </c>
      <c r="E929">
        <f>NMRResults[[#This Row],[Ammonium Concentration (mM)]]</f>
        <v>0</v>
      </c>
      <c r="F929" t="str">
        <f>GCResults[[#This Row],[H2 (ppm)]]</f>
        <v/>
      </c>
      <c r="G929">
        <f>GCResults[[#This Row],[Total Gas Volume (mL), gas cylinder = 3785mL]]</f>
        <v>0</v>
      </c>
      <c r="H929">
        <f>GCResults[[#This Row],[Pressure on Sampling (PSI), 145PSI=1MPa]]</f>
        <v>3552.5</v>
      </c>
      <c r="I929">
        <f>pHCondMod[[#This Row],[Sample pH]]</f>
        <v>0</v>
      </c>
      <c r="J929">
        <f>pHCondMod[[#This Row],[Sample Conductivity (mS/cm)]]</f>
        <v>0</v>
      </c>
      <c r="K929">
        <f>pHCondMod[[#This Row],[Modification Description]]</f>
        <v>0</v>
      </c>
      <c r="L929" s="1">
        <f>NMRResults[[#This Row],[Date Run]]</f>
        <v>0</v>
      </c>
      <c r="M929" s="1">
        <f>ICPList[[#This Row],[Date Run]]</f>
        <v>0</v>
      </c>
      <c r="N929" s="1">
        <f>GCResults[[#This Row],[Date Run ]]</f>
        <v>0</v>
      </c>
    </row>
    <row r="930" spans="1:14" ht="14.45" x14ac:dyDescent="0.25">
      <c r="A930">
        <f>SampleList[[#This Row],[Experiment ID]]</f>
        <v>0</v>
      </c>
      <c r="B930">
        <f>SampleList[[#This Row],[Sample Description]]</f>
        <v>0</v>
      </c>
      <c r="C930" s="1">
        <f>SampleList[[#This Row],[Date Sampled]]</f>
        <v>0</v>
      </c>
      <c r="D930">
        <f>SampleList[[#This Row],[Duration (Days)]]</f>
        <v>0</v>
      </c>
      <c r="E930">
        <f>NMRResults[[#This Row],[Ammonium Concentration (mM)]]</f>
        <v>0</v>
      </c>
      <c r="F930" t="str">
        <f>GCResults[[#This Row],[H2 (ppm)]]</f>
        <v/>
      </c>
      <c r="G930">
        <f>GCResults[[#This Row],[Total Gas Volume (mL), gas cylinder = 3785mL]]</f>
        <v>0</v>
      </c>
      <c r="H930">
        <f>GCResults[[#This Row],[Pressure on Sampling (PSI), 145PSI=1MPa]]</f>
        <v>3552.5</v>
      </c>
      <c r="I930">
        <f>pHCondMod[[#This Row],[Sample pH]]</f>
        <v>0</v>
      </c>
      <c r="J930">
        <f>pHCondMod[[#This Row],[Sample Conductivity (mS/cm)]]</f>
        <v>0</v>
      </c>
      <c r="K930">
        <f>pHCondMod[[#This Row],[Modification Description]]</f>
        <v>0</v>
      </c>
      <c r="L930" s="1">
        <f>NMRResults[[#This Row],[Date Run]]</f>
        <v>0</v>
      </c>
      <c r="M930" s="1">
        <f>ICPList[[#This Row],[Date Run]]</f>
        <v>0</v>
      </c>
      <c r="N930" s="1">
        <f>GCResults[[#This Row],[Date Run ]]</f>
        <v>0</v>
      </c>
    </row>
    <row r="931" spans="1:14" ht="14.45" x14ac:dyDescent="0.25">
      <c r="A931">
        <f>SampleList[[#This Row],[Experiment ID]]</f>
        <v>0</v>
      </c>
      <c r="B931">
        <f>SampleList[[#This Row],[Sample Description]]</f>
        <v>0</v>
      </c>
      <c r="C931" s="1">
        <f>SampleList[[#This Row],[Date Sampled]]</f>
        <v>0</v>
      </c>
      <c r="D931">
        <f>SampleList[[#This Row],[Duration (Days)]]</f>
        <v>0</v>
      </c>
      <c r="E931">
        <f>NMRResults[[#This Row],[Ammonium Concentration (mM)]]</f>
        <v>0</v>
      </c>
      <c r="F931" t="str">
        <f>GCResults[[#This Row],[H2 (ppm)]]</f>
        <v/>
      </c>
      <c r="G931">
        <f>GCResults[[#This Row],[Total Gas Volume (mL), gas cylinder = 3785mL]]</f>
        <v>0</v>
      </c>
      <c r="H931">
        <f>GCResults[[#This Row],[Pressure on Sampling (PSI), 145PSI=1MPa]]</f>
        <v>3552.5</v>
      </c>
      <c r="I931">
        <f>pHCondMod[[#This Row],[Sample pH]]</f>
        <v>0</v>
      </c>
      <c r="J931">
        <f>pHCondMod[[#This Row],[Sample Conductivity (mS/cm)]]</f>
        <v>0</v>
      </c>
      <c r="K931">
        <f>pHCondMod[[#This Row],[Modification Description]]</f>
        <v>0</v>
      </c>
      <c r="L931" s="1">
        <f>NMRResults[[#This Row],[Date Run]]</f>
        <v>0</v>
      </c>
      <c r="M931" s="1">
        <f>ICPList[[#This Row],[Date Run]]</f>
        <v>0</v>
      </c>
      <c r="N931" s="1">
        <f>GCResults[[#This Row],[Date Run ]]</f>
        <v>0</v>
      </c>
    </row>
    <row r="932" spans="1:14" ht="14.45" x14ac:dyDescent="0.25">
      <c r="A932">
        <f>SampleList[[#This Row],[Experiment ID]]</f>
        <v>0</v>
      </c>
      <c r="B932">
        <f>SampleList[[#This Row],[Sample Description]]</f>
        <v>0</v>
      </c>
      <c r="C932" s="1">
        <f>SampleList[[#This Row],[Date Sampled]]</f>
        <v>0</v>
      </c>
      <c r="D932">
        <f>SampleList[[#This Row],[Duration (Days)]]</f>
        <v>0</v>
      </c>
      <c r="E932">
        <f>NMRResults[[#This Row],[Ammonium Concentration (mM)]]</f>
        <v>0</v>
      </c>
      <c r="F932" t="str">
        <f>GCResults[[#This Row],[H2 (ppm)]]</f>
        <v/>
      </c>
      <c r="G932">
        <f>GCResults[[#This Row],[Total Gas Volume (mL), gas cylinder = 3785mL]]</f>
        <v>0</v>
      </c>
      <c r="H932">
        <f>GCResults[[#This Row],[Pressure on Sampling (PSI), 145PSI=1MPa]]</f>
        <v>3552.5</v>
      </c>
      <c r="I932">
        <f>pHCondMod[[#This Row],[Sample pH]]</f>
        <v>0</v>
      </c>
      <c r="J932">
        <f>pHCondMod[[#This Row],[Sample Conductivity (mS/cm)]]</f>
        <v>0</v>
      </c>
      <c r="K932">
        <f>pHCondMod[[#This Row],[Modification Description]]</f>
        <v>0</v>
      </c>
      <c r="L932" s="1">
        <f>NMRResults[[#This Row],[Date Run]]</f>
        <v>0</v>
      </c>
      <c r="M932" s="1">
        <f>ICPList[[#This Row],[Date Run]]</f>
        <v>0</v>
      </c>
      <c r="N932" s="1">
        <f>GCResults[[#This Row],[Date Run ]]</f>
        <v>0</v>
      </c>
    </row>
    <row r="933" spans="1:14" ht="14.45" x14ac:dyDescent="0.25">
      <c r="A933">
        <f>SampleList[[#This Row],[Experiment ID]]</f>
        <v>0</v>
      </c>
      <c r="B933">
        <f>SampleList[[#This Row],[Sample Description]]</f>
        <v>0</v>
      </c>
      <c r="C933" s="1">
        <f>SampleList[[#This Row],[Date Sampled]]</f>
        <v>0</v>
      </c>
      <c r="D933">
        <f>SampleList[[#This Row],[Duration (Days)]]</f>
        <v>0</v>
      </c>
      <c r="E933">
        <f>NMRResults[[#This Row],[Ammonium Concentration (mM)]]</f>
        <v>0</v>
      </c>
      <c r="F933" t="str">
        <f>GCResults[[#This Row],[H2 (ppm)]]</f>
        <v/>
      </c>
      <c r="G933">
        <f>GCResults[[#This Row],[Total Gas Volume (mL), gas cylinder = 3785mL]]</f>
        <v>0</v>
      </c>
      <c r="H933">
        <f>GCResults[[#This Row],[Pressure on Sampling (PSI), 145PSI=1MPa]]</f>
        <v>3552.5</v>
      </c>
      <c r="I933">
        <f>pHCondMod[[#This Row],[Sample pH]]</f>
        <v>0</v>
      </c>
      <c r="J933">
        <f>pHCondMod[[#This Row],[Sample Conductivity (mS/cm)]]</f>
        <v>0</v>
      </c>
      <c r="K933">
        <f>pHCondMod[[#This Row],[Modification Description]]</f>
        <v>0</v>
      </c>
      <c r="L933" s="1">
        <f>NMRResults[[#This Row],[Date Run]]</f>
        <v>0</v>
      </c>
      <c r="M933" s="1">
        <f>ICPList[[#This Row],[Date Run]]</f>
        <v>0</v>
      </c>
      <c r="N933" s="1">
        <f>GCResults[[#This Row],[Date Run ]]</f>
        <v>0</v>
      </c>
    </row>
    <row r="934" spans="1:14" ht="14.45" x14ac:dyDescent="0.25">
      <c r="A934">
        <f>SampleList[[#This Row],[Experiment ID]]</f>
        <v>0</v>
      </c>
      <c r="B934">
        <f>SampleList[[#This Row],[Sample Description]]</f>
        <v>0</v>
      </c>
      <c r="C934" s="1">
        <f>SampleList[[#This Row],[Date Sampled]]</f>
        <v>0</v>
      </c>
      <c r="D934">
        <f>SampleList[[#This Row],[Duration (Days)]]</f>
        <v>0</v>
      </c>
      <c r="E934">
        <f>NMRResults[[#This Row],[Ammonium Concentration (mM)]]</f>
        <v>0</v>
      </c>
      <c r="F934" t="str">
        <f>GCResults[[#This Row],[H2 (ppm)]]</f>
        <v/>
      </c>
      <c r="G934">
        <f>GCResults[[#This Row],[Total Gas Volume (mL), gas cylinder = 3785mL]]</f>
        <v>0</v>
      </c>
      <c r="H934">
        <f>GCResults[[#This Row],[Pressure on Sampling (PSI), 145PSI=1MPa]]</f>
        <v>3552.5</v>
      </c>
      <c r="I934">
        <f>pHCondMod[[#This Row],[Sample pH]]</f>
        <v>0</v>
      </c>
      <c r="J934">
        <f>pHCondMod[[#This Row],[Sample Conductivity (mS/cm)]]</f>
        <v>0</v>
      </c>
      <c r="K934">
        <f>pHCondMod[[#This Row],[Modification Description]]</f>
        <v>0</v>
      </c>
      <c r="L934" s="1">
        <f>NMRResults[[#This Row],[Date Run]]</f>
        <v>0</v>
      </c>
      <c r="M934" s="1">
        <f>ICPList[[#This Row],[Date Run]]</f>
        <v>0</v>
      </c>
      <c r="N934" s="1">
        <f>GCResults[[#This Row],[Date Run ]]</f>
        <v>0</v>
      </c>
    </row>
    <row r="935" spans="1:14" ht="14.45" x14ac:dyDescent="0.25">
      <c r="A935">
        <f>SampleList[[#This Row],[Experiment ID]]</f>
        <v>0</v>
      </c>
      <c r="B935">
        <f>SampleList[[#This Row],[Sample Description]]</f>
        <v>0</v>
      </c>
      <c r="C935" s="1">
        <f>SampleList[[#This Row],[Date Sampled]]</f>
        <v>0</v>
      </c>
      <c r="D935">
        <f>SampleList[[#This Row],[Duration (Days)]]</f>
        <v>0</v>
      </c>
      <c r="E935">
        <f>NMRResults[[#This Row],[Ammonium Concentration (mM)]]</f>
        <v>0</v>
      </c>
      <c r="F935" t="str">
        <f>GCResults[[#This Row],[H2 (ppm)]]</f>
        <v/>
      </c>
      <c r="G935">
        <f>GCResults[[#This Row],[Total Gas Volume (mL), gas cylinder = 3785mL]]</f>
        <v>0</v>
      </c>
      <c r="H935">
        <f>GCResults[[#This Row],[Pressure on Sampling (PSI), 145PSI=1MPa]]</f>
        <v>3552.5</v>
      </c>
      <c r="I935">
        <f>pHCondMod[[#This Row],[Sample pH]]</f>
        <v>0</v>
      </c>
      <c r="J935">
        <f>pHCondMod[[#This Row],[Sample Conductivity (mS/cm)]]</f>
        <v>0</v>
      </c>
      <c r="K935">
        <f>pHCondMod[[#This Row],[Modification Description]]</f>
        <v>0</v>
      </c>
      <c r="L935" s="1">
        <f>NMRResults[[#This Row],[Date Run]]</f>
        <v>0</v>
      </c>
      <c r="M935" s="1">
        <f>ICPList[[#This Row],[Date Run]]</f>
        <v>0</v>
      </c>
      <c r="N935" s="1">
        <f>GCResults[[#This Row],[Date Run ]]</f>
        <v>0</v>
      </c>
    </row>
    <row r="936" spans="1:14" ht="14.45" x14ac:dyDescent="0.25">
      <c r="A936">
        <f>SampleList[[#This Row],[Experiment ID]]</f>
        <v>0</v>
      </c>
      <c r="B936">
        <f>SampleList[[#This Row],[Sample Description]]</f>
        <v>0</v>
      </c>
      <c r="C936" s="1">
        <f>SampleList[[#This Row],[Date Sampled]]</f>
        <v>0</v>
      </c>
      <c r="D936">
        <f>SampleList[[#This Row],[Duration (Days)]]</f>
        <v>0</v>
      </c>
      <c r="E936">
        <f>NMRResults[[#This Row],[Ammonium Concentration (mM)]]</f>
        <v>0</v>
      </c>
      <c r="F936" t="str">
        <f>GCResults[[#This Row],[H2 (ppm)]]</f>
        <v/>
      </c>
      <c r="G936">
        <f>GCResults[[#This Row],[Total Gas Volume (mL), gas cylinder = 3785mL]]</f>
        <v>0</v>
      </c>
      <c r="H936">
        <f>GCResults[[#This Row],[Pressure on Sampling (PSI), 145PSI=1MPa]]</f>
        <v>3552.5</v>
      </c>
      <c r="I936">
        <f>pHCondMod[[#This Row],[Sample pH]]</f>
        <v>0</v>
      </c>
      <c r="J936">
        <f>pHCondMod[[#This Row],[Sample Conductivity (mS/cm)]]</f>
        <v>0</v>
      </c>
      <c r="K936">
        <f>pHCondMod[[#This Row],[Modification Description]]</f>
        <v>0</v>
      </c>
      <c r="L936" s="1">
        <f>NMRResults[[#This Row],[Date Run]]</f>
        <v>0</v>
      </c>
      <c r="M936" s="1">
        <f>ICPList[[#This Row],[Date Run]]</f>
        <v>0</v>
      </c>
      <c r="N936" s="1">
        <f>GCResults[[#This Row],[Date Run ]]</f>
        <v>0</v>
      </c>
    </row>
    <row r="937" spans="1:14" ht="14.45" x14ac:dyDescent="0.25">
      <c r="A937">
        <f>SampleList[[#This Row],[Experiment ID]]</f>
        <v>0</v>
      </c>
      <c r="B937">
        <f>SampleList[[#This Row],[Sample Description]]</f>
        <v>0</v>
      </c>
      <c r="C937" s="1">
        <f>SampleList[[#This Row],[Date Sampled]]</f>
        <v>0</v>
      </c>
      <c r="D937">
        <f>SampleList[[#This Row],[Duration (Days)]]</f>
        <v>0</v>
      </c>
      <c r="E937">
        <f>NMRResults[[#This Row],[Ammonium Concentration (mM)]]</f>
        <v>0</v>
      </c>
      <c r="F937" t="str">
        <f>GCResults[[#This Row],[H2 (ppm)]]</f>
        <v/>
      </c>
      <c r="G937">
        <f>GCResults[[#This Row],[Total Gas Volume (mL), gas cylinder = 3785mL]]</f>
        <v>0</v>
      </c>
      <c r="H937">
        <f>GCResults[[#This Row],[Pressure on Sampling (PSI), 145PSI=1MPa]]</f>
        <v>3552.5</v>
      </c>
      <c r="I937">
        <f>pHCondMod[[#This Row],[Sample pH]]</f>
        <v>0</v>
      </c>
      <c r="J937">
        <f>pHCondMod[[#This Row],[Sample Conductivity (mS/cm)]]</f>
        <v>0</v>
      </c>
      <c r="K937">
        <f>pHCondMod[[#This Row],[Modification Description]]</f>
        <v>0</v>
      </c>
      <c r="L937" s="1">
        <f>NMRResults[[#This Row],[Date Run]]</f>
        <v>0</v>
      </c>
      <c r="M937" s="1">
        <f>ICPList[[#This Row],[Date Run]]</f>
        <v>0</v>
      </c>
      <c r="N937" s="1">
        <f>GCResults[[#This Row],[Date Run ]]</f>
        <v>0</v>
      </c>
    </row>
    <row r="938" spans="1:14" ht="14.45" x14ac:dyDescent="0.25">
      <c r="A938">
        <f>SampleList[[#This Row],[Experiment ID]]</f>
        <v>0</v>
      </c>
      <c r="B938">
        <f>SampleList[[#This Row],[Sample Description]]</f>
        <v>0</v>
      </c>
      <c r="C938" s="1">
        <f>SampleList[[#This Row],[Date Sampled]]</f>
        <v>0</v>
      </c>
      <c r="D938">
        <f>SampleList[[#This Row],[Duration (Days)]]</f>
        <v>0</v>
      </c>
      <c r="E938">
        <f>NMRResults[[#This Row],[Ammonium Concentration (mM)]]</f>
        <v>0</v>
      </c>
      <c r="F938" t="str">
        <f>GCResults[[#This Row],[H2 (ppm)]]</f>
        <v/>
      </c>
      <c r="G938">
        <f>GCResults[[#This Row],[Total Gas Volume (mL), gas cylinder = 3785mL]]</f>
        <v>0</v>
      </c>
      <c r="H938">
        <f>GCResults[[#This Row],[Pressure on Sampling (PSI), 145PSI=1MPa]]</f>
        <v>3552.5</v>
      </c>
      <c r="I938">
        <f>pHCondMod[[#This Row],[Sample pH]]</f>
        <v>0</v>
      </c>
      <c r="J938">
        <f>pHCondMod[[#This Row],[Sample Conductivity (mS/cm)]]</f>
        <v>0</v>
      </c>
      <c r="K938">
        <f>pHCondMod[[#This Row],[Modification Description]]</f>
        <v>0</v>
      </c>
      <c r="L938" s="1">
        <f>NMRResults[[#This Row],[Date Run]]</f>
        <v>0</v>
      </c>
      <c r="M938" s="1">
        <f>ICPList[[#This Row],[Date Run]]</f>
        <v>0</v>
      </c>
      <c r="N938" s="1">
        <f>GCResults[[#This Row],[Date Run ]]</f>
        <v>0</v>
      </c>
    </row>
    <row r="939" spans="1:14" ht="14.45" x14ac:dyDescent="0.25">
      <c r="A939">
        <f>SampleList[[#This Row],[Experiment ID]]</f>
        <v>0</v>
      </c>
      <c r="B939">
        <f>SampleList[[#This Row],[Sample Description]]</f>
        <v>0</v>
      </c>
      <c r="C939" s="1">
        <f>SampleList[[#This Row],[Date Sampled]]</f>
        <v>0</v>
      </c>
      <c r="D939">
        <f>SampleList[[#This Row],[Duration (Days)]]</f>
        <v>0</v>
      </c>
      <c r="E939">
        <f>NMRResults[[#This Row],[Ammonium Concentration (mM)]]</f>
        <v>0</v>
      </c>
      <c r="F939" t="str">
        <f>GCResults[[#This Row],[H2 (ppm)]]</f>
        <v/>
      </c>
      <c r="G939">
        <f>GCResults[[#This Row],[Total Gas Volume (mL), gas cylinder = 3785mL]]</f>
        <v>0</v>
      </c>
      <c r="H939">
        <f>GCResults[[#This Row],[Pressure on Sampling (PSI), 145PSI=1MPa]]</f>
        <v>3552.5</v>
      </c>
      <c r="I939">
        <f>pHCondMod[[#This Row],[Sample pH]]</f>
        <v>0</v>
      </c>
      <c r="J939">
        <f>pHCondMod[[#This Row],[Sample Conductivity (mS/cm)]]</f>
        <v>0</v>
      </c>
      <c r="K939">
        <f>pHCondMod[[#This Row],[Modification Description]]</f>
        <v>0</v>
      </c>
      <c r="L939" s="1">
        <f>NMRResults[[#This Row],[Date Run]]</f>
        <v>0</v>
      </c>
      <c r="M939" s="1">
        <f>ICPList[[#This Row],[Date Run]]</f>
        <v>0</v>
      </c>
      <c r="N939" s="1">
        <f>GCResults[[#This Row],[Date Run ]]</f>
        <v>0</v>
      </c>
    </row>
    <row r="940" spans="1:14" ht="14.45" x14ac:dyDescent="0.25">
      <c r="A940">
        <f>SampleList[[#This Row],[Experiment ID]]</f>
        <v>0</v>
      </c>
      <c r="B940">
        <f>SampleList[[#This Row],[Sample Description]]</f>
        <v>0</v>
      </c>
      <c r="C940" s="1">
        <f>SampleList[[#This Row],[Date Sampled]]</f>
        <v>0</v>
      </c>
      <c r="D940">
        <f>SampleList[[#This Row],[Duration (Days)]]</f>
        <v>0</v>
      </c>
      <c r="E940">
        <f>NMRResults[[#This Row],[Ammonium Concentration (mM)]]</f>
        <v>0</v>
      </c>
      <c r="F940" t="str">
        <f>GCResults[[#This Row],[H2 (ppm)]]</f>
        <v/>
      </c>
      <c r="G940">
        <f>GCResults[[#This Row],[Total Gas Volume (mL), gas cylinder = 3785mL]]</f>
        <v>0</v>
      </c>
      <c r="H940">
        <f>GCResults[[#This Row],[Pressure on Sampling (PSI), 145PSI=1MPa]]</f>
        <v>3552.5</v>
      </c>
      <c r="I940">
        <f>pHCondMod[[#This Row],[Sample pH]]</f>
        <v>0</v>
      </c>
      <c r="J940">
        <f>pHCondMod[[#This Row],[Sample Conductivity (mS/cm)]]</f>
        <v>0</v>
      </c>
      <c r="K940">
        <f>pHCondMod[[#This Row],[Modification Description]]</f>
        <v>0</v>
      </c>
      <c r="L940" s="1">
        <f>NMRResults[[#This Row],[Date Run]]</f>
        <v>0</v>
      </c>
      <c r="M940" s="1">
        <f>ICPList[[#This Row],[Date Run]]</f>
        <v>0</v>
      </c>
      <c r="N940" s="1">
        <f>GCResults[[#This Row],[Date Run ]]</f>
        <v>0</v>
      </c>
    </row>
    <row r="941" spans="1:14" ht="14.45" x14ac:dyDescent="0.25">
      <c r="A941">
        <f>SampleList[[#This Row],[Experiment ID]]</f>
        <v>0</v>
      </c>
      <c r="B941">
        <f>SampleList[[#This Row],[Sample Description]]</f>
        <v>0</v>
      </c>
      <c r="C941" s="1">
        <f>SampleList[[#This Row],[Date Sampled]]</f>
        <v>0</v>
      </c>
      <c r="D941">
        <f>SampleList[[#This Row],[Duration (Days)]]</f>
        <v>0</v>
      </c>
      <c r="E941">
        <f>NMRResults[[#This Row],[Ammonium Concentration (mM)]]</f>
        <v>0</v>
      </c>
      <c r="F941" t="str">
        <f>GCResults[[#This Row],[H2 (ppm)]]</f>
        <v/>
      </c>
      <c r="G941">
        <f>GCResults[[#This Row],[Total Gas Volume (mL), gas cylinder = 3785mL]]</f>
        <v>0</v>
      </c>
      <c r="H941">
        <f>GCResults[[#This Row],[Pressure on Sampling (PSI), 145PSI=1MPa]]</f>
        <v>3552.5</v>
      </c>
      <c r="I941">
        <f>pHCondMod[[#This Row],[Sample pH]]</f>
        <v>0</v>
      </c>
      <c r="J941">
        <f>pHCondMod[[#This Row],[Sample Conductivity (mS/cm)]]</f>
        <v>0</v>
      </c>
      <c r="K941">
        <f>pHCondMod[[#This Row],[Modification Description]]</f>
        <v>0</v>
      </c>
      <c r="L941" s="1">
        <f>NMRResults[[#This Row],[Date Run]]</f>
        <v>0</v>
      </c>
      <c r="M941" s="1">
        <f>ICPList[[#This Row],[Date Run]]</f>
        <v>0</v>
      </c>
      <c r="N941" s="1">
        <f>GCResults[[#This Row],[Date Run ]]</f>
        <v>0</v>
      </c>
    </row>
    <row r="942" spans="1:14" ht="14.45" x14ac:dyDescent="0.25">
      <c r="A942">
        <f>SampleList[[#This Row],[Experiment ID]]</f>
        <v>0</v>
      </c>
      <c r="B942">
        <f>SampleList[[#This Row],[Sample Description]]</f>
        <v>0</v>
      </c>
      <c r="C942" s="1">
        <f>SampleList[[#This Row],[Date Sampled]]</f>
        <v>0</v>
      </c>
      <c r="D942">
        <f>SampleList[[#This Row],[Duration (Days)]]</f>
        <v>0</v>
      </c>
      <c r="E942">
        <f>NMRResults[[#This Row],[Ammonium Concentration (mM)]]</f>
        <v>0</v>
      </c>
      <c r="F942" t="str">
        <f>GCResults[[#This Row],[H2 (ppm)]]</f>
        <v/>
      </c>
      <c r="G942">
        <f>GCResults[[#This Row],[Total Gas Volume (mL), gas cylinder = 3785mL]]</f>
        <v>0</v>
      </c>
      <c r="H942">
        <f>GCResults[[#This Row],[Pressure on Sampling (PSI), 145PSI=1MPa]]</f>
        <v>3552.5</v>
      </c>
      <c r="I942">
        <f>pHCondMod[[#This Row],[Sample pH]]</f>
        <v>0</v>
      </c>
      <c r="J942">
        <f>pHCondMod[[#This Row],[Sample Conductivity (mS/cm)]]</f>
        <v>0</v>
      </c>
      <c r="K942">
        <f>pHCondMod[[#This Row],[Modification Description]]</f>
        <v>0</v>
      </c>
      <c r="L942" s="1">
        <f>NMRResults[[#This Row],[Date Run]]</f>
        <v>0</v>
      </c>
      <c r="M942" s="1">
        <f>ICPList[[#This Row],[Date Run]]</f>
        <v>0</v>
      </c>
      <c r="N942" s="1">
        <f>GCResults[[#This Row],[Date Run ]]</f>
        <v>0</v>
      </c>
    </row>
    <row r="943" spans="1:14" ht="14.45" x14ac:dyDescent="0.25">
      <c r="A943">
        <f>SampleList[[#This Row],[Experiment ID]]</f>
        <v>0</v>
      </c>
      <c r="B943">
        <f>SampleList[[#This Row],[Sample Description]]</f>
        <v>0</v>
      </c>
      <c r="C943" s="1">
        <f>SampleList[[#This Row],[Date Sampled]]</f>
        <v>0</v>
      </c>
      <c r="D943">
        <f>SampleList[[#This Row],[Duration (Days)]]</f>
        <v>0</v>
      </c>
      <c r="E943">
        <f>NMRResults[[#This Row],[Ammonium Concentration (mM)]]</f>
        <v>0</v>
      </c>
      <c r="F943" t="str">
        <f>GCResults[[#This Row],[H2 (ppm)]]</f>
        <v/>
      </c>
      <c r="G943">
        <f>GCResults[[#This Row],[Total Gas Volume (mL), gas cylinder = 3785mL]]</f>
        <v>0</v>
      </c>
      <c r="H943">
        <f>GCResults[[#This Row],[Pressure on Sampling (PSI), 145PSI=1MPa]]</f>
        <v>3552.5</v>
      </c>
      <c r="I943">
        <f>pHCondMod[[#This Row],[Sample pH]]</f>
        <v>0</v>
      </c>
      <c r="J943">
        <f>pHCondMod[[#This Row],[Sample Conductivity (mS/cm)]]</f>
        <v>0</v>
      </c>
      <c r="K943">
        <f>pHCondMod[[#This Row],[Modification Description]]</f>
        <v>0</v>
      </c>
      <c r="L943" s="1">
        <f>NMRResults[[#This Row],[Date Run]]</f>
        <v>0</v>
      </c>
      <c r="M943" s="1">
        <f>ICPList[[#This Row],[Date Run]]</f>
        <v>0</v>
      </c>
      <c r="N943" s="1">
        <f>GCResults[[#This Row],[Date Run ]]</f>
        <v>0</v>
      </c>
    </row>
    <row r="944" spans="1:14" ht="14.45" x14ac:dyDescent="0.25">
      <c r="A944">
        <f>SampleList[[#This Row],[Experiment ID]]</f>
        <v>0</v>
      </c>
      <c r="B944">
        <f>SampleList[[#This Row],[Sample Description]]</f>
        <v>0</v>
      </c>
      <c r="C944" s="1">
        <f>SampleList[[#This Row],[Date Sampled]]</f>
        <v>0</v>
      </c>
      <c r="D944">
        <f>SampleList[[#This Row],[Duration (Days)]]</f>
        <v>0</v>
      </c>
      <c r="E944">
        <f>NMRResults[[#This Row],[Ammonium Concentration (mM)]]</f>
        <v>0</v>
      </c>
      <c r="F944" t="str">
        <f>GCResults[[#This Row],[H2 (ppm)]]</f>
        <v/>
      </c>
      <c r="G944">
        <f>GCResults[[#This Row],[Total Gas Volume (mL), gas cylinder = 3785mL]]</f>
        <v>0</v>
      </c>
      <c r="H944">
        <f>GCResults[[#This Row],[Pressure on Sampling (PSI), 145PSI=1MPa]]</f>
        <v>3552.5</v>
      </c>
      <c r="I944">
        <f>pHCondMod[[#This Row],[Sample pH]]</f>
        <v>0</v>
      </c>
      <c r="J944">
        <f>pHCondMod[[#This Row],[Sample Conductivity (mS/cm)]]</f>
        <v>0</v>
      </c>
      <c r="K944">
        <f>pHCondMod[[#This Row],[Modification Description]]</f>
        <v>0</v>
      </c>
      <c r="L944" s="1">
        <f>NMRResults[[#This Row],[Date Run]]</f>
        <v>0</v>
      </c>
      <c r="M944" s="1">
        <f>ICPList[[#This Row],[Date Run]]</f>
        <v>0</v>
      </c>
      <c r="N944" s="1">
        <f>GCResults[[#This Row],[Date Run ]]</f>
        <v>0</v>
      </c>
    </row>
    <row r="945" spans="1:14" ht="14.45" x14ac:dyDescent="0.25">
      <c r="A945">
        <f>SampleList[[#This Row],[Experiment ID]]</f>
        <v>0</v>
      </c>
      <c r="B945">
        <f>SampleList[[#This Row],[Sample Description]]</f>
        <v>0</v>
      </c>
      <c r="C945" s="1">
        <f>SampleList[[#This Row],[Date Sampled]]</f>
        <v>0</v>
      </c>
      <c r="D945">
        <f>SampleList[[#This Row],[Duration (Days)]]</f>
        <v>0</v>
      </c>
      <c r="E945">
        <f>NMRResults[[#This Row],[Ammonium Concentration (mM)]]</f>
        <v>0</v>
      </c>
      <c r="F945" t="str">
        <f>GCResults[[#This Row],[H2 (ppm)]]</f>
        <v/>
      </c>
      <c r="G945">
        <f>GCResults[[#This Row],[Total Gas Volume (mL), gas cylinder = 3785mL]]</f>
        <v>0</v>
      </c>
      <c r="H945">
        <f>GCResults[[#This Row],[Pressure on Sampling (PSI), 145PSI=1MPa]]</f>
        <v>3552.5</v>
      </c>
      <c r="I945">
        <f>pHCondMod[[#This Row],[Sample pH]]</f>
        <v>0</v>
      </c>
      <c r="J945">
        <f>pHCondMod[[#This Row],[Sample Conductivity (mS/cm)]]</f>
        <v>0</v>
      </c>
      <c r="K945">
        <f>pHCondMod[[#This Row],[Modification Description]]</f>
        <v>0</v>
      </c>
      <c r="L945" s="1">
        <f>NMRResults[[#This Row],[Date Run]]</f>
        <v>0</v>
      </c>
      <c r="M945" s="1">
        <f>ICPList[[#This Row],[Date Run]]</f>
        <v>0</v>
      </c>
      <c r="N945" s="1">
        <f>GCResults[[#This Row],[Date Run ]]</f>
        <v>0</v>
      </c>
    </row>
    <row r="946" spans="1:14" ht="14.45" x14ac:dyDescent="0.25">
      <c r="A946">
        <f>SampleList[[#This Row],[Experiment ID]]</f>
        <v>0</v>
      </c>
      <c r="B946">
        <f>SampleList[[#This Row],[Sample Description]]</f>
        <v>0</v>
      </c>
      <c r="C946" s="1">
        <f>SampleList[[#This Row],[Date Sampled]]</f>
        <v>0</v>
      </c>
      <c r="D946">
        <f>SampleList[[#This Row],[Duration (Days)]]</f>
        <v>0</v>
      </c>
      <c r="E946">
        <f>NMRResults[[#This Row],[Ammonium Concentration (mM)]]</f>
        <v>0</v>
      </c>
      <c r="F946" t="str">
        <f>GCResults[[#This Row],[H2 (ppm)]]</f>
        <v/>
      </c>
      <c r="G946">
        <f>GCResults[[#This Row],[Total Gas Volume (mL), gas cylinder = 3785mL]]</f>
        <v>0</v>
      </c>
      <c r="H946">
        <f>GCResults[[#This Row],[Pressure on Sampling (PSI), 145PSI=1MPa]]</f>
        <v>3552.5</v>
      </c>
      <c r="I946">
        <f>pHCondMod[[#This Row],[Sample pH]]</f>
        <v>0</v>
      </c>
      <c r="J946">
        <f>pHCondMod[[#This Row],[Sample Conductivity (mS/cm)]]</f>
        <v>0</v>
      </c>
      <c r="K946">
        <f>pHCondMod[[#This Row],[Modification Description]]</f>
        <v>0</v>
      </c>
      <c r="L946" s="1">
        <f>NMRResults[[#This Row],[Date Run]]</f>
        <v>0</v>
      </c>
      <c r="M946" s="1">
        <f>ICPList[[#This Row],[Date Run]]</f>
        <v>0</v>
      </c>
      <c r="N946" s="1">
        <f>GCResults[[#This Row],[Date Run ]]</f>
        <v>0</v>
      </c>
    </row>
    <row r="947" spans="1:14" ht="14.45" x14ac:dyDescent="0.25">
      <c r="A947">
        <f>SampleList[[#This Row],[Experiment ID]]</f>
        <v>0</v>
      </c>
      <c r="B947">
        <f>SampleList[[#This Row],[Sample Description]]</f>
        <v>0</v>
      </c>
      <c r="C947" s="1">
        <f>SampleList[[#This Row],[Date Sampled]]</f>
        <v>0</v>
      </c>
      <c r="D947">
        <f>SampleList[[#This Row],[Duration (Days)]]</f>
        <v>0</v>
      </c>
      <c r="E947">
        <f>NMRResults[[#This Row],[Ammonium Concentration (mM)]]</f>
        <v>0</v>
      </c>
      <c r="F947" t="str">
        <f>GCResults[[#This Row],[H2 (ppm)]]</f>
        <v/>
      </c>
      <c r="G947">
        <f>GCResults[[#This Row],[Total Gas Volume (mL), gas cylinder = 3785mL]]</f>
        <v>0</v>
      </c>
      <c r="H947">
        <f>GCResults[[#This Row],[Pressure on Sampling (PSI), 145PSI=1MPa]]</f>
        <v>3552.5</v>
      </c>
      <c r="I947">
        <f>pHCondMod[[#This Row],[Sample pH]]</f>
        <v>0</v>
      </c>
      <c r="J947">
        <f>pHCondMod[[#This Row],[Sample Conductivity (mS/cm)]]</f>
        <v>0</v>
      </c>
      <c r="K947">
        <f>pHCondMod[[#This Row],[Modification Description]]</f>
        <v>0</v>
      </c>
      <c r="L947" s="1">
        <f>NMRResults[[#This Row],[Date Run]]</f>
        <v>0</v>
      </c>
      <c r="M947" s="1">
        <f>ICPList[[#This Row],[Date Run]]</f>
        <v>0</v>
      </c>
      <c r="N947" s="1">
        <f>GCResults[[#This Row],[Date Run ]]</f>
        <v>0</v>
      </c>
    </row>
    <row r="948" spans="1:14" ht="14.45" x14ac:dyDescent="0.25">
      <c r="A948">
        <f>SampleList[[#This Row],[Experiment ID]]</f>
        <v>0</v>
      </c>
      <c r="B948">
        <f>SampleList[[#This Row],[Sample Description]]</f>
        <v>0</v>
      </c>
      <c r="C948" s="1">
        <f>SampleList[[#This Row],[Date Sampled]]</f>
        <v>0</v>
      </c>
      <c r="D948">
        <f>SampleList[[#This Row],[Duration (Days)]]</f>
        <v>0</v>
      </c>
      <c r="E948">
        <f>NMRResults[[#This Row],[Ammonium Concentration (mM)]]</f>
        <v>0</v>
      </c>
      <c r="F948" t="str">
        <f>GCResults[[#This Row],[H2 (ppm)]]</f>
        <v/>
      </c>
      <c r="G948">
        <f>GCResults[[#This Row],[Total Gas Volume (mL), gas cylinder = 3785mL]]</f>
        <v>0</v>
      </c>
      <c r="H948">
        <f>GCResults[[#This Row],[Pressure on Sampling (PSI), 145PSI=1MPa]]</f>
        <v>3552.5</v>
      </c>
      <c r="I948">
        <f>pHCondMod[[#This Row],[Sample pH]]</f>
        <v>0</v>
      </c>
      <c r="J948">
        <f>pHCondMod[[#This Row],[Sample Conductivity (mS/cm)]]</f>
        <v>0</v>
      </c>
      <c r="K948">
        <f>pHCondMod[[#This Row],[Modification Description]]</f>
        <v>0</v>
      </c>
      <c r="L948" s="1">
        <f>NMRResults[[#This Row],[Date Run]]</f>
        <v>0</v>
      </c>
      <c r="M948" s="1">
        <f>ICPList[[#This Row],[Date Run]]</f>
        <v>0</v>
      </c>
      <c r="N948" s="1">
        <f>GCResults[[#This Row],[Date Run ]]</f>
        <v>0</v>
      </c>
    </row>
    <row r="949" spans="1:14" ht="14.45" x14ac:dyDescent="0.25">
      <c r="A949">
        <f>SampleList[[#This Row],[Experiment ID]]</f>
        <v>0</v>
      </c>
      <c r="B949">
        <f>SampleList[[#This Row],[Sample Description]]</f>
        <v>0</v>
      </c>
      <c r="C949" s="1">
        <f>SampleList[[#This Row],[Date Sampled]]</f>
        <v>0</v>
      </c>
      <c r="D949">
        <f>SampleList[[#This Row],[Duration (Days)]]</f>
        <v>0</v>
      </c>
      <c r="E949">
        <f>NMRResults[[#This Row],[Ammonium Concentration (mM)]]</f>
        <v>0</v>
      </c>
      <c r="F949" t="str">
        <f>GCResults[[#This Row],[H2 (ppm)]]</f>
        <v/>
      </c>
      <c r="G949">
        <f>GCResults[[#This Row],[Total Gas Volume (mL), gas cylinder = 3785mL]]</f>
        <v>0</v>
      </c>
      <c r="H949">
        <f>GCResults[[#This Row],[Pressure on Sampling (PSI), 145PSI=1MPa]]</f>
        <v>3552.5</v>
      </c>
      <c r="I949">
        <f>pHCondMod[[#This Row],[Sample pH]]</f>
        <v>0</v>
      </c>
      <c r="J949">
        <f>pHCondMod[[#This Row],[Sample Conductivity (mS/cm)]]</f>
        <v>0</v>
      </c>
      <c r="K949">
        <f>pHCondMod[[#This Row],[Modification Description]]</f>
        <v>0</v>
      </c>
      <c r="L949" s="1">
        <f>NMRResults[[#This Row],[Date Run]]</f>
        <v>0</v>
      </c>
      <c r="M949" s="1">
        <f>ICPList[[#This Row],[Date Run]]</f>
        <v>0</v>
      </c>
      <c r="N949" s="1">
        <f>GCResults[[#This Row],[Date Run ]]</f>
        <v>0</v>
      </c>
    </row>
    <row r="950" spans="1:14" ht="14.45" x14ac:dyDescent="0.25">
      <c r="A950">
        <f>SampleList[[#This Row],[Experiment ID]]</f>
        <v>0</v>
      </c>
      <c r="B950">
        <f>SampleList[[#This Row],[Sample Description]]</f>
        <v>0</v>
      </c>
      <c r="C950" s="1">
        <f>SampleList[[#This Row],[Date Sampled]]</f>
        <v>0</v>
      </c>
      <c r="D950">
        <f>SampleList[[#This Row],[Duration (Days)]]</f>
        <v>0</v>
      </c>
      <c r="E950">
        <f>NMRResults[[#This Row],[Ammonium Concentration (mM)]]</f>
        <v>0</v>
      </c>
      <c r="F950" t="str">
        <f>GCResults[[#This Row],[H2 (ppm)]]</f>
        <v/>
      </c>
      <c r="G950">
        <f>GCResults[[#This Row],[Total Gas Volume (mL), gas cylinder = 3785mL]]</f>
        <v>0</v>
      </c>
      <c r="H950">
        <f>GCResults[[#This Row],[Pressure on Sampling (PSI), 145PSI=1MPa]]</f>
        <v>3552.5</v>
      </c>
      <c r="I950">
        <f>pHCondMod[[#This Row],[Sample pH]]</f>
        <v>0</v>
      </c>
      <c r="J950">
        <f>pHCondMod[[#This Row],[Sample Conductivity (mS/cm)]]</f>
        <v>0</v>
      </c>
      <c r="K950">
        <f>pHCondMod[[#This Row],[Modification Description]]</f>
        <v>0</v>
      </c>
      <c r="L950" s="1">
        <f>NMRResults[[#This Row],[Date Run]]</f>
        <v>0</v>
      </c>
      <c r="M950" s="1">
        <f>ICPList[[#This Row],[Date Run]]</f>
        <v>0</v>
      </c>
      <c r="N950" s="1">
        <f>GCResults[[#This Row],[Date Run ]]</f>
        <v>0</v>
      </c>
    </row>
    <row r="951" spans="1:14" ht="14.45" x14ac:dyDescent="0.25">
      <c r="A951">
        <f>SampleList[[#This Row],[Experiment ID]]</f>
        <v>0</v>
      </c>
      <c r="B951">
        <f>SampleList[[#This Row],[Sample Description]]</f>
        <v>0</v>
      </c>
      <c r="C951" s="1">
        <f>SampleList[[#This Row],[Date Sampled]]</f>
        <v>0</v>
      </c>
      <c r="D951">
        <f>SampleList[[#This Row],[Duration (Days)]]</f>
        <v>0</v>
      </c>
      <c r="E951">
        <f>NMRResults[[#This Row],[Ammonium Concentration (mM)]]</f>
        <v>0</v>
      </c>
      <c r="F951" t="str">
        <f>GCResults[[#This Row],[H2 (ppm)]]</f>
        <v/>
      </c>
      <c r="G951">
        <f>GCResults[[#This Row],[Total Gas Volume (mL), gas cylinder = 3785mL]]</f>
        <v>0</v>
      </c>
      <c r="H951">
        <f>GCResults[[#This Row],[Pressure on Sampling (PSI), 145PSI=1MPa]]</f>
        <v>3552.5</v>
      </c>
      <c r="I951">
        <f>pHCondMod[[#This Row],[Sample pH]]</f>
        <v>0</v>
      </c>
      <c r="J951">
        <f>pHCondMod[[#This Row],[Sample Conductivity (mS/cm)]]</f>
        <v>0</v>
      </c>
      <c r="K951">
        <f>pHCondMod[[#This Row],[Modification Description]]</f>
        <v>0</v>
      </c>
      <c r="L951" s="1">
        <f>NMRResults[[#This Row],[Date Run]]</f>
        <v>0</v>
      </c>
      <c r="M951" s="1">
        <f>ICPList[[#This Row],[Date Run]]</f>
        <v>0</v>
      </c>
      <c r="N951" s="1">
        <f>GCResults[[#This Row],[Date Run ]]</f>
        <v>0</v>
      </c>
    </row>
    <row r="952" spans="1:14" ht="14.45" x14ac:dyDescent="0.25">
      <c r="A952">
        <f>SampleList[[#This Row],[Experiment ID]]</f>
        <v>0</v>
      </c>
      <c r="B952">
        <f>SampleList[[#This Row],[Sample Description]]</f>
        <v>0</v>
      </c>
      <c r="C952" s="1">
        <f>SampleList[[#This Row],[Date Sampled]]</f>
        <v>0</v>
      </c>
      <c r="D952">
        <f>SampleList[[#This Row],[Duration (Days)]]</f>
        <v>0</v>
      </c>
      <c r="E952">
        <f>NMRResults[[#This Row],[Ammonium Concentration (mM)]]</f>
        <v>0</v>
      </c>
      <c r="F952" t="str">
        <f>GCResults[[#This Row],[H2 (ppm)]]</f>
        <v/>
      </c>
      <c r="G952">
        <f>GCResults[[#This Row],[Total Gas Volume (mL), gas cylinder = 3785mL]]</f>
        <v>0</v>
      </c>
      <c r="H952">
        <f>GCResults[[#This Row],[Pressure on Sampling (PSI), 145PSI=1MPa]]</f>
        <v>3552.5</v>
      </c>
      <c r="I952">
        <f>pHCondMod[[#This Row],[Sample pH]]</f>
        <v>0</v>
      </c>
      <c r="J952">
        <f>pHCondMod[[#This Row],[Sample Conductivity (mS/cm)]]</f>
        <v>0</v>
      </c>
      <c r="K952">
        <f>pHCondMod[[#This Row],[Modification Description]]</f>
        <v>0</v>
      </c>
      <c r="L952" s="1">
        <f>NMRResults[[#This Row],[Date Run]]</f>
        <v>0</v>
      </c>
      <c r="M952" s="1">
        <f>ICPList[[#This Row],[Date Run]]</f>
        <v>0</v>
      </c>
      <c r="N952" s="1">
        <f>GCResults[[#This Row],[Date Run ]]</f>
        <v>0</v>
      </c>
    </row>
    <row r="953" spans="1:14" ht="14.45" x14ac:dyDescent="0.25">
      <c r="A953">
        <f>SampleList[[#This Row],[Experiment ID]]</f>
        <v>0</v>
      </c>
      <c r="B953">
        <f>SampleList[[#This Row],[Sample Description]]</f>
        <v>0</v>
      </c>
      <c r="C953" s="1">
        <f>SampleList[[#This Row],[Date Sampled]]</f>
        <v>0</v>
      </c>
      <c r="D953">
        <f>SampleList[[#This Row],[Duration (Days)]]</f>
        <v>0</v>
      </c>
      <c r="E953">
        <f>NMRResults[[#This Row],[Ammonium Concentration (mM)]]</f>
        <v>0</v>
      </c>
      <c r="F953" t="str">
        <f>GCResults[[#This Row],[H2 (ppm)]]</f>
        <v/>
      </c>
      <c r="G953">
        <f>GCResults[[#This Row],[Total Gas Volume (mL), gas cylinder = 3785mL]]</f>
        <v>0</v>
      </c>
      <c r="H953">
        <f>GCResults[[#This Row],[Pressure on Sampling (PSI), 145PSI=1MPa]]</f>
        <v>3552.5</v>
      </c>
      <c r="I953">
        <f>pHCondMod[[#This Row],[Sample pH]]</f>
        <v>0</v>
      </c>
      <c r="J953">
        <f>pHCondMod[[#This Row],[Sample Conductivity (mS/cm)]]</f>
        <v>0</v>
      </c>
      <c r="K953">
        <f>pHCondMod[[#This Row],[Modification Description]]</f>
        <v>0</v>
      </c>
      <c r="L953" s="1">
        <f>NMRResults[[#This Row],[Date Run]]</f>
        <v>0</v>
      </c>
      <c r="M953" s="1">
        <f>ICPList[[#This Row],[Date Run]]</f>
        <v>0</v>
      </c>
      <c r="N953" s="1">
        <f>GCResults[[#This Row],[Date Run ]]</f>
        <v>0</v>
      </c>
    </row>
    <row r="954" spans="1:14" ht="14.45" x14ac:dyDescent="0.25">
      <c r="A954">
        <f>SampleList[[#This Row],[Experiment ID]]</f>
        <v>0</v>
      </c>
      <c r="B954">
        <f>SampleList[[#This Row],[Sample Description]]</f>
        <v>0</v>
      </c>
      <c r="C954" s="1">
        <f>SampleList[[#This Row],[Date Sampled]]</f>
        <v>0</v>
      </c>
      <c r="D954">
        <f>SampleList[[#This Row],[Duration (Days)]]</f>
        <v>0</v>
      </c>
      <c r="E954">
        <f>NMRResults[[#This Row],[Ammonium Concentration (mM)]]</f>
        <v>0</v>
      </c>
      <c r="F954" t="str">
        <f>GCResults[[#This Row],[H2 (ppm)]]</f>
        <v/>
      </c>
      <c r="G954">
        <f>GCResults[[#This Row],[Total Gas Volume (mL), gas cylinder = 3785mL]]</f>
        <v>0</v>
      </c>
      <c r="H954">
        <f>GCResults[[#This Row],[Pressure on Sampling (PSI), 145PSI=1MPa]]</f>
        <v>3552.5</v>
      </c>
      <c r="I954">
        <f>pHCondMod[[#This Row],[Sample pH]]</f>
        <v>0</v>
      </c>
      <c r="J954">
        <f>pHCondMod[[#This Row],[Sample Conductivity (mS/cm)]]</f>
        <v>0</v>
      </c>
      <c r="K954">
        <f>pHCondMod[[#This Row],[Modification Description]]</f>
        <v>0</v>
      </c>
      <c r="L954" s="1">
        <f>NMRResults[[#This Row],[Date Run]]</f>
        <v>0</v>
      </c>
      <c r="M954" s="1">
        <f>ICPList[[#This Row],[Date Run]]</f>
        <v>0</v>
      </c>
      <c r="N954" s="1">
        <f>GCResults[[#This Row],[Date Run ]]</f>
        <v>0</v>
      </c>
    </row>
    <row r="955" spans="1:14" ht="14.45" x14ac:dyDescent="0.25">
      <c r="A955">
        <f>SampleList[[#This Row],[Experiment ID]]</f>
        <v>0</v>
      </c>
      <c r="B955">
        <f>SampleList[[#This Row],[Sample Description]]</f>
        <v>0</v>
      </c>
      <c r="C955" s="1">
        <f>SampleList[[#This Row],[Date Sampled]]</f>
        <v>0</v>
      </c>
      <c r="D955">
        <f>SampleList[[#This Row],[Duration (Days)]]</f>
        <v>0</v>
      </c>
      <c r="E955">
        <f>NMRResults[[#This Row],[Ammonium Concentration (mM)]]</f>
        <v>0</v>
      </c>
      <c r="F955" t="str">
        <f>GCResults[[#This Row],[H2 (ppm)]]</f>
        <v/>
      </c>
      <c r="G955">
        <f>GCResults[[#This Row],[Total Gas Volume (mL), gas cylinder = 3785mL]]</f>
        <v>0</v>
      </c>
      <c r="H955">
        <f>GCResults[[#This Row],[Pressure on Sampling (PSI), 145PSI=1MPa]]</f>
        <v>3552.5</v>
      </c>
      <c r="I955">
        <f>pHCondMod[[#This Row],[Sample pH]]</f>
        <v>0</v>
      </c>
      <c r="J955">
        <f>pHCondMod[[#This Row],[Sample Conductivity (mS/cm)]]</f>
        <v>0</v>
      </c>
      <c r="K955">
        <f>pHCondMod[[#This Row],[Modification Description]]</f>
        <v>0</v>
      </c>
      <c r="L955" s="1">
        <f>NMRResults[[#This Row],[Date Run]]</f>
        <v>0</v>
      </c>
      <c r="M955" s="1">
        <f>ICPList[[#This Row],[Date Run]]</f>
        <v>0</v>
      </c>
      <c r="N955" s="1">
        <f>GCResults[[#This Row],[Date Run ]]</f>
        <v>0</v>
      </c>
    </row>
    <row r="956" spans="1:14" ht="14.45" x14ac:dyDescent="0.25">
      <c r="A956">
        <f>SampleList[[#This Row],[Experiment ID]]</f>
        <v>0</v>
      </c>
      <c r="B956">
        <f>SampleList[[#This Row],[Sample Description]]</f>
        <v>0</v>
      </c>
      <c r="C956" s="1">
        <f>SampleList[[#This Row],[Date Sampled]]</f>
        <v>0</v>
      </c>
      <c r="D956">
        <f>SampleList[[#This Row],[Duration (Days)]]</f>
        <v>0</v>
      </c>
      <c r="E956">
        <f>NMRResults[[#This Row],[Ammonium Concentration (mM)]]</f>
        <v>0</v>
      </c>
      <c r="F956" t="str">
        <f>GCResults[[#This Row],[H2 (ppm)]]</f>
        <v/>
      </c>
      <c r="G956">
        <f>GCResults[[#This Row],[Total Gas Volume (mL), gas cylinder = 3785mL]]</f>
        <v>0</v>
      </c>
      <c r="H956">
        <f>GCResults[[#This Row],[Pressure on Sampling (PSI), 145PSI=1MPa]]</f>
        <v>3552.5</v>
      </c>
      <c r="I956">
        <f>pHCondMod[[#This Row],[Sample pH]]</f>
        <v>0</v>
      </c>
      <c r="J956">
        <f>pHCondMod[[#This Row],[Sample Conductivity (mS/cm)]]</f>
        <v>0</v>
      </c>
      <c r="K956">
        <f>pHCondMod[[#This Row],[Modification Description]]</f>
        <v>0</v>
      </c>
      <c r="L956" s="1">
        <f>NMRResults[[#This Row],[Date Run]]</f>
        <v>0</v>
      </c>
      <c r="M956" s="1">
        <f>ICPList[[#This Row],[Date Run]]</f>
        <v>0</v>
      </c>
      <c r="N956" s="1">
        <f>GCResults[[#This Row],[Date Run ]]</f>
        <v>0</v>
      </c>
    </row>
    <row r="957" spans="1:14" ht="14.45" x14ac:dyDescent="0.25">
      <c r="A957">
        <f>SampleList[[#This Row],[Experiment ID]]</f>
        <v>0</v>
      </c>
      <c r="B957">
        <f>SampleList[[#This Row],[Sample Description]]</f>
        <v>0</v>
      </c>
      <c r="C957" s="1">
        <f>SampleList[[#This Row],[Date Sampled]]</f>
        <v>0</v>
      </c>
      <c r="D957">
        <f>SampleList[[#This Row],[Duration (Days)]]</f>
        <v>0</v>
      </c>
      <c r="E957">
        <f>NMRResults[[#This Row],[Ammonium Concentration (mM)]]</f>
        <v>0</v>
      </c>
      <c r="F957" t="str">
        <f>GCResults[[#This Row],[H2 (ppm)]]</f>
        <v/>
      </c>
      <c r="G957">
        <f>GCResults[[#This Row],[Total Gas Volume (mL), gas cylinder = 3785mL]]</f>
        <v>0</v>
      </c>
      <c r="H957">
        <f>GCResults[[#This Row],[Pressure on Sampling (PSI), 145PSI=1MPa]]</f>
        <v>3552.5</v>
      </c>
      <c r="I957">
        <f>pHCondMod[[#This Row],[Sample pH]]</f>
        <v>0</v>
      </c>
      <c r="J957">
        <f>pHCondMod[[#This Row],[Sample Conductivity (mS/cm)]]</f>
        <v>0</v>
      </c>
      <c r="K957">
        <f>pHCondMod[[#This Row],[Modification Description]]</f>
        <v>0</v>
      </c>
      <c r="L957" s="1">
        <f>NMRResults[[#This Row],[Date Run]]</f>
        <v>0</v>
      </c>
      <c r="M957" s="1">
        <f>ICPList[[#This Row],[Date Run]]</f>
        <v>0</v>
      </c>
      <c r="N957" s="1">
        <f>GCResults[[#This Row],[Date Run ]]</f>
        <v>0</v>
      </c>
    </row>
    <row r="958" spans="1:14" ht="14.45" x14ac:dyDescent="0.25">
      <c r="A958">
        <f>SampleList[[#This Row],[Experiment ID]]</f>
        <v>0</v>
      </c>
      <c r="B958">
        <f>SampleList[[#This Row],[Sample Description]]</f>
        <v>0</v>
      </c>
      <c r="C958" s="1">
        <f>SampleList[[#This Row],[Date Sampled]]</f>
        <v>0</v>
      </c>
      <c r="D958">
        <f>SampleList[[#This Row],[Duration (Days)]]</f>
        <v>0</v>
      </c>
      <c r="E958">
        <f>NMRResults[[#This Row],[Ammonium Concentration (mM)]]</f>
        <v>0</v>
      </c>
      <c r="F958" t="str">
        <f>GCResults[[#This Row],[H2 (ppm)]]</f>
        <v/>
      </c>
      <c r="G958">
        <f>GCResults[[#This Row],[Total Gas Volume (mL), gas cylinder = 3785mL]]</f>
        <v>0</v>
      </c>
      <c r="H958">
        <f>GCResults[[#This Row],[Pressure on Sampling (PSI), 145PSI=1MPa]]</f>
        <v>3552.5</v>
      </c>
      <c r="I958">
        <f>pHCondMod[[#This Row],[Sample pH]]</f>
        <v>0</v>
      </c>
      <c r="J958">
        <f>pHCondMod[[#This Row],[Sample Conductivity (mS/cm)]]</f>
        <v>0</v>
      </c>
      <c r="K958">
        <f>pHCondMod[[#This Row],[Modification Description]]</f>
        <v>0</v>
      </c>
      <c r="L958" s="1">
        <f>NMRResults[[#This Row],[Date Run]]</f>
        <v>0</v>
      </c>
      <c r="M958" s="1">
        <f>ICPList[[#This Row],[Date Run]]</f>
        <v>0</v>
      </c>
      <c r="N958" s="1">
        <f>GCResults[[#This Row],[Date Run ]]</f>
        <v>0</v>
      </c>
    </row>
    <row r="959" spans="1:14" ht="14.45" x14ac:dyDescent="0.25">
      <c r="A959">
        <f>SampleList[[#This Row],[Experiment ID]]</f>
        <v>0</v>
      </c>
      <c r="B959">
        <f>SampleList[[#This Row],[Sample Description]]</f>
        <v>0</v>
      </c>
      <c r="C959" s="1">
        <f>SampleList[[#This Row],[Date Sampled]]</f>
        <v>0</v>
      </c>
      <c r="D959">
        <f>SampleList[[#This Row],[Duration (Days)]]</f>
        <v>0</v>
      </c>
      <c r="E959">
        <f>NMRResults[[#This Row],[Ammonium Concentration (mM)]]</f>
        <v>0</v>
      </c>
      <c r="F959" t="str">
        <f>GCResults[[#This Row],[H2 (ppm)]]</f>
        <v/>
      </c>
      <c r="G959">
        <f>GCResults[[#This Row],[Total Gas Volume (mL), gas cylinder = 3785mL]]</f>
        <v>0</v>
      </c>
      <c r="H959">
        <f>GCResults[[#This Row],[Pressure on Sampling (PSI), 145PSI=1MPa]]</f>
        <v>3552.5</v>
      </c>
      <c r="I959">
        <f>pHCondMod[[#This Row],[Sample pH]]</f>
        <v>0</v>
      </c>
      <c r="J959">
        <f>pHCondMod[[#This Row],[Sample Conductivity (mS/cm)]]</f>
        <v>0</v>
      </c>
      <c r="K959">
        <f>pHCondMod[[#This Row],[Modification Description]]</f>
        <v>0</v>
      </c>
      <c r="L959" s="1">
        <f>NMRResults[[#This Row],[Date Run]]</f>
        <v>0</v>
      </c>
      <c r="M959" s="1">
        <f>ICPList[[#This Row],[Date Run]]</f>
        <v>0</v>
      </c>
      <c r="N959" s="1">
        <f>GCResults[[#This Row],[Date Run ]]</f>
        <v>0</v>
      </c>
    </row>
    <row r="960" spans="1:14" ht="14.45" x14ac:dyDescent="0.25">
      <c r="A960">
        <f>SampleList[[#This Row],[Experiment ID]]</f>
        <v>0</v>
      </c>
      <c r="B960">
        <f>SampleList[[#This Row],[Sample Description]]</f>
        <v>0</v>
      </c>
      <c r="C960" s="1">
        <f>SampleList[[#This Row],[Date Sampled]]</f>
        <v>0</v>
      </c>
      <c r="D960">
        <f>SampleList[[#This Row],[Duration (Days)]]</f>
        <v>0</v>
      </c>
      <c r="E960">
        <f>NMRResults[[#This Row],[Ammonium Concentration (mM)]]</f>
        <v>0</v>
      </c>
      <c r="F960" t="str">
        <f>GCResults[[#This Row],[H2 (ppm)]]</f>
        <v/>
      </c>
      <c r="G960">
        <f>GCResults[[#This Row],[Total Gas Volume (mL), gas cylinder = 3785mL]]</f>
        <v>0</v>
      </c>
      <c r="H960">
        <f>GCResults[[#This Row],[Pressure on Sampling (PSI), 145PSI=1MPa]]</f>
        <v>3552.5</v>
      </c>
      <c r="I960">
        <f>pHCondMod[[#This Row],[Sample pH]]</f>
        <v>0</v>
      </c>
      <c r="J960">
        <f>pHCondMod[[#This Row],[Sample Conductivity (mS/cm)]]</f>
        <v>0</v>
      </c>
      <c r="K960">
        <f>pHCondMod[[#This Row],[Modification Description]]</f>
        <v>0</v>
      </c>
      <c r="L960" s="1">
        <f>NMRResults[[#This Row],[Date Run]]</f>
        <v>0</v>
      </c>
      <c r="M960" s="1">
        <f>ICPList[[#This Row],[Date Run]]</f>
        <v>0</v>
      </c>
      <c r="N960" s="1">
        <f>GCResults[[#This Row],[Date Run ]]</f>
        <v>0</v>
      </c>
    </row>
    <row r="961" spans="1:14" ht="14.45" x14ac:dyDescent="0.25">
      <c r="A961">
        <f>SampleList[[#This Row],[Experiment ID]]</f>
        <v>0</v>
      </c>
      <c r="B961">
        <f>SampleList[[#This Row],[Sample Description]]</f>
        <v>0</v>
      </c>
      <c r="C961" s="1">
        <f>SampleList[[#This Row],[Date Sampled]]</f>
        <v>0</v>
      </c>
      <c r="D961">
        <f>SampleList[[#This Row],[Duration (Days)]]</f>
        <v>0</v>
      </c>
      <c r="E961">
        <f>NMRResults[[#This Row],[Ammonium Concentration (mM)]]</f>
        <v>0</v>
      </c>
      <c r="F961" t="str">
        <f>GCResults[[#This Row],[H2 (ppm)]]</f>
        <v/>
      </c>
      <c r="G961">
        <f>GCResults[[#This Row],[Total Gas Volume (mL), gas cylinder = 3785mL]]</f>
        <v>0</v>
      </c>
      <c r="H961">
        <f>GCResults[[#This Row],[Pressure on Sampling (PSI), 145PSI=1MPa]]</f>
        <v>3552.5</v>
      </c>
      <c r="I961">
        <f>pHCondMod[[#This Row],[Sample pH]]</f>
        <v>0</v>
      </c>
      <c r="J961">
        <f>pHCondMod[[#This Row],[Sample Conductivity (mS/cm)]]</f>
        <v>0</v>
      </c>
      <c r="K961">
        <f>pHCondMod[[#This Row],[Modification Description]]</f>
        <v>0</v>
      </c>
      <c r="L961" s="1">
        <f>NMRResults[[#This Row],[Date Run]]</f>
        <v>0</v>
      </c>
      <c r="M961" s="1">
        <f>ICPList[[#This Row],[Date Run]]</f>
        <v>0</v>
      </c>
      <c r="N961" s="1">
        <f>GCResults[[#This Row],[Date Run ]]</f>
        <v>0</v>
      </c>
    </row>
    <row r="962" spans="1:14" ht="14.45" x14ac:dyDescent="0.25">
      <c r="A962">
        <f>SampleList[[#This Row],[Experiment ID]]</f>
        <v>0</v>
      </c>
      <c r="B962">
        <f>SampleList[[#This Row],[Sample Description]]</f>
        <v>0</v>
      </c>
      <c r="C962" s="1">
        <f>SampleList[[#This Row],[Date Sampled]]</f>
        <v>0</v>
      </c>
      <c r="D962">
        <f>SampleList[[#This Row],[Duration (Days)]]</f>
        <v>0</v>
      </c>
      <c r="E962">
        <f>NMRResults[[#This Row],[Ammonium Concentration (mM)]]</f>
        <v>0</v>
      </c>
      <c r="F962" t="str">
        <f>GCResults[[#This Row],[H2 (ppm)]]</f>
        <v/>
      </c>
      <c r="G962">
        <f>GCResults[[#This Row],[Total Gas Volume (mL), gas cylinder = 3785mL]]</f>
        <v>0</v>
      </c>
      <c r="H962">
        <f>GCResults[[#This Row],[Pressure on Sampling (PSI), 145PSI=1MPa]]</f>
        <v>3552.5</v>
      </c>
      <c r="I962">
        <f>pHCondMod[[#This Row],[Sample pH]]</f>
        <v>0</v>
      </c>
      <c r="J962">
        <f>pHCondMod[[#This Row],[Sample Conductivity (mS/cm)]]</f>
        <v>0</v>
      </c>
      <c r="K962">
        <f>pHCondMod[[#This Row],[Modification Description]]</f>
        <v>0</v>
      </c>
      <c r="L962" s="1">
        <f>NMRResults[[#This Row],[Date Run]]</f>
        <v>0</v>
      </c>
      <c r="M962" s="1">
        <f>ICPList[[#This Row],[Date Run]]</f>
        <v>0</v>
      </c>
      <c r="N962" s="1">
        <f>GCResults[[#This Row],[Date Run ]]</f>
        <v>0</v>
      </c>
    </row>
    <row r="963" spans="1:14" ht="14.45" x14ac:dyDescent="0.25">
      <c r="A963">
        <f>SampleList[[#This Row],[Experiment ID]]</f>
        <v>0</v>
      </c>
      <c r="B963">
        <f>SampleList[[#This Row],[Sample Description]]</f>
        <v>0</v>
      </c>
      <c r="C963" s="1">
        <f>SampleList[[#This Row],[Date Sampled]]</f>
        <v>0</v>
      </c>
      <c r="D963">
        <f>SampleList[[#This Row],[Duration (Days)]]</f>
        <v>0</v>
      </c>
      <c r="E963">
        <f>NMRResults[[#This Row],[Ammonium Concentration (mM)]]</f>
        <v>0</v>
      </c>
      <c r="F963" t="str">
        <f>GCResults[[#This Row],[H2 (ppm)]]</f>
        <v/>
      </c>
      <c r="G963">
        <f>GCResults[[#This Row],[Total Gas Volume (mL), gas cylinder = 3785mL]]</f>
        <v>0</v>
      </c>
      <c r="H963">
        <f>GCResults[[#This Row],[Pressure on Sampling (PSI), 145PSI=1MPa]]</f>
        <v>3552.5</v>
      </c>
      <c r="I963">
        <f>pHCondMod[[#This Row],[Sample pH]]</f>
        <v>0</v>
      </c>
      <c r="J963">
        <f>pHCondMod[[#This Row],[Sample Conductivity (mS/cm)]]</f>
        <v>0</v>
      </c>
      <c r="K963">
        <f>pHCondMod[[#This Row],[Modification Description]]</f>
        <v>0</v>
      </c>
      <c r="L963" s="1">
        <f>NMRResults[[#This Row],[Date Run]]</f>
        <v>0</v>
      </c>
      <c r="M963" s="1">
        <f>ICPList[[#This Row],[Date Run]]</f>
        <v>0</v>
      </c>
      <c r="N963" s="1">
        <f>GCResults[[#This Row],[Date Run ]]</f>
        <v>0</v>
      </c>
    </row>
    <row r="964" spans="1:14" ht="14.45" x14ac:dyDescent="0.25">
      <c r="A964">
        <f>SampleList[[#This Row],[Experiment ID]]</f>
        <v>0</v>
      </c>
      <c r="B964">
        <f>SampleList[[#This Row],[Sample Description]]</f>
        <v>0</v>
      </c>
      <c r="C964" s="1">
        <f>SampleList[[#This Row],[Date Sampled]]</f>
        <v>0</v>
      </c>
      <c r="D964">
        <f>SampleList[[#This Row],[Duration (Days)]]</f>
        <v>0</v>
      </c>
      <c r="E964">
        <f>NMRResults[[#This Row],[Ammonium Concentration (mM)]]</f>
        <v>0</v>
      </c>
      <c r="F964" t="str">
        <f>GCResults[[#This Row],[H2 (ppm)]]</f>
        <v/>
      </c>
      <c r="G964">
        <f>GCResults[[#This Row],[Total Gas Volume (mL), gas cylinder = 3785mL]]</f>
        <v>0</v>
      </c>
      <c r="H964">
        <f>GCResults[[#This Row],[Pressure on Sampling (PSI), 145PSI=1MPa]]</f>
        <v>3552.5</v>
      </c>
      <c r="I964">
        <f>pHCondMod[[#This Row],[Sample pH]]</f>
        <v>0</v>
      </c>
      <c r="J964">
        <f>pHCondMod[[#This Row],[Sample Conductivity (mS/cm)]]</f>
        <v>0</v>
      </c>
      <c r="K964">
        <f>pHCondMod[[#This Row],[Modification Description]]</f>
        <v>0</v>
      </c>
      <c r="L964" s="1">
        <f>NMRResults[[#This Row],[Date Run]]</f>
        <v>0</v>
      </c>
      <c r="M964" s="1">
        <f>ICPList[[#This Row],[Date Run]]</f>
        <v>0</v>
      </c>
      <c r="N964" s="1">
        <f>GCResults[[#This Row],[Date Run ]]</f>
        <v>0</v>
      </c>
    </row>
    <row r="965" spans="1:14" ht="14.45" x14ac:dyDescent="0.25">
      <c r="A965">
        <f>SampleList[[#This Row],[Experiment ID]]</f>
        <v>0</v>
      </c>
      <c r="B965">
        <f>SampleList[[#This Row],[Sample Description]]</f>
        <v>0</v>
      </c>
      <c r="C965" s="1">
        <f>SampleList[[#This Row],[Date Sampled]]</f>
        <v>0</v>
      </c>
      <c r="D965">
        <f>SampleList[[#This Row],[Duration (Days)]]</f>
        <v>0</v>
      </c>
      <c r="E965">
        <f>NMRResults[[#This Row],[Ammonium Concentration (mM)]]</f>
        <v>0</v>
      </c>
      <c r="F965" t="str">
        <f>GCResults[[#This Row],[H2 (ppm)]]</f>
        <v/>
      </c>
      <c r="G965">
        <f>GCResults[[#This Row],[Total Gas Volume (mL), gas cylinder = 3785mL]]</f>
        <v>0</v>
      </c>
      <c r="H965">
        <f>GCResults[[#This Row],[Pressure on Sampling (PSI), 145PSI=1MPa]]</f>
        <v>3552.5</v>
      </c>
      <c r="I965">
        <f>pHCondMod[[#This Row],[Sample pH]]</f>
        <v>0</v>
      </c>
      <c r="J965">
        <f>pHCondMod[[#This Row],[Sample Conductivity (mS/cm)]]</f>
        <v>0</v>
      </c>
      <c r="K965">
        <f>pHCondMod[[#This Row],[Modification Description]]</f>
        <v>0</v>
      </c>
      <c r="L965" s="1">
        <f>NMRResults[[#This Row],[Date Run]]</f>
        <v>0</v>
      </c>
      <c r="M965" s="1">
        <f>ICPList[[#This Row],[Date Run]]</f>
        <v>0</v>
      </c>
      <c r="N965" s="1">
        <f>GCResults[[#This Row],[Date Run ]]</f>
        <v>0</v>
      </c>
    </row>
    <row r="966" spans="1:14" ht="14.45" x14ac:dyDescent="0.25">
      <c r="A966">
        <f>SampleList[[#This Row],[Experiment ID]]</f>
        <v>0</v>
      </c>
      <c r="B966">
        <f>SampleList[[#This Row],[Sample Description]]</f>
        <v>0</v>
      </c>
      <c r="C966" s="1">
        <f>SampleList[[#This Row],[Date Sampled]]</f>
        <v>0</v>
      </c>
      <c r="D966">
        <f>SampleList[[#This Row],[Duration (Days)]]</f>
        <v>0</v>
      </c>
      <c r="E966">
        <f>NMRResults[[#This Row],[Ammonium Concentration (mM)]]</f>
        <v>0</v>
      </c>
      <c r="F966" t="str">
        <f>GCResults[[#This Row],[H2 (ppm)]]</f>
        <v/>
      </c>
      <c r="G966">
        <f>GCResults[[#This Row],[Total Gas Volume (mL), gas cylinder = 3785mL]]</f>
        <v>0</v>
      </c>
      <c r="H966">
        <f>GCResults[[#This Row],[Pressure on Sampling (PSI), 145PSI=1MPa]]</f>
        <v>3552.5</v>
      </c>
      <c r="I966">
        <f>pHCondMod[[#This Row],[Sample pH]]</f>
        <v>0</v>
      </c>
      <c r="J966">
        <f>pHCondMod[[#This Row],[Sample Conductivity (mS/cm)]]</f>
        <v>0</v>
      </c>
      <c r="K966">
        <f>pHCondMod[[#This Row],[Modification Description]]</f>
        <v>0</v>
      </c>
      <c r="L966" s="1">
        <f>NMRResults[[#This Row],[Date Run]]</f>
        <v>0</v>
      </c>
      <c r="M966" s="1">
        <f>ICPList[[#This Row],[Date Run]]</f>
        <v>0</v>
      </c>
      <c r="N966" s="1">
        <f>GCResults[[#This Row],[Date Run ]]</f>
        <v>0</v>
      </c>
    </row>
    <row r="967" spans="1:14" ht="14.45" x14ac:dyDescent="0.25">
      <c r="A967">
        <f>SampleList[[#This Row],[Experiment ID]]</f>
        <v>0</v>
      </c>
      <c r="B967">
        <f>SampleList[[#This Row],[Sample Description]]</f>
        <v>0</v>
      </c>
      <c r="C967" s="1">
        <f>SampleList[[#This Row],[Date Sampled]]</f>
        <v>0</v>
      </c>
      <c r="D967">
        <f>SampleList[[#This Row],[Duration (Days)]]</f>
        <v>0</v>
      </c>
      <c r="E967">
        <f>NMRResults[[#This Row],[Ammonium Concentration (mM)]]</f>
        <v>0</v>
      </c>
      <c r="F967" t="str">
        <f>GCResults[[#This Row],[H2 (ppm)]]</f>
        <v/>
      </c>
      <c r="G967">
        <f>GCResults[[#This Row],[Total Gas Volume (mL), gas cylinder = 3785mL]]</f>
        <v>0</v>
      </c>
      <c r="H967">
        <f>GCResults[[#This Row],[Pressure on Sampling (PSI), 145PSI=1MPa]]</f>
        <v>3552.5</v>
      </c>
      <c r="I967">
        <f>pHCondMod[[#This Row],[Sample pH]]</f>
        <v>0</v>
      </c>
      <c r="J967">
        <f>pHCondMod[[#This Row],[Sample Conductivity (mS/cm)]]</f>
        <v>0</v>
      </c>
      <c r="K967">
        <f>pHCondMod[[#This Row],[Modification Description]]</f>
        <v>0</v>
      </c>
      <c r="L967" s="1">
        <f>NMRResults[[#This Row],[Date Run]]</f>
        <v>0</v>
      </c>
      <c r="M967" s="1">
        <f>ICPList[[#This Row],[Date Run]]</f>
        <v>0</v>
      </c>
      <c r="N967" s="1">
        <f>GCResults[[#This Row],[Date Run ]]</f>
        <v>0</v>
      </c>
    </row>
    <row r="968" spans="1:14" ht="14.45" x14ac:dyDescent="0.25">
      <c r="A968">
        <f>SampleList[[#This Row],[Experiment ID]]</f>
        <v>0</v>
      </c>
      <c r="B968">
        <f>SampleList[[#This Row],[Sample Description]]</f>
        <v>0</v>
      </c>
      <c r="C968" s="1">
        <f>SampleList[[#This Row],[Date Sampled]]</f>
        <v>0</v>
      </c>
      <c r="D968">
        <f>SampleList[[#This Row],[Duration (Days)]]</f>
        <v>0</v>
      </c>
      <c r="E968">
        <f>NMRResults[[#This Row],[Ammonium Concentration (mM)]]</f>
        <v>0</v>
      </c>
      <c r="F968" t="str">
        <f>GCResults[[#This Row],[H2 (ppm)]]</f>
        <v/>
      </c>
      <c r="G968">
        <f>GCResults[[#This Row],[Total Gas Volume (mL), gas cylinder = 3785mL]]</f>
        <v>0</v>
      </c>
      <c r="H968">
        <f>GCResults[[#This Row],[Pressure on Sampling (PSI), 145PSI=1MPa]]</f>
        <v>3552.5</v>
      </c>
      <c r="I968">
        <f>pHCondMod[[#This Row],[Sample pH]]</f>
        <v>0</v>
      </c>
      <c r="J968">
        <f>pHCondMod[[#This Row],[Sample Conductivity (mS/cm)]]</f>
        <v>0</v>
      </c>
      <c r="K968">
        <f>pHCondMod[[#This Row],[Modification Description]]</f>
        <v>0</v>
      </c>
      <c r="L968" s="1">
        <f>NMRResults[[#This Row],[Date Run]]</f>
        <v>0</v>
      </c>
      <c r="M968" s="1">
        <f>ICPList[[#This Row],[Date Run]]</f>
        <v>0</v>
      </c>
      <c r="N968" s="1">
        <f>GCResults[[#This Row],[Date Run ]]</f>
        <v>0</v>
      </c>
    </row>
    <row r="969" spans="1:14" ht="14.45" x14ac:dyDescent="0.25">
      <c r="A969">
        <f>SampleList[[#This Row],[Experiment ID]]</f>
        <v>0</v>
      </c>
      <c r="B969">
        <f>SampleList[[#This Row],[Sample Description]]</f>
        <v>0</v>
      </c>
      <c r="C969" s="1">
        <f>SampleList[[#This Row],[Date Sampled]]</f>
        <v>0</v>
      </c>
      <c r="D969">
        <f>SampleList[[#This Row],[Duration (Days)]]</f>
        <v>0</v>
      </c>
      <c r="E969">
        <f>NMRResults[[#This Row],[Ammonium Concentration (mM)]]</f>
        <v>0</v>
      </c>
      <c r="F969" t="str">
        <f>GCResults[[#This Row],[H2 (ppm)]]</f>
        <v/>
      </c>
      <c r="G969">
        <f>GCResults[[#This Row],[Total Gas Volume (mL), gas cylinder = 3785mL]]</f>
        <v>0</v>
      </c>
      <c r="H969">
        <f>GCResults[[#This Row],[Pressure on Sampling (PSI), 145PSI=1MPa]]</f>
        <v>3552.5</v>
      </c>
      <c r="I969">
        <f>pHCondMod[[#This Row],[Sample pH]]</f>
        <v>0</v>
      </c>
      <c r="J969">
        <f>pHCondMod[[#This Row],[Sample Conductivity (mS/cm)]]</f>
        <v>0</v>
      </c>
      <c r="K969">
        <f>pHCondMod[[#This Row],[Modification Description]]</f>
        <v>0</v>
      </c>
      <c r="L969" s="1">
        <f>NMRResults[[#This Row],[Date Run]]</f>
        <v>0</v>
      </c>
      <c r="M969" s="1">
        <f>ICPList[[#This Row],[Date Run]]</f>
        <v>0</v>
      </c>
      <c r="N969" s="1">
        <f>GCResults[[#This Row],[Date Run ]]</f>
        <v>0</v>
      </c>
    </row>
    <row r="970" spans="1:14" ht="14.45" x14ac:dyDescent="0.25">
      <c r="A970">
        <f>SampleList[[#This Row],[Experiment ID]]</f>
        <v>0</v>
      </c>
      <c r="B970">
        <f>SampleList[[#This Row],[Sample Description]]</f>
        <v>0</v>
      </c>
      <c r="C970" s="1">
        <f>SampleList[[#This Row],[Date Sampled]]</f>
        <v>0</v>
      </c>
      <c r="D970">
        <f>SampleList[[#This Row],[Duration (Days)]]</f>
        <v>0</v>
      </c>
      <c r="E970">
        <f>NMRResults[[#This Row],[Ammonium Concentration (mM)]]</f>
        <v>0</v>
      </c>
      <c r="F970" t="str">
        <f>GCResults[[#This Row],[H2 (ppm)]]</f>
        <v/>
      </c>
      <c r="G970">
        <f>GCResults[[#This Row],[Total Gas Volume (mL), gas cylinder = 3785mL]]</f>
        <v>0</v>
      </c>
      <c r="H970">
        <f>GCResults[[#This Row],[Pressure on Sampling (PSI), 145PSI=1MPa]]</f>
        <v>3552.5</v>
      </c>
      <c r="I970">
        <f>pHCondMod[[#This Row],[Sample pH]]</f>
        <v>0</v>
      </c>
      <c r="J970">
        <f>pHCondMod[[#This Row],[Sample Conductivity (mS/cm)]]</f>
        <v>0</v>
      </c>
      <c r="K970">
        <f>pHCondMod[[#This Row],[Modification Description]]</f>
        <v>0</v>
      </c>
      <c r="L970" s="1">
        <f>NMRResults[[#This Row],[Date Run]]</f>
        <v>0</v>
      </c>
      <c r="M970" s="1">
        <f>ICPList[[#This Row],[Date Run]]</f>
        <v>0</v>
      </c>
      <c r="N970" s="1">
        <f>GCResults[[#This Row],[Date Run ]]</f>
        <v>0</v>
      </c>
    </row>
    <row r="971" spans="1:14" ht="14.45" x14ac:dyDescent="0.25">
      <c r="A971">
        <f>SampleList[[#This Row],[Experiment ID]]</f>
        <v>0</v>
      </c>
      <c r="B971">
        <f>SampleList[[#This Row],[Sample Description]]</f>
        <v>0</v>
      </c>
      <c r="C971" s="1">
        <f>SampleList[[#This Row],[Date Sampled]]</f>
        <v>0</v>
      </c>
      <c r="D971">
        <f>SampleList[[#This Row],[Duration (Days)]]</f>
        <v>0</v>
      </c>
      <c r="E971">
        <f>NMRResults[[#This Row],[Ammonium Concentration (mM)]]</f>
        <v>0</v>
      </c>
      <c r="F971" t="str">
        <f>GCResults[[#This Row],[H2 (ppm)]]</f>
        <v/>
      </c>
      <c r="G971">
        <f>GCResults[[#This Row],[Total Gas Volume (mL), gas cylinder = 3785mL]]</f>
        <v>0</v>
      </c>
      <c r="H971">
        <f>GCResults[[#This Row],[Pressure on Sampling (PSI), 145PSI=1MPa]]</f>
        <v>3552.5</v>
      </c>
      <c r="I971">
        <f>pHCondMod[[#This Row],[Sample pH]]</f>
        <v>0</v>
      </c>
      <c r="J971">
        <f>pHCondMod[[#This Row],[Sample Conductivity (mS/cm)]]</f>
        <v>0</v>
      </c>
      <c r="K971">
        <f>pHCondMod[[#This Row],[Modification Description]]</f>
        <v>0</v>
      </c>
      <c r="L971" s="1">
        <f>NMRResults[[#This Row],[Date Run]]</f>
        <v>0</v>
      </c>
      <c r="M971" s="1">
        <f>ICPList[[#This Row],[Date Run]]</f>
        <v>0</v>
      </c>
      <c r="N971" s="1">
        <f>GCResults[[#This Row],[Date Run ]]</f>
        <v>0</v>
      </c>
    </row>
    <row r="972" spans="1:14" ht="14.45" x14ac:dyDescent="0.25">
      <c r="A972">
        <f>SampleList[[#This Row],[Experiment ID]]</f>
        <v>0</v>
      </c>
      <c r="B972">
        <f>SampleList[[#This Row],[Sample Description]]</f>
        <v>0</v>
      </c>
      <c r="C972" s="1">
        <f>SampleList[[#This Row],[Date Sampled]]</f>
        <v>0</v>
      </c>
      <c r="D972">
        <f>SampleList[[#This Row],[Duration (Days)]]</f>
        <v>0</v>
      </c>
      <c r="E972">
        <f>NMRResults[[#This Row],[Ammonium Concentration (mM)]]</f>
        <v>0</v>
      </c>
      <c r="F972" t="str">
        <f>GCResults[[#This Row],[H2 (ppm)]]</f>
        <v/>
      </c>
      <c r="G972">
        <f>GCResults[[#This Row],[Total Gas Volume (mL), gas cylinder = 3785mL]]</f>
        <v>0</v>
      </c>
      <c r="H972">
        <f>GCResults[[#This Row],[Pressure on Sampling (PSI), 145PSI=1MPa]]</f>
        <v>3552.5</v>
      </c>
      <c r="I972">
        <f>pHCondMod[[#This Row],[Sample pH]]</f>
        <v>0</v>
      </c>
      <c r="J972">
        <f>pHCondMod[[#This Row],[Sample Conductivity (mS/cm)]]</f>
        <v>0</v>
      </c>
      <c r="K972">
        <f>pHCondMod[[#This Row],[Modification Description]]</f>
        <v>0</v>
      </c>
      <c r="L972" s="1">
        <f>NMRResults[[#This Row],[Date Run]]</f>
        <v>0</v>
      </c>
      <c r="M972" s="1">
        <f>ICPList[[#This Row],[Date Run]]</f>
        <v>0</v>
      </c>
      <c r="N972" s="1">
        <f>GCResults[[#This Row],[Date Run ]]</f>
        <v>0</v>
      </c>
    </row>
    <row r="973" spans="1:14" ht="14.45" x14ac:dyDescent="0.25">
      <c r="A973">
        <f>SampleList[[#This Row],[Experiment ID]]</f>
        <v>0</v>
      </c>
      <c r="B973">
        <f>SampleList[[#This Row],[Sample Description]]</f>
        <v>0</v>
      </c>
      <c r="C973" s="1">
        <f>SampleList[[#This Row],[Date Sampled]]</f>
        <v>0</v>
      </c>
      <c r="D973">
        <f>SampleList[[#This Row],[Duration (Days)]]</f>
        <v>0</v>
      </c>
      <c r="E973">
        <f>NMRResults[[#This Row],[Ammonium Concentration (mM)]]</f>
        <v>0</v>
      </c>
      <c r="F973" t="str">
        <f>GCResults[[#This Row],[H2 (ppm)]]</f>
        <v/>
      </c>
      <c r="G973">
        <f>GCResults[[#This Row],[Total Gas Volume (mL), gas cylinder = 3785mL]]</f>
        <v>0</v>
      </c>
      <c r="H973">
        <f>GCResults[[#This Row],[Pressure on Sampling (PSI), 145PSI=1MPa]]</f>
        <v>3552.5</v>
      </c>
      <c r="I973">
        <f>pHCondMod[[#This Row],[Sample pH]]</f>
        <v>0</v>
      </c>
      <c r="J973">
        <f>pHCondMod[[#This Row],[Sample Conductivity (mS/cm)]]</f>
        <v>0</v>
      </c>
      <c r="K973">
        <f>pHCondMod[[#This Row],[Modification Description]]</f>
        <v>0</v>
      </c>
      <c r="L973" s="1">
        <f>NMRResults[[#This Row],[Date Run]]</f>
        <v>0</v>
      </c>
      <c r="M973" s="1">
        <f>ICPList[[#This Row],[Date Run]]</f>
        <v>0</v>
      </c>
      <c r="N973" s="1">
        <f>GCResults[[#This Row],[Date Run ]]</f>
        <v>0</v>
      </c>
    </row>
    <row r="974" spans="1:14" ht="14.45" x14ac:dyDescent="0.25">
      <c r="A974">
        <f>SampleList[[#This Row],[Experiment ID]]</f>
        <v>0</v>
      </c>
      <c r="B974">
        <f>SampleList[[#This Row],[Sample Description]]</f>
        <v>0</v>
      </c>
      <c r="C974" s="1">
        <f>SampleList[[#This Row],[Date Sampled]]</f>
        <v>0</v>
      </c>
      <c r="D974">
        <f>SampleList[[#This Row],[Duration (Days)]]</f>
        <v>0</v>
      </c>
      <c r="E974">
        <f>NMRResults[[#This Row],[Ammonium Concentration (mM)]]</f>
        <v>0</v>
      </c>
      <c r="F974" t="str">
        <f>GCResults[[#This Row],[H2 (ppm)]]</f>
        <v/>
      </c>
      <c r="G974">
        <f>GCResults[[#This Row],[Total Gas Volume (mL), gas cylinder = 3785mL]]</f>
        <v>0</v>
      </c>
      <c r="H974">
        <f>GCResults[[#This Row],[Pressure on Sampling (PSI), 145PSI=1MPa]]</f>
        <v>3552.5</v>
      </c>
      <c r="I974">
        <f>pHCondMod[[#This Row],[Sample pH]]</f>
        <v>0</v>
      </c>
      <c r="J974">
        <f>pHCondMod[[#This Row],[Sample Conductivity (mS/cm)]]</f>
        <v>0</v>
      </c>
      <c r="K974">
        <f>pHCondMod[[#This Row],[Modification Description]]</f>
        <v>0</v>
      </c>
      <c r="L974" s="1">
        <f>NMRResults[[#This Row],[Date Run]]</f>
        <v>0</v>
      </c>
      <c r="M974" s="1">
        <f>ICPList[[#This Row],[Date Run]]</f>
        <v>0</v>
      </c>
      <c r="N974" s="1">
        <f>GCResults[[#This Row],[Date Run ]]</f>
        <v>0</v>
      </c>
    </row>
    <row r="975" spans="1:14" ht="14.45" x14ac:dyDescent="0.25">
      <c r="A975">
        <f>SampleList[[#This Row],[Experiment ID]]</f>
        <v>0</v>
      </c>
      <c r="B975">
        <f>SampleList[[#This Row],[Sample Description]]</f>
        <v>0</v>
      </c>
      <c r="C975" s="1">
        <f>SampleList[[#This Row],[Date Sampled]]</f>
        <v>0</v>
      </c>
      <c r="D975">
        <f>SampleList[[#This Row],[Duration (Days)]]</f>
        <v>0</v>
      </c>
      <c r="E975">
        <f>NMRResults[[#This Row],[Ammonium Concentration (mM)]]</f>
        <v>0</v>
      </c>
      <c r="F975" t="str">
        <f>GCResults[[#This Row],[H2 (ppm)]]</f>
        <v/>
      </c>
      <c r="G975">
        <f>GCResults[[#This Row],[Total Gas Volume (mL), gas cylinder = 3785mL]]</f>
        <v>0</v>
      </c>
      <c r="H975">
        <f>GCResults[[#This Row],[Pressure on Sampling (PSI), 145PSI=1MPa]]</f>
        <v>3552.5</v>
      </c>
      <c r="I975">
        <f>pHCondMod[[#This Row],[Sample pH]]</f>
        <v>0</v>
      </c>
      <c r="J975">
        <f>pHCondMod[[#This Row],[Sample Conductivity (mS/cm)]]</f>
        <v>0</v>
      </c>
      <c r="K975">
        <f>pHCondMod[[#This Row],[Modification Description]]</f>
        <v>0</v>
      </c>
      <c r="L975" s="1">
        <f>NMRResults[[#This Row],[Date Run]]</f>
        <v>0</v>
      </c>
      <c r="M975" s="1">
        <f>ICPList[[#This Row],[Date Run]]</f>
        <v>0</v>
      </c>
      <c r="N975" s="1">
        <f>GCResults[[#This Row],[Date Run ]]</f>
        <v>0</v>
      </c>
    </row>
    <row r="976" spans="1:14" ht="14.45" x14ac:dyDescent="0.25">
      <c r="A976">
        <f>SampleList[[#This Row],[Experiment ID]]</f>
        <v>0</v>
      </c>
      <c r="B976">
        <f>SampleList[[#This Row],[Sample Description]]</f>
        <v>0</v>
      </c>
      <c r="C976" s="1">
        <f>SampleList[[#This Row],[Date Sampled]]</f>
        <v>0</v>
      </c>
      <c r="D976">
        <f>SampleList[[#This Row],[Duration (Days)]]</f>
        <v>0</v>
      </c>
      <c r="E976">
        <f>NMRResults[[#This Row],[Ammonium Concentration (mM)]]</f>
        <v>0</v>
      </c>
      <c r="F976" t="str">
        <f>GCResults[[#This Row],[H2 (ppm)]]</f>
        <v/>
      </c>
      <c r="G976">
        <f>GCResults[[#This Row],[Total Gas Volume (mL), gas cylinder = 3785mL]]</f>
        <v>0</v>
      </c>
      <c r="H976">
        <f>GCResults[[#This Row],[Pressure on Sampling (PSI), 145PSI=1MPa]]</f>
        <v>3552.5</v>
      </c>
      <c r="I976">
        <f>pHCondMod[[#This Row],[Sample pH]]</f>
        <v>0</v>
      </c>
      <c r="J976">
        <f>pHCondMod[[#This Row],[Sample Conductivity (mS/cm)]]</f>
        <v>0</v>
      </c>
      <c r="K976">
        <f>pHCondMod[[#This Row],[Modification Description]]</f>
        <v>0</v>
      </c>
      <c r="L976" s="1">
        <f>NMRResults[[#This Row],[Date Run]]</f>
        <v>0</v>
      </c>
      <c r="M976" s="1">
        <f>ICPList[[#This Row],[Date Run]]</f>
        <v>0</v>
      </c>
      <c r="N976" s="1">
        <f>GCResults[[#This Row],[Date Run ]]</f>
        <v>0</v>
      </c>
    </row>
    <row r="977" spans="1:14" ht="14.45" x14ac:dyDescent="0.25">
      <c r="A977">
        <f>SampleList[[#This Row],[Experiment ID]]</f>
        <v>0</v>
      </c>
      <c r="B977">
        <f>SampleList[[#This Row],[Sample Description]]</f>
        <v>0</v>
      </c>
      <c r="C977" s="1">
        <f>SampleList[[#This Row],[Date Sampled]]</f>
        <v>0</v>
      </c>
      <c r="D977">
        <f>SampleList[[#This Row],[Duration (Days)]]</f>
        <v>0</v>
      </c>
      <c r="E977">
        <f>NMRResults[[#This Row],[Ammonium Concentration (mM)]]</f>
        <v>0</v>
      </c>
      <c r="F977" t="str">
        <f>GCResults[[#This Row],[H2 (ppm)]]</f>
        <v/>
      </c>
      <c r="G977">
        <f>GCResults[[#This Row],[Total Gas Volume (mL), gas cylinder = 3785mL]]</f>
        <v>0</v>
      </c>
      <c r="H977">
        <f>GCResults[[#This Row],[Pressure on Sampling (PSI), 145PSI=1MPa]]</f>
        <v>3552.5</v>
      </c>
      <c r="I977">
        <f>pHCondMod[[#This Row],[Sample pH]]</f>
        <v>0</v>
      </c>
      <c r="J977">
        <f>pHCondMod[[#This Row],[Sample Conductivity (mS/cm)]]</f>
        <v>0</v>
      </c>
      <c r="K977">
        <f>pHCondMod[[#This Row],[Modification Description]]</f>
        <v>0</v>
      </c>
      <c r="L977" s="1">
        <f>NMRResults[[#This Row],[Date Run]]</f>
        <v>0</v>
      </c>
      <c r="M977" s="1">
        <f>ICPList[[#This Row],[Date Run]]</f>
        <v>0</v>
      </c>
      <c r="N977" s="1">
        <f>GCResults[[#This Row],[Date Run ]]</f>
        <v>0</v>
      </c>
    </row>
    <row r="978" spans="1:14" ht="14.45" x14ac:dyDescent="0.25">
      <c r="A978">
        <f>SampleList[[#This Row],[Experiment ID]]</f>
        <v>0</v>
      </c>
      <c r="B978">
        <f>SampleList[[#This Row],[Sample Description]]</f>
        <v>0</v>
      </c>
      <c r="C978" s="1">
        <f>SampleList[[#This Row],[Date Sampled]]</f>
        <v>0</v>
      </c>
      <c r="D978">
        <f>SampleList[[#This Row],[Duration (Days)]]</f>
        <v>0</v>
      </c>
      <c r="E978">
        <f>NMRResults[[#This Row],[Ammonium Concentration (mM)]]</f>
        <v>0</v>
      </c>
      <c r="F978" t="str">
        <f>GCResults[[#This Row],[H2 (ppm)]]</f>
        <v/>
      </c>
      <c r="G978">
        <f>GCResults[[#This Row],[Total Gas Volume (mL), gas cylinder = 3785mL]]</f>
        <v>0</v>
      </c>
      <c r="H978">
        <f>GCResults[[#This Row],[Pressure on Sampling (PSI), 145PSI=1MPa]]</f>
        <v>3552.5</v>
      </c>
      <c r="I978">
        <f>pHCondMod[[#This Row],[Sample pH]]</f>
        <v>0</v>
      </c>
      <c r="J978">
        <f>pHCondMod[[#This Row],[Sample Conductivity (mS/cm)]]</f>
        <v>0</v>
      </c>
      <c r="K978">
        <f>pHCondMod[[#This Row],[Modification Description]]</f>
        <v>0</v>
      </c>
      <c r="L978" s="1">
        <f>NMRResults[[#This Row],[Date Run]]</f>
        <v>0</v>
      </c>
      <c r="M978" s="1">
        <f>ICPList[[#This Row],[Date Run]]</f>
        <v>0</v>
      </c>
      <c r="N978" s="1">
        <f>GCResults[[#This Row],[Date Run ]]</f>
        <v>0</v>
      </c>
    </row>
    <row r="979" spans="1:14" ht="14.45" x14ac:dyDescent="0.25">
      <c r="A979">
        <f>SampleList[[#This Row],[Experiment ID]]</f>
        <v>0</v>
      </c>
      <c r="B979">
        <f>SampleList[[#This Row],[Sample Description]]</f>
        <v>0</v>
      </c>
      <c r="C979" s="1">
        <f>SampleList[[#This Row],[Date Sampled]]</f>
        <v>0</v>
      </c>
      <c r="D979">
        <f>SampleList[[#This Row],[Duration (Days)]]</f>
        <v>0</v>
      </c>
      <c r="E979">
        <f>NMRResults[[#This Row],[Ammonium Concentration (mM)]]</f>
        <v>0</v>
      </c>
      <c r="F979" t="str">
        <f>GCResults[[#This Row],[H2 (ppm)]]</f>
        <v/>
      </c>
      <c r="G979">
        <f>GCResults[[#This Row],[Total Gas Volume (mL), gas cylinder = 3785mL]]</f>
        <v>0</v>
      </c>
      <c r="H979">
        <f>GCResults[[#This Row],[Pressure on Sampling (PSI), 145PSI=1MPa]]</f>
        <v>3552.5</v>
      </c>
      <c r="I979">
        <f>pHCondMod[[#This Row],[Sample pH]]</f>
        <v>0</v>
      </c>
      <c r="J979">
        <f>pHCondMod[[#This Row],[Sample Conductivity (mS/cm)]]</f>
        <v>0</v>
      </c>
      <c r="K979">
        <f>pHCondMod[[#This Row],[Modification Description]]</f>
        <v>0</v>
      </c>
      <c r="L979" s="1">
        <f>NMRResults[[#This Row],[Date Run]]</f>
        <v>0</v>
      </c>
      <c r="M979" s="1">
        <f>ICPList[[#This Row],[Date Run]]</f>
        <v>0</v>
      </c>
      <c r="N979" s="1">
        <f>GCResults[[#This Row],[Date Run ]]</f>
        <v>0</v>
      </c>
    </row>
    <row r="980" spans="1:14" ht="14.45" x14ac:dyDescent="0.25">
      <c r="A980">
        <f>SampleList[[#This Row],[Experiment ID]]</f>
        <v>0</v>
      </c>
      <c r="B980">
        <f>SampleList[[#This Row],[Sample Description]]</f>
        <v>0</v>
      </c>
      <c r="C980" s="1">
        <f>SampleList[[#This Row],[Date Sampled]]</f>
        <v>0</v>
      </c>
      <c r="D980">
        <f>SampleList[[#This Row],[Duration (Days)]]</f>
        <v>0</v>
      </c>
      <c r="E980">
        <f>NMRResults[[#This Row],[Ammonium Concentration (mM)]]</f>
        <v>0</v>
      </c>
      <c r="F980" t="str">
        <f>GCResults[[#This Row],[H2 (ppm)]]</f>
        <v/>
      </c>
      <c r="G980">
        <f>GCResults[[#This Row],[Total Gas Volume (mL), gas cylinder = 3785mL]]</f>
        <v>0</v>
      </c>
      <c r="H980">
        <f>GCResults[[#This Row],[Pressure on Sampling (PSI), 145PSI=1MPa]]</f>
        <v>3552.5</v>
      </c>
      <c r="I980">
        <f>pHCondMod[[#This Row],[Sample pH]]</f>
        <v>0</v>
      </c>
      <c r="J980">
        <f>pHCondMod[[#This Row],[Sample Conductivity (mS/cm)]]</f>
        <v>0</v>
      </c>
      <c r="K980">
        <f>pHCondMod[[#This Row],[Modification Description]]</f>
        <v>0</v>
      </c>
      <c r="L980" s="1">
        <f>NMRResults[[#This Row],[Date Run]]</f>
        <v>0</v>
      </c>
      <c r="M980" s="1">
        <f>ICPList[[#This Row],[Date Run]]</f>
        <v>0</v>
      </c>
      <c r="N980" s="1">
        <f>GCResults[[#This Row],[Date Run ]]</f>
        <v>0</v>
      </c>
    </row>
    <row r="981" spans="1:14" ht="14.45" x14ac:dyDescent="0.25">
      <c r="A981">
        <f>SampleList[[#This Row],[Experiment ID]]</f>
        <v>0</v>
      </c>
      <c r="B981">
        <f>SampleList[[#This Row],[Sample Description]]</f>
        <v>0</v>
      </c>
      <c r="C981" s="1">
        <f>SampleList[[#This Row],[Date Sampled]]</f>
        <v>0</v>
      </c>
      <c r="D981">
        <f>SampleList[[#This Row],[Duration (Days)]]</f>
        <v>0</v>
      </c>
      <c r="E981">
        <f>NMRResults[[#This Row],[Ammonium Concentration (mM)]]</f>
        <v>0</v>
      </c>
      <c r="F981" t="str">
        <f>GCResults[[#This Row],[H2 (ppm)]]</f>
        <v/>
      </c>
      <c r="G981">
        <f>GCResults[[#This Row],[Total Gas Volume (mL), gas cylinder = 3785mL]]</f>
        <v>0</v>
      </c>
      <c r="H981">
        <f>GCResults[[#This Row],[Pressure on Sampling (PSI), 145PSI=1MPa]]</f>
        <v>3552.5</v>
      </c>
      <c r="I981">
        <f>pHCondMod[[#This Row],[Sample pH]]</f>
        <v>0</v>
      </c>
      <c r="J981">
        <f>pHCondMod[[#This Row],[Sample Conductivity (mS/cm)]]</f>
        <v>0</v>
      </c>
      <c r="K981">
        <f>pHCondMod[[#This Row],[Modification Description]]</f>
        <v>0</v>
      </c>
      <c r="L981" s="1">
        <f>NMRResults[[#This Row],[Date Run]]</f>
        <v>0</v>
      </c>
      <c r="M981" s="1">
        <f>ICPList[[#This Row],[Date Run]]</f>
        <v>0</v>
      </c>
      <c r="N981" s="1">
        <f>GCResults[[#This Row],[Date Run ]]</f>
        <v>0</v>
      </c>
    </row>
    <row r="982" spans="1:14" ht="14.45" x14ac:dyDescent="0.25">
      <c r="A982">
        <f>SampleList[[#This Row],[Experiment ID]]</f>
        <v>0</v>
      </c>
      <c r="B982">
        <f>SampleList[[#This Row],[Sample Description]]</f>
        <v>0</v>
      </c>
      <c r="C982" s="1">
        <f>SampleList[[#This Row],[Date Sampled]]</f>
        <v>0</v>
      </c>
      <c r="D982">
        <f>SampleList[[#This Row],[Duration (Days)]]</f>
        <v>0</v>
      </c>
      <c r="E982">
        <f>NMRResults[[#This Row],[Ammonium Concentration (mM)]]</f>
        <v>0</v>
      </c>
      <c r="F982" t="str">
        <f>GCResults[[#This Row],[H2 (ppm)]]</f>
        <v/>
      </c>
      <c r="G982">
        <f>GCResults[[#This Row],[Total Gas Volume (mL), gas cylinder = 3785mL]]</f>
        <v>0</v>
      </c>
      <c r="H982">
        <f>GCResults[[#This Row],[Pressure on Sampling (PSI), 145PSI=1MPa]]</f>
        <v>3552.5</v>
      </c>
      <c r="I982">
        <f>pHCondMod[[#This Row],[Sample pH]]</f>
        <v>0</v>
      </c>
      <c r="J982">
        <f>pHCondMod[[#This Row],[Sample Conductivity (mS/cm)]]</f>
        <v>0</v>
      </c>
      <c r="K982">
        <f>pHCondMod[[#This Row],[Modification Description]]</f>
        <v>0</v>
      </c>
      <c r="L982" s="1">
        <f>NMRResults[[#This Row],[Date Run]]</f>
        <v>0</v>
      </c>
      <c r="M982" s="1">
        <f>ICPList[[#This Row],[Date Run]]</f>
        <v>0</v>
      </c>
      <c r="N982" s="1">
        <f>GCResults[[#This Row],[Date Run ]]</f>
        <v>0</v>
      </c>
    </row>
    <row r="983" spans="1:14" ht="14.45" x14ac:dyDescent="0.25">
      <c r="A983">
        <f>SampleList[[#This Row],[Experiment ID]]</f>
        <v>0</v>
      </c>
      <c r="B983">
        <f>SampleList[[#This Row],[Sample Description]]</f>
        <v>0</v>
      </c>
      <c r="C983" s="1">
        <f>SampleList[[#This Row],[Date Sampled]]</f>
        <v>0</v>
      </c>
      <c r="D983">
        <f>SampleList[[#This Row],[Duration (Days)]]</f>
        <v>0</v>
      </c>
      <c r="E983">
        <f>NMRResults[[#This Row],[Ammonium Concentration (mM)]]</f>
        <v>0</v>
      </c>
      <c r="F983" t="str">
        <f>GCResults[[#This Row],[H2 (ppm)]]</f>
        <v/>
      </c>
      <c r="G983">
        <f>GCResults[[#This Row],[Total Gas Volume (mL), gas cylinder = 3785mL]]</f>
        <v>0</v>
      </c>
      <c r="H983">
        <f>GCResults[[#This Row],[Pressure on Sampling (PSI), 145PSI=1MPa]]</f>
        <v>3552.5</v>
      </c>
      <c r="I983">
        <f>pHCondMod[[#This Row],[Sample pH]]</f>
        <v>0</v>
      </c>
      <c r="J983">
        <f>pHCondMod[[#This Row],[Sample Conductivity (mS/cm)]]</f>
        <v>0</v>
      </c>
      <c r="K983">
        <f>pHCondMod[[#This Row],[Modification Description]]</f>
        <v>0</v>
      </c>
      <c r="L983" s="1">
        <f>NMRResults[[#This Row],[Date Run]]</f>
        <v>0</v>
      </c>
      <c r="M983" s="1">
        <f>ICPList[[#This Row],[Date Run]]</f>
        <v>0</v>
      </c>
      <c r="N983" s="1">
        <f>GCResults[[#This Row],[Date Run ]]</f>
        <v>0</v>
      </c>
    </row>
    <row r="984" spans="1:14" ht="14.45" x14ac:dyDescent="0.25">
      <c r="A984">
        <f>SampleList[[#This Row],[Experiment ID]]</f>
        <v>0</v>
      </c>
      <c r="B984">
        <f>SampleList[[#This Row],[Sample Description]]</f>
        <v>0</v>
      </c>
      <c r="C984" s="1">
        <f>SampleList[[#This Row],[Date Sampled]]</f>
        <v>0</v>
      </c>
      <c r="D984">
        <f>SampleList[[#This Row],[Duration (Days)]]</f>
        <v>0</v>
      </c>
      <c r="E984">
        <f>NMRResults[[#This Row],[Ammonium Concentration (mM)]]</f>
        <v>0</v>
      </c>
      <c r="F984" t="str">
        <f>GCResults[[#This Row],[H2 (ppm)]]</f>
        <v/>
      </c>
      <c r="G984">
        <f>GCResults[[#This Row],[Total Gas Volume (mL), gas cylinder = 3785mL]]</f>
        <v>0</v>
      </c>
      <c r="H984">
        <f>GCResults[[#This Row],[Pressure on Sampling (PSI), 145PSI=1MPa]]</f>
        <v>3552.5</v>
      </c>
      <c r="I984">
        <f>pHCondMod[[#This Row],[Sample pH]]</f>
        <v>0</v>
      </c>
      <c r="J984">
        <f>pHCondMod[[#This Row],[Sample Conductivity (mS/cm)]]</f>
        <v>0</v>
      </c>
      <c r="K984">
        <f>pHCondMod[[#This Row],[Modification Description]]</f>
        <v>0</v>
      </c>
      <c r="L984" s="1">
        <f>NMRResults[[#This Row],[Date Run]]</f>
        <v>0</v>
      </c>
      <c r="M984" s="1">
        <f>ICPList[[#This Row],[Date Run]]</f>
        <v>0</v>
      </c>
      <c r="N984" s="1">
        <f>GCResults[[#This Row],[Date Run ]]</f>
        <v>0</v>
      </c>
    </row>
    <row r="985" spans="1:14" ht="14.45" x14ac:dyDescent="0.25">
      <c r="A985">
        <f>SampleList[[#This Row],[Experiment ID]]</f>
        <v>0</v>
      </c>
      <c r="B985">
        <f>SampleList[[#This Row],[Sample Description]]</f>
        <v>0</v>
      </c>
      <c r="C985" s="1">
        <f>SampleList[[#This Row],[Date Sampled]]</f>
        <v>0</v>
      </c>
      <c r="D985">
        <f>SampleList[[#This Row],[Duration (Days)]]</f>
        <v>0</v>
      </c>
      <c r="E985">
        <f>NMRResults[[#This Row],[Ammonium Concentration (mM)]]</f>
        <v>0</v>
      </c>
      <c r="F985" t="str">
        <f>GCResults[[#This Row],[H2 (ppm)]]</f>
        <v/>
      </c>
      <c r="G985">
        <f>GCResults[[#This Row],[Total Gas Volume (mL), gas cylinder = 3785mL]]</f>
        <v>0</v>
      </c>
      <c r="H985">
        <f>GCResults[[#This Row],[Pressure on Sampling (PSI), 145PSI=1MPa]]</f>
        <v>3552.5</v>
      </c>
      <c r="I985">
        <f>pHCondMod[[#This Row],[Sample pH]]</f>
        <v>0</v>
      </c>
      <c r="J985">
        <f>pHCondMod[[#This Row],[Sample Conductivity (mS/cm)]]</f>
        <v>0</v>
      </c>
      <c r="K985">
        <f>pHCondMod[[#This Row],[Modification Description]]</f>
        <v>0</v>
      </c>
      <c r="L985" s="1">
        <f>NMRResults[[#This Row],[Date Run]]</f>
        <v>0</v>
      </c>
      <c r="M985" s="1">
        <f>ICPList[[#This Row],[Date Run]]</f>
        <v>0</v>
      </c>
      <c r="N985" s="1">
        <f>GCResults[[#This Row],[Date Run ]]</f>
        <v>0</v>
      </c>
    </row>
    <row r="986" spans="1:14" ht="14.45" x14ac:dyDescent="0.25">
      <c r="A986">
        <f>SampleList[[#This Row],[Experiment ID]]</f>
        <v>0</v>
      </c>
      <c r="B986">
        <f>SampleList[[#This Row],[Sample Description]]</f>
        <v>0</v>
      </c>
      <c r="C986" s="1">
        <f>SampleList[[#This Row],[Date Sampled]]</f>
        <v>0</v>
      </c>
      <c r="D986">
        <f>SampleList[[#This Row],[Duration (Days)]]</f>
        <v>0</v>
      </c>
      <c r="E986">
        <f>NMRResults[[#This Row],[Ammonium Concentration (mM)]]</f>
        <v>0</v>
      </c>
      <c r="F986" t="str">
        <f>GCResults[[#This Row],[H2 (ppm)]]</f>
        <v/>
      </c>
      <c r="G986">
        <f>GCResults[[#This Row],[Total Gas Volume (mL), gas cylinder = 3785mL]]</f>
        <v>0</v>
      </c>
      <c r="H986">
        <f>GCResults[[#This Row],[Pressure on Sampling (PSI), 145PSI=1MPa]]</f>
        <v>3552.5</v>
      </c>
      <c r="I986">
        <f>pHCondMod[[#This Row],[Sample pH]]</f>
        <v>0</v>
      </c>
      <c r="J986">
        <f>pHCondMod[[#This Row],[Sample Conductivity (mS/cm)]]</f>
        <v>0</v>
      </c>
      <c r="K986">
        <f>pHCondMod[[#This Row],[Modification Description]]</f>
        <v>0</v>
      </c>
      <c r="L986" s="1">
        <f>NMRResults[[#This Row],[Date Run]]</f>
        <v>0</v>
      </c>
      <c r="M986" s="1">
        <f>ICPList[[#This Row],[Date Run]]</f>
        <v>0</v>
      </c>
      <c r="N986" s="1">
        <f>GCResults[[#This Row],[Date Run ]]</f>
        <v>0</v>
      </c>
    </row>
    <row r="987" spans="1:14" ht="14.45" x14ac:dyDescent="0.25">
      <c r="A987">
        <f>SampleList[[#This Row],[Experiment ID]]</f>
        <v>0</v>
      </c>
      <c r="B987">
        <f>SampleList[[#This Row],[Sample Description]]</f>
        <v>0</v>
      </c>
      <c r="C987" s="1">
        <f>SampleList[[#This Row],[Date Sampled]]</f>
        <v>0</v>
      </c>
      <c r="D987">
        <f>SampleList[[#This Row],[Duration (Days)]]</f>
        <v>0</v>
      </c>
      <c r="E987">
        <f>NMRResults[[#This Row],[Ammonium Concentration (mM)]]</f>
        <v>0</v>
      </c>
      <c r="F987" t="str">
        <f>GCResults[[#This Row],[H2 (ppm)]]</f>
        <v/>
      </c>
      <c r="G987">
        <f>GCResults[[#This Row],[Total Gas Volume (mL), gas cylinder = 3785mL]]</f>
        <v>0</v>
      </c>
      <c r="H987">
        <f>GCResults[[#This Row],[Pressure on Sampling (PSI), 145PSI=1MPa]]</f>
        <v>3552.5</v>
      </c>
      <c r="I987">
        <f>pHCondMod[[#This Row],[Sample pH]]</f>
        <v>0</v>
      </c>
      <c r="J987">
        <f>pHCondMod[[#This Row],[Sample Conductivity (mS/cm)]]</f>
        <v>0</v>
      </c>
      <c r="K987">
        <f>pHCondMod[[#This Row],[Modification Description]]</f>
        <v>0</v>
      </c>
      <c r="L987" s="1">
        <f>NMRResults[[#This Row],[Date Run]]</f>
        <v>0</v>
      </c>
      <c r="M987" s="1">
        <f>ICPList[[#This Row],[Date Run]]</f>
        <v>0</v>
      </c>
      <c r="N987" s="1">
        <f>GCResults[[#This Row],[Date Run ]]</f>
        <v>0</v>
      </c>
    </row>
    <row r="988" spans="1:14" ht="14.45" x14ac:dyDescent="0.25">
      <c r="A988">
        <f>SampleList[[#This Row],[Experiment ID]]</f>
        <v>0</v>
      </c>
      <c r="B988">
        <f>SampleList[[#This Row],[Sample Description]]</f>
        <v>0</v>
      </c>
      <c r="C988" s="1">
        <f>SampleList[[#This Row],[Date Sampled]]</f>
        <v>0</v>
      </c>
      <c r="D988">
        <f>SampleList[[#This Row],[Duration (Days)]]</f>
        <v>0</v>
      </c>
      <c r="E988">
        <f>NMRResults[[#This Row],[Ammonium Concentration (mM)]]</f>
        <v>0</v>
      </c>
      <c r="F988" t="str">
        <f>GCResults[[#This Row],[H2 (ppm)]]</f>
        <v/>
      </c>
      <c r="G988">
        <f>GCResults[[#This Row],[Total Gas Volume (mL), gas cylinder = 3785mL]]</f>
        <v>0</v>
      </c>
      <c r="H988">
        <f>GCResults[[#This Row],[Pressure on Sampling (PSI), 145PSI=1MPa]]</f>
        <v>3552.5</v>
      </c>
      <c r="I988">
        <f>pHCondMod[[#This Row],[Sample pH]]</f>
        <v>0</v>
      </c>
      <c r="J988">
        <f>pHCondMod[[#This Row],[Sample Conductivity (mS/cm)]]</f>
        <v>0</v>
      </c>
      <c r="K988">
        <f>pHCondMod[[#This Row],[Modification Description]]</f>
        <v>0</v>
      </c>
      <c r="L988" s="1">
        <f>NMRResults[[#This Row],[Date Run]]</f>
        <v>0</v>
      </c>
      <c r="M988" s="1">
        <f>ICPList[[#This Row],[Date Run]]</f>
        <v>0</v>
      </c>
      <c r="N988" s="1">
        <f>GCResults[[#This Row],[Date Run ]]</f>
        <v>0</v>
      </c>
    </row>
    <row r="989" spans="1:14" ht="14.45" x14ac:dyDescent="0.25">
      <c r="A989">
        <f>SampleList[[#This Row],[Experiment ID]]</f>
        <v>0</v>
      </c>
      <c r="B989">
        <f>SampleList[[#This Row],[Sample Description]]</f>
        <v>0</v>
      </c>
      <c r="C989" s="1">
        <f>SampleList[[#This Row],[Date Sampled]]</f>
        <v>0</v>
      </c>
      <c r="D989">
        <f>SampleList[[#This Row],[Duration (Days)]]</f>
        <v>0</v>
      </c>
      <c r="E989">
        <f>NMRResults[[#This Row],[Ammonium Concentration (mM)]]</f>
        <v>0</v>
      </c>
      <c r="F989" t="str">
        <f>GCResults[[#This Row],[H2 (ppm)]]</f>
        <v/>
      </c>
      <c r="G989">
        <f>GCResults[[#This Row],[Total Gas Volume (mL), gas cylinder = 3785mL]]</f>
        <v>0</v>
      </c>
      <c r="H989">
        <f>GCResults[[#This Row],[Pressure on Sampling (PSI), 145PSI=1MPa]]</f>
        <v>3552.5</v>
      </c>
      <c r="I989">
        <f>pHCondMod[[#This Row],[Sample pH]]</f>
        <v>0</v>
      </c>
      <c r="J989">
        <f>pHCondMod[[#This Row],[Sample Conductivity (mS/cm)]]</f>
        <v>0</v>
      </c>
      <c r="K989">
        <f>pHCondMod[[#This Row],[Modification Description]]</f>
        <v>0</v>
      </c>
      <c r="L989" s="1">
        <f>NMRResults[[#This Row],[Date Run]]</f>
        <v>0</v>
      </c>
      <c r="M989" s="1">
        <f>ICPList[[#This Row],[Date Run]]</f>
        <v>0</v>
      </c>
      <c r="N989" s="1">
        <f>GCResults[[#This Row],[Date Run ]]</f>
        <v>0</v>
      </c>
    </row>
    <row r="990" spans="1:14" ht="14.45" x14ac:dyDescent="0.25">
      <c r="A990">
        <f>SampleList[[#This Row],[Experiment ID]]</f>
        <v>0</v>
      </c>
      <c r="B990">
        <f>SampleList[[#This Row],[Sample Description]]</f>
        <v>0</v>
      </c>
      <c r="C990" s="1">
        <f>SampleList[[#This Row],[Date Sampled]]</f>
        <v>0</v>
      </c>
      <c r="D990">
        <f>SampleList[[#This Row],[Duration (Days)]]</f>
        <v>0</v>
      </c>
      <c r="E990">
        <f>NMRResults[[#This Row],[Ammonium Concentration (mM)]]</f>
        <v>0</v>
      </c>
      <c r="F990" t="str">
        <f>GCResults[[#This Row],[H2 (ppm)]]</f>
        <v/>
      </c>
      <c r="G990">
        <f>GCResults[[#This Row],[Total Gas Volume (mL), gas cylinder = 3785mL]]</f>
        <v>0</v>
      </c>
      <c r="H990">
        <f>GCResults[[#This Row],[Pressure on Sampling (PSI), 145PSI=1MPa]]</f>
        <v>3552.5</v>
      </c>
      <c r="I990">
        <f>pHCondMod[[#This Row],[Sample pH]]</f>
        <v>0</v>
      </c>
      <c r="J990">
        <f>pHCondMod[[#This Row],[Sample Conductivity (mS/cm)]]</f>
        <v>0</v>
      </c>
      <c r="K990">
        <f>pHCondMod[[#This Row],[Modification Description]]</f>
        <v>0</v>
      </c>
      <c r="L990" s="1">
        <f>NMRResults[[#This Row],[Date Run]]</f>
        <v>0</v>
      </c>
      <c r="M990" s="1">
        <f>ICPList[[#This Row],[Date Run]]</f>
        <v>0</v>
      </c>
      <c r="N990" s="1">
        <f>GCResults[[#This Row],[Date Run ]]</f>
        <v>0</v>
      </c>
    </row>
    <row r="991" spans="1:14" ht="14.45" x14ac:dyDescent="0.25">
      <c r="A991">
        <f>SampleList[[#This Row],[Experiment ID]]</f>
        <v>0</v>
      </c>
      <c r="B991">
        <f>SampleList[[#This Row],[Sample Description]]</f>
        <v>0</v>
      </c>
      <c r="C991" s="1">
        <f>SampleList[[#This Row],[Date Sampled]]</f>
        <v>0</v>
      </c>
      <c r="D991">
        <f>SampleList[[#This Row],[Duration (Days)]]</f>
        <v>0</v>
      </c>
      <c r="E991">
        <f>NMRResults[[#This Row],[Ammonium Concentration (mM)]]</f>
        <v>0</v>
      </c>
      <c r="F991" t="str">
        <f>GCResults[[#This Row],[H2 (ppm)]]</f>
        <v/>
      </c>
      <c r="G991">
        <f>GCResults[[#This Row],[Total Gas Volume (mL), gas cylinder = 3785mL]]</f>
        <v>0</v>
      </c>
      <c r="H991">
        <f>GCResults[[#This Row],[Pressure on Sampling (PSI), 145PSI=1MPa]]</f>
        <v>3552.5</v>
      </c>
      <c r="I991">
        <f>pHCondMod[[#This Row],[Sample pH]]</f>
        <v>0</v>
      </c>
      <c r="J991">
        <f>pHCondMod[[#This Row],[Sample Conductivity (mS/cm)]]</f>
        <v>0</v>
      </c>
      <c r="K991">
        <f>pHCondMod[[#This Row],[Modification Description]]</f>
        <v>0</v>
      </c>
      <c r="L991" s="1">
        <f>NMRResults[[#This Row],[Date Run]]</f>
        <v>0</v>
      </c>
      <c r="M991" s="1">
        <f>ICPList[[#This Row],[Date Run]]</f>
        <v>0</v>
      </c>
      <c r="N991" s="1">
        <f>GCResults[[#This Row],[Date Run ]]</f>
        <v>0</v>
      </c>
    </row>
    <row r="992" spans="1:14" ht="14.45" x14ac:dyDescent="0.25">
      <c r="A992">
        <f>SampleList[[#This Row],[Experiment ID]]</f>
        <v>0</v>
      </c>
      <c r="B992">
        <f>SampleList[[#This Row],[Sample Description]]</f>
        <v>0</v>
      </c>
      <c r="C992" s="1">
        <f>SampleList[[#This Row],[Date Sampled]]</f>
        <v>0</v>
      </c>
      <c r="D992">
        <f>SampleList[[#This Row],[Duration (Days)]]</f>
        <v>0</v>
      </c>
      <c r="E992">
        <f>NMRResults[[#This Row],[Ammonium Concentration (mM)]]</f>
        <v>0</v>
      </c>
      <c r="F992" t="str">
        <f>GCResults[[#This Row],[H2 (ppm)]]</f>
        <v/>
      </c>
      <c r="G992">
        <f>GCResults[[#This Row],[Total Gas Volume (mL), gas cylinder = 3785mL]]</f>
        <v>0</v>
      </c>
      <c r="H992">
        <f>GCResults[[#This Row],[Pressure on Sampling (PSI), 145PSI=1MPa]]</f>
        <v>3552.5</v>
      </c>
      <c r="I992">
        <f>pHCondMod[[#This Row],[Sample pH]]</f>
        <v>0</v>
      </c>
      <c r="J992">
        <f>pHCondMod[[#This Row],[Sample Conductivity (mS/cm)]]</f>
        <v>0</v>
      </c>
      <c r="K992">
        <f>pHCondMod[[#This Row],[Modification Description]]</f>
        <v>0</v>
      </c>
      <c r="L992" s="1">
        <f>NMRResults[[#This Row],[Date Run]]</f>
        <v>0</v>
      </c>
      <c r="M992" s="1">
        <f>ICPList[[#This Row],[Date Run]]</f>
        <v>0</v>
      </c>
      <c r="N992" s="1">
        <f>GCResults[[#This Row],[Date Run ]]</f>
        <v>0</v>
      </c>
    </row>
    <row r="993" spans="1:14" ht="14.45" x14ac:dyDescent="0.25">
      <c r="A993">
        <f>SampleList[[#This Row],[Experiment ID]]</f>
        <v>0</v>
      </c>
      <c r="B993">
        <f>SampleList[[#This Row],[Sample Description]]</f>
        <v>0</v>
      </c>
      <c r="C993" s="1">
        <f>SampleList[[#This Row],[Date Sampled]]</f>
        <v>0</v>
      </c>
      <c r="D993">
        <f>SampleList[[#This Row],[Duration (Days)]]</f>
        <v>0</v>
      </c>
      <c r="E993">
        <f>NMRResults[[#This Row],[Ammonium Concentration (mM)]]</f>
        <v>0</v>
      </c>
      <c r="F993" t="str">
        <f>GCResults[[#This Row],[H2 (ppm)]]</f>
        <v/>
      </c>
      <c r="G993">
        <f>GCResults[[#This Row],[Total Gas Volume (mL), gas cylinder = 3785mL]]</f>
        <v>0</v>
      </c>
      <c r="H993">
        <f>GCResults[[#This Row],[Pressure on Sampling (PSI), 145PSI=1MPa]]</f>
        <v>3552.5</v>
      </c>
      <c r="I993">
        <f>pHCondMod[[#This Row],[Sample pH]]</f>
        <v>0</v>
      </c>
      <c r="J993">
        <f>pHCondMod[[#This Row],[Sample Conductivity (mS/cm)]]</f>
        <v>0</v>
      </c>
      <c r="K993">
        <f>pHCondMod[[#This Row],[Modification Description]]</f>
        <v>0</v>
      </c>
      <c r="L993" s="1">
        <f>NMRResults[[#This Row],[Date Run]]</f>
        <v>0</v>
      </c>
      <c r="M993" s="1">
        <f>ICPList[[#This Row],[Date Run]]</f>
        <v>0</v>
      </c>
      <c r="N993" s="1">
        <f>GCResults[[#This Row],[Date Run ]]</f>
        <v>0</v>
      </c>
    </row>
    <row r="994" spans="1:14" ht="14.45" x14ac:dyDescent="0.25">
      <c r="A994">
        <f>SampleList[[#This Row],[Experiment ID]]</f>
        <v>0</v>
      </c>
      <c r="B994">
        <f>SampleList[[#This Row],[Sample Description]]</f>
        <v>0</v>
      </c>
      <c r="C994" s="1">
        <f>SampleList[[#This Row],[Date Sampled]]</f>
        <v>0</v>
      </c>
      <c r="D994">
        <f>SampleList[[#This Row],[Duration (Days)]]</f>
        <v>0</v>
      </c>
      <c r="E994">
        <f>NMRResults[[#This Row],[Ammonium Concentration (mM)]]</f>
        <v>0</v>
      </c>
      <c r="F994" t="str">
        <f>GCResults[[#This Row],[H2 (ppm)]]</f>
        <v/>
      </c>
      <c r="G994">
        <f>GCResults[[#This Row],[Total Gas Volume (mL), gas cylinder = 3785mL]]</f>
        <v>0</v>
      </c>
      <c r="H994">
        <f>GCResults[[#This Row],[Pressure on Sampling (PSI), 145PSI=1MPa]]</f>
        <v>3552.5</v>
      </c>
      <c r="I994">
        <f>pHCondMod[[#This Row],[Sample pH]]</f>
        <v>0</v>
      </c>
      <c r="J994">
        <f>pHCondMod[[#This Row],[Sample Conductivity (mS/cm)]]</f>
        <v>0</v>
      </c>
      <c r="K994">
        <f>pHCondMod[[#This Row],[Modification Description]]</f>
        <v>0</v>
      </c>
      <c r="L994" s="1">
        <f>NMRResults[[#This Row],[Date Run]]</f>
        <v>0</v>
      </c>
      <c r="M994" s="1">
        <f>ICPList[[#This Row],[Date Run]]</f>
        <v>0</v>
      </c>
      <c r="N994" s="1">
        <f>GCResults[[#This Row],[Date Run ]]</f>
        <v>0</v>
      </c>
    </row>
    <row r="995" spans="1:14" ht="14.45" x14ac:dyDescent="0.25">
      <c r="A995">
        <f>SampleList[[#This Row],[Experiment ID]]</f>
        <v>0</v>
      </c>
      <c r="B995">
        <f>SampleList[[#This Row],[Sample Description]]</f>
        <v>0</v>
      </c>
      <c r="C995" s="1">
        <f>SampleList[[#This Row],[Date Sampled]]</f>
        <v>0</v>
      </c>
      <c r="D995">
        <f>SampleList[[#This Row],[Duration (Days)]]</f>
        <v>0</v>
      </c>
      <c r="E995">
        <f>NMRResults[[#This Row],[Ammonium Concentration (mM)]]</f>
        <v>0</v>
      </c>
      <c r="F995" t="str">
        <f>GCResults[[#This Row],[H2 (ppm)]]</f>
        <v/>
      </c>
      <c r="G995">
        <f>GCResults[[#This Row],[Total Gas Volume (mL), gas cylinder = 3785mL]]</f>
        <v>0</v>
      </c>
      <c r="H995">
        <f>GCResults[[#This Row],[Pressure on Sampling (PSI), 145PSI=1MPa]]</f>
        <v>3552.5</v>
      </c>
      <c r="I995">
        <f>pHCondMod[[#This Row],[Sample pH]]</f>
        <v>0</v>
      </c>
      <c r="J995">
        <f>pHCondMod[[#This Row],[Sample Conductivity (mS/cm)]]</f>
        <v>0</v>
      </c>
      <c r="K995">
        <f>pHCondMod[[#This Row],[Modification Description]]</f>
        <v>0</v>
      </c>
      <c r="L995" s="1">
        <f>NMRResults[[#This Row],[Date Run]]</f>
        <v>0</v>
      </c>
      <c r="M995" s="1">
        <f>ICPList[[#This Row],[Date Run]]</f>
        <v>0</v>
      </c>
      <c r="N995" s="1">
        <f>GCResults[[#This Row],[Date Run ]]</f>
        <v>0</v>
      </c>
    </row>
    <row r="996" spans="1:14" ht="14.45" x14ac:dyDescent="0.25">
      <c r="A996">
        <f>SampleList[[#This Row],[Experiment ID]]</f>
        <v>0</v>
      </c>
      <c r="B996">
        <f>SampleList[[#This Row],[Sample Description]]</f>
        <v>0</v>
      </c>
      <c r="C996" s="1">
        <f>SampleList[[#This Row],[Date Sampled]]</f>
        <v>0</v>
      </c>
      <c r="D996">
        <f>SampleList[[#This Row],[Duration (Days)]]</f>
        <v>0</v>
      </c>
      <c r="E996">
        <f>NMRResults[[#This Row],[Ammonium Concentration (mM)]]</f>
        <v>0</v>
      </c>
      <c r="F996" t="str">
        <f>GCResults[[#This Row],[H2 (ppm)]]</f>
        <v/>
      </c>
      <c r="G996">
        <f>GCResults[[#This Row],[Total Gas Volume (mL), gas cylinder = 3785mL]]</f>
        <v>0</v>
      </c>
      <c r="H996">
        <f>GCResults[[#This Row],[Pressure on Sampling (PSI), 145PSI=1MPa]]</f>
        <v>3552.5</v>
      </c>
      <c r="I996">
        <f>pHCondMod[[#This Row],[Sample pH]]</f>
        <v>0</v>
      </c>
      <c r="J996">
        <f>pHCondMod[[#This Row],[Sample Conductivity (mS/cm)]]</f>
        <v>0</v>
      </c>
      <c r="K996">
        <f>pHCondMod[[#This Row],[Modification Description]]</f>
        <v>0</v>
      </c>
      <c r="L996" s="1">
        <f>NMRResults[[#This Row],[Date Run]]</f>
        <v>0</v>
      </c>
      <c r="M996" s="1">
        <f>ICPList[[#This Row],[Date Run]]</f>
        <v>0</v>
      </c>
      <c r="N996" s="1">
        <f>GCResults[[#This Row],[Date Run ]]</f>
        <v>0</v>
      </c>
    </row>
    <row r="997" spans="1:14" ht="14.45" x14ac:dyDescent="0.25">
      <c r="A997">
        <f>SampleList[[#This Row],[Experiment ID]]</f>
        <v>0</v>
      </c>
      <c r="B997">
        <f>SampleList[[#This Row],[Sample Description]]</f>
        <v>0</v>
      </c>
      <c r="C997" s="1">
        <f>SampleList[[#This Row],[Date Sampled]]</f>
        <v>0</v>
      </c>
      <c r="D997">
        <f>SampleList[[#This Row],[Duration (Days)]]</f>
        <v>0</v>
      </c>
      <c r="E997">
        <f>NMRResults[[#This Row],[Ammonium Concentration (mM)]]</f>
        <v>0</v>
      </c>
      <c r="F997" t="str">
        <f>GCResults[[#This Row],[H2 (ppm)]]</f>
        <v/>
      </c>
      <c r="G997">
        <f>GCResults[[#This Row],[Total Gas Volume (mL), gas cylinder = 3785mL]]</f>
        <v>0</v>
      </c>
      <c r="H997">
        <f>GCResults[[#This Row],[Pressure on Sampling (PSI), 145PSI=1MPa]]</f>
        <v>3552.5</v>
      </c>
      <c r="I997">
        <f>pHCondMod[[#This Row],[Sample pH]]</f>
        <v>0</v>
      </c>
      <c r="J997">
        <f>pHCondMod[[#This Row],[Sample Conductivity (mS/cm)]]</f>
        <v>0</v>
      </c>
      <c r="K997">
        <f>pHCondMod[[#This Row],[Modification Description]]</f>
        <v>0</v>
      </c>
      <c r="L997" s="1">
        <f>NMRResults[[#This Row],[Date Run]]</f>
        <v>0</v>
      </c>
      <c r="M997" s="1">
        <f>ICPList[[#This Row],[Date Run]]</f>
        <v>0</v>
      </c>
      <c r="N997" s="1">
        <f>GCResults[[#This Row],[Date Run ]]</f>
        <v>0</v>
      </c>
    </row>
    <row r="998" spans="1:14" ht="14.45" x14ac:dyDescent="0.25">
      <c r="A998">
        <f>SampleList[[#This Row],[Experiment ID]]</f>
        <v>0</v>
      </c>
      <c r="B998">
        <f>SampleList[[#This Row],[Sample Description]]</f>
        <v>0</v>
      </c>
      <c r="C998" s="1">
        <f>SampleList[[#This Row],[Date Sampled]]</f>
        <v>0</v>
      </c>
      <c r="D998">
        <f>SampleList[[#This Row],[Duration (Days)]]</f>
        <v>0</v>
      </c>
      <c r="E998">
        <f>NMRResults[[#This Row],[Ammonium Concentration (mM)]]</f>
        <v>0</v>
      </c>
      <c r="F998" t="str">
        <f>GCResults[[#This Row],[H2 (ppm)]]</f>
        <v/>
      </c>
      <c r="G998">
        <f>GCResults[[#This Row],[Total Gas Volume (mL), gas cylinder = 3785mL]]</f>
        <v>0</v>
      </c>
      <c r="H998">
        <f>GCResults[[#This Row],[Pressure on Sampling (PSI), 145PSI=1MPa]]</f>
        <v>3552.5</v>
      </c>
      <c r="I998">
        <f>pHCondMod[[#This Row],[Sample pH]]</f>
        <v>0</v>
      </c>
      <c r="J998">
        <f>pHCondMod[[#This Row],[Sample Conductivity (mS/cm)]]</f>
        <v>0</v>
      </c>
      <c r="K998">
        <f>pHCondMod[[#This Row],[Modification Description]]</f>
        <v>0</v>
      </c>
      <c r="L998" s="1">
        <f>NMRResults[[#This Row],[Date Run]]</f>
        <v>0</v>
      </c>
      <c r="M998" s="1">
        <f>ICPList[[#This Row],[Date Run]]</f>
        <v>0</v>
      </c>
      <c r="N998" s="1">
        <f>GCResults[[#This Row],[Date Run ]]</f>
        <v>0</v>
      </c>
    </row>
    <row r="999" spans="1:14" ht="14.45" x14ac:dyDescent="0.25">
      <c r="A999" t="e">
        <f>SampleList[[#This Row],[Experiment ID]]</f>
        <v>#VALUE!</v>
      </c>
      <c r="B999" t="e">
        <f>SampleList[[#This Row],[Sample Description]]</f>
        <v>#VALUE!</v>
      </c>
      <c r="C999" s="1" t="e">
        <f>SampleList[[#This Row],[Date Sampled]]</f>
        <v>#VALUE!</v>
      </c>
      <c r="D999" t="e">
        <f>SampleList[[#This Row],[Duration (Days)]]</f>
        <v>#VALUE!</v>
      </c>
      <c r="E999">
        <f>NMRResults[[#This Row],[Ammonium Concentration (mM)]]</f>
        <v>0</v>
      </c>
      <c r="F999" t="str">
        <f>GCResults[[#This Row],[H2 (ppm)]]</f>
        <v/>
      </c>
      <c r="G999">
        <f>GCResults[[#This Row],[Total Gas Volume (mL), gas cylinder = 3785mL]]</f>
        <v>0</v>
      </c>
      <c r="H999">
        <f>GCResults[[#This Row],[Pressure on Sampling (PSI), 145PSI=1MPa]]</f>
        <v>0</v>
      </c>
      <c r="I999">
        <f>pHCondMod[[#This Row],[Sample pH]]</f>
        <v>0</v>
      </c>
      <c r="J999">
        <f>pHCondMod[[#This Row],[Sample Conductivity (mS/cm)]]</f>
        <v>0</v>
      </c>
      <c r="K999">
        <f>pHCondMod[[#This Row],[Modification Description]]</f>
        <v>0</v>
      </c>
      <c r="L999" s="1">
        <f>NMRResults[[#This Row],[Date Run]]</f>
        <v>0</v>
      </c>
      <c r="M999" s="1">
        <f>ICPList[[#This Row],[Date Run]]</f>
        <v>0</v>
      </c>
      <c r="N999" s="1">
        <f>GCResults[[#This Row],[Date Run ]]</f>
        <v>0</v>
      </c>
    </row>
    <row r="1000" spans="1:14" ht="14.45" x14ac:dyDescent="0.25">
      <c r="A1000" t="e">
        <f>SampleList[[#This Row],[Experiment ID]]</f>
        <v>#VALUE!</v>
      </c>
      <c r="B1000" t="e">
        <f>SampleList[[#This Row],[Sample Description]]</f>
        <v>#VALUE!</v>
      </c>
      <c r="C1000" s="1" t="e">
        <f>SampleList[[#This Row],[Date Sampled]]</f>
        <v>#VALUE!</v>
      </c>
      <c r="D1000" t="e">
        <f>SampleList[[#This Row],[Duration (Days)]]</f>
        <v>#VALUE!</v>
      </c>
      <c r="E1000">
        <f>NMRResults[[#This Row],[Ammonium Concentration (mM)]]</f>
        <v>0</v>
      </c>
      <c r="F1000" t="str">
        <f>GCResults[[#This Row],[H2 (ppm)]]</f>
        <v/>
      </c>
      <c r="G1000">
        <f>GCResults[[#This Row],[Total Gas Volume (mL), gas cylinder = 3785mL]]</f>
        <v>0</v>
      </c>
      <c r="H1000">
        <f>GCResults[[#This Row],[Pressure on Sampling (PSI), 145PSI=1MPa]]</f>
        <v>0</v>
      </c>
      <c r="I1000">
        <f>pHCondMod[[#This Row],[Sample pH]]</f>
        <v>0</v>
      </c>
      <c r="J1000">
        <f>pHCondMod[[#This Row],[Sample Conductivity (mS/cm)]]</f>
        <v>0</v>
      </c>
      <c r="K1000">
        <f>pHCondMod[[#This Row],[Modification Description]]</f>
        <v>0</v>
      </c>
      <c r="L1000" s="1">
        <f>NMRResults[[#This Row],[Date Run]]</f>
        <v>0</v>
      </c>
      <c r="M1000" s="1">
        <f>ICPList[[#This Row],[Date Run]]</f>
        <v>0</v>
      </c>
      <c r="N1000" s="1">
        <f>GCResults[[#This Row],[Date Run ]]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3BA3DB58DEC478049C673A7220E0E" ma:contentTypeVersion="15" ma:contentTypeDescription="Create a new document." ma:contentTypeScope="" ma:versionID="f3b66ce18d65b04b0c459e2b382a46d3">
  <xsd:schema xmlns:xsd="http://www.w3.org/2001/XMLSchema" xmlns:xs="http://www.w3.org/2001/XMLSchema" xmlns:p="http://schemas.microsoft.com/office/2006/metadata/properties" xmlns:ns2="92c925b4-dc37-447f-b6fa-1c76e536da50" xmlns:ns3="5391d9e9-6328-485e-a60c-74110e34d1b4" targetNamespace="http://schemas.microsoft.com/office/2006/metadata/properties" ma:root="true" ma:fieldsID="9e22a7814077ab2812664aa6a1eebe89" ns2:_="" ns3:_="">
    <xsd:import namespace="92c925b4-dc37-447f-b6fa-1c76e536da50"/>
    <xsd:import namespace="5391d9e9-6328-485e-a60c-74110e34d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925b4-dc37-447f-b6fa-1c76e536d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ae64e0-0e4d-41f3-876d-8ff77f6130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1d9e9-6328-485e-a60c-74110e34d1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9a1c0f5-e38c-41eb-a762-cb30e575646d}" ma:internalName="TaxCatchAll" ma:showField="CatchAllData" ma:web="5391d9e9-6328-485e-a60c-74110e34d1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1d9e9-6328-485e-a60c-74110e34d1b4" xsi:nil="true"/>
    <lcf76f155ced4ddcb4097134ff3c332f xmlns="92c925b4-dc37-447f-b6fa-1c76e536da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A5C6D-879D-4CFB-A982-971D135202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2A9986-BBDB-4653-9FB4-F50327AD7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925b4-dc37-447f-b6fa-1c76e536da50"/>
    <ds:schemaRef ds:uri="5391d9e9-6328-485e-a60c-74110e34d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43E877-3A92-4DEE-AEE8-4CDBA8497412}">
  <ds:schemaRefs>
    <ds:schemaRef ds:uri="http://schemas.microsoft.com/office/2006/metadata/properties"/>
    <ds:schemaRef ds:uri="http://schemas.microsoft.com/office/infopath/2007/PartnerControls"/>
    <ds:schemaRef ds:uri="5391d9e9-6328-485e-a60c-74110e34d1b4"/>
    <ds:schemaRef ds:uri="92c925b4-dc37-447f-b6fa-1c76e536d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Sampling</vt:lpstr>
      <vt:lpstr>NMR Prep</vt:lpstr>
      <vt:lpstr>NMR Results</vt:lpstr>
      <vt:lpstr>GC Results</vt:lpstr>
      <vt:lpstr>ICP List</vt:lpstr>
      <vt:lpstr>pH Conductivity Mod </vt:lpstr>
      <vt:lpstr>XRD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Mathew Hearl</dc:creator>
  <cp:keywords/>
  <dc:description/>
  <cp:lastModifiedBy>Tristan Rans</cp:lastModifiedBy>
  <cp:revision/>
  <dcterms:created xsi:type="dcterms:W3CDTF">2015-06-05T18:17:20Z</dcterms:created>
  <dcterms:modified xsi:type="dcterms:W3CDTF">2026-03-23T15:03:19Z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0x01010007E3BA3DB58DEC478049C673A7220E0E</vt:lpwstr>
  </property>
  <property fmtid="{D5CDD505-2E9C-101B-9397-08002B2CF9AE}" pid="3" name="MediaServiceImageTags">
    <vt:lpwstr/>
  </property>
</Properties>
</file>